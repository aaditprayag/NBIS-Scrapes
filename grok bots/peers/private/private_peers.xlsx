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ummary" sheetId="2" state="visible" r:id="rId2"/>
    <sheet xmlns:r="http://schemas.openxmlformats.org/officeDocument/2006/relationships" name="Nscale" sheetId="3" state="visible" r:id="rId3"/>
    <sheet xmlns:r="http://schemas.openxmlformats.org/officeDocument/2006/relationships" name="Lambda" sheetId="4" state="visible" r:id="rId4"/>
    <sheet xmlns:r="http://schemas.openxmlformats.org/officeDocument/2006/relationships" name="Crusoe" sheetId="5" state="visible" r:id="rId5"/>
    <sheet xmlns:r="http://schemas.openxmlformats.org/officeDocument/2006/relationships" name="Debt_Facilities" sheetId="6" state="visible" r:id="rId6"/>
    <sheet xmlns:r="http://schemas.openxmlformats.org/officeDocument/2006/relationships" name="Sources" sheetId="7" state="visible" r:id="rId7"/>
    <sheet xmlns:r="http://schemas.openxmlformats.org/officeDocument/2006/relationships" name="Definitions" sheetId="8" state="visible" r:id="rId8"/>
    <sheet xmlns:r="http://schemas.openxmlformats.org/officeDocument/2006/relationships" name="Notes_Gaps" sheetId="9" state="visible" r:id="rId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font>
    <font>
      <color rgb="000000CC"/>
    </font>
    <font>
      <color rgb="00000000"/>
    </font>
    <font>
      <color rgb="00C65911"/>
    </font>
    <font>
      <color rgb="007030A0"/>
    </font>
    <font>
      <i val="1"/>
      <color rgb="00808080"/>
    </font>
  </fonts>
  <fills count="4">
    <fill>
      <patternFill/>
    </fill>
    <fill>
      <patternFill patternType="gray125"/>
    </fill>
    <fill>
      <patternFill patternType="solid">
        <fgColor rgb="00D9E1F2"/>
      </patternFill>
    </fill>
    <fill>
      <patternFill patternType="solid">
        <fgColor rgb="00F2F2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1" fillId="0" borderId="0" pivotButton="0" quotePrefix="0" xfId="0"/>
    <xf numFmtId="0" fontId="1" fillId="2" borderId="0" applyAlignment="1" pivotButton="0" quotePrefix="0" xfId="0">
      <alignment vertical="top" wrapText="1"/>
    </xf>
    <xf numFmtId="0" fontId="1" fillId="3" borderId="0" pivotButton="0" quotePrefix="0" xfId="0"/>
    <xf numFmtId="0" fontId="0" fillId="3" borderId="0" pivotButton="0" quotePrefix="0" xfId="0"/>
    <xf numFmtId="4" fontId="2" fillId="0" borderId="0" pivotButton="0" quotePrefix="0" xfId="0"/>
    <xf numFmtId="0" fontId="2" fillId="0" borderId="0" pivotButton="0" quotePrefix="0" xfId="0"/>
    <xf numFmtId="4" fontId="5" fillId="0" borderId="0" pivotButton="0" quotePrefix="0" xfId="0"/>
    <xf numFmtId="0" fontId="5" fillId="0" borderId="0" pivotButton="0" quotePrefix="0" xfId="0"/>
    <xf numFmtId="4" fontId="3" fillId="0" borderId="0" pivotButton="0" quotePrefix="0" xfId="0"/>
    <xf numFmtId="0" fontId="3" fillId="0" borderId="0" pivotButton="0" quotePrefix="0" xfId="0"/>
    <xf numFmtId="0" fontId="6" fillId="0" borderId="0" pivotButton="0" quotePrefix="0" xfId="0"/>
    <xf numFmtId="4" fontId="6" fillId="0" borderId="0" pivotButton="0" quotePrefix="0" xfId="0"/>
    <xf numFmtId="4" fontId="4" fillId="0" borderId="0" pivotButton="0" quotePrefix="0" xfId="0"/>
    <xf numFmtId="0" fontId="4" fillId="0" borderId="0" pivotButton="0" quotePrefix="0" xfId="0"/>
    <xf numFmtId="0" fontId="2"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70" customWidth="1" min="1" max="1"/>
  </cols>
  <sheetData>
    <row r="1">
      <c r="A1" s="1" t="inlineStr">
        <is>
          <t>Private peer KPI profiles - Nscale, Lambda, Crusoe - built 2026-10-04 (ET) for the Nebius (NBIS) research project. Builder: build_private_peers.py; write-up: private_peers.md (same folder).</t>
        </is>
      </c>
    </row>
    <row r="2">
      <c r="A2" s="1" t="inlineStr">
        <is>
          <t>TEMPLATE: same row IDs and KPI definitions as /workspace/nebius/peers/coreweave/crwv_kpis.xlsx (Inputs I01-I27, KPIs K01-K40, definitions D1-D8). Private-peer-only rows: PX01-PX14 (Definitions tab).</t>
        </is>
      </c>
    </row>
    <row r="3">
      <c r="A3" s="1" t="inlineStr">
        <is>
          <t>LAYOUT: company tabs hold DATED data points (as-of date, period, tag, source doc, source date, URL). D/E points are live Excel formulas over other points (Formula column shows DP ids). Summary links the latest point per company into the CoreWeave row layout, with CoreWeave Q2'26 for reference. Debt_Facilities lists every disclosed facility; Sources is the registry.</t>
        </is>
      </c>
    </row>
    <row r="4">
      <c r="A4" s="1" t="inlineStr">
        <is>
          <t>TAGS: R (blue) = reported by company or filing (S-1, Form D, company PR/blog); P (purple) = press-reported, secondhand (The Information, Bloomberg, WSJ relayed by DCD etc.); D (black) = derived, formula shown; E (orange) = estimated (assumption, or third-party estimate such as Sacra); n/d (grey) = not disclosed. 'inputs P' on a D row = derived from press figures; treat as press quality.</t>
        </is>
      </c>
    </row>
    <row r="5">
      <c r="A5" s="1" t="inlineStr">
        <is>
          <t>EDGAR CHECK 2026-10-04: Nscale public S-1 filed 2026-09-18 (CIK 0002110365; no S-1/A yet) = only primary financials. Lambda (CIK 0001954966): NO S-1/DRS publicly filed; Form D only (2022, 2024). Crusoe (CIK 0001924674): Form D only (latest 2026-09-17).</t>
        </is>
      </c>
    </row>
    <row r="6">
      <c r="A6" s="1" t="inlineStr">
        <is>
          <t>UNITS: $M unless stated; per-MW KPIs annualized ($M per MW-yr); $/GPU in $K per GPU-yr; rates % p.a. Floating all-ins ESTIMATED with SOFR 3.87% (NY Fed, 2026-10-01).</t>
        </is>
      </c>
    </row>
    <row r="7">
      <c r="A7" s="1" t="inlineStr">
        <is>
          <t>MW BASIS: Nscale = IT MW. Crusoe = GROSS MW (IT-equivalent estimated with Microsoft Abilene design ratio 672/900). Lambda = basis not stated.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86"/>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7" customWidth="1" min="1" max="1"/>
    <col width="42" customWidth="1" min="2" max="2"/>
    <col width="11" customWidth="1" min="3" max="3"/>
    <col width="12" customWidth="1" min="4" max="4"/>
    <col width="11" customWidth="1" min="5" max="5"/>
    <col width="9" customWidth="1" min="6" max="6"/>
    <col width="40" customWidth="1" min="7" max="7"/>
    <col width="12" customWidth="1" min="8" max="8"/>
    <col width="11" customWidth="1" min="9" max="9"/>
    <col width="9" customWidth="1" min="10" max="10"/>
    <col width="40" customWidth="1" min="11" max="11"/>
    <col width="12" customWidth="1" min="12" max="12"/>
    <col width="11" customWidth="1" min="13" max="13"/>
    <col width="9" customWidth="1" min="14" max="14"/>
    <col width="40" customWidth="1" min="15" max="15"/>
    <col width="18" customWidth="1" min="16" max="16"/>
    <col width="8" customWidth="1" min="17" max="17"/>
  </cols>
  <sheetData>
    <row r="1">
      <c r="A1" s="2" t="inlineStr">
        <is>
          <t>Summary - latest dated value per company in the CoreWeave row layout (live links to company tabs). R reported / P press / D derived / E estimated / n/d. CoreWeave Q2'26 for reference (crwv_kpis.md).</t>
        </is>
      </c>
    </row>
    <row r="3">
      <c r="A3" s="3" t="inlineStr">
        <is>
          <t>ID</t>
        </is>
      </c>
      <c r="B3" s="3" t="inlineStr">
        <is>
          <t>Item</t>
        </is>
      </c>
      <c r="C3" s="3" t="inlineStr">
        <is>
          <t>Unit</t>
        </is>
      </c>
      <c r="D3" s="3" t="inlineStr">
        <is>
          <t>Nscale value</t>
        </is>
      </c>
      <c r="E3" s="3" t="inlineStr">
        <is>
          <t>as-of</t>
        </is>
      </c>
      <c r="F3" s="3" t="inlineStr">
        <is>
          <t>tag</t>
        </is>
      </c>
      <c r="G3" s="3" t="inlineStr">
        <is>
          <t>DP / basis</t>
        </is>
      </c>
      <c r="H3" s="3" t="inlineStr">
        <is>
          <t>Lambda value</t>
        </is>
      </c>
      <c r="I3" s="3" t="inlineStr">
        <is>
          <t>as-of</t>
        </is>
      </c>
      <c r="J3" s="3" t="inlineStr">
        <is>
          <t>tag</t>
        </is>
      </c>
      <c r="K3" s="3" t="inlineStr">
        <is>
          <t>DP / basis</t>
        </is>
      </c>
      <c r="L3" s="3" t="inlineStr">
        <is>
          <t>Crusoe value</t>
        </is>
      </c>
      <c r="M3" s="3" t="inlineStr">
        <is>
          <t>as-of</t>
        </is>
      </c>
      <c r="N3" s="3" t="inlineStr">
        <is>
          <t>tag</t>
        </is>
      </c>
      <c r="O3" s="3" t="inlineStr">
        <is>
          <t>DP / basis</t>
        </is>
      </c>
      <c r="P3" s="3" t="inlineStr">
        <is>
          <t>CoreWeave Q2'26 (ref)</t>
        </is>
      </c>
      <c r="Q3" s="3" t="inlineStr">
        <is>
          <t>CRWV tag</t>
        </is>
      </c>
    </row>
    <row r="4">
      <c r="A4" s="4" t="inlineStr">
        <is>
          <t>Inputs (latest dated point)</t>
        </is>
      </c>
      <c r="B4" s="5" t="n"/>
      <c r="C4" s="5" t="n"/>
      <c r="D4" s="5" t="n"/>
      <c r="E4" s="5" t="n"/>
      <c r="F4" s="5" t="n"/>
      <c r="G4" s="5" t="n"/>
      <c r="H4" s="5" t="n"/>
      <c r="I4" s="5" t="n"/>
      <c r="J4" s="5" t="n"/>
      <c r="K4" s="5" t="n"/>
      <c r="L4" s="5" t="n"/>
      <c r="M4" s="5" t="n"/>
      <c r="N4" s="5" t="n"/>
      <c r="O4" s="5" t="n"/>
      <c r="P4" s="5" t="n"/>
      <c r="Q4" s="5" t="n"/>
    </row>
    <row r="5">
      <c r="A5" t="inlineStr">
        <is>
          <t>I01</t>
        </is>
      </c>
      <c r="B5" t="inlineStr">
        <is>
          <t>Revenue (latest reported period)</t>
        </is>
      </c>
      <c r="C5" t="inlineStr">
        <is>
          <t>$M</t>
        </is>
      </c>
      <c r="D5" s="6">
        <f>'Nscale'!D4</f>
        <v/>
      </c>
      <c r="E5" t="inlineStr">
        <is>
          <t>2026-06-30</t>
        </is>
      </c>
      <c r="F5" s="7" t="inlineStr">
        <is>
          <t>R</t>
        </is>
      </c>
      <c r="G5" s="1" t="inlineStr">
        <is>
          <t>N01: Revenue, H1'26 (six months)</t>
        </is>
      </c>
      <c r="H5" s="8">
        <f>'Lambda'!D4</f>
        <v/>
      </c>
      <c r="I5" t="inlineStr">
        <is>
          <t>2025-06-30</t>
        </is>
      </c>
      <c r="J5" s="9" t="inlineStr">
        <is>
          <t>P</t>
        </is>
      </c>
      <c r="K5" s="1" t="inlineStr">
        <is>
          <t>L01: Revenue, Q2'25 (total incl. legacy hardware)</t>
        </is>
      </c>
      <c r="L5" s="8">
        <f>'Crusoe'!D4</f>
        <v/>
      </c>
      <c r="M5" t="inlineStr">
        <is>
          <t>2024-12-31</t>
        </is>
      </c>
      <c r="N5" s="9" t="inlineStr">
        <is>
          <t>P</t>
        </is>
      </c>
      <c r="O5" s="1" t="inlineStr">
        <is>
          <t>C01: Revenue, FY24</t>
        </is>
      </c>
    </row>
    <row r="6">
      <c r="A6" t="inlineStr">
        <is>
          <t>PX01</t>
        </is>
      </c>
      <c r="B6" t="inlineStr">
        <is>
          <t>Revenue run-rate / forward revenue</t>
        </is>
      </c>
      <c r="C6" t="inlineStr">
        <is>
          <t>$M/yr</t>
        </is>
      </c>
      <c r="D6" s="10">
        <f>'Nscale'!D8</f>
        <v/>
      </c>
      <c r="E6" t="inlineStr">
        <is>
          <t>2026-06-30</t>
        </is>
      </c>
      <c r="F6" s="11" t="inlineStr">
        <is>
          <t>D</t>
        </is>
      </c>
      <c r="G6" s="1" t="inlineStr">
        <is>
          <t>N05: Annualized revenue run-rate (H1'26 x 2)</t>
        </is>
      </c>
      <c r="H6" s="8">
        <f>'Lambda'!D9</f>
        <v/>
      </c>
      <c r="I6" t="inlineStr">
        <is>
          <t>2026-12-31</t>
        </is>
      </c>
      <c r="J6" s="9" t="inlineStr">
        <is>
          <t>P</t>
        </is>
      </c>
      <c r="K6" s="1" t="inlineStr">
        <is>
          <t>L06: Expected 2026 revenue (press)</t>
        </is>
      </c>
      <c r="L6" s="8">
        <f>'Crusoe'!D6</f>
        <v/>
      </c>
      <c r="M6" t="inlineStr">
        <is>
          <t>2026-12-31</t>
        </is>
      </c>
      <c r="N6" s="9" t="inlineStr">
        <is>
          <t>P</t>
        </is>
      </c>
      <c r="O6" s="1" t="inlineStr">
        <is>
          <t>C03: Revenue, FY26 ('on track for $2 billion')</t>
        </is>
      </c>
    </row>
    <row r="7">
      <c r="A7" t="inlineStr">
        <is>
          <t>I02</t>
        </is>
      </c>
      <c r="B7" t="inlineStr">
        <is>
          <t>Adj. EBITDA / margin proxy</t>
        </is>
      </c>
      <c r="C7" t="inlineStr">
        <is>
          <t>$M or %</t>
        </is>
      </c>
      <c r="D7" s="6">
        <f>'Nscale'!D11</f>
        <v/>
      </c>
      <c r="E7" t="inlineStr">
        <is>
          <t>2026-06-30</t>
        </is>
      </c>
      <c r="F7" s="7" t="inlineStr">
        <is>
          <t>R</t>
        </is>
      </c>
      <c r="G7" s="1" t="inlineStr">
        <is>
          <t>N08: Adjusted EBITDA (company non-GAAP), H1'26</t>
        </is>
      </c>
      <c r="H7" s="8">
        <f>'Lambda'!D11</f>
        <v/>
      </c>
      <c r="I7" t="inlineStr">
        <is>
          <t>2025-06-30</t>
        </is>
      </c>
      <c r="J7" s="9" t="inlineStr">
        <is>
          <t>P</t>
        </is>
      </c>
      <c r="K7" s="1" t="inlineStr">
        <is>
          <t>L08: Gross margin H1'25 (blended; 61% ex non-cloud)</t>
        </is>
      </c>
      <c r="L7" s="12" t="inlineStr">
        <is>
          <t>n/d</t>
        </is>
      </c>
      <c r="N7" s="12" t="inlineStr">
        <is>
          <t>n/d</t>
        </is>
      </c>
      <c r="O7" s="1" t="inlineStr">
        <is>
          <t>Not disclosed</t>
        </is>
      </c>
    </row>
    <row r="8">
      <c r="A8" t="inlineStr">
        <is>
          <t>I03</t>
        </is>
      </c>
      <c r="B8" t="inlineStr">
        <is>
          <t>D&amp;A (latest period)</t>
        </is>
      </c>
      <c r="C8" t="inlineStr">
        <is>
          <t>$M</t>
        </is>
      </c>
      <c r="D8" s="6">
        <f>'Nscale'!D12</f>
        <v/>
      </c>
      <c r="E8" t="inlineStr">
        <is>
          <t>2026-06-30</t>
        </is>
      </c>
      <c r="F8" s="7" t="inlineStr">
        <is>
          <t>R</t>
        </is>
      </c>
      <c r="G8" s="1" t="inlineStr">
        <is>
          <t>N09: Depreciation &amp; amortization (total), H1'26</t>
        </is>
      </c>
      <c r="H8" s="12" t="inlineStr">
        <is>
          <t>n/d</t>
        </is>
      </c>
      <c r="J8" s="12" t="inlineStr">
        <is>
          <t>n/d</t>
        </is>
      </c>
      <c r="K8" s="1" t="inlineStr">
        <is>
          <t>Not disclosed</t>
        </is>
      </c>
      <c r="L8" s="12" t="inlineStr">
        <is>
          <t>n/d</t>
        </is>
      </c>
      <c r="N8" s="12" t="inlineStr">
        <is>
          <t>n/d</t>
        </is>
      </c>
      <c r="O8" s="1" t="inlineStr">
        <is>
          <t>Not disclosed</t>
        </is>
      </c>
    </row>
    <row r="9">
      <c r="A9" t="inlineStr">
        <is>
          <t>I04</t>
        </is>
      </c>
      <c r="B9" t="inlineStr">
        <is>
          <t>Cash capex (latest period)</t>
        </is>
      </c>
      <c r="C9" t="inlineStr">
        <is>
          <t>$M</t>
        </is>
      </c>
      <c r="D9" s="6">
        <f>'Nscale'!D14</f>
        <v/>
      </c>
      <c r="E9" t="inlineStr">
        <is>
          <t>2026-06-30</t>
        </is>
      </c>
      <c r="F9" s="7" t="inlineStr">
        <is>
          <t>R</t>
        </is>
      </c>
      <c r="G9" s="1" t="inlineStr">
        <is>
          <t>N11: Cash capex (purchases of property &amp; equipment), H1'26</t>
        </is>
      </c>
      <c r="H9" s="12" t="inlineStr">
        <is>
          <t>n/d</t>
        </is>
      </c>
      <c r="J9" s="12" t="inlineStr">
        <is>
          <t>n/d</t>
        </is>
      </c>
      <c r="K9" s="1" t="inlineStr">
        <is>
          <t>Not disclosed</t>
        </is>
      </c>
      <c r="L9" s="12" t="inlineStr">
        <is>
          <t>n/d</t>
        </is>
      </c>
      <c r="N9" s="12" t="inlineStr">
        <is>
          <t>n/d</t>
        </is>
      </c>
      <c r="O9" s="1" t="inlineStr">
        <is>
          <t>Not disclosed</t>
        </is>
      </c>
    </row>
    <row r="10">
      <c r="A10" t="inlineStr">
        <is>
          <t>I05</t>
        </is>
      </c>
      <c r="B10" t="inlineStr">
        <is>
          <t>Gross PP&amp;E (EoP)</t>
        </is>
      </c>
      <c r="C10" t="inlineStr">
        <is>
          <t>$M</t>
        </is>
      </c>
      <c r="D10" s="6">
        <f>'Nscale'!D16</f>
        <v/>
      </c>
      <c r="E10" t="inlineStr">
        <is>
          <t>2026-06-30</t>
        </is>
      </c>
      <c r="F10" s="7" t="inlineStr">
        <is>
          <t>R</t>
        </is>
      </c>
      <c r="G10" s="1" t="inlineStr">
        <is>
          <t>N13: Gross property &amp; equipment (EoP)</t>
        </is>
      </c>
      <c r="H10" s="12" t="inlineStr">
        <is>
          <t>n/d</t>
        </is>
      </c>
      <c r="J10" s="12" t="inlineStr">
        <is>
          <t>n/d</t>
        </is>
      </c>
      <c r="K10" s="1" t="inlineStr">
        <is>
          <t>Not disclosed</t>
        </is>
      </c>
      <c r="L10" s="12" t="inlineStr">
        <is>
          <t>n/d</t>
        </is>
      </c>
      <c r="N10" s="12" t="inlineStr">
        <is>
          <t>n/d</t>
        </is>
      </c>
      <c r="O10" s="1" t="inlineStr">
        <is>
          <t>Not disclosed</t>
        </is>
      </c>
    </row>
    <row r="11">
      <c r="A11" t="inlineStr">
        <is>
          <t>I06</t>
        </is>
      </c>
      <c r="B11" t="inlineStr">
        <is>
          <t>Construction in progress</t>
        </is>
      </c>
      <c r="C11" t="inlineStr">
        <is>
          <t>$M</t>
        </is>
      </c>
      <c r="D11" s="6">
        <f>'Nscale'!D18</f>
        <v/>
      </c>
      <c r="E11" t="inlineStr">
        <is>
          <t>2026-06-30</t>
        </is>
      </c>
      <c r="F11" s="7" t="inlineStr">
        <is>
          <t>R</t>
        </is>
      </c>
      <c r="G11" s="1" t="inlineStr">
        <is>
          <t>N15: Construction in progress (EoP)</t>
        </is>
      </c>
      <c r="H11" s="12" t="inlineStr">
        <is>
          <t>n/d</t>
        </is>
      </c>
      <c r="J11" s="12" t="inlineStr">
        <is>
          <t>n/d</t>
        </is>
      </c>
      <c r="K11" s="1" t="inlineStr">
        <is>
          <t>Not disclosed</t>
        </is>
      </c>
      <c r="L11" s="12" t="inlineStr">
        <is>
          <t>n/d</t>
        </is>
      </c>
      <c r="N11" s="12" t="inlineStr">
        <is>
          <t>n/d</t>
        </is>
      </c>
      <c r="O11" s="1" t="inlineStr">
        <is>
          <t>Not disclosed</t>
        </is>
      </c>
    </row>
    <row r="12">
      <c r="A12" t="inlineStr">
        <is>
          <t>I07</t>
        </is>
      </c>
      <c r="B12" t="inlineStr">
        <is>
          <t>Net PP&amp;E</t>
        </is>
      </c>
      <c r="C12" t="inlineStr">
        <is>
          <t>$M</t>
        </is>
      </c>
      <c r="D12" s="6">
        <f>'Nscale'!D20</f>
        <v/>
      </c>
      <c r="E12" t="inlineStr">
        <is>
          <t>2026-06-30</t>
        </is>
      </c>
      <c r="F12" s="7" t="inlineStr">
        <is>
          <t>R</t>
        </is>
      </c>
      <c r="G12" s="1" t="inlineStr">
        <is>
          <t>N17: Property &amp; equipment, net (EoP)</t>
        </is>
      </c>
      <c r="H12" s="12" t="inlineStr">
        <is>
          <t>n/d</t>
        </is>
      </c>
      <c r="J12" s="12" t="inlineStr">
        <is>
          <t>n/d</t>
        </is>
      </c>
      <c r="K12" s="1" t="inlineStr">
        <is>
          <t>Not disclosed</t>
        </is>
      </c>
      <c r="L12" s="12" t="inlineStr">
        <is>
          <t>n/d</t>
        </is>
      </c>
      <c r="N12" s="12" t="inlineStr">
        <is>
          <t>n/d</t>
        </is>
      </c>
      <c r="O12" s="1" t="inlineStr">
        <is>
          <t>Not disclosed</t>
        </is>
      </c>
    </row>
    <row r="13">
      <c r="A13" t="inlineStr">
        <is>
          <t>I08</t>
        </is>
      </c>
      <c r="B13" t="inlineStr">
        <is>
          <t>Technology equipment, gross</t>
        </is>
      </c>
      <c r="C13" t="inlineStr">
        <is>
          <t>$M</t>
        </is>
      </c>
      <c r="D13" s="6">
        <f>'Nscale'!D21</f>
        <v/>
      </c>
      <c r="E13" t="inlineStr">
        <is>
          <t>2026-06-30</t>
        </is>
      </c>
      <c r="F13" s="7" t="inlineStr">
        <is>
          <t>R</t>
        </is>
      </c>
      <c r="G13" s="1" t="inlineStr">
        <is>
          <t>N18: Technology equipment, gross (EoP)</t>
        </is>
      </c>
      <c r="H13" s="12" t="inlineStr">
        <is>
          <t>n/d</t>
        </is>
      </c>
      <c r="J13" s="12" t="inlineStr">
        <is>
          <t>n/d</t>
        </is>
      </c>
      <c r="K13" s="1" t="inlineStr">
        <is>
          <t>Not disclosed</t>
        </is>
      </c>
      <c r="L13" s="12" t="inlineStr">
        <is>
          <t>n/d</t>
        </is>
      </c>
      <c r="N13" s="12" t="inlineStr">
        <is>
          <t>n/d</t>
        </is>
      </c>
      <c r="O13" s="1" t="inlineStr">
        <is>
          <t>Not disclosed</t>
        </is>
      </c>
    </row>
    <row r="14">
      <c r="A14" t="inlineStr">
        <is>
          <t>I09</t>
        </is>
      </c>
      <c r="B14" t="inlineStr">
        <is>
          <t>Active MW</t>
        </is>
      </c>
      <c r="C14" t="inlineStr">
        <is>
          <t>MW</t>
        </is>
      </c>
      <c r="D14" s="10">
        <f>'Nscale'!D24</f>
        <v/>
      </c>
      <c r="E14" t="inlineStr">
        <is>
          <t>2026-08-31</t>
        </is>
      </c>
      <c r="F14" s="11" t="inlineStr">
        <is>
          <t>D</t>
        </is>
      </c>
      <c r="G14" s="1" t="inlineStr">
        <is>
          <t>N21: Active IT MW (sum of contracted IT MW at the 5 active sites)</t>
        </is>
      </c>
      <c r="H14" s="8">
        <f>'Lambda'!D12</f>
        <v/>
      </c>
      <c r="I14" t="inlineStr">
        <is>
          <t>2025-06-30</t>
        </is>
      </c>
      <c r="J14" s="9" t="inlineStr">
        <is>
          <t>P</t>
        </is>
      </c>
      <c r="K14" s="1" t="inlineStr">
        <is>
          <t>L09: Active (operating) capacity, Q2'25</t>
        </is>
      </c>
      <c r="L14" s="6">
        <f>'Crusoe'!D9</f>
        <v/>
      </c>
      <c r="M14" t="inlineStr">
        <is>
          <t>2026-09-17</t>
        </is>
      </c>
      <c r="N14" s="7" t="inlineStr">
        <is>
          <t>R</t>
        </is>
      </c>
      <c r="O14" s="1" t="inlineStr">
        <is>
          <t>C06: Delivered &amp; operational capacity (gross)</t>
        </is>
      </c>
      <c r="P14" t="inlineStr">
        <is>
          <t>1,500</t>
        </is>
      </c>
      <c r="Q14" t="inlineStr">
        <is>
          <t>R</t>
        </is>
      </c>
    </row>
    <row r="15">
      <c r="A15" t="inlineStr">
        <is>
          <t>I10</t>
        </is>
      </c>
      <c r="B15" t="inlineStr">
        <is>
          <t>Contracted MW (active + contracted)</t>
        </is>
      </c>
      <c r="C15" t="inlineStr">
        <is>
          <t>MW</t>
        </is>
      </c>
      <c r="D15" s="6">
        <f>'Nscale'!D25</f>
        <v/>
      </c>
      <c r="E15" t="inlineStr">
        <is>
          <t>2026-08-31</t>
        </is>
      </c>
      <c r="F15" s="7" t="inlineStr">
        <is>
          <t>R</t>
        </is>
      </c>
      <c r="G15" s="1" t="inlineStr">
        <is>
          <t>N22: Active + contracted IT MW</t>
        </is>
      </c>
      <c r="H15" s="13">
        <f>'Lambda'!D17</f>
        <v/>
      </c>
      <c r="I15" t="inlineStr">
        <is>
          <t>2026-10-04</t>
        </is>
      </c>
      <c r="J15" s="12" t="inlineStr">
        <is>
          <t>n/d</t>
        </is>
      </c>
      <c r="K15" s="1" t="inlineStr">
        <is>
          <t>L14: Contracted / announced MW (company total)</t>
        </is>
      </c>
      <c r="L15" s="6">
        <f>'Crusoe'!D12</f>
        <v/>
      </c>
      <c r="M15" t="inlineStr">
        <is>
          <t>2026-09-17</t>
        </is>
      </c>
      <c r="N15" s="7" t="inlineStr">
        <is>
          <t>R</t>
        </is>
      </c>
      <c r="O15" s="1" t="inlineStr">
        <is>
          <t>C09: Gross contracted capacity</t>
        </is>
      </c>
      <c r="P15" t="inlineStr">
        <is>
          <t>3,700</t>
        </is>
      </c>
      <c r="Q15" t="inlineStr">
        <is>
          <t>R</t>
        </is>
      </c>
    </row>
    <row r="16">
      <c r="A16" t="inlineStr">
        <is>
          <t>PX02</t>
        </is>
      </c>
      <c r="B16" t="inlineStr">
        <is>
          <t>Announced / pipeline MW</t>
        </is>
      </c>
      <c r="C16" t="inlineStr">
        <is>
          <t>MW</t>
        </is>
      </c>
      <c r="D16" s="6">
        <f>'Nscale'!D27</f>
        <v/>
      </c>
      <c r="E16" t="inlineStr">
        <is>
          <t>2026-08-31</t>
        </is>
      </c>
      <c r="F16" s="7" t="inlineStr">
        <is>
          <t>R</t>
        </is>
      </c>
      <c r="G16" s="1" t="inlineStr">
        <is>
          <t>N24: Potential power capacity (line of sight)</t>
        </is>
      </c>
      <c r="H16" s="8">
        <f>'Lambda'!D13</f>
        <v/>
      </c>
      <c r="I16" t="inlineStr">
        <is>
          <t>2025-09-05</t>
        </is>
      </c>
      <c r="J16" s="9" t="inlineStr">
        <is>
          <t>P</t>
        </is>
      </c>
      <c r="K16" s="1" t="inlineStr">
        <is>
          <t>L10: Capacity target 2030</t>
        </is>
      </c>
      <c r="L16" s="6">
        <f>'Crusoe'!D14</f>
        <v/>
      </c>
      <c r="M16" t="inlineStr">
        <is>
          <t>2025-10-24</t>
        </is>
      </c>
      <c r="N16" s="7" t="inlineStr">
        <is>
          <t>R</t>
        </is>
      </c>
      <c r="O16" s="1" t="inlineStr">
        <is>
          <t>C11: Power / development pipeline</t>
        </is>
      </c>
    </row>
    <row r="17">
      <c r="A17" t="inlineStr">
        <is>
          <t>PX03</t>
        </is>
      </c>
      <c r="B17" t="inlineStr">
        <is>
          <t>MW basis (IT vs gross)</t>
        </is>
      </c>
      <c r="C17" t="inlineStr"/>
      <c r="D17" s="6">
        <f>'Nscale'!D64</f>
        <v/>
      </c>
      <c r="E17" t="inlineStr">
        <is>
          <t>2026-08-31</t>
        </is>
      </c>
      <c r="F17" s="7" t="inlineStr">
        <is>
          <t>R</t>
        </is>
      </c>
      <c r="G17" s="1" t="inlineStr">
        <is>
          <t>N57: MW basis</t>
        </is>
      </c>
      <c r="H17" s="12" t="inlineStr">
        <is>
          <t>n/d</t>
        </is>
      </c>
      <c r="J17" s="12" t="inlineStr">
        <is>
          <t>n/d</t>
        </is>
      </c>
      <c r="K17" s="1" t="inlineStr">
        <is>
          <t>Basis never stated</t>
        </is>
      </c>
      <c r="L17" s="10">
        <f>'Crusoe'!D10</f>
        <v/>
      </c>
      <c r="M17" t="inlineStr">
        <is>
          <t>2026-03-27</t>
        </is>
      </c>
      <c r="N17" s="11" t="inlineStr">
        <is>
          <t>D</t>
        </is>
      </c>
      <c r="O17" s="1" t="inlineStr">
        <is>
          <t>C07: IT/gross ratio (Microsoft Abilene design: 672 IT / 900 MW)</t>
        </is>
      </c>
    </row>
    <row r="18">
      <c r="A18" t="inlineStr">
        <is>
          <t>I11</t>
        </is>
      </c>
      <c r="B18" t="inlineStr">
        <is>
          <t>GPU count (active)</t>
        </is>
      </c>
      <c r="C18" t="inlineStr">
        <is>
          <t>GPUs</t>
        </is>
      </c>
      <c r="D18" s="6">
        <f>'Nscale'!D33</f>
        <v/>
      </c>
      <c r="E18" t="inlineStr">
        <is>
          <t>2026-08-31</t>
        </is>
      </c>
      <c r="F18" s="7" t="inlineStr">
        <is>
          <t>R</t>
        </is>
      </c>
      <c r="G18" s="1" t="inlineStr">
        <is>
          <t>N26: Active GPUs</t>
        </is>
      </c>
      <c r="H18" s="6">
        <f>'Lambda'!D18</f>
        <v/>
      </c>
      <c r="I18" t="inlineStr">
        <is>
          <t>2025-02-24</t>
        </is>
      </c>
      <c r="J18" s="7" t="inlineStr">
        <is>
          <t>R</t>
        </is>
      </c>
      <c r="K18" s="1" t="inlineStr">
        <is>
          <t>L15: GPUs on cloud platform</t>
        </is>
      </c>
      <c r="L18" s="13">
        <f>'Crusoe'!D24</f>
        <v/>
      </c>
      <c r="M18" t="inlineStr">
        <is>
          <t>2026-10-04</t>
        </is>
      </c>
      <c r="N18" s="12" t="inlineStr">
        <is>
          <t>n/d</t>
        </is>
      </c>
      <c r="O18" s="1" t="inlineStr">
        <is>
          <t>C20: GPU count (Crusoe Cloud fleet)</t>
        </is>
      </c>
    </row>
    <row r="19">
      <c r="A19" t="inlineStr">
        <is>
          <t>PX04</t>
        </is>
      </c>
      <c r="B19" t="inlineStr">
        <is>
          <t>GPUs active + contracted</t>
        </is>
      </c>
      <c r="C19" t="inlineStr">
        <is>
          <t>GPUs</t>
        </is>
      </c>
      <c r="D19" s="6">
        <f>'Nscale'!D34</f>
        <v/>
      </c>
      <c r="E19" t="inlineStr">
        <is>
          <t>2026-08-31</t>
        </is>
      </c>
      <c r="F19" s="7" t="inlineStr">
        <is>
          <t>R</t>
        </is>
      </c>
      <c r="G19" s="1" t="inlineStr">
        <is>
          <t>N27: Active + contracted GPUs</t>
        </is>
      </c>
      <c r="H19" s="12" t="inlineStr">
        <is>
          <t>n/d</t>
        </is>
      </c>
      <c r="J19" s="12" t="inlineStr">
        <is>
          <t>n/d</t>
        </is>
      </c>
      <c r="K19" s="1" t="inlineStr">
        <is>
          <t>Not disclosed</t>
        </is>
      </c>
      <c r="L19" s="12" t="inlineStr">
        <is>
          <t>n/d</t>
        </is>
      </c>
      <c r="N19" s="12" t="inlineStr">
        <is>
          <t>n/d</t>
        </is>
      </c>
      <c r="O19" s="1" t="inlineStr">
        <is>
          <t>Not disclosed</t>
        </is>
      </c>
    </row>
    <row r="20">
      <c r="A20" t="inlineStr">
        <is>
          <t>I12</t>
        </is>
      </c>
      <c r="B20" t="inlineStr">
        <is>
          <t>On-demand list price (H100-class)</t>
        </is>
      </c>
      <c r="C20" t="inlineStr">
        <is>
          <t>$/GPU-hr</t>
        </is>
      </c>
      <c r="D20" s="13">
        <f>'Nscale'!D65</f>
        <v/>
      </c>
      <c r="E20" t="inlineStr">
        <is>
          <t>2026-10-04</t>
        </is>
      </c>
      <c r="F20" s="12" t="inlineStr">
        <is>
          <t>n/d</t>
        </is>
      </c>
      <c r="G20" s="1" t="inlineStr">
        <is>
          <t>N58: GPU list price (on-demand)</t>
        </is>
      </c>
      <c r="H20" s="6">
        <f>'Lambda'!D38</f>
        <v/>
      </c>
      <c r="I20" t="inlineStr">
        <is>
          <t>2025-06-16</t>
        </is>
      </c>
      <c r="J20" s="7" t="inlineStr">
        <is>
          <t>R</t>
        </is>
      </c>
      <c r="K20" s="1" t="inlineStr">
        <is>
          <t>L35: H100 SXM on-demand list, Q2'25</t>
        </is>
      </c>
      <c r="L20" s="6">
        <f>'Crusoe'!D40</f>
        <v/>
      </c>
      <c r="M20" t="inlineStr">
        <is>
          <t>2026-10-04</t>
        </is>
      </c>
      <c r="N20" s="7" t="inlineStr">
        <is>
          <t>R</t>
        </is>
      </c>
      <c r="O20" s="1" t="inlineStr">
        <is>
          <t>C36: H100 SXM on-demand list</t>
        </is>
      </c>
    </row>
    <row r="21">
      <c r="A21" t="inlineStr">
        <is>
          <t>I14</t>
        </is>
      </c>
      <c r="B21" t="inlineStr">
        <is>
          <t>RPO (ASC 606)</t>
        </is>
      </c>
      <c r="C21" t="inlineStr">
        <is>
          <t>$B</t>
        </is>
      </c>
      <c r="D21" s="6">
        <f>'Nscale'!D37</f>
        <v/>
      </c>
      <c r="E21" t="inlineStr">
        <is>
          <t>2026-06-30</t>
        </is>
      </c>
      <c r="F21" s="7" t="inlineStr">
        <is>
          <t>R</t>
        </is>
      </c>
      <c r="G21" s="1" t="inlineStr">
        <is>
          <t>N30: RPO (ASC 606, EoP)</t>
        </is>
      </c>
      <c r="H21" s="13">
        <f>'Lambda'!D36</f>
        <v/>
      </c>
      <c r="I21" t="inlineStr">
        <is>
          <t>2026-10-04</t>
        </is>
      </c>
      <c r="J21" s="12" t="inlineStr">
        <is>
          <t>n/d</t>
        </is>
      </c>
      <c r="K21" s="1" t="inlineStr">
        <is>
          <t>L33: RPO / backlog</t>
        </is>
      </c>
      <c r="L21" s="12" t="inlineStr">
        <is>
          <t>n/d</t>
        </is>
      </c>
      <c r="N21" s="12" t="inlineStr">
        <is>
          <t>n/d</t>
        </is>
      </c>
      <c r="O21" s="1" t="inlineStr">
        <is>
          <t>Not disclosed</t>
        </is>
      </c>
      <c r="P21" t="inlineStr">
        <is>
          <t>103.7</t>
        </is>
      </c>
      <c r="Q21" t="inlineStr">
        <is>
          <t>R</t>
        </is>
      </c>
    </row>
    <row r="22">
      <c r="A22" t="inlineStr">
        <is>
          <t>I15</t>
        </is>
      </c>
      <c r="B22" t="inlineStr">
        <is>
          <t>Backlog / TCV (company metric)</t>
        </is>
      </c>
      <c r="C22" t="inlineStr">
        <is>
          <t>$B</t>
        </is>
      </c>
      <c r="D22" s="6">
        <f>'Nscale'!D40</f>
        <v/>
      </c>
      <c r="E22" t="inlineStr">
        <is>
          <t>2026-08-31</t>
        </is>
      </c>
      <c r="F22" s="7" t="inlineStr">
        <is>
          <t>R</t>
        </is>
      </c>
      <c r="G22" s="1" t="inlineStr">
        <is>
          <t>N33: Total contract value, active + contracted (company metric)</t>
        </is>
      </c>
      <c r="H22" s="8">
        <f>'Lambda'!D40</f>
        <v/>
      </c>
      <c r="I22" t="inlineStr">
        <is>
          <t>2026-09-30</t>
        </is>
      </c>
      <c r="J22" s="9" t="inlineStr">
        <is>
          <t>P</t>
        </is>
      </c>
      <c r="K22" s="1" t="inlineStr">
        <is>
          <t>L38: Backlog (company metric, investor letter), Sep-2026</t>
        </is>
      </c>
      <c r="L22" s="6">
        <f>'Crusoe'!D19</f>
        <v/>
      </c>
      <c r="M22" t="inlineStr">
        <is>
          <t>2026-09-17</t>
        </is>
      </c>
      <c r="N22" s="7" t="inlineStr">
        <is>
          <t>R</t>
        </is>
      </c>
      <c r="O22" s="1" t="inlineStr">
        <is>
          <t>C15: Total contracted value (company metric)</t>
        </is>
      </c>
    </row>
    <row r="23">
      <c r="A23" t="inlineStr">
        <is>
          <t>I16</t>
        </is>
      </c>
      <c r="B23" t="inlineStr">
        <is>
          <t>RPO % within 24 months</t>
        </is>
      </c>
      <c r="C23" t="inlineStr">
        <is>
          <t>%</t>
        </is>
      </c>
      <c r="D23" s="6">
        <f>'Nscale'!D39</f>
        <v/>
      </c>
      <c r="E23" t="inlineStr">
        <is>
          <t>2025-12-31</t>
        </is>
      </c>
      <c r="F23" s="7" t="inlineStr">
        <is>
          <t>R</t>
        </is>
      </c>
      <c r="G23" s="1" t="inlineStr">
        <is>
          <t>N32: RPO % expected within 24 months (YE25)</t>
        </is>
      </c>
      <c r="H23" s="12" t="inlineStr">
        <is>
          <t>n/d</t>
        </is>
      </c>
      <c r="J23" s="12" t="inlineStr">
        <is>
          <t>n/d</t>
        </is>
      </c>
      <c r="K23" s="1" t="inlineStr">
        <is>
          <t>Not disclosed</t>
        </is>
      </c>
      <c r="L23" s="12" t="inlineStr">
        <is>
          <t>n/d</t>
        </is>
      </c>
      <c r="N23" s="12" t="inlineStr">
        <is>
          <t>n/d</t>
        </is>
      </c>
      <c r="O23" s="1" t="inlineStr">
        <is>
          <t>Not disclosed</t>
        </is>
      </c>
    </row>
    <row r="24">
      <c r="A24" t="inlineStr">
        <is>
          <t>PX05</t>
        </is>
      </c>
      <c r="B24" t="inlineStr">
        <is>
          <t>Weighted avg contract life</t>
        </is>
      </c>
      <c r="C24" t="inlineStr">
        <is>
          <t>years</t>
        </is>
      </c>
      <c r="D24" s="6">
        <f>'Nscale'!D35</f>
        <v/>
      </c>
      <c r="E24" t="inlineStr">
        <is>
          <t>2026-08-31</t>
        </is>
      </c>
      <c r="F24" s="7" t="inlineStr">
        <is>
          <t>R</t>
        </is>
      </c>
      <c r="G24" s="1" t="inlineStr">
        <is>
          <t>N28: Weighted average contract life</t>
        </is>
      </c>
      <c r="H24" s="12" t="inlineStr">
        <is>
          <t>n/d</t>
        </is>
      </c>
      <c r="J24" s="12" t="inlineStr">
        <is>
          <t>n/d</t>
        </is>
      </c>
      <c r="K24" s="1" t="inlineStr">
        <is>
          <t>Not disclosed</t>
        </is>
      </c>
      <c r="L24" s="12" t="inlineStr">
        <is>
          <t>n/d</t>
        </is>
      </c>
      <c r="N24" s="12" t="inlineStr">
        <is>
          <t>n/d</t>
        </is>
      </c>
      <c r="O24" s="1" t="inlineStr">
        <is>
          <t>Not disclosed</t>
        </is>
      </c>
    </row>
    <row r="25">
      <c r="A25" t="inlineStr">
        <is>
          <t>I17</t>
        </is>
      </c>
      <c r="B25" t="inlineStr">
        <is>
          <t>Largest customer % revenue</t>
        </is>
      </c>
      <c r="C25" t="inlineStr">
        <is>
          <t>%</t>
        </is>
      </c>
      <c r="D25" s="6">
        <f>'Nscale'!D45</f>
        <v/>
      </c>
      <c r="E25" t="inlineStr">
        <is>
          <t>2026-06-30</t>
        </is>
      </c>
      <c r="F25" s="7" t="inlineStr">
        <is>
          <t>R</t>
        </is>
      </c>
      <c r="G25" s="1" t="inlineStr">
        <is>
          <t>N38: Largest customer, % of revenue (H1'26)</t>
        </is>
      </c>
      <c r="H25" s="12" t="inlineStr">
        <is>
          <t>n/d</t>
        </is>
      </c>
      <c r="J25" s="12" t="inlineStr">
        <is>
          <t>n/d</t>
        </is>
      </c>
      <c r="K25" s="1" t="inlineStr">
        <is>
          <t>Not disclosed (press: NVIDIA largest after 2025 leaseback)</t>
        </is>
      </c>
      <c r="L25" s="12" t="inlineStr">
        <is>
          <t>n/d</t>
        </is>
      </c>
      <c r="N25" s="12" t="inlineStr">
        <is>
          <t>n/d</t>
        </is>
      </c>
      <c r="O25" s="1" t="inlineStr">
        <is>
          <t>Not disclosed</t>
        </is>
      </c>
    </row>
    <row r="26">
      <c r="A26" t="inlineStr">
        <is>
          <t>PX12</t>
        </is>
      </c>
      <c r="B26" t="inlineStr">
        <is>
          <t>Largest disclosed anchor contract</t>
        </is>
      </c>
      <c r="C26" t="inlineStr">
        <is>
          <t>$B</t>
        </is>
      </c>
      <c r="D26" s="6">
        <f>'Nscale'!D42</f>
        <v/>
      </c>
      <c r="E26" t="inlineStr">
        <is>
          <t>2026-08-25</t>
        </is>
      </c>
      <c r="F26" s="7" t="inlineStr">
        <is>
          <t>R</t>
        </is>
      </c>
      <c r="G26" s="1" t="inlineStr">
        <is>
          <t>N35: Anthropic GPU Services Agreements (Monarch, Vera Rubin NVL72)</t>
        </is>
      </c>
      <c r="H26" s="8">
        <f>'Lambda'!D24</f>
        <v/>
      </c>
      <c r="I26" t="inlineStr">
        <is>
          <t>2026-09-01</t>
        </is>
      </c>
      <c r="J26" s="9" t="inlineStr">
        <is>
          <t>P</t>
        </is>
      </c>
      <c r="K26" s="1" t="inlineStr">
        <is>
          <t>L21: Anthropic cloud contract (six years, ~350 MW)</t>
        </is>
      </c>
      <c r="L26" s="8">
        <f>'Crusoe'!D21</f>
        <v/>
      </c>
      <c r="M26" t="inlineStr">
        <is>
          <t>2026-09-04</t>
        </is>
      </c>
      <c r="N26" s="9" t="inlineStr">
        <is>
          <t>P</t>
        </is>
      </c>
      <c r="O26" s="1" t="inlineStr">
        <is>
          <t>C17: Jane Street Crusoe Cloud contract (five years)</t>
        </is>
      </c>
    </row>
    <row r="27">
      <c r="A27" t="inlineStr">
        <is>
          <t>I21</t>
        </is>
      </c>
      <c r="B27" t="inlineStr">
        <is>
          <t>Interest expense on debt (latest period)</t>
        </is>
      </c>
      <c r="C27" t="inlineStr">
        <is>
          <t>$M</t>
        </is>
      </c>
      <c r="D27" s="6">
        <f>'Nscale'!D49</f>
        <v/>
      </c>
      <c r="E27" t="inlineStr">
        <is>
          <t>2026-06-30</t>
        </is>
      </c>
      <c r="F27" s="7" t="inlineStr">
        <is>
          <t>R</t>
        </is>
      </c>
      <c r="G27" s="1" t="inlineStr">
        <is>
          <t>N42: Interest expense on debt, H1'26</t>
        </is>
      </c>
      <c r="H27" s="12" t="inlineStr">
        <is>
          <t>n/d</t>
        </is>
      </c>
      <c r="J27" s="12" t="inlineStr">
        <is>
          <t>n/d</t>
        </is>
      </c>
      <c r="K27" s="1" t="inlineStr">
        <is>
          <t>Not disclosed</t>
        </is>
      </c>
      <c r="L27" s="12" t="inlineStr">
        <is>
          <t>n/d</t>
        </is>
      </c>
      <c r="N27" s="12" t="inlineStr">
        <is>
          <t>n/d</t>
        </is>
      </c>
      <c r="O27" s="1" t="inlineStr">
        <is>
          <t>Not disclosed</t>
        </is>
      </c>
    </row>
    <row r="28">
      <c r="A28" t="inlineStr">
        <is>
          <t>I22</t>
        </is>
      </c>
      <c r="B28" t="inlineStr">
        <is>
          <t>Capitalized interest</t>
        </is>
      </c>
      <c r="C28" t="inlineStr">
        <is>
          <t>$M</t>
        </is>
      </c>
      <c r="D28" s="6">
        <f>'Nscale'!D50</f>
        <v/>
      </c>
      <c r="E28" t="inlineStr">
        <is>
          <t>2026-06-30</t>
        </is>
      </c>
      <c r="F28" s="7" t="inlineStr">
        <is>
          <t>R</t>
        </is>
      </c>
      <c r="G28" s="1" t="inlineStr">
        <is>
          <t>N43: Capitalized interest, H1'26</t>
        </is>
      </c>
      <c r="H28" s="12" t="inlineStr">
        <is>
          <t>n/d</t>
        </is>
      </c>
      <c r="J28" s="12" t="inlineStr">
        <is>
          <t>n/d</t>
        </is>
      </c>
      <c r="K28" s="1" t="inlineStr">
        <is>
          <t>Not disclosed</t>
        </is>
      </c>
      <c r="L28" s="12" t="inlineStr">
        <is>
          <t>n/d</t>
        </is>
      </c>
      <c r="N28" s="12" t="inlineStr">
        <is>
          <t>n/d</t>
        </is>
      </c>
      <c r="O28" s="1" t="inlineStr">
        <is>
          <t>Not disclosed</t>
        </is>
      </c>
    </row>
    <row r="29">
      <c r="A29" t="inlineStr">
        <is>
          <t>I23</t>
        </is>
      </c>
      <c r="B29" t="inlineStr">
        <is>
          <t>Total debt (EoP)</t>
        </is>
      </c>
      <c r="C29" t="inlineStr">
        <is>
          <t>$M</t>
        </is>
      </c>
      <c r="D29" s="6">
        <f>'Nscale'!D47</f>
        <v/>
      </c>
      <c r="E29" t="inlineStr">
        <is>
          <t>2026-06-30</t>
        </is>
      </c>
      <c r="F29" s="7" t="inlineStr">
        <is>
          <t>R</t>
        </is>
      </c>
      <c r="G29" s="1" t="inlineStr">
        <is>
          <t>N40: Total debt, carrying value (EoP)</t>
        </is>
      </c>
      <c r="H29" s="13">
        <f>'Lambda'!D35</f>
        <v/>
      </c>
      <c r="I29" t="inlineStr">
        <is>
          <t>2026-10-04</t>
        </is>
      </c>
      <c r="J29" s="12" t="inlineStr">
        <is>
          <t>n/d</t>
        </is>
      </c>
      <c r="K29" s="1" t="inlineStr">
        <is>
          <t>L32: Total debt outstanding</t>
        </is>
      </c>
      <c r="L29" s="13">
        <f>'Crusoe'!D38</f>
        <v/>
      </c>
      <c r="M29" t="inlineStr">
        <is>
          <t>2026-10-04</t>
        </is>
      </c>
      <c r="N29" s="12" t="inlineStr">
        <is>
          <t>n/d</t>
        </is>
      </c>
      <c r="O29" s="1" t="inlineStr">
        <is>
          <t>C34: Total debt outstanding</t>
        </is>
      </c>
    </row>
    <row r="30">
      <c r="A30" t="inlineStr">
        <is>
          <t>I27</t>
        </is>
      </c>
      <c r="B30" t="inlineStr">
        <is>
          <t>Data center sites</t>
        </is>
      </c>
      <c r="C30" t="inlineStr">
        <is>
          <t>#</t>
        </is>
      </c>
      <c r="D30" s="6">
        <f>'Nscale'!D63</f>
        <v/>
      </c>
      <c r="E30" t="inlineStr">
        <is>
          <t>2026-08-31</t>
        </is>
      </c>
      <c r="F30" s="7" t="inlineStr">
        <is>
          <t>R</t>
        </is>
      </c>
      <c r="G30" s="1" t="inlineStr">
        <is>
          <t>N56: Data center sites (active)</t>
        </is>
      </c>
      <c r="H30" s="8">
        <f>'Lambda'!D20</f>
        <v/>
      </c>
      <c r="I30" t="inlineStr">
        <is>
          <t>2026-01-09</t>
        </is>
      </c>
      <c r="J30" s="9" t="inlineStr">
        <is>
          <t>P</t>
        </is>
      </c>
      <c r="K30" s="1" t="inlineStr">
        <is>
          <t>L17: US data centers</t>
        </is>
      </c>
      <c r="L30" s="12" t="inlineStr">
        <is>
          <t>n/d</t>
        </is>
      </c>
      <c r="N30" s="12" t="inlineStr">
        <is>
          <t>n/d</t>
        </is>
      </c>
      <c r="O30" s="1" t="inlineStr">
        <is>
          <t>Not disclosed</t>
        </is>
      </c>
    </row>
    <row r="31">
      <c r="A31" t="inlineStr">
        <is>
          <t>PX06</t>
        </is>
      </c>
      <c r="B31" t="inlineStr">
        <is>
          <t>Equity raised (latest round)</t>
        </is>
      </c>
      <c r="C31" t="inlineStr">
        <is>
          <t>$M</t>
        </is>
      </c>
      <c r="D31" s="6">
        <f>'Nscale'!D58</f>
        <v/>
      </c>
      <c r="E31" t="inlineStr">
        <is>
          <t>2026-09-25</t>
        </is>
      </c>
      <c r="F31" s="7" t="inlineStr">
        <is>
          <t>R</t>
        </is>
      </c>
      <c r="G31" s="1" t="inlineStr">
        <is>
          <t>N51: Pre-IPO convertible loan notes</t>
        </is>
      </c>
      <c r="H31" s="6">
        <f>'Lambda'!D29</f>
        <v/>
      </c>
      <c r="I31" t="inlineStr">
        <is>
          <t>2025-11-18</t>
        </is>
      </c>
      <c r="J31" s="7" t="inlineStr">
        <is>
          <t>R</t>
        </is>
      </c>
      <c r="K31" s="1" t="inlineStr">
        <is>
          <t>L26: Series E equity</t>
        </is>
      </c>
      <c r="L31" s="6">
        <f>'Crusoe'!D25</f>
        <v/>
      </c>
      <c r="M31" t="inlineStr">
        <is>
          <t>2026-09-17</t>
        </is>
      </c>
      <c r="N31" s="7" t="inlineStr">
        <is>
          <t>R</t>
        </is>
      </c>
      <c r="O31" s="1" t="inlineStr">
        <is>
          <t>C21: Series F equity (Form D amount sold)</t>
        </is>
      </c>
    </row>
    <row r="32">
      <c r="A32" t="inlineStr">
        <is>
          <t>PX07</t>
        </is>
      </c>
      <c r="B32" t="inlineStr">
        <is>
          <t>Latest post-money valuation</t>
        </is>
      </c>
      <c r="C32" t="inlineStr">
        <is>
          <t>$M</t>
        </is>
      </c>
      <c r="D32" s="6">
        <f>'Nscale'!D59</f>
        <v/>
      </c>
      <c r="E32" t="inlineStr">
        <is>
          <t>2026-03-09</t>
        </is>
      </c>
      <c r="F32" s="7" t="inlineStr">
        <is>
          <t>R</t>
        </is>
      </c>
      <c r="G32" s="1" t="inlineStr">
        <is>
          <t>N52: Post-money valuation, Series C</t>
        </is>
      </c>
      <c r="H32" s="8">
        <f>'Lambda'!D30</f>
        <v/>
      </c>
      <c r="I32" t="inlineStr">
        <is>
          <t>2025-11-18</t>
        </is>
      </c>
      <c r="J32" s="9" t="inlineStr">
        <is>
          <t>P</t>
        </is>
      </c>
      <c r="K32" s="1" t="inlineStr">
        <is>
          <t>L27: Post-money valuation, Series E (PitchBook)</t>
        </is>
      </c>
      <c r="L32" s="6">
        <f>'Crusoe'!D30</f>
        <v/>
      </c>
      <c r="M32" t="inlineStr">
        <is>
          <t>2026-09-17</t>
        </is>
      </c>
      <c r="N32" s="7" t="inlineStr">
        <is>
          <t>R</t>
        </is>
      </c>
      <c r="O32" s="1" t="inlineStr">
        <is>
          <t>C26: Post-money valuation, Series F</t>
        </is>
      </c>
    </row>
    <row r="33">
      <c r="A33" t="inlineStr">
        <is>
          <t>PX08</t>
        </is>
      </c>
      <c r="B33" t="inlineStr">
        <is>
          <t>Recent debt commitments (sum)</t>
        </is>
      </c>
      <c r="C33" t="inlineStr">
        <is>
          <t>$M</t>
        </is>
      </c>
      <c r="D33" s="10">
        <f>'Nscale'!D61</f>
        <v/>
      </c>
      <c r="E33" t="inlineStr">
        <is>
          <t>2026-09-04</t>
        </is>
      </c>
      <c r="F33" s="11" t="inlineStr">
        <is>
          <t>D</t>
        </is>
      </c>
      <c r="G33" s="1" t="inlineStr">
        <is>
          <t>N54: Debt &amp; lease-financing commitments signed after 6/30/26 (sum)</t>
        </is>
      </c>
      <c r="H33" s="10">
        <f>'Lambda'!D34</f>
        <v/>
      </c>
      <c r="I33" t="inlineStr">
        <is>
          <t>2026-10-01</t>
        </is>
      </c>
      <c r="J33" s="11" t="inlineStr">
        <is>
          <t>D</t>
        </is>
      </c>
      <c r="K33" s="1" t="inlineStr">
        <is>
          <t>L31: 2026 debt facilities announced (sum of commitments)</t>
        </is>
      </c>
      <c r="L33" s="10">
        <f>'Crusoe'!D34</f>
        <v/>
      </c>
      <c r="M33" t="inlineStr">
        <is>
          <t>2025-06-11</t>
        </is>
      </c>
      <c r="N33" s="11" t="inlineStr">
        <is>
          <t>D (inputs R/E)</t>
        </is>
      </c>
      <c r="O33" s="1" t="inlineStr">
        <is>
          <t>C30: Corporate facilities (Brookfield 750 + Upper90 225 + Victory Park 175)</t>
        </is>
      </c>
    </row>
    <row r="34">
      <c r="A34" t="inlineStr">
        <is>
          <t>PX09</t>
        </is>
      </c>
      <c r="B34" t="inlineStr">
        <is>
          <t>Marginal secured debt cost (latest facility)</t>
        </is>
      </c>
      <c r="C34" t="inlineStr">
        <is>
          <t>%</t>
        </is>
      </c>
      <c r="D34" s="14">
        <f>'Nscale'!D62</f>
        <v/>
      </c>
      <c r="E34" t="inlineStr">
        <is>
          <t>2026-08-31</t>
        </is>
      </c>
      <c r="F34" s="15" t="inlineStr">
        <is>
          <t>E</t>
        </is>
      </c>
      <c r="G34" s="1" t="inlineStr">
        <is>
          <t>N55: Marginal secured GPU debt (NC / Ward County, floating), all-in estimate</t>
        </is>
      </c>
      <c r="H34" s="6">
        <f>'Lambda'!D32</f>
        <v/>
      </c>
      <c r="I34" t="inlineStr">
        <is>
          <t>2026-10-01</t>
        </is>
      </c>
      <c r="J34" s="7" t="inlineStr">
        <is>
          <t>R</t>
        </is>
      </c>
      <c r="K34" s="1" t="inlineStr">
        <is>
          <t>L29: IG fixed-rate DDTL coupon</t>
        </is>
      </c>
      <c r="L34" s="14">
        <f>'Crusoe'!D32</f>
        <v/>
      </c>
      <c r="M34" t="inlineStr">
        <is>
          <t>2026-09-10</t>
        </is>
      </c>
      <c r="N34" s="15" t="inlineStr">
        <is>
          <t>E (inputs P)</t>
        </is>
      </c>
      <c r="O34" s="1" t="inlineStr">
        <is>
          <t>C28: Iceland GPU DDTL all-in estimate (price talk midpoint)</t>
        </is>
      </c>
    </row>
    <row r="35">
      <c r="A35" s="4" t="inlineStr">
        <is>
          <t>A. Revenue per MW</t>
        </is>
      </c>
      <c r="B35" s="5" t="n"/>
      <c r="C35" s="5" t="n"/>
      <c r="D35" s="5" t="n"/>
      <c r="E35" s="5" t="n"/>
      <c r="F35" s="5" t="n"/>
      <c r="G35" s="5" t="n"/>
      <c r="H35" s="5" t="n"/>
      <c r="I35" s="5" t="n"/>
      <c r="J35" s="5" t="n"/>
      <c r="K35" s="5" t="n"/>
      <c r="L35" s="5" t="n"/>
      <c r="M35" s="5" t="n"/>
      <c r="N35" s="5" t="n"/>
      <c r="O35" s="5" t="n"/>
      <c r="P35" s="5" t="n"/>
      <c r="Q35" s="5" t="n"/>
    </row>
    <row r="36">
      <c r="A36" t="inlineStr">
        <is>
          <t>K01</t>
        </is>
      </c>
      <c r="B36" t="inlineStr">
        <is>
          <t>Revenue per active MW</t>
        </is>
      </c>
      <c r="C36" t="inlineStr">
        <is>
          <t>$M/MW-yr</t>
        </is>
      </c>
      <c r="D36" s="10">
        <f>'Nscale'!D67</f>
        <v/>
      </c>
      <c r="E36" t="inlineStr">
        <is>
          <t>2026-06-30</t>
        </is>
      </c>
      <c r="F36" s="11" t="inlineStr">
        <is>
          <t>D</t>
        </is>
      </c>
      <c r="G36" s="1" t="inlineStr">
        <is>
          <t>NK01: Revenue per active MW (H1'26 x2 / active-site MW)</t>
        </is>
      </c>
      <c r="H36" s="10">
        <f>'Lambda'!D43</f>
        <v/>
      </c>
      <c r="I36" t="inlineStr">
        <is>
          <t>2025-06-30</t>
        </is>
      </c>
      <c r="J36" s="11" t="inlineStr">
        <is>
          <t>D (inputs P)</t>
        </is>
      </c>
      <c r="K36" s="1" t="inlineStr">
        <is>
          <t>LK01: Cloud revenue per active MW (Q2'25 x4 / 47 MW)</t>
        </is>
      </c>
      <c r="L36" s="14">
        <f>'Crusoe'!D41</f>
        <v/>
      </c>
      <c r="M36" t="inlineStr">
        <is>
          <t>2026-09-17</t>
        </is>
      </c>
      <c r="N36" s="15" t="inlineStr">
        <is>
          <t>E (inputs P/R)</t>
        </is>
      </c>
      <c r="O36" s="1" t="inlineStr">
        <is>
          <t>CK01: FY26E revenue per delivered gross MW</t>
        </is>
      </c>
      <c r="P36" t="inlineStr">
        <is>
          <t>6.9</t>
        </is>
      </c>
      <c r="Q36" t="inlineStr">
        <is>
          <t>D</t>
        </is>
      </c>
    </row>
    <row r="37">
      <c r="A37" t="inlineStr">
        <is>
          <t>K02</t>
        </is>
      </c>
      <c r="B37" t="inlineStr">
        <is>
          <t>Revenue per active MW (average MW)</t>
        </is>
      </c>
      <c r="C37" t="inlineStr">
        <is>
          <t>$M/MW-yr</t>
        </is>
      </c>
      <c r="D37" s="12" t="inlineStr">
        <is>
          <t>n/d</t>
        </is>
      </c>
      <c r="F37" s="12" t="inlineStr">
        <is>
          <t>n/d</t>
        </is>
      </c>
      <c r="G37" s="1" t="inlineStr">
        <is>
          <t>Single MW point (Aug-26)</t>
        </is>
      </c>
      <c r="H37" s="12" t="inlineStr">
        <is>
          <t>n/d</t>
        </is>
      </c>
      <c r="J37" s="12" t="inlineStr">
        <is>
          <t>n/d</t>
        </is>
      </c>
      <c r="K37" s="1" t="inlineStr">
        <is>
          <t>Not disclosed</t>
        </is>
      </c>
      <c r="L37" s="12" t="inlineStr">
        <is>
          <t>n/d</t>
        </is>
      </c>
      <c r="N37" s="12" t="inlineStr">
        <is>
          <t>n/d</t>
        </is>
      </c>
      <c r="O37" s="1" t="inlineStr">
        <is>
          <t>Not disclosed</t>
        </is>
      </c>
      <c r="P37" t="inlineStr">
        <is>
          <t>8.2</t>
        </is>
      </c>
      <c r="Q37" t="inlineStr">
        <is>
          <t>D</t>
        </is>
      </c>
    </row>
    <row r="38">
      <c r="A38" t="inlineStr">
        <is>
          <t>K03</t>
        </is>
      </c>
      <c r="B38" t="inlineStr">
        <is>
          <t>Revenue per contracted MW</t>
        </is>
      </c>
      <c r="C38" t="inlineStr">
        <is>
          <t>$M/MW-yr</t>
        </is>
      </c>
      <c r="D38" s="10">
        <f>'Nscale'!D69</f>
        <v/>
      </c>
      <c r="E38" t="inlineStr">
        <is>
          <t>2026-08-31</t>
        </is>
      </c>
      <c r="F38" s="11" t="inlineStr">
        <is>
          <t>D</t>
        </is>
      </c>
      <c r="G38" s="1" t="inlineStr">
        <is>
          <t>NK03: Revenue per contracted MW (H1'26 x2 / 1,370 MW)</t>
        </is>
      </c>
      <c r="H38" s="12" t="inlineStr">
        <is>
          <t>n/d</t>
        </is>
      </c>
      <c r="J38" s="12" t="inlineStr">
        <is>
          <t>n/d</t>
        </is>
      </c>
      <c r="K38" s="1" t="inlineStr">
        <is>
          <t>Not disclosed</t>
        </is>
      </c>
      <c r="L38" s="14">
        <f>'Crusoe'!D43</f>
        <v/>
      </c>
      <c r="M38" t="inlineStr">
        <is>
          <t>2026-09-17</t>
        </is>
      </c>
      <c r="N38" s="15" t="inlineStr">
        <is>
          <t>E (inputs P/R)</t>
        </is>
      </c>
      <c r="O38" s="1" t="inlineStr">
        <is>
          <t>CK03: FY26E revenue per gross contracted MW</t>
        </is>
      </c>
      <c r="P38" t="inlineStr">
        <is>
          <t>2.8</t>
        </is>
      </c>
      <c r="Q38" t="inlineStr">
        <is>
          <t>D</t>
        </is>
      </c>
    </row>
    <row r="39">
      <c r="A39" t="inlineStr">
        <is>
          <t>PX10</t>
        </is>
      </c>
      <c r="B39" t="inlineStr">
        <is>
          <t>Contract ACV per contracted MW</t>
        </is>
      </c>
      <c r="C39" t="inlineStr">
        <is>
          <t>$M/MW-yr</t>
        </is>
      </c>
      <c r="D39" s="14">
        <f>'Nscale'!D70</f>
        <v/>
      </c>
      <c r="E39" t="inlineStr">
        <is>
          <t>2026-08-31</t>
        </is>
      </c>
      <c r="F39" s="15" t="inlineStr">
        <is>
          <t>E</t>
        </is>
      </c>
      <c r="G39" s="1" t="inlineStr">
        <is>
          <t>NK03b: Contracted ACV per contracted MW (TCV / 5.7 yrs / 1,370 MW)</t>
        </is>
      </c>
      <c r="H39" s="10">
        <f>'Lambda'!D25</f>
        <v/>
      </c>
      <c r="I39" t="inlineStr">
        <is>
          <t>2026-09-01</t>
        </is>
      </c>
      <c r="J39" s="11" t="inlineStr">
        <is>
          <t>D (inputs P)</t>
        </is>
      </c>
      <c r="K39" s="1" t="inlineStr">
        <is>
          <t>L22: Anthropic contract ACV per MW</t>
        </is>
      </c>
      <c r="L39" s="12" t="inlineStr">
        <is>
          <t>n/d</t>
        </is>
      </c>
      <c r="N39" s="12" t="inlineStr">
        <is>
          <t>n/d</t>
        </is>
      </c>
      <c r="O39" s="1" t="inlineStr">
        <is>
          <t>TCV term not disclosed</t>
        </is>
      </c>
      <c r="P39" t="inlineStr">
        <is>
          <t>Nebius new deals ~20-25 (ref)</t>
        </is>
      </c>
      <c r="Q39" t="inlineStr">
        <is>
          <t>E</t>
        </is>
      </c>
    </row>
    <row r="40">
      <c r="A40" t="inlineStr">
        <is>
          <t>PX11</t>
        </is>
      </c>
      <c r="B40" t="inlineStr">
        <is>
          <t>TCV per contracted MW</t>
        </is>
      </c>
      <c r="C40" t="inlineStr">
        <is>
          <t>$M/MW</t>
        </is>
      </c>
      <c r="D40" s="10">
        <f>'Nscale'!D71</f>
        <v/>
      </c>
      <c r="E40" t="inlineStr">
        <is>
          <t>2026-08-31</t>
        </is>
      </c>
      <c r="F40" s="11" t="inlineStr">
        <is>
          <t>D</t>
        </is>
      </c>
      <c r="G40" s="1" t="inlineStr">
        <is>
          <t>NK03c: TCV per active+contracted MW</t>
        </is>
      </c>
      <c r="H40" s="12" t="inlineStr">
        <is>
          <t>n/d</t>
        </is>
      </c>
      <c r="J40" s="12" t="inlineStr">
        <is>
          <t>n/d</t>
        </is>
      </c>
      <c r="K40" s="1" t="inlineStr">
        <is>
          <t>Not disclosed</t>
        </is>
      </c>
      <c r="L40" s="10">
        <f>'Crusoe'!D20</f>
        <v/>
      </c>
      <c r="M40" t="inlineStr">
        <is>
          <t>2026-09-17</t>
        </is>
      </c>
      <c r="N40" s="11" t="inlineStr">
        <is>
          <t>D</t>
        </is>
      </c>
      <c r="O40" s="1" t="inlineStr">
        <is>
          <t>C16: TCV per gross contracted MW</t>
        </is>
      </c>
    </row>
    <row r="41">
      <c r="A41" t="inlineStr">
        <is>
          <t>K04</t>
        </is>
      </c>
      <c r="B41" t="inlineStr">
        <is>
          <t>Contracted / active MW</t>
        </is>
      </c>
      <c r="C41" t="inlineStr">
        <is>
          <t>x</t>
        </is>
      </c>
      <c r="D41" s="10">
        <f>'Nscale'!D72</f>
        <v/>
      </c>
      <c r="E41" t="inlineStr">
        <is>
          <t>2026-08-31</t>
        </is>
      </c>
      <c r="F41" s="11" t="inlineStr">
        <is>
          <t>D</t>
        </is>
      </c>
      <c r="G41" s="1" t="inlineStr">
        <is>
          <t>NK04: Contracted (active+contracted) / active MW</t>
        </is>
      </c>
      <c r="H41" s="12" t="inlineStr">
        <is>
          <t>n/d</t>
        </is>
      </c>
      <c r="J41" s="12" t="inlineStr">
        <is>
          <t>n/d</t>
        </is>
      </c>
      <c r="K41" s="1" t="inlineStr">
        <is>
          <t>Not disclosed</t>
        </is>
      </c>
      <c r="L41" s="10">
        <f>'Crusoe'!D44</f>
        <v/>
      </c>
      <c r="M41" t="inlineStr">
        <is>
          <t>2026-09-17</t>
        </is>
      </c>
      <c r="N41" s="11" t="inlineStr">
        <is>
          <t>D</t>
        </is>
      </c>
      <c r="O41" s="1" t="inlineStr">
        <is>
          <t>CK04: Gross contracted / delivered MW</t>
        </is>
      </c>
    </row>
    <row r="42">
      <c r="A42" t="inlineStr">
        <is>
          <t>K05</t>
        </is>
      </c>
      <c r="B42" t="inlineStr">
        <is>
          <t>Adj. EBITDA per active MW</t>
        </is>
      </c>
      <c r="C42" t="inlineStr">
        <is>
          <t>$M/MW-yr</t>
        </is>
      </c>
      <c r="D42" s="10">
        <f>'Nscale'!D73</f>
        <v/>
      </c>
      <c r="E42" t="inlineStr">
        <is>
          <t>2026-06-30</t>
        </is>
      </c>
      <c r="F42" s="11" t="inlineStr">
        <is>
          <t>D</t>
        </is>
      </c>
      <c r="G42" s="1" t="inlineStr">
        <is>
          <t>NK05: Adj. EBITDA per active MW</t>
        </is>
      </c>
      <c r="H42" s="12" t="inlineStr">
        <is>
          <t>n/d</t>
        </is>
      </c>
      <c r="J42" s="12" t="inlineStr">
        <is>
          <t>n/d</t>
        </is>
      </c>
      <c r="K42" s="1" t="inlineStr">
        <is>
          <t>Not disclosed</t>
        </is>
      </c>
      <c r="L42" s="12" t="inlineStr">
        <is>
          <t>n/d</t>
        </is>
      </c>
      <c r="N42" s="12" t="inlineStr">
        <is>
          <t>n/d</t>
        </is>
      </c>
      <c r="O42" s="1" t="inlineStr">
        <is>
          <t>Not disclosed</t>
        </is>
      </c>
      <c r="P42" t="inlineStr">
        <is>
          <t>4.8</t>
        </is>
      </c>
      <c r="Q42" t="inlineStr">
        <is>
          <t>D</t>
        </is>
      </c>
    </row>
    <row r="43">
      <c r="A43" s="4" t="inlineStr">
        <is>
          <t>B. Revenue per GPU and implied utilization</t>
        </is>
      </c>
      <c r="B43" s="5" t="n"/>
      <c r="C43" s="5" t="n"/>
      <c r="D43" s="5" t="n"/>
      <c r="E43" s="5" t="n"/>
      <c r="F43" s="5" t="n"/>
      <c r="G43" s="5" t="n"/>
      <c r="H43" s="5" t="n"/>
      <c r="I43" s="5" t="n"/>
      <c r="J43" s="5" t="n"/>
      <c r="K43" s="5" t="n"/>
      <c r="L43" s="5" t="n"/>
      <c r="M43" s="5" t="n"/>
      <c r="N43" s="5" t="n"/>
      <c r="O43" s="5" t="n"/>
      <c r="P43" s="5" t="n"/>
      <c r="Q43" s="5" t="n"/>
    </row>
    <row r="44">
      <c r="A44" t="inlineStr">
        <is>
          <t>K06</t>
        </is>
      </c>
      <c r="B44" t="inlineStr">
        <is>
          <t>Revenue per GPU</t>
        </is>
      </c>
      <c r="C44" t="inlineStr">
        <is>
          <t>$K/GPU-yr</t>
        </is>
      </c>
      <c r="D44" s="14">
        <f>'Nscale'!D74</f>
        <v/>
      </c>
      <c r="E44" t="inlineStr">
        <is>
          <t>2026-06-30</t>
        </is>
      </c>
      <c r="F44" s="15" t="inlineStr">
        <is>
          <t>E</t>
        </is>
      </c>
      <c r="G44" s="1" t="inlineStr">
        <is>
          <t>NK06: Revenue per GPU (H1'26 x2 / Aug-26 active GPUs)</t>
        </is>
      </c>
      <c r="H44" s="14">
        <f>'Lambda'!D45</f>
        <v/>
      </c>
      <c r="I44" t="inlineStr">
        <is>
          <t>2025-06-30</t>
        </is>
      </c>
      <c r="J44" s="15" t="inlineStr">
        <is>
          <t>E (inputs P/R)</t>
        </is>
      </c>
      <c r="K44" s="1" t="inlineStr">
        <is>
          <t>LK06: Cloud revenue per GPU (Q2'25 x4 / 25,000 GPUs)</t>
        </is>
      </c>
      <c r="L44" s="12" t="inlineStr">
        <is>
          <t>n/d</t>
        </is>
      </c>
      <c r="N44" s="12" t="inlineStr">
        <is>
          <t>n/d</t>
        </is>
      </c>
      <c r="O44" s="1" t="inlineStr">
        <is>
          <t>Not disclosed</t>
        </is>
      </c>
      <c r="P44" t="inlineStr">
        <is>
          <t>14.5</t>
        </is>
      </c>
      <c r="Q44" t="inlineStr">
        <is>
          <t>E</t>
        </is>
      </c>
    </row>
    <row r="45">
      <c r="A45" t="inlineStr">
        <is>
          <t>K07</t>
        </is>
      </c>
      <c r="B45" t="inlineStr">
        <is>
          <t>Implied blended $/GPU-hr</t>
        </is>
      </c>
      <c r="C45" t="inlineStr">
        <is>
          <t>$/GPU-hr</t>
        </is>
      </c>
      <c r="D45" s="14">
        <f>'Nscale'!D75</f>
        <v/>
      </c>
      <c r="E45" t="inlineStr">
        <is>
          <t>2026-06-30</t>
        </is>
      </c>
      <c r="F45" s="15" t="inlineStr">
        <is>
          <t>E</t>
        </is>
      </c>
      <c r="G45" s="1" t="inlineStr">
        <is>
          <t>NK07: Implied blended $/GPU-hr (H1'26)</t>
        </is>
      </c>
      <c r="H45" s="14">
        <f>'Lambda'!D46</f>
        <v/>
      </c>
      <c r="I45" t="inlineStr">
        <is>
          <t>2025-06-30</t>
        </is>
      </c>
      <c r="J45" s="15" t="inlineStr">
        <is>
          <t>E (inputs P/R)</t>
        </is>
      </c>
      <c r="K45" s="1" t="inlineStr">
        <is>
          <t>LK07: Implied blended cloud $/GPU-hr (Q2'25)</t>
        </is>
      </c>
      <c r="L45" s="12" t="inlineStr">
        <is>
          <t>n/d</t>
        </is>
      </c>
      <c r="N45" s="12" t="inlineStr">
        <is>
          <t>n/d</t>
        </is>
      </c>
      <c r="O45" s="1" t="inlineStr">
        <is>
          <t>Not disclosed</t>
        </is>
      </c>
      <c r="P45" t="inlineStr">
        <is>
          <t>1.66</t>
        </is>
      </c>
      <c r="Q45" t="inlineStr">
        <is>
          <t>E</t>
        </is>
      </c>
    </row>
    <row r="46">
      <c r="A46" t="inlineStr">
        <is>
          <t>PX13</t>
        </is>
      </c>
      <c r="B46" t="inlineStr">
        <is>
          <t>Contract-implied $/GPU-hr</t>
        </is>
      </c>
      <c r="C46" t="inlineStr">
        <is>
          <t>$/GPU-hr</t>
        </is>
      </c>
      <c r="D46" s="14">
        <f>'Nscale'!D77</f>
        <v/>
      </c>
      <c r="E46" t="inlineStr">
        <is>
          <t>2026-08-31</t>
        </is>
      </c>
      <c r="F46" s="15" t="inlineStr">
        <is>
          <t>E</t>
        </is>
      </c>
      <c r="G46" s="1" t="inlineStr">
        <is>
          <t>NK07c: Contracted TCV per GPU-hour (TCV / 461k GPUs / 5.7 yrs)</t>
        </is>
      </c>
      <c r="H46" s="10">
        <f>'Lambda'!D22</f>
        <v/>
      </c>
      <c r="I46" t="inlineStr">
        <is>
          <t>2025-09-08</t>
        </is>
      </c>
      <c r="J46" s="11" t="inlineStr">
        <is>
          <t>D (inputs P)</t>
        </is>
      </c>
      <c r="K46" s="1" t="inlineStr">
        <is>
          <t>L19: Implied price, NVIDIA $1.3B / 10,000-GPU / 4-yr contract</t>
        </is>
      </c>
      <c r="L46" s="12" t="inlineStr">
        <is>
          <t>n/d</t>
        </is>
      </c>
      <c r="N46" s="12" t="inlineStr">
        <is>
          <t>n/d</t>
        </is>
      </c>
      <c r="O46" s="1" t="inlineStr">
        <is>
          <t>Not disclosed</t>
        </is>
      </c>
    </row>
    <row r="47">
      <c r="A47" t="inlineStr">
        <is>
          <t>K08</t>
        </is>
      </c>
      <c r="B47" t="inlineStr">
        <is>
          <t>List price (fleet-weighted / proxy)</t>
        </is>
      </c>
      <c r="C47" t="inlineStr">
        <is>
          <t>$/GPU-hr</t>
        </is>
      </c>
      <c r="D47" s="12" t="inlineStr">
        <is>
          <t>n/d</t>
        </is>
      </c>
      <c r="F47" s="12" t="inlineStr">
        <is>
          <t>n/d</t>
        </is>
      </c>
      <c r="G47" s="1" t="inlineStr">
        <is>
          <t>No public list price</t>
        </is>
      </c>
      <c r="H47" s="6">
        <f>'Lambda'!D47</f>
        <v/>
      </c>
      <c r="I47" t="inlineStr">
        <is>
          <t>2025-06-16</t>
        </is>
      </c>
      <c r="J47" s="7" t="inlineStr">
        <is>
          <t>R</t>
        </is>
      </c>
      <c r="K47" s="1" t="inlineStr">
        <is>
          <t>LK08: List price proxy (H100 SXM on-demand, Q2'25)</t>
        </is>
      </c>
      <c r="L47" s="6">
        <f>'Crusoe'!D40</f>
        <v/>
      </c>
      <c r="M47" t="inlineStr">
        <is>
          <t>2026-10-04</t>
        </is>
      </c>
      <c r="N47" s="7" t="inlineStr">
        <is>
          <t>R</t>
        </is>
      </c>
      <c r="O47" s="1" t="inlineStr">
        <is>
          <t>C36: H100 SXM on-demand list</t>
        </is>
      </c>
    </row>
    <row r="48">
      <c r="A48" t="inlineStr">
        <is>
          <t>K09</t>
        </is>
      </c>
      <c r="B48" t="inlineStr">
        <is>
          <t>Implied utilization</t>
        </is>
      </c>
      <c r="C48" t="inlineStr">
        <is>
          <t>%</t>
        </is>
      </c>
      <c r="D48" s="12" t="inlineStr">
        <is>
          <t>n/d</t>
        </is>
      </c>
      <c r="F48" s="12" t="inlineStr">
        <is>
          <t>n/d</t>
        </is>
      </c>
      <c r="G48" s="1" t="inlineStr">
        <is>
          <t>No public list price</t>
        </is>
      </c>
      <c r="H48" s="14">
        <f>'Lambda'!D48</f>
        <v/>
      </c>
      <c r="I48" t="inlineStr">
        <is>
          <t>2025-06-30</t>
        </is>
      </c>
      <c r="J48" s="15" t="inlineStr">
        <is>
          <t>E (inputs P/R)</t>
        </is>
      </c>
      <c r="K48" s="1" t="inlineStr">
        <is>
          <t>LK09: Implied utilization (realized / list)</t>
        </is>
      </c>
      <c r="L48" s="12" t="inlineStr">
        <is>
          <t>n/d</t>
        </is>
      </c>
      <c r="N48" s="12" t="inlineStr">
        <is>
          <t>n/d</t>
        </is>
      </c>
      <c r="O48" s="1" t="inlineStr">
        <is>
          <t>Not disclosed</t>
        </is>
      </c>
      <c r="P48" t="inlineStr">
        <is>
          <t>~18</t>
        </is>
      </c>
      <c r="Q48" t="inlineStr">
        <is>
          <t>E</t>
        </is>
      </c>
    </row>
    <row r="49">
      <c r="A49" s="4" t="inlineStr">
        <is>
          <t>C. Capex per MW</t>
        </is>
      </c>
      <c r="B49" s="5" t="n"/>
      <c r="C49" s="5" t="n"/>
      <c r="D49" s="5" t="n"/>
      <c r="E49" s="5" t="n"/>
      <c r="F49" s="5" t="n"/>
      <c r="G49" s="5" t="n"/>
      <c r="H49" s="5" t="n"/>
      <c r="I49" s="5" t="n"/>
      <c r="J49" s="5" t="n"/>
      <c r="K49" s="5" t="n"/>
      <c r="L49" s="5" t="n"/>
      <c r="M49" s="5" t="n"/>
      <c r="N49" s="5" t="n"/>
      <c r="O49" s="5" t="n"/>
      <c r="P49" s="5" t="n"/>
      <c r="Q49" s="5" t="n"/>
    </row>
    <row r="50">
      <c r="A50" t="inlineStr">
        <is>
          <t>K10</t>
        </is>
      </c>
      <c r="B50" t="inlineStr">
        <is>
          <t>Cash capex per new active MW</t>
        </is>
      </c>
      <c r="C50" t="inlineStr">
        <is>
          <t>$M/MW</t>
        </is>
      </c>
      <c r="D50" s="12" t="inlineStr">
        <is>
          <t>n/d</t>
        </is>
      </c>
      <c r="F50" s="12" t="inlineStr">
        <is>
          <t>n/d</t>
        </is>
      </c>
      <c r="G50" s="1" t="inlineStr">
        <is>
          <t>No MW history</t>
        </is>
      </c>
      <c r="H50" s="12" t="inlineStr">
        <is>
          <t>n/d</t>
        </is>
      </c>
      <c r="J50" s="12" t="inlineStr">
        <is>
          <t>n/d</t>
        </is>
      </c>
      <c r="K50" s="1" t="inlineStr">
        <is>
          <t>Not disclosed</t>
        </is>
      </c>
      <c r="L50" s="12" t="inlineStr">
        <is>
          <t>n/d</t>
        </is>
      </c>
      <c r="N50" s="12" t="inlineStr">
        <is>
          <t>n/d</t>
        </is>
      </c>
      <c r="O50" s="1" t="inlineStr">
        <is>
          <t>Not disclosed</t>
        </is>
      </c>
    </row>
    <row r="51">
      <c r="A51" t="inlineStr">
        <is>
          <t>K11</t>
        </is>
      </c>
      <c r="B51" t="inlineStr">
        <is>
          <t>Cash capex per new MW incl. estimated MW</t>
        </is>
      </c>
      <c r="C51" t="inlineStr">
        <is>
          <t>$M/MW</t>
        </is>
      </c>
      <c r="D51" s="12" t="inlineStr">
        <is>
          <t>n/d</t>
        </is>
      </c>
      <c r="F51" s="12" t="inlineStr">
        <is>
          <t>n/d</t>
        </is>
      </c>
      <c r="G51" s="1" t="inlineStr">
        <is>
          <t>No MW history</t>
        </is>
      </c>
      <c r="H51" s="12" t="inlineStr">
        <is>
          <t>n/d</t>
        </is>
      </c>
      <c r="J51" s="12" t="inlineStr">
        <is>
          <t>n/d</t>
        </is>
      </c>
      <c r="K51" s="1" t="inlineStr">
        <is>
          <t>Not disclosed</t>
        </is>
      </c>
      <c r="L51" s="12" t="inlineStr">
        <is>
          <t>n/d</t>
        </is>
      </c>
      <c r="N51" s="12" t="inlineStr">
        <is>
          <t>n/d</t>
        </is>
      </c>
      <c r="O51" s="1" t="inlineStr">
        <is>
          <t>Not disclosed</t>
        </is>
      </c>
    </row>
    <row r="52">
      <c r="A52" t="inlineStr">
        <is>
          <t>K12</t>
        </is>
      </c>
      <c r="B52" t="inlineStr">
        <is>
          <t>In-service additions per new active MW</t>
        </is>
      </c>
      <c r="C52" t="inlineStr">
        <is>
          <t>$M/MW</t>
        </is>
      </c>
      <c r="D52" s="12" t="inlineStr">
        <is>
          <t>n/d</t>
        </is>
      </c>
      <c r="F52" s="12" t="inlineStr">
        <is>
          <t>n/d</t>
        </is>
      </c>
      <c r="G52" s="1" t="inlineStr">
        <is>
          <t>No MW history</t>
        </is>
      </c>
      <c r="H52" s="12" t="inlineStr">
        <is>
          <t>n/d</t>
        </is>
      </c>
      <c r="J52" s="12" t="inlineStr">
        <is>
          <t>n/d</t>
        </is>
      </c>
      <c r="K52" s="1" t="inlineStr">
        <is>
          <t>Not disclosed</t>
        </is>
      </c>
      <c r="L52" s="12" t="inlineStr">
        <is>
          <t>n/d</t>
        </is>
      </c>
      <c r="N52" s="12" t="inlineStr">
        <is>
          <t>n/d</t>
        </is>
      </c>
      <c r="O52" s="1" t="inlineStr">
        <is>
          <t>Not disclosed</t>
        </is>
      </c>
    </row>
    <row r="53">
      <c r="A53" t="inlineStr">
        <is>
          <t>K13</t>
        </is>
      </c>
      <c r="B53" t="inlineStr">
        <is>
          <t>Trailing-4Q cash capex per new active MW</t>
        </is>
      </c>
      <c r="C53" t="inlineStr">
        <is>
          <t>$M/MW</t>
        </is>
      </c>
      <c r="D53" s="12" t="inlineStr">
        <is>
          <t>n/d</t>
        </is>
      </c>
      <c r="F53" s="12" t="inlineStr">
        <is>
          <t>n/d</t>
        </is>
      </c>
      <c r="G53" s="1" t="inlineStr">
        <is>
          <t>No MW history</t>
        </is>
      </c>
      <c r="H53" s="12" t="inlineStr">
        <is>
          <t>n/d</t>
        </is>
      </c>
      <c r="J53" s="12" t="inlineStr">
        <is>
          <t>n/d</t>
        </is>
      </c>
      <c r="K53" s="1" t="inlineStr">
        <is>
          <t>Not disclosed</t>
        </is>
      </c>
      <c r="L53" s="12" t="inlineStr">
        <is>
          <t>n/d</t>
        </is>
      </c>
      <c r="N53" s="12" t="inlineStr">
        <is>
          <t>n/d</t>
        </is>
      </c>
      <c r="O53" s="1" t="inlineStr">
        <is>
          <t>Not disclosed</t>
        </is>
      </c>
      <c r="P53" t="inlineStr">
        <is>
          <t>20.0</t>
        </is>
      </c>
      <c r="Q53" t="inlineStr">
        <is>
          <t>D</t>
        </is>
      </c>
    </row>
    <row r="54">
      <c r="A54" t="inlineStr">
        <is>
          <t>K14</t>
        </is>
      </c>
      <c r="B54" t="inlineStr">
        <is>
          <t>Net PP&amp;E (or project cost) per active MW</t>
        </is>
      </c>
      <c r="C54" t="inlineStr">
        <is>
          <t>$M/MW</t>
        </is>
      </c>
      <c r="D54" s="10">
        <f>'Nscale'!D78</f>
        <v/>
      </c>
      <c r="E54" t="inlineStr">
        <is>
          <t>2026-06-30</t>
        </is>
      </c>
      <c r="F54" s="11" t="inlineStr">
        <is>
          <t>D</t>
        </is>
      </c>
      <c r="G54" s="1" t="inlineStr">
        <is>
          <t>NK14: Net PP&amp;E per active MW</t>
        </is>
      </c>
      <c r="H54" s="12" t="inlineStr">
        <is>
          <t>n/d</t>
        </is>
      </c>
      <c r="J54" s="12" t="inlineStr">
        <is>
          <t>n/d</t>
        </is>
      </c>
      <c r="K54" s="1" t="inlineStr">
        <is>
          <t>Not disclosed</t>
        </is>
      </c>
      <c r="L54" s="10">
        <f>'Crusoe'!D36</f>
        <v/>
      </c>
      <c r="M54" t="inlineStr">
        <is>
          <t>2025-05-21</t>
        </is>
      </c>
      <c r="N54" s="11" t="inlineStr">
        <is>
          <t>D</t>
        </is>
      </c>
      <c r="O54" s="1" t="inlineStr">
        <is>
          <t>C32: Abilene JV total cost per MW (shell + power, ex-GPU)</t>
        </is>
      </c>
      <c r="P54" t="inlineStr">
        <is>
          <t>31.2</t>
        </is>
      </c>
      <c r="Q54" t="inlineStr">
        <is>
          <t>D</t>
        </is>
      </c>
    </row>
    <row r="55">
      <c r="A55" t="inlineStr">
        <is>
          <t>K15</t>
        </is>
      </c>
      <c r="B55" t="inlineStr">
        <is>
          <t>Gross in-service PP&amp;E per active MW</t>
        </is>
      </c>
      <c r="C55" t="inlineStr">
        <is>
          <t>$M/MW</t>
        </is>
      </c>
      <c r="D55" s="10">
        <f>'Nscale'!D79</f>
        <v/>
      </c>
      <c r="E55" t="inlineStr">
        <is>
          <t>2026-06-30</t>
        </is>
      </c>
      <c r="F55" s="11" t="inlineStr">
        <is>
          <t>D</t>
        </is>
      </c>
      <c r="G55" s="1" t="inlineStr">
        <is>
          <t>NK15: Gross in-service PP&amp;E per active MW</t>
        </is>
      </c>
      <c r="H55" s="12" t="inlineStr">
        <is>
          <t>n/d</t>
        </is>
      </c>
      <c r="J55" s="12" t="inlineStr">
        <is>
          <t>n/d</t>
        </is>
      </c>
      <c r="K55" s="1" t="inlineStr">
        <is>
          <t>Not disclosed</t>
        </is>
      </c>
      <c r="L55" s="12" t="inlineStr">
        <is>
          <t>n/d</t>
        </is>
      </c>
      <c r="N55" s="12" t="inlineStr">
        <is>
          <t>n/d</t>
        </is>
      </c>
      <c r="O55" s="1" t="inlineStr">
        <is>
          <t>Not disclosed</t>
        </is>
      </c>
    </row>
    <row r="56">
      <c r="A56" s="4" t="inlineStr">
        <is>
          <t>D. D&amp;A useful lives and depreciation yield</t>
        </is>
      </c>
      <c r="B56" s="5" t="n"/>
      <c r="C56" s="5" t="n"/>
      <c r="D56" s="5" t="n"/>
      <c r="E56" s="5" t="n"/>
      <c r="F56" s="5" t="n"/>
      <c r="G56" s="5" t="n"/>
      <c r="H56" s="5" t="n"/>
      <c r="I56" s="5" t="n"/>
      <c r="J56" s="5" t="n"/>
      <c r="K56" s="5" t="n"/>
      <c r="L56" s="5" t="n"/>
      <c r="M56" s="5" t="n"/>
      <c r="N56" s="5" t="n"/>
      <c r="O56" s="5" t="n"/>
      <c r="P56" s="5" t="n"/>
      <c r="Q56" s="5" t="n"/>
    </row>
    <row r="57">
      <c r="A57" t="inlineStr">
        <is>
          <t>K16</t>
        </is>
      </c>
      <c r="B57" t="inlineStr">
        <is>
          <t>Useful life - technology equipment</t>
        </is>
      </c>
      <c r="C57" t="inlineStr">
        <is>
          <t>years</t>
        </is>
      </c>
      <c r="D57" s="6">
        <f>'Nscale'!D53</f>
        <v/>
      </c>
      <c r="E57" t="inlineStr">
        <is>
          <t>2026-06-30</t>
        </is>
      </c>
      <c r="F57" s="7" t="inlineStr">
        <is>
          <t>R</t>
        </is>
      </c>
      <c r="G57" s="1" t="inlineStr">
        <is>
          <t>N46: Useful life - technology equipment (midpoint of 5-6)</t>
        </is>
      </c>
      <c r="H57" s="13">
        <f>'Lambda'!D37</f>
        <v/>
      </c>
      <c r="I57" t="inlineStr">
        <is>
          <t>2026-10-04</t>
        </is>
      </c>
      <c r="J57" s="12" t="inlineStr">
        <is>
          <t>n/d</t>
        </is>
      </c>
      <c r="K57" s="1" t="inlineStr">
        <is>
          <t>L34: Useful life - GPUs</t>
        </is>
      </c>
      <c r="L57" s="13">
        <f>'Crusoe'!D39</f>
        <v/>
      </c>
      <c r="M57" t="inlineStr">
        <is>
          <t>2026-10-04</t>
        </is>
      </c>
      <c r="N57" s="12" t="inlineStr">
        <is>
          <t>n/d</t>
        </is>
      </c>
      <c r="O57" s="1" t="inlineStr">
        <is>
          <t>C35: Useful life - GPUs</t>
        </is>
      </c>
      <c r="P57" t="inlineStr">
        <is>
          <t>6</t>
        </is>
      </c>
      <c r="Q57" t="inlineStr">
        <is>
          <t>R</t>
        </is>
      </c>
    </row>
    <row r="58">
      <c r="A58" t="inlineStr">
        <is>
          <t>K17</t>
        </is>
      </c>
      <c r="B58" t="inlineStr">
        <is>
          <t>Depreciation yield</t>
        </is>
      </c>
      <c r="C58" t="inlineStr">
        <is>
          <t>%</t>
        </is>
      </c>
      <c r="D58" s="10">
        <f>'Nscale'!D81</f>
        <v/>
      </c>
      <c r="E58" t="inlineStr">
        <is>
          <t>2026-06-30</t>
        </is>
      </c>
      <c r="F58" s="11" t="inlineStr">
        <is>
          <t>D</t>
        </is>
      </c>
      <c r="G58" s="1" t="inlineStr">
        <is>
          <t>NK17: Depreciation yield (PP&amp;E depreciation x2 / avg in-service gross PP&amp;E)</t>
        </is>
      </c>
      <c r="H58" s="12" t="inlineStr">
        <is>
          <t>n/d</t>
        </is>
      </c>
      <c r="J58" s="12" t="inlineStr">
        <is>
          <t>n/d</t>
        </is>
      </c>
      <c r="K58" s="1" t="inlineStr">
        <is>
          <t>Not disclosed</t>
        </is>
      </c>
      <c r="L58" s="12" t="inlineStr">
        <is>
          <t>n/d</t>
        </is>
      </c>
      <c r="N58" s="12" t="inlineStr">
        <is>
          <t>n/d</t>
        </is>
      </c>
      <c r="O58" s="1" t="inlineStr">
        <is>
          <t>Not disclosed</t>
        </is>
      </c>
      <c r="P58" t="inlineStr">
        <is>
          <t>15.5</t>
        </is>
      </c>
      <c r="Q58" t="inlineStr">
        <is>
          <t>D</t>
        </is>
      </c>
    </row>
    <row r="59">
      <c r="A59" t="inlineStr">
        <is>
          <t>K18</t>
        </is>
      </c>
      <c r="B59" t="inlineStr">
        <is>
          <t>Implied depreciable life</t>
        </is>
      </c>
      <c r="C59" t="inlineStr">
        <is>
          <t>years</t>
        </is>
      </c>
      <c r="D59" s="10">
        <f>'Nscale'!D82</f>
        <v/>
      </c>
      <c r="E59" t="inlineStr">
        <is>
          <t>2026-06-30</t>
        </is>
      </c>
      <c r="F59" s="11" t="inlineStr">
        <is>
          <t>D</t>
        </is>
      </c>
      <c r="G59" s="1" t="inlineStr">
        <is>
          <t>NK18: Implied average depreciable life (1/yield)</t>
        </is>
      </c>
      <c r="H59" s="12" t="inlineStr">
        <is>
          <t>n/d</t>
        </is>
      </c>
      <c r="J59" s="12" t="inlineStr">
        <is>
          <t>n/d</t>
        </is>
      </c>
      <c r="K59" s="1" t="inlineStr">
        <is>
          <t>Not disclosed</t>
        </is>
      </c>
      <c r="L59" s="12" t="inlineStr">
        <is>
          <t>n/d</t>
        </is>
      </c>
      <c r="N59" s="12" t="inlineStr">
        <is>
          <t>n/d</t>
        </is>
      </c>
      <c r="O59" s="1" t="inlineStr">
        <is>
          <t>Not disclosed</t>
        </is>
      </c>
    </row>
    <row r="60">
      <c r="A60" t="inlineStr">
        <is>
          <t>K19</t>
        </is>
      </c>
      <c r="B60" t="inlineStr">
        <is>
          <t>D&amp;A % revenue</t>
        </is>
      </c>
      <c r="C60" t="inlineStr">
        <is>
          <t>%</t>
        </is>
      </c>
      <c r="D60" s="10">
        <f>'Nscale'!D83</f>
        <v/>
      </c>
      <c r="E60" t="inlineStr">
        <is>
          <t>2026-06-30</t>
        </is>
      </c>
      <c r="F60" s="11" t="inlineStr">
        <is>
          <t>D</t>
        </is>
      </c>
      <c r="G60" s="1" t="inlineStr">
        <is>
          <t>NK19: D&amp;A as % of revenue (H1'26)</t>
        </is>
      </c>
      <c r="H60" s="12" t="inlineStr">
        <is>
          <t>n/d</t>
        </is>
      </c>
      <c r="J60" s="12" t="inlineStr">
        <is>
          <t>n/d</t>
        </is>
      </c>
      <c r="K60" s="1" t="inlineStr">
        <is>
          <t>Not disclosed</t>
        </is>
      </c>
      <c r="L60" s="12" t="inlineStr">
        <is>
          <t>n/d</t>
        </is>
      </c>
      <c r="N60" s="12" t="inlineStr">
        <is>
          <t>n/d</t>
        </is>
      </c>
      <c r="O60" s="1" t="inlineStr">
        <is>
          <t>Not disclosed</t>
        </is>
      </c>
    </row>
    <row r="61">
      <c r="A61" s="4" t="inlineStr">
        <is>
          <t>E. Backlog / RPO</t>
        </is>
      </c>
      <c r="B61" s="5" t="n"/>
      <c r="C61" s="5" t="n"/>
      <c r="D61" s="5" t="n"/>
      <c r="E61" s="5" t="n"/>
      <c r="F61" s="5" t="n"/>
      <c r="G61" s="5" t="n"/>
      <c r="H61" s="5" t="n"/>
      <c r="I61" s="5" t="n"/>
      <c r="J61" s="5" t="n"/>
      <c r="K61" s="5" t="n"/>
      <c r="L61" s="5" t="n"/>
      <c r="M61" s="5" t="n"/>
      <c r="N61" s="5" t="n"/>
      <c r="O61" s="5" t="n"/>
      <c r="P61" s="5" t="n"/>
      <c r="Q61" s="5" t="n"/>
    </row>
    <row r="62">
      <c r="A62" t="inlineStr">
        <is>
          <t>K20</t>
        </is>
      </c>
      <c r="B62" t="inlineStr">
        <is>
          <t>RPO (ASC 606)</t>
        </is>
      </c>
      <c r="C62" t="inlineStr">
        <is>
          <t>$B</t>
        </is>
      </c>
      <c r="D62" s="6">
        <f>'Nscale'!D37</f>
        <v/>
      </c>
      <c r="E62" t="inlineStr">
        <is>
          <t>2026-06-30</t>
        </is>
      </c>
      <c r="F62" s="7" t="inlineStr">
        <is>
          <t>R</t>
        </is>
      </c>
      <c r="G62" s="1" t="inlineStr">
        <is>
          <t>N30: RPO (ASC 606, EoP)</t>
        </is>
      </c>
      <c r="H62" s="13">
        <f>'Lambda'!D36</f>
        <v/>
      </c>
      <c r="I62" t="inlineStr">
        <is>
          <t>2026-10-04</t>
        </is>
      </c>
      <c r="J62" s="12" t="inlineStr">
        <is>
          <t>n/d</t>
        </is>
      </c>
      <c r="K62" s="1" t="inlineStr">
        <is>
          <t>L33: RPO / backlog</t>
        </is>
      </c>
      <c r="L62" s="12" t="inlineStr">
        <is>
          <t>n/d</t>
        </is>
      </c>
      <c r="N62" s="12" t="inlineStr">
        <is>
          <t>n/d</t>
        </is>
      </c>
      <c r="O62" s="1" t="inlineStr">
        <is>
          <t>Not disclosed</t>
        </is>
      </c>
      <c r="P62" t="inlineStr">
        <is>
          <t>103.7</t>
        </is>
      </c>
      <c r="Q62" t="inlineStr">
        <is>
          <t>R</t>
        </is>
      </c>
    </row>
    <row r="63">
      <c r="A63" t="inlineStr">
        <is>
          <t>K21</t>
        </is>
      </c>
      <c r="B63" t="inlineStr">
        <is>
          <t>Backlog / TCV (company metric)</t>
        </is>
      </c>
      <c r="C63" t="inlineStr">
        <is>
          <t>$B</t>
        </is>
      </c>
      <c r="D63" s="6">
        <f>'Nscale'!D40</f>
        <v/>
      </c>
      <c r="E63" t="inlineStr">
        <is>
          <t>2026-08-31</t>
        </is>
      </c>
      <c r="F63" s="7" t="inlineStr">
        <is>
          <t>R</t>
        </is>
      </c>
      <c r="G63" s="1" t="inlineStr">
        <is>
          <t>N33: Total contract value, active + contracted (company metric)</t>
        </is>
      </c>
      <c r="H63" s="8">
        <f>'Lambda'!D40</f>
        <v/>
      </c>
      <c r="I63" t="inlineStr">
        <is>
          <t>2026-09-30</t>
        </is>
      </c>
      <c r="J63" s="9" t="inlineStr">
        <is>
          <t>P</t>
        </is>
      </c>
      <c r="K63" s="1" t="inlineStr">
        <is>
          <t>L38: Backlog (company metric, investor letter), Sep-2026</t>
        </is>
      </c>
      <c r="L63" s="6">
        <f>'Crusoe'!D19</f>
        <v/>
      </c>
      <c r="M63" t="inlineStr">
        <is>
          <t>2026-09-17</t>
        </is>
      </c>
      <c r="N63" s="7" t="inlineStr">
        <is>
          <t>R</t>
        </is>
      </c>
      <c r="O63" s="1" t="inlineStr">
        <is>
          <t>C15: Total contracted value (company metric)</t>
        </is>
      </c>
    </row>
    <row r="64">
      <c r="A64" t="inlineStr">
        <is>
          <t>K22</t>
        </is>
      </c>
      <c r="B64" t="inlineStr">
        <is>
          <t>RPO % within 24 months</t>
        </is>
      </c>
      <c r="C64" t="inlineStr">
        <is>
          <t>%</t>
        </is>
      </c>
      <c r="D64" s="6">
        <f>'Nscale'!D39</f>
        <v/>
      </c>
      <c r="E64" t="inlineStr">
        <is>
          <t>2025-12-31</t>
        </is>
      </c>
      <c r="F64" s="7" t="inlineStr">
        <is>
          <t>R</t>
        </is>
      </c>
      <c r="G64" s="1" t="inlineStr">
        <is>
          <t>N32: RPO % expected within 24 months (YE25)</t>
        </is>
      </c>
      <c r="H64" s="12" t="inlineStr">
        <is>
          <t>n/d</t>
        </is>
      </c>
      <c r="J64" s="12" t="inlineStr">
        <is>
          <t>n/d</t>
        </is>
      </c>
      <c r="K64" s="1" t="inlineStr">
        <is>
          <t>Not disclosed</t>
        </is>
      </c>
      <c r="L64" s="12" t="inlineStr">
        <is>
          <t>n/d</t>
        </is>
      </c>
      <c r="N64" s="12" t="inlineStr">
        <is>
          <t>n/d</t>
        </is>
      </c>
      <c r="O64" s="1" t="inlineStr">
        <is>
          <t>Not disclosed</t>
        </is>
      </c>
      <c r="P64" t="inlineStr">
        <is>
          <t>41</t>
        </is>
      </c>
      <c r="Q64" t="inlineStr">
        <is>
          <t>R</t>
        </is>
      </c>
    </row>
    <row r="65">
      <c r="A65" t="inlineStr">
        <is>
          <t>K23</t>
        </is>
      </c>
      <c r="B65" t="inlineStr">
        <is>
          <t>RPO / annualized revenue</t>
        </is>
      </c>
      <c r="C65" t="inlineStr">
        <is>
          <t>years</t>
        </is>
      </c>
      <c r="D65" s="10">
        <f>'Nscale'!D84</f>
        <v/>
      </c>
      <c r="E65" t="inlineStr">
        <is>
          <t>2026-06-30</t>
        </is>
      </c>
      <c r="F65" s="11" t="inlineStr">
        <is>
          <t>D</t>
        </is>
      </c>
      <c r="G65" s="1" t="inlineStr">
        <is>
          <t>NK23: RPO / annualized revenue</t>
        </is>
      </c>
      <c r="H65" s="12" t="inlineStr">
        <is>
          <t>n/d</t>
        </is>
      </c>
      <c r="J65" s="12" t="inlineStr">
        <is>
          <t>n/d</t>
        </is>
      </c>
      <c r="K65" s="1" t="inlineStr">
        <is>
          <t>Not disclosed</t>
        </is>
      </c>
      <c r="L65" s="12" t="inlineStr">
        <is>
          <t>n/d</t>
        </is>
      </c>
      <c r="N65" s="12" t="inlineStr">
        <is>
          <t>n/d</t>
        </is>
      </c>
      <c r="O65" s="1" t="inlineStr">
        <is>
          <t>Not disclosed</t>
        </is>
      </c>
      <c r="P65" t="inlineStr">
        <is>
          <t>10.1</t>
        </is>
      </c>
      <c r="Q65" t="inlineStr">
        <is>
          <t>D</t>
        </is>
      </c>
    </row>
    <row r="66">
      <c r="A66" s="4" t="inlineStr">
        <is>
          <t>F. Customer concentration</t>
        </is>
      </c>
      <c r="B66" s="5" t="n"/>
      <c r="C66" s="5" t="n"/>
      <c r="D66" s="5" t="n"/>
      <c r="E66" s="5" t="n"/>
      <c r="F66" s="5" t="n"/>
      <c r="G66" s="5" t="n"/>
      <c r="H66" s="5" t="n"/>
      <c r="I66" s="5" t="n"/>
      <c r="J66" s="5" t="n"/>
      <c r="K66" s="5" t="n"/>
      <c r="L66" s="5" t="n"/>
      <c r="M66" s="5" t="n"/>
      <c r="N66" s="5" t="n"/>
      <c r="O66" s="5" t="n"/>
      <c r="P66" s="5" t="n"/>
      <c r="Q66" s="5" t="n"/>
    </row>
    <row r="67">
      <c r="A67" t="inlineStr">
        <is>
          <t>K24</t>
        </is>
      </c>
      <c r="B67" t="inlineStr">
        <is>
          <t>Largest customer % revenue</t>
        </is>
      </c>
      <c r="C67" t="inlineStr">
        <is>
          <t>%</t>
        </is>
      </c>
      <c r="D67" s="6">
        <f>'Nscale'!D45</f>
        <v/>
      </c>
      <c r="E67" t="inlineStr">
        <is>
          <t>2026-06-30</t>
        </is>
      </c>
      <c r="F67" s="7" t="inlineStr">
        <is>
          <t>R</t>
        </is>
      </c>
      <c r="G67" s="1" t="inlineStr">
        <is>
          <t>N38: Largest customer, % of revenue (H1'26)</t>
        </is>
      </c>
      <c r="H67" s="12" t="inlineStr">
        <is>
          <t>n/d</t>
        </is>
      </c>
      <c r="J67" s="12" t="inlineStr">
        <is>
          <t>n/d</t>
        </is>
      </c>
      <c r="K67" s="1" t="inlineStr">
        <is>
          <t>Not disclosed</t>
        </is>
      </c>
      <c r="L67" s="12" t="inlineStr">
        <is>
          <t>n/d</t>
        </is>
      </c>
      <c r="N67" s="12" t="inlineStr">
        <is>
          <t>n/d</t>
        </is>
      </c>
      <c r="O67" s="1" t="inlineStr">
        <is>
          <t>Not disclosed</t>
        </is>
      </c>
      <c r="P67" t="inlineStr">
        <is>
          <t>36</t>
        </is>
      </c>
      <c r="Q67" t="inlineStr">
        <is>
          <t>R</t>
        </is>
      </c>
    </row>
    <row r="68">
      <c r="A68" t="inlineStr">
        <is>
          <t>K25</t>
        </is>
      </c>
      <c r="B68" t="inlineStr">
        <is>
          <t>2nd-largest customer %</t>
        </is>
      </c>
      <c r="C68" t="inlineStr">
        <is>
          <t>%</t>
        </is>
      </c>
      <c r="D68" s="12" t="inlineStr">
        <is>
          <t>n/d</t>
        </is>
      </c>
      <c r="F68" s="12" t="inlineStr">
        <is>
          <t>n/d</t>
        </is>
      </c>
      <c r="G68" s="1" t="inlineStr">
        <is>
          <t>Only largest customer disclosed</t>
        </is>
      </c>
      <c r="H68" s="12" t="inlineStr">
        <is>
          <t>n/d</t>
        </is>
      </c>
      <c r="J68" s="12" t="inlineStr">
        <is>
          <t>n/d</t>
        </is>
      </c>
      <c r="K68" s="1" t="inlineStr">
        <is>
          <t>Not disclosed</t>
        </is>
      </c>
      <c r="L68" s="12" t="inlineStr">
        <is>
          <t>n/d</t>
        </is>
      </c>
      <c r="N68" s="12" t="inlineStr">
        <is>
          <t>n/d</t>
        </is>
      </c>
      <c r="O68" s="1" t="inlineStr">
        <is>
          <t>Not disclosed</t>
        </is>
      </c>
    </row>
    <row r="69">
      <c r="A69" t="inlineStr">
        <is>
          <t>K26</t>
        </is>
      </c>
      <c r="B69" t="inlineStr">
        <is>
          <t>Top-N customers combined %</t>
        </is>
      </c>
      <c r="C69" t="inlineStr">
        <is>
          <t>%</t>
        </is>
      </c>
      <c r="D69" s="12" t="inlineStr">
        <is>
          <t>n/d</t>
        </is>
      </c>
      <c r="F69" s="12" t="inlineStr">
        <is>
          <t>n/d</t>
        </is>
      </c>
      <c r="G69" s="1" t="inlineStr">
        <is>
          <t>Only largest customer disclosed</t>
        </is>
      </c>
      <c r="H69" s="8">
        <f>'Lambda'!D26</f>
        <v/>
      </c>
      <c r="I69" t="inlineStr">
        <is>
          <t>2025-06-30</t>
        </is>
      </c>
      <c r="J69" s="9" t="inlineStr">
        <is>
          <t>P</t>
        </is>
      </c>
      <c r="K69" s="1" t="inlineStr">
        <is>
          <t>L23: Amazon + Microsoft share of cloud revenue, Q2'25</t>
        </is>
      </c>
      <c r="L69" s="12" t="inlineStr">
        <is>
          <t>n/d</t>
        </is>
      </c>
      <c r="N69" s="12" t="inlineStr">
        <is>
          <t>n/d</t>
        </is>
      </c>
      <c r="O69" s="1" t="inlineStr">
        <is>
          <t>Not disclosed</t>
        </is>
      </c>
    </row>
    <row r="70">
      <c r="A70" t="inlineStr">
        <is>
          <t>K27</t>
        </is>
      </c>
      <c r="B70" t="inlineStr">
        <is>
          <t># customers &gt;=10%</t>
        </is>
      </c>
      <c r="C70" t="inlineStr">
        <is>
          <t>#</t>
        </is>
      </c>
      <c r="D70" s="12" t="inlineStr">
        <is>
          <t>n/d</t>
        </is>
      </c>
      <c r="F70" s="12" t="inlineStr">
        <is>
          <t>n/d</t>
        </is>
      </c>
      <c r="G70" s="1" t="inlineStr">
        <is>
          <t>Not disclosed</t>
        </is>
      </c>
      <c r="H70" s="12" t="inlineStr">
        <is>
          <t>n/d</t>
        </is>
      </c>
      <c r="J70" s="12" t="inlineStr">
        <is>
          <t>n/d</t>
        </is>
      </c>
      <c r="K70" s="1" t="inlineStr">
        <is>
          <t>Not disclosed</t>
        </is>
      </c>
      <c r="L70" s="12" t="inlineStr">
        <is>
          <t>n/d</t>
        </is>
      </c>
      <c r="N70" s="12" t="inlineStr">
        <is>
          <t>n/d</t>
        </is>
      </c>
      <c r="O70" s="1" t="inlineStr">
        <is>
          <t>Not disclosed</t>
        </is>
      </c>
      <c r="P70" t="inlineStr">
        <is>
          <t>3</t>
        </is>
      </c>
      <c r="Q70" t="inlineStr">
        <is>
          <t>R</t>
        </is>
      </c>
    </row>
    <row r="71">
      <c r="A71" s="4" t="inlineStr">
        <is>
          <t>G. Funding cost</t>
        </is>
      </c>
      <c r="B71" s="5" t="n"/>
      <c r="C71" s="5" t="n"/>
      <c r="D71" s="5" t="n"/>
      <c r="E71" s="5" t="n"/>
      <c r="F71" s="5" t="n"/>
      <c r="G71" s="5" t="n"/>
      <c r="H71" s="5" t="n"/>
      <c r="I71" s="5" t="n"/>
      <c r="J71" s="5" t="n"/>
      <c r="K71" s="5" t="n"/>
      <c r="L71" s="5" t="n"/>
      <c r="M71" s="5" t="n"/>
      <c r="N71" s="5" t="n"/>
      <c r="O71" s="5" t="n"/>
      <c r="P71" s="5" t="n"/>
      <c r="Q71" s="5" t="n"/>
    </row>
    <row r="72">
      <c r="A72" t="inlineStr">
        <is>
          <t>K28</t>
        </is>
      </c>
      <c r="B72" t="inlineStr">
        <is>
          <t>Weighted effective cost of debt</t>
        </is>
      </c>
      <c r="C72" t="inlineStr">
        <is>
          <t>%</t>
        </is>
      </c>
      <c r="D72" s="10">
        <f>'Nscale'!D85</f>
        <v/>
      </c>
      <c r="E72" t="inlineStr">
        <is>
          <t>2026-06-30</t>
        </is>
      </c>
      <c r="F72" s="11" t="inlineStr">
        <is>
          <t>D</t>
        </is>
      </c>
      <c r="G72" s="1" t="inlineStr">
        <is>
          <t>NK28: Weighted effective cost of debt (6/30/26)</t>
        </is>
      </c>
      <c r="H72" s="12" t="inlineStr">
        <is>
          <t>n/d</t>
        </is>
      </c>
      <c r="J72" s="12" t="inlineStr">
        <is>
          <t>n/d</t>
        </is>
      </c>
      <c r="K72" s="1" t="inlineStr">
        <is>
          <t>Not disclosed</t>
        </is>
      </c>
      <c r="L72" s="12" t="inlineStr">
        <is>
          <t>n/d</t>
        </is>
      </c>
      <c r="N72" s="12" t="inlineStr">
        <is>
          <t>n/d</t>
        </is>
      </c>
      <c r="O72" s="1" t="inlineStr">
        <is>
          <t>Not disclosed</t>
        </is>
      </c>
      <c r="P72" t="inlineStr">
        <is>
          <t>8.4</t>
        </is>
      </c>
      <c r="Q72" t="inlineStr">
        <is>
          <t>D</t>
        </is>
      </c>
    </row>
    <row r="73">
      <c r="A73" t="inlineStr">
        <is>
          <t>K29</t>
        </is>
      </c>
      <c r="B73" t="inlineStr">
        <is>
          <t xml:space="preserve">  DDTL / GPU-backed rate</t>
        </is>
      </c>
      <c r="C73" t="inlineStr">
        <is>
          <t>%</t>
        </is>
      </c>
      <c r="D73" s="6">
        <f>'Nscale'!D51</f>
        <v/>
      </c>
      <c r="E73" t="inlineStr">
        <is>
          <t>2026-06-30</t>
        </is>
      </c>
      <c r="F73" s="7" t="inlineStr">
        <is>
          <t>R</t>
        </is>
      </c>
      <c r="G73" s="1" t="inlineStr">
        <is>
          <t>N44: GPU Financing Facility effective interest rate</t>
        </is>
      </c>
      <c r="H73" s="6">
        <f>'Lambda'!D32</f>
        <v/>
      </c>
      <c r="I73" t="inlineStr">
        <is>
          <t>2026-10-01</t>
        </is>
      </c>
      <c r="J73" s="7" t="inlineStr">
        <is>
          <t>R</t>
        </is>
      </c>
      <c r="K73" s="1" t="inlineStr">
        <is>
          <t>L29: IG fixed-rate DDTL coupon</t>
        </is>
      </c>
      <c r="L73" s="14">
        <f>'Crusoe'!D32</f>
        <v/>
      </c>
      <c r="M73" t="inlineStr">
        <is>
          <t>2026-09-10</t>
        </is>
      </c>
      <c r="N73" s="15" t="inlineStr">
        <is>
          <t>E (inputs P)</t>
        </is>
      </c>
      <c r="O73" s="1" t="inlineStr">
        <is>
          <t>C28: Iceland GPU DDTL all-in estimate (price talk midpoint)</t>
        </is>
      </c>
    </row>
    <row r="74">
      <c r="A74" t="inlineStr">
        <is>
          <t>K30</t>
        </is>
      </c>
      <c r="B74" t="inlineStr">
        <is>
          <t xml:space="preserve">  Senior notes rate</t>
        </is>
      </c>
      <c r="C74" t="inlineStr">
        <is>
          <t>%</t>
        </is>
      </c>
      <c r="D74" s="12" t="inlineStr">
        <is>
          <t>n/d</t>
        </is>
      </c>
      <c r="F74" s="12" t="inlineStr">
        <is>
          <t>n/d</t>
        </is>
      </c>
      <c r="G74" s="1" t="inlineStr">
        <is>
          <t>None outstanding</t>
        </is>
      </c>
      <c r="H74" s="12" t="inlineStr">
        <is>
          <t>n/d</t>
        </is>
      </c>
      <c r="J74" s="12" t="inlineStr">
        <is>
          <t>n/d</t>
        </is>
      </c>
      <c r="K74" s="1" t="inlineStr">
        <is>
          <t>Not disclosed</t>
        </is>
      </c>
      <c r="L74" s="12" t="inlineStr">
        <is>
          <t>n/d</t>
        </is>
      </c>
      <c r="N74" s="12" t="inlineStr">
        <is>
          <t>n/d</t>
        </is>
      </c>
      <c r="O74" s="1" t="inlineStr">
        <is>
          <t>Not disclosed</t>
        </is>
      </c>
    </row>
    <row r="75">
      <c r="A75" t="inlineStr">
        <is>
          <t>K31</t>
        </is>
      </c>
      <c r="B75" t="inlineStr">
        <is>
          <t xml:space="preserve">  Converts rate</t>
        </is>
      </c>
      <c r="C75" t="inlineStr">
        <is>
          <t>%</t>
        </is>
      </c>
      <c r="D75" s="12" t="inlineStr">
        <is>
          <t>n/d</t>
        </is>
      </c>
      <c r="F75" s="12" t="inlineStr">
        <is>
          <t>n/d</t>
        </is>
      </c>
      <c r="G75" s="1" t="inlineStr">
        <is>
          <t>Converts post-period</t>
        </is>
      </c>
      <c r="H75" s="12" t="inlineStr">
        <is>
          <t>n/d</t>
        </is>
      </c>
      <c r="J75" s="12" t="inlineStr">
        <is>
          <t>n/d</t>
        </is>
      </c>
      <c r="K75" s="1" t="inlineStr">
        <is>
          <t>Not disclosed</t>
        </is>
      </c>
      <c r="L75" s="12" t="inlineStr">
        <is>
          <t>n/d</t>
        </is>
      </c>
      <c r="N75" s="12" t="inlineStr">
        <is>
          <t>n/d</t>
        </is>
      </c>
      <c r="O75" s="1" t="inlineStr">
        <is>
          <t>Not disclosed</t>
        </is>
      </c>
    </row>
    <row r="76">
      <c r="A76" t="inlineStr">
        <is>
          <t>K32</t>
        </is>
      </c>
      <c r="B76" t="inlineStr">
        <is>
          <t xml:space="preserve">  OEM financing rate</t>
        </is>
      </c>
      <c r="C76" t="inlineStr">
        <is>
          <t>%</t>
        </is>
      </c>
      <c r="D76" s="12" t="inlineStr">
        <is>
          <t>n/d</t>
        </is>
      </c>
      <c r="F76" s="12" t="inlineStr">
        <is>
          <t>n/d</t>
        </is>
      </c>
      <c r="G76" s="1" t="inlineStr">
        <is>
          <t>Dell DFS leases post-period</t>
        </is>
      </c>
      <c r="H76" s="12" t="inlineStr">
        <is>
          <t>n/d</t>
        </is>
      </c>
      <c r="J76" s="12" t="inlineStr">
        <is>
          <t>n/d</t>
        </is>
      </c>
      <c r="K76" s="1" t="inlineStr">
        <is>
          <t>Not disclosed</t>
        </is>
      </c>
      <c r="L76" s="12" t="inlineStr">
        <is>
          <t>n/d</t>
        </is>
      </c>
      <c r="N76" s="12" t="inlineStr">
        <is>
          <t>n/d</t>
        </is>
      </c>
      <c r="O76" s="1" t="inlineStr">
        <is>
          <t>Not disclosed</t>
        </is>
      </c>
    </row>
    <row r="77">
      <c r="A77" t="inlineStr">
        <is>
          <t>K33</t>
        </is>
      </c>
      <c r="B77" t="inlineStr">
        <is>
          <t xml:space="preserve">  Revolver rate</t>
        </is>
      </c>
      <c r="C77" t="inlineStr">
        <is>
          <t>%</t>
        </is>
      </c>
      <c r="D77" s="12" t="inlineStr">
        <is>
          <t>n/d</t>
        </is>
      </c>
      <c r="F77" s="12" t="inlineStr">
        <is>
          <t>n/d</t>
        </is>
      </c>
      <c r="G77" s="1" t="inlineStr">
        <is>
          <t>Revolver undrawn at 6/30</t>
        </is>
      </c>
      <c r="H77" s="12" t="inlineStr">
        <is>
          <t>n/d</t>
        </is>
      </c>
      <c r="J77" s="12" t="inlineStr">
        <is>
          <t>n/d</t>
        </is>
      </c>
      <c r="K77" s="1" t="inlineStr">
        <is>
          <t>Not disclosed</t>
        </is>
      </c>
      <c r="L77" s="12" t="inlineStr">
        <is>
          <t>n/d</t>
        </is>
      </c>
      <c r="N77" s="12" t="inlineStr">
        <is>
          <t>n/d</t>
        </is>
      </c>
      <c r="O77" s="1" t="inlineStr">
        <is>
          <t>Not disclosed</t>
        </is>
      </c>
    </row>
    <row r="78">
      <c r="A78" t="inlineStr">
        <is>
          <t>K34</t>
        </is>
      </c>
      <c r="B78" t="inlineStr">
        <is>
          <t xml:space="preserve">  Other term loans rate</t>
        </is>
      </c>
      <c r="C78" t="inlineStr">
        <is>
          <t>%</t>
        </is>
      </c>
      <c r="D78" s="6">
        <f>'Nscale'!D52</f>
        <v/>
      </c>
      <c r="E78" t="inlineStr">
        <is>
          <t>2026-06-30</t>
        </is>
      </c>
      <c r="F78" s="7" t="inlineStr">
        <is>
          <t>R</t>
        </is>
      </c>
      <c r="G78" s="1" t="inlineStr">
        <is>
          <t>N45: Macquarie Senior Credit Facility effective interest rate</t>
        </is>
      </c>
      <c r="H78" s="12" t="inlineStr">
        <is>
          <t>n/d</t>
        </is>
      </c>
      <c r="J78" s="12" t="inlineStr">
        <is>
          <t>n/d</t>
        </is>
      </c>
      <c r="K78" s="1" t="inlineStr">
        <is>
          <t>Not disclosed</t>
        </is>
      </c>
      <c r="L78" s="8">
        <f>'Crusoe'!D33</f>
        <v/>
      </c>
      <c r="M78" t="inlineStr">
        <is>
          <t>2026-02-20</t>
        </is>
      </c>
      <c r="N78" s="9" t="inlineStr">
        <is>
          <t>P</t>
        </is>
      </c>
      <c r="O78" s="1" t="inlineStr">
        <is>
          <t>C29: AMD-backstopped Goldman GPU loan rate</t>
        </is>
      </c>
    </row>
    <row r="79">
      <c r="A79" t="inlineStr">
        <is>
          <t>K35</t>
        </is>
      </c>
      <c r="B79" t="inlineStr">
        <is>
          <t>GPU-backed share of debt</t>
        </is>
      </c>
      <c r="C79" t="inlineStr">
        <is>
          <t>%</t>
        </is>
      </c>
      <c r="D79" s="10">
        <f>'Nscale'!D86</f>
        <v/>
      </c>
      <c r="E79" t="inlineStr">
        <is>
          <t>2026-06-30</t>
        </is>
      </c>
      <c r="F79" s="11" t="inlineStr">
        <is>
          <t>D</t>
        </is>
      </c>
      <c r="G79" s="1" t="inlineStr">
        <is>
          <t>NK35: GPU-backed share of debt</t>
        </is>
      </c>
      <c r="H79" s="12" t="inlineStr">
        <is>
          <t>n/d</t>
        </is>
      </c>
      <c r="J79" s="12" t="inlineStr">
        <is>
          <t>n/d</t>
        </is>
      </c>
      <c r="K79" s="1" t="inlineStr">
        <is>
          <t>Not disclosed</t>
        </is>
      </c>
      <c r="L79" s="12" t="inlineStr">
        <is>
          <t>n/d</t>
        </is>
      </c>
      <c r="N79" s="12" t="inlineStr">
        <is>
          <t>n/d</t>
        </is>
      </c>
      <c r="O79" s="1" t="inlineStr">
        <is>
          <t>Not disclosed</t>
        </is>
      </c>
    </row>
    <row r="80">
      <c r="A80" t="inlineStr">
        <is>
          <t>K36</t>
        </is>
      </c>
      <c r="B80" t="inlineStr">
        <is>
          <t>Interest / avg debt</t>
        </is>
      </c>
      <c r="C80" t="inlineStr">
        <is>
          <t>%</t>
        </is>
      </c>
      <c r="D80" s="10">
        <f>'Nscale'!D87</f>
        <v/>
      </c>
      <c r="E80" t="inlineStr">
        <is>
          <t>2026-06-30</t>
        </is>
      </c>
      <c r="F80" s="11" t="inlineStr">
        <is>
          <t>D</t>
        </is>
      </c>
      <c r="G80" s="1" t="inlineStr">
        <is>
          <t>NK36: Interest on debt x2 / avg debt</t>
        </is>
      </c>
      <c r="H80" s="12" t="inlineStr">
        <is>
          <t>n/d</t>
        </is>
      </c>
      <c r="J80" s="12" t="inlineStr">
        <is>
          <t>n/d</t>
        </is>
      </c>
      <c r="K80" s="1" t="inlineStr">
        <is>
          <t>Not disclosed</t>
        </is>
      </c>
      <c r="L80" s="12" t="inlineStr">
        <is>
          <t>n/d</t>
        </is>
      </c>
      <c r="N80" s="12" t="inlineStr">
        <is>
          <t>n/d</t>
        </is>
      </c>
      <c r="O80" s="1" t="inlineStr">
        <is>
          <t>Not disclosed</t>
        </is>
      </c>
      <c r="P80" t="inlineStr">
        <is>
          <t>7.8</t>
        </is>
      </c>
      <c r="Q80" t="inlineStr">
        <is>
          <t>D</t>
        </is>
      </c>
    </row>
    <row r="81">
      <c r="A81" t="inlineStr">
        <is>
          <t>K37</t>
        </is>
      </c>
      <c r="B81" t="inlineStr">
        <is>
          <t>Company-reported weighted rate</t>
        </is>
      </c>
      <c r="C81" t="inlineStr">
        <is>
          <t>%</t>
        </is>
      </c>
      <c r="D81" s="12" t="inlineStr">
        <is>
          <t>n/d</t>
        </is>
      </c>
      <c r="F81" s="12" t="inlineStr">
        <is>
          <t>n/d</t>
        </is>
      </c>
      <c r="G81" s="1" t="inlineStr">
        <is>
          <t>Not disclosed</t>
        </is>
      </c>
      <c r="H81" s="12" t="inlineStr">
        <is>
          <t>n/d</t>
        </is>
      </c>
      <c r="J81" s="12" t="inlineStr">
        <is>
          <t>n/d</t>
        </is>
      </c>
      <c r="K81" s="1" t="inlineStr">
        <is>
          <t>Not disclosed</t>
        </is>
      </c>
      <c r="L81" s="12" t="inlineStr">
        <is>
          <t>n/d</t>
        </is>
      </c>
      <c r="N81" s="12" t="inlineStr">
        <is>
          <t>n/d</t>
        </is>
      </c>
      <c r="O81" s="1" t="inlineStr">
        <is>
          <t>Not disclosed</t>
        </is>
      </c>
    </row>
    <row r="82">
      <c r="A82" t="inlineStr">
        <is>
          <t>K38</t>
        </is>
      </c>
      <c r="B82" t="inlineStr">
        <is>
          <t>Total debt</t>
        </is>
      </c>
      <c r="C82" t="inlineStr">
        <is>
          <t>$B</t>
        </is>
      </c>
      <c r="D82" s="10">
        <f>'Nscale'!D88</f>
        <v/>
      </c>
      <c r="E82" t="inlineStr">
        <is>
          <t>2026-06-30</t>
        </is>
      </c>
      <c r="F82" s="11" t="inlineStr">
        <is>
          <t>D</t>
        </is>
      </c>
      <c r="G82" s="1" t="inlineStr">
        <is>
          <t>NK38: Total debt (EoP)</t>
        </is>
      </c>
      <c r="H82" s="13">
        <f>'Lambda'!D35</f>
        <v/>
      </c>
      <c r="I82" t="inlineStr">
        <is>
          <t>2026-10-04</t>
        </is>
      </c>
      <c r="J82" s="12" t="inlineStr">
        <is>
          <t>n/d</t>
        </is>
      </c>
      <c r="K82" s="1" t="inlineStr">
        <is>
          <t>L32: Total debt outstanding</t>
        </is>
      </c>
      <c r="L82" s="13">
        <f>'Crusoe'!D38</f>
        <v/>
      </c>
      <c r="M82" t="inlineStr">
        <is>
          <t>2026-10-04</t>
        </is>
      </c>
      <c r="N82" s="12" t="inlineStr">
        <is>
          <t>n/d</t>
        </is>
      </c>
      <c r="O82" s="1" t="inlineStr">
        <is>
          <t>C34: Total debt outstanding</t>
        </is>
      </c>
    </row>
    <row r="83">
      <c r="A83" t="inlineStr">
        <is>
          <t>K39</t>
        </is>
      </c>
      <c r="B83" t="inlineStr">
        <is>
          <t>Debt / RPO</t>
        </is>
      </c>
      <c r="C83" t="inlineStr">
        <is>
          <t>x</t>
        </is>
      </c>
      <c r="D83" s="10">
        <f>'Nscale'!D89</f>
        <v/>
      </c>
      <c r="E83" t="inlineStr">
        <is>
          <t>2026-06-30</t>
        </is>
      </c>
      <c r="F83" s="11" t="inlineStr">
        <is>
          <t>D</t>
        </is>
      </c>
      <c r="G83" s="1" t="inlineStr">
        <is>
          <t>NK39: Debt / RPO</t>
        </is>
      </c>
      <c r="H83" s="12" t="inlineStr">
        <is>
          <t>n/d</t>
        </is>
      </c>
      <c r="J83" s="12" t="inlineStr">
        <is>
          <t>n/d</t>
        </is>
      </c>
      <c r="K83" s="1" t="inlineStr">
        <is>
          <t>Not disclosed</t>
        </is>
      </c>
      <c r="L83" s="12" t="inlineStr">
        <is>
          <t>n/d</t>
        </is>
      </c>
      <c r="N83" s="12" t="inlineStr">
        <is>
          <t>n/d</t>
        </is>
      </c>
      <c r="O83" s="1" t="inlineStr">
        <is>
          <t>Not disclosed</t>
        </is>
      </c>
    </row>
    <row r="84">
      <c r="A84" t="inlineStr">
        <is>
          <t>K40</t>
        </is>
      </c>
      <c r="B84" t="inlineStr">
        <is>
          <t>Capitalized interest % of interest</t>
        </is>
      </c>
      <c r="C84" t="inlineStr">
        <is>
          <t>%</t>
        </is>
      </c>
      <c r="D84" s="10">
        <f>'Nscale'!D90</f>
        <v/>
      </c>
      <c r="E84" t="inlineStr">
        <is>
          <t>2026-06-30</t>
        </is>
      </c>
      <c r="F84" s="11" t="inlineStr">
        <is>
          <t>D</t>
        </is>
      </c>
      <c r="G84" s="1" t="inlineStr">
        <is>
          <t>NK40: Capitalized interest % of interest (H1'26)</t>
        </is>
      </c>
      <c r="H84" s="12" t="inlineStr">
        <is>
          <t>n/d</t>
        </is>
      </c>
      <c r="J84" s="12" t="inlineStr">
        <is>
          <t>n/d</t>
        </is>
      </c>
      <c r="K84" s="1" t="inlineStr">
        <is>
          <t>Not disclosed</t>
        </is>
      </c>
      <c r="L84" s="12" t="inlineStr">
        <is>
          <t>n/d</t>
        </is>
      </c>
      <c r="N84" s="12" t="inlineStr">
        <is>
          <t>n/d</t>
        </is>
      </c>
      <c r="O84" s="1" t="inlineStr">
        <is>
          <t>Not disclosed</t>
        </is>
      </c>
    </row>
    <row r="85">
      <c r="A85" s="4" t="inlineStr">
        <is>
          <t>Valuation (private-peer extension)</t>
        </is>
      </c>
      <c r="B85" s="5" t="n"/>
      <c r="C85" s="5" t="n"/>
      <c r="D85" s="5" t="n"/>
      <c r="E85" s="5" t="n"/>
      <c r="F85" s="5" t="n"/>
      <c r="G85" s="5" t="n"/>
      <c r="H85" s="5" t="n"/>
      <c r="I85" s="5" t="n"/>
      <c r="J85" s="5" t="n"/>
      <c r="K85" s="5" t="n"/>
      <c r="L85" s="5" t="n"/>
      <c r="M85" s="5" t="n"/>
      <c r="N85" s="5" t="n"/>
      <c r="O85" s="5" t="n"/>
      <c r="P85" s="5" t="n"/>
      <c r="Q85" s="5" t="n"/>
    </row>
    <row r="86">
      <c r="A86" t="inlineStr">
        <is>
          <t>PX14</t>
        </is>
      </c>
      <c r="B86" t="inlineStr">
        <is>
          <t>Valuation / forward revenue</t>
        </is>
      </c>
      <c r="C86" t="inlineStr">
        <is>
          <t>x</t>
        </is>
      </c>
      <c r="D86" s="12" t="inlineStr">
        <is>
          <t>n/d</t>
        </is>
      </c>
      <c r="F86" s="12" t="inlineStr">
        <is>
          <t>n/d</t>
        </is>
      </c>
      <c r="G86" s="1" t="inlineStr">
        <is>
          <t>No IPO price range yet (press: ~$35B target vs $281M run-rate)</t>
        </is>
      </c>
      <c r="H86" s="12" t="inlineStr">
        <is>
          <t>n/d</t>
        </is>
      </c>
      <c r="J86" s="12" t="inlineStr">
        <is>
          <t>n/d</t>
        </is>
      </c>
      <c r="K86" s="1" t="inlineStr">
        <is>
          <t>Not computed (no reliable current revenue; Sacra ARR $760M vs $5.43B Series E = 7.1x)</t>
        </is>
      </c>
      <c r="L86" s="14">
        <f>'Crusoe'!D31</f>
        <v/>
      </c>
      <c r="M86" t="inlineStr">
        <is>
          <t>2026-09-17</t>
        </is>
      </c>
      <c r="N86" s="15" t="inlineStr">
        <is>
          <t>E (inputs P)</t>
        </is>
      </c>
      <c r="O86" s="1" t="inlineStr">
        <is>
          <t>C27: Valuation / FY26E revenue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90"/>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52" customWidth="1" min="3" max="3"/>
    <col width="14" customWidth="1" min="4" max="4"/>
    <col width="11" customWidth="1" min="5" max="5"/>
    <col width="12" customWidth="1" min="6" max="6"/>
    <col width="18" customWidth="1" min="7" max="7"/>
    <col width="6" customWidth="1" min="8" max="8"/>
    <col width="13" customWidth="1" min="9" max="9"/>
    <col width="10" customWidth="1" min="10" max="10"/>
    <col width="30" customWidth="1" min="11" max="11"/>
    <col width="60" customWidth="1" min="12" max="12"/>
    <col width="11" customWidth="1" min="13" max="13"/>
    <col width="60" customWidth="1" min="14" max="14"/>
    <col width="80" customWidth="1" min="15" max="15"/>
  </cols>
  <sheetData>
    <row r="1">
      <c r="A1" s="2" t="inlineStr">
        <is>
          <t>Nscale - dated data points. Value column is live formulas for D/E rows. Tags: see README.</t>
        </is>
      </c>
    </row>
    <row r="3">
      <c r="A3" s="3" t="inlineStr">
        <is>
          <t>DP id</t>
        </is>
      </c>
      <c r="B3" s="3" t="inlineStr">
        <is>
          <t>Row ID (CRWV template)</t>
        </is>
      </c>
      <c r="C3" s="3" t="inlineStr">
        <is>
          <t>Metric</t>
        </is>
      </c>
      <c r="D3" s="3" t="inlineStr">
        <is>
          <t>Value</t>
        </is>
      </c>
      <c r="E3" s="3" t="inlineStr">
        <is>
          <t>Unit</t>
        </is>
      </c>
      <c r="F3" s="3" t="inlineStr">
        <is>
          <t>As-of date</t>
        </is>
      </c>
      <c r="G3" s="3" t="inlineStr">
        <is>
          <t>Period / basis</t>
        </is>
      </c>
      <c r="H3" s="3" t="inlineStr">
        <is>
          <t>Tag</t>
        </is>
      </c>
      <c r="I3" s="3" t="inlineStr">
        <is>
          <t>Tag name</t>
        </is>
      </c>
      <c r="J3" s="3" t="inlineStr">
        <is>
          <t>Input tags</t>
        </is>
      </c>
      <c r="K3" s="3" t="inlineStr">
        <is>
          <t>Formula (DP ids)</t>
        </is>
      </c>
      <c r="L3" s="3" t="inlineStr">
        <is>
          <t>Source document</t>
        </is>
      </c>
      <c r="M3" s="3" t="inlineStr">
        <is>
          <t>Source date</t>
        </is>
      </c>
      <c r="N3" s="3" t="inlineStr">
        <is>
          <t>URL</t>
        </is>
      </c>
      <c r="O3" s="3" t="inlineStr">
        <is>
          <t>Notes / caveats</t>
        </is>
      </c>
    </row>
    <row r="4">
      <c r="A4" t="inlineStr">
        <is>
          <t>N01</t>
        </is>
      </c>
      <c r="B4" t="inlineStr">
        <is>
          <t>I01</t>
        </is>
      </c>
      <c r="C4" s="1" t="inlineStr">
        <is>
          <t>Revenue, H1'26 (six months)</t>
        </is>
      </c>
      <c r="D4" s="6" t="n">
        <v>140.6</v>
      </c>
      <c r="E4" t="inlineStr">
        <is>
          <t>$M</t>
        </is>
      </c>
      <c r="F4" t="inlineStr">
        <is>
          <t>2026-06-30</t>
        </is>
      </c>
      <c r="G4" t="inlineStr">
        <is>
          <t>6M to 2026-06-30</t>
        </is>
      </c>
      <c r="H4" s="7" t="inlineStr">
        <is>
          <t>R</t>
        </is>
      </c>
      <c r="I4" t="inlineStr">
        <is>
          <t>Reported</t>
        </is>
      </c>
      <c r="J4" t="inlineStr"/>
      <c r="K4" t="inlineStr"/>
      <c r="L4" s="1" t="inlineStr">
        <is>
          <t>Nscale Ltd Form S-1 (filed 2026-09-18; CIK 0002110365). Local copy /workspace/nebius/comps_raw/nscale_s1.htm(.txt)</t>
        </is>
      </c>
      <c r="M4" t="inlineStr">
        <is>
          <t>2026-09-18</t>
        </is>
      </c>
      <c r="N4" t="inlineStr">
        <is>
          <t>https://www.sec.gov/Archives/edgar/data/2110365/000119312526395475/ck0002110365-20260918.htm</t>
        </is>
      </c>
      <c r="O4" s="1" t="inlineStr">
        <is>
          <t>Service fee 94.7 / lease revenue (ASC 842) 42.0 / other 3.9</t>
        </is>
      </c>
    </row>
    <row r="5">
      <c r="A5" t="inlineStr">
        <is>
          <t>N02</t>
        </is>
      </c>
      <c r="B5" t="inlineStr">
        <is>
          <t>I01</t>
        </is>
      </c>
      <c r="C5" s="1" t="inlineStr">
        <is>
          <t>Revenue, H1'25</t>
        </is>
      </c>
      <c r="D5" s="6" t="n">
        <v>10.4</v>
      </c>
      <c r="E5" t="inlineStr">
        <is>
          <t>$M</t>
        </is>
      </c>
      <c r="F5" t="inlineStr">
        <is>
          <t>2025-06-30</t>
        </is>
      </c>
      <c r="G5" t="inlineStr">
        <is>
          <t>6M to 2025-06-30</t>
        </is>
      </c>
      <c r="H5" s="7" t="inlineStr">
        <is>
          <t>R</t>
        </is>
      </c>
      <c r="I5" t="inlineStr">
        <is>
          <t>Reported</t>
        </is>
      </c>
      <c r="J5" t="inlineStr"/>
      <c r="K5" t="inlineStr"/>
      <c r="L5" s="1" t="inlineStr">
        <is>
          <t>Nscale Ltd Form S-1 (filed 2026-09-18; CIK 0002110365). Local copy /workspace/nebius/comps_raw/nscale_s1.htm(.txt)</t>
        </is>
      </c>
      <c r="M5" t="inlineStr">
        <is>
          <t>2026-09-18</t>
        </is>
      </c>
      <c r="N5" t="inlineStr">
        <is>
          <t>https://www.sec.gov/Archives/edgar/data/2110365/000119312526395475/ck0002110365-20260918.htm</t>
        </is>
      </c>
      <c r="O5" s="1" t="inlineStr"/>
    </row>
    <row r="6">
      <c r="A6" t="inlineStr">
        <is>
          <t>N03</t>
        </is>
      </c>
      <c r="B6" t="inlineStr">
        <is>
          <t>I01</t>
        </is>
      </c>
      <c r="C6" s="1" t="inlineStr">
        <is>
          <t>Revenue, FY25</t>
        </is>
      </c>
      <c r="D6" s="6" t="n">
        <v>33</v>
      </c>
      <c r="E6" t="inlineStr">
        <is>
          <t>$M</t>
        </is>
      </c>
      <c r="F6" t="inlineStr">
        <is>
          <t>2025-12-31</t>
        </is>
      </c>
      <c r="G6" t="inlineStr">
        <is>
          <t>FY2025</t>
        </is>
      </c>
      <c r="H6" s="7" t="inlineStr">
        <is>
          <t>R</t>
        </is>
      </c>
      <c r="I6" t="inlineStr">
        <is>
          <t>Reported</t>
        </is>
      </c>
      <c r="J6" t="inlineStr"/>
      <c r="K6" t="inlineStr"/>
      <c r="L6" s="1" t="inlineStr">
        <is>
          <t>Nscale Ltd Form S-1 (filed 2026-09-18; CIK 0002110365). Local copy /workspace/nebius/comps_raw/nscale_s1.htm(.txt)</t>
        </is>
      </c>
      <c r="M6" t="inlineStr">
        <is>
          <t>2026-09-18</t>
        </is>
      </c>
      <c r="N6" t="inlineStr">
        <is>
          <t>https://www.sec.gov/Archives/edgar/data/2110365/000119312526395475/ck0002110365-20260918.htm</t>
        </is>
      </c>
      <c r="O6" s="1" t="inlineStr">
        <is>
          <t>+73% vs FY24</t>
        </is>
      </c>
    </row>
    <row r="7">
      <c r="A7" t="inlineStr">
        <is>
          <t>N04</t>
        </is>
      </c>
      <c r="B7" t="inlineStr">
        <is>
          <t>I01</t>
        </is>
      </c>
      <c r="C7" s="1" t="inlineStr">
        <is>
          <t>Revenue, FY24</t>
        </is>
      </c>
      <c r="D7" s="6" t="n">
        <v>19.1</v>
      </c>
      <c r="E7" t="inlineStr">
        <is>
          <t>$M</t>
        </is>
      </c>
      <c r="F7" t="inlineStr">
        <is>
          <t>2024-12-31</t>
        </is>
      </c>
      <c r="G7" t="inlineStr">
        <is>
          <t>FY2024</t>
        </is>
      </c>
      <c r="H7" s="7" t="inlineStr">
        <is>
          <t>R</t>
        </is>
      </c>
      <c r="I7" t="inlineStr">
        <is>
          <t>Reported</t>
        </is>
      </c>
      <c r="J7" t="inlineStr"/>
      <c r="K7" t="inlineStr"/>
      <c r="L7" s="1" t="inlineStr">
        <is>
          <t>Nscale Ltd Form S-1 (filed 2026-09-18; CIK 0002110365). Local copy /workspace/nebius/comps_raw/nscale_s1.htm(.txt)</t>
        </is>
      </c>
      <c r="M7" t="inlineStr">
        <is>
          <t>2026-09-18</t>
        </is>
      </c>
      <c r="N7" t="inlineStr">
        <is>
          <t>https://www.sec.gov/Archives/edgar/data/2110365/000119312526395475/ck0002110365-20260918.htm</t>
        </is>
      </c>
      <c r="O7" s="1" t="inlineStr">
        <is>
          <t>93% from one customer</t>
        </is>
      </c>
    </row>
    <row r="8">
      <c r="A8" t="inlineStr">
        <is>
          <t>N05</t>
        </is>
      </c>
      <c r="B8" t="inlineStr">
        <is>
          <t>PX01</t>
        </is>
      </c>
      <c r="C8" s="1" t="inlineStr">
        <is>
          <t>Annualized revenue run-rate (H1'26 x 2)</t>
        </is>
      </c>
      <c r="D8" s="10">
        <f>D4*2</f>
        <v/>
      </c>
      <c r="E8" t="inlineStr">
        <is>
          <t>$M/yr</t>
        </is>
      </c>
      <c r="F8" t="inlineStr">
        <is>
          <t>2026-06-30</t>
        </is>
      </c>
      <c r="G8" t="inlineStr">
        <is>
          <t>H1'26 annualized</t>
        </is>
      </c>
      <c r="H8" s="11" t="inlineStr">
        <is>
          <t>D</t>
        </is>
      </c>
      <c r="I8" t="inlineStr">
        <is>
          <t>Derived</t>
        </is>
      </c>
      <c r="J8" t="inlineStr"/>
      <c r="K8" t="inlineStr">
        <is>
          <t>{N01}*2</t>
        </is>
      </c>
      <c r="L8" s="1" t="inlineStr">
        <is>
          <t>Nscale Ltd Form S-1 (filed 2026-09-18; CIK 0002110365). Local copy /workspace/nebius/comps_raw/nscale_s1.htm(.txt)</t>
        </is>
      </c>
      <c r="M8" t="inlineStr">
        <is>
          <t>2026-09-18</t>
        </is>
      </c>
      <c r="N8" t="inlineStr">
        <is>
          <t>https://www.sec.gov/Archives/edgar/data/2110365/000119312526395475/ck0002110365-20260918.htm</t>
        </is>
      </c>
      <c r="O8" s="1" t="inlineStr">
        <is>
          <t>Back-end-loaded ramp: H1 x2 understates exit run-rate</t>
        </is>
      </c>
    </row>
    <row r="9">
      <c r="A9" t="inlineStr">
        <is>
          <t>N06</t>
        </is>
      </c>
      <c r="B9" t="inlineStr">
        <is>
          <t>PX01</t>
        </is>
      </c>
      <c r="C9" s="1" t="inlineStr">
        <is>
          <t>Active TCV (contracts already generating revenue)</t>
        </is>
      </c>
      <c r="D9" s="6" t="n">
        <v>2600</v>
      </c>
      <c r="E9" t="inlineStr">
        <is>
          <t>$M</t>
        </is>
      </c>
      <c r="F9" t="inlineStr">
        <is>
          <t>2026-08-31</t>
        </is>
      </c>
      <c r="G9" t="inlineStr">
        <is>
          <t>point</t>
        </is>
      </c>
      <c r="H9" s="7" t="inlineStr">
        <is>
          <t>R</t>
        </is>
      </c>
      <c r="I9" t="inlineStr">
        <is>
          <t>Reported</t>
        </is>
      </c>
      <c r="J9" t="inlineStr"/>
      <c r="K9" t="inlineStr"/>
      <c r="L9" s="1" t="inlineStr">
        <is>
          <t>Nscale Ltd Form S-1 (filed 2026-09-18; CIK 0002110365). Local copy /workspace/nebius/comps_raw/nscale_s1.htm(.txt)</t>
        </is>
      </c>
      <c r="M9" t="inlineStr">
        <is>
          <t>2026-09-18</t>
        </is>
      </c>
      <c r="N9" t="inlineStr">
        <is>
          <t>https://www.sec.gov/Archives/edgar/data/2110365/000119312526395475/ck0002110365-20260918.htm</t>
        </is>
      </c>
      <c r="O9" s="1" t="inlineStr">
        <is>
          <t>'approximately $2.6 billion of active' TCV (Dec-31-2025: $0.5B)</t>
        </is>
      </c>
    </row>
    <row r="10">
      <c r="A10" t="inlineStr">
        <is>
          <t>N07</t>
        </is>
      </c>
      <c r="B10" t="inlineStr">
        <is>
          <t>PX01</t>
        </is>
      </c>
      <c r="C10" s="1" t="inlineStr">
        <is>
          <t>Active-contract ACV estimate (active TCV / 5.7-yr avg life)</t>
        </is>
      </c>
      <c r="D10" s="14">
        <f>D9/D35</f>
        <v/>
      </c>
      <c r="E10" t="inlineStr">
        <is>
          <t>$M/yr</t>
        </is>
      </c>
      <c r="F10" t="inlineStr">
        <is>
          <t>2026-08-31</t>
        </is>
      </c>
      <c r="G10" t="inlineStr">
        <is>
          <t>point</t>
        </is>
      </c>
      <c r="H10" s="15" t="inlineStr">
        <is>
          <t>E</t>
        </is>
      </c>
      <c r="I10" t="inlineStr">
        <is>
          <t>Estimated</t>
        </is>
      </c>
      <c r="J10" t="inlineStr"/>
      <c r="K10" t="inlineStr">
        <is>
          <t>{N06}/{N28}</t>
        </is>
      </c>
      <c r="L10" s="1" t="inlineStr">
        <is>
          <t>Nscale Ltd Form S-1 (filed 2026-09-18; CIK 0002110365). Local copy /workspace/nebius/comps_raw/nscale_s1.htm(.txt)</t>
        </is>
      </c>
      <c r="M10" t="inlineStr">
        <is>
          <t>2026-09-18</t>
        </is>
      </c>
      <c r="N10" t="inlineStr">
        <is>
          <t>https://www.sec.gov/Archives/edgar/data/2110365/000119312526395475/ck0002110365-20260918.htm</t>
        </is>
      </c>
      <c r="O10" s="1" t="inlineStr">
        <is>
          <t>ASSUMES active contracts share the 5.7-yr company-wide weighted life; NVIDIA MSA terms are 12-48 months, so true active ACV likely HIGHER</t>
        </is>
      </c>
    </row>
    <row r="11">
      <c r="A11" t="inlineStr">
        <is>
          <t>N08</t>
        </is>
      </c>
      <c r="B11" t="inlineStr">
        <is>
          <t>I02</t>
        </is>
      </c>
      <c r="C11" s="1" t="inlineStr">
        <is>
          <t>Adjusted EBITDA (company non-GAAP), H1'26</t>
        </is>
      </c>
      <c r="D11" s="6" t="n">
        <v>-199.2</v>
      </c>
      <c r="E11" t="inlineStr">
        <is>
          <t>$M</t>
        </is>
      </c>
      <c r="F11" t="inlineStr">
        <is>
          <t>2026-06-30</t>
        </is>
      </c>
      <c r="G11" t="inlineStr">
        <is>
          <t>6M</t>
        </is>
      </c>
      <c r="H11" s="7" t="inlineStr">
        <is>
          <t>R</t>
        </is>
      </c>
      <c r="I11" t="inlineStr">
        <is>
          <t>Reported</t>
        </is>
      </c>
      <c r="J11" t="inlineStr"/>
      <c r="K11" t="inlineStr"/>
      <c r="L11" s="1" t="inlineStr">
        <is>
          <t>Nscale Ltd Form S-1 (filed 2026-09-18; CIK 0002110365). Local copy /workspace/nebius/comps_raw/nscale_s1.htm(.txt)</t>
        </is>
      </c>
      <c r="M11" t="inlineStr">
        <is>
          <t>2026-09-18</t>
        </is>
      </c>
      <c r="N11" t="inlineStr">
        <is>
          <t>https://www.sec.gov/Archives/edgar/data/2110365/000119312526395475/ck0002110365-20260918.htm</t>
        </is>
      </c>
      <c r="O11" s="1" t="inlineStr">
        <is>
          <t>Margin (142)%; FY25 (81.7), FY24 (9.1)</t>
        </is>
      </c>
    </row>
    <row r="12">
      <c r="A12" t="inlineStr">
        <is>
          <t>N09</t>
        </is>
      </c>
      <c r="B12" t="inlineStr">
        <is>
          <t>I03</t>
        </is>
      </c>
      <c r="C12" s="1" t="inlineStr">
        <is>
          <t>Depreciation &amp; amortization (total), H1'26</t>
        </is>
      </c>
      <c r="D12" s="6" t="n">
        <v>174</v>
      </c>
      <c r="E12" t="inlineStr">
        <is>
          <t>$M</t>
        </is>
      </c>
      <c r="F12" t="inlineStr">
        <is>
          <t>2026-06-30</t>
        </is>
      </c>
      <c r="G12" t="inlineStr">
        <is>
          <t>6M</t>
        </is>
      </c>
      <c r="H12" s="7" t="inlineStr">
        <is>
          <t>R</t>
        </is>
      </c>
      <c r="I12" t="inlineStr">
        <is>
          <t>Reported</t>
        </is>
      </c>
      <c r="J12" t="inlineStr"/>
      <c r="K12" t="inlineStr"/>
      <c r="L12" s="1" t="inlineStr">
        <is>
          <t>Nscale Ltd Form S-1 (filed 2026-09-18; CIK 0002110365). Local copy /workspace/nebius/comps_raw/nscale_s1.htm(.txt)</t>
        </is>
      </c>
      <c r="M12" t="inlineStr">
        <is>
          <t>2026-09-18</t>
        </is>
      </c>
      <c r="N12" t="inlineStr">
        <is>
          <t>https://www.sec.gov/Archives/edgar/data/2110365/000119312526395475/ck0002110365-20260918.htm</t>
        </is>
      </c>
      <c r="O12" s="1" t="inlineStr">
        <is>
          <t>FY25 40.2</t>
        </is>
      </c>
    </row>
    <row r="13">
      <c r="A13" t="inlineStr">
        <is>
          <t>N10</t>
        </is>
      </c>
      <c r="B13" t="inlineStr">
        <is>
          <t>I03</t>
        </is>
      </c>
      <c r="C13" s="1" t="inlineStr">
        <is>
          <t>Depreciation of property &amp; equipment, H1'26</t>
        </is>
      </c>
      <c r="D13" s="6" t="n">
        <v>77.90000000000001</v>
      </c>
      <c r="E13" t="inlineStr">
        <is>
          <t>$M</t>
        </is>
      </c>
      <c r="F13" t="inlineStr">
        <is>
          <t>2026-06-30</t>
        </is>
      </c>
      <c r="G13" t="inlineStr">
        <is>
          <t>6M</t>
        </is>
      </c>
      <c r="H13" s="7" t="inlineStr">
        <is>
          <t>R</t>
        </is>
      </c>
      <c r="I13" t="inlineStr">
        <is>
          <t>Reported</t>
        </is>
      </c>
      <c r="J13" t="inlineStr"/>
      <c r="K13" t="inlineStr"/>
      <c r="L13" s="1" t="inlineStr">
        <is>
          <t>Nscale Ltd Form S-1 (filed 2026-09-18; CIK 0002110365). Local copy /workspace/nebius/comps_raw/nscale_s1.htm(.txt)</t>
        </is>
      </c>
      <c r="M13" t="inlineStr">
        <is>
          <t>2026-09-18</t>
        </is>
      </c>
      <c r="N13" t="inlineStr">
        <is>
          <t>https://www.sec.gov/Archives/edgar/data/2110365/000119312526395475/ck0002110365-20260918.htm</t>
        </is>
      </c>
      <c r="O13" s="1" t="inlineStr">
        <is>
          <t>Rest of D&amp;A = intangible amortization (e.g. acquired power rights)</t>
        </is>
      </c>
    </row>
    <row r="14">
      <c r="A14" t="inlineStr">
        <is>
          <t>N11</t>
        </is>
      </c>
      <c r="B14" t="inlineStr">
        <is>
          <t>I04</t>
        </is>
      </c>
      <c r="C14" s="1" t="inlineStr">
        <is>
          <t>Cash capex (purchases of property &amp; equipment), H1'26</t>
        </is>
      </c>
      <c r="D14" s="6" t="n">
        <v>3230.1</v>
      </c>
      <c r="E14" t="inlineStr">
        <is>
          <t>$M</t>
        </is>
      </c>
      <c r="F14" t="inlineStr">
        <is>
          <t>2026-06-30</t>
        </is>
      </c>
      <c r="G14" t="inlineStr">
        <is>
          <t>6M</t>
        </is>
      </c>
      <c r="H14" s="7" t="inlineStr">
        <is>
          <t>R</t>
        </is>
      </c>
      <c r="I14" t="inlineStr">
        <is>
          <t>Reported</t>
        </is>
      </c>
      <c r="J14" t="inlineStr"/>
      <c r="K14" t="inlineStr"/>
      <c r="L14" s="1" t="inlineStr">
        <is>
          <t>Nscale Ltd Form S-1 (filed 2026-09-18; CIK 0002110365). Local copy /workspace/nebius/comps_raw/nscale_s1.htm(.txt)</t>
        </is>
      </c>
      <c r="M14" t="inlineStr">
        <is>
          <t>2026-09-18</t>
        </is>
      </c>
      <c r="N14" t="inlineStr">
        <is>
          <t>https://www.sec.gov/Archives/edgar/data/2110365/000119312526395475/ck0002110365-20260918.htm</t>
        </is>
      </c>
      <c r="O14" s="1" t="inlineStr">
        <is>
          <t>Plus intangibles 15.6, Monarch acquisition 131.1, SIN02 96.8. FY25 621.4; FY24 64.2</t>
        </is>
      </c>
    </row>
    <row r="15">
      <c r="A15" t="inlineStr">
        <is>
          <t>N12</t>
        </is>
      </c>
      <c r="B15" t="inlineStr">
        <is>
          <t>I04</t>
        </is>
      </c>
      <c r="C15" s="1" t="inlineStr">
        <is>
          <t>Cash capex (purchases of PP&amp;E), FY25</t>
        </is>
      </c>
      <c r="D15" s="6" t="n">
        <v>621.4</v>
      </c>
      <c r="E15" t="inlineStr">
        <is>
          <t>$M</t>
        </is>
      </c>
      <c r="F15" t="inlineStr">
        <is>
          <t>2025-12-31</t>
        </is>
      </c>
      <c r="G15" t="inlineStr">
        <is>
          <t>FY2025</t>
        </is>
      </c>
      <c r="H15" s="7" t="inlineStr">
        <is>
          <t>R</t>
        </is>
      </c>
      <c r="I15" t="inlineStr">
        <is>
          <t>Reported</t>
        </is>
      </c>
      <c r="J15" t="inlineStr"/>
      <c r="K15" t="inlineStr"/>
      <c r="L15" s="1" t="inlineStr">
        <is>
          <t>Nscale Ltd Form S-1 (filed 2026-09-18; CIK 0002110365). Local copy /workspace/nebius/comps_raw/nscale_s1.htm(.txt)</t>
        </is>
      </c>
      <c r="M15" t="inlineStr">
        <is>
          <t>2026-09-18</t>
        </is>
      </c>
      <c r="N15" t="inlineStr">
        <is>
          <t>https://www.sec.gov/Archives/edgar/data/2110365/000119312526395475/ck0002110365-20260918.htm</t>
        </is>
      </c>
      <c r="O15" s="1" t="inlineStr"/>
    </row>
    <row r="16">
      <c r="A16" t="inlineStr">
        <is>
          <t>N13</t>
        </is>
      </c>
      <c r="B16" t="inlineStr">
        <is>
          <t>I05</t>
        </is>
      </c>
      <c r="C16" s="1" t="inlineStr">
        <is>
          <t>Gross property &amp; equipment (EoP)</t>
        </is>
      </c>
      <c r="D16" s="6" t="n">
        <v>5846.9</v>
      </c>
      <c r="E16" t="inlineStr">
        <is>
          <t>$M</t>
        </is>
      </c>
      <c r="F16" t="inlineStr">
        <is>
          <t>2026-06-30</t>
        </is>
      </c>
      <c r="G16" t="inlineStr">
        <is>
          <t>point</t>
        </is>
      </c>
      <c r="H16" s="7" t="inlineStr">
        <is>
          <t>R</t>
        </is>
      </c>
      <c r="I16" t="inlineStr">
        <is>
          <t>Reported</t>
        </is>
      </c>
      <c r="J16" t="inlineStr"/>
      <c r="K16" t="inlineStr"/>
      <c r="L16" s="1" t="inlineStr">
        <is>
          <t>Nscale Ltd Form S-1 (filed 2026-09-18; CIK 0002110365). Local copy /workspace/nebius/comps_raw/nscale_s1.htm(.txt)</t>
        </is>
      </c>
      <c r="M16" t="inlineStr">
        <is>
          <t>2026-09-18</t>
        </is>
      </c>
      <c r="N16" t="inlineStr">
        <is>
          <t>https://www.sec.gov/Archives/edgar/data/2110365/000119312526395475/ck0002110365-20260918.htm</t>
        </is>
      </c>
      <c r="O16" s="1" t="inlineStr">
        <is>
          <t>Dec-25: 981.8</t>
        </is>
      </c>
    </row>
    <row r="17">
      <c r="A17" t="inlineStr">
        <is>
          <t>N14</t>
        </is>
      </c>
      <c r="B17" t="inlineStr">
        <is>
          <t>I05</t>
        </is>
      </c>
      <c r="C17" s="1" t="inlineStr">
        <is>
          <t>Gross property &amp; equipment (EoP), YE25</t>
        </is>
      </c>
      <c r="D17" s="6" t="n">
        <v>981.8</v>
      </c>
      <c r="E17" t="inlineStr">
        <is>
          <t>$M</t>
        </is>
      </c>
      <c r="F17" t="inlineStr">
        <is>
          <t>2025-12-31</t>
        </is>
      </c>
      <c r="G17" t="inlineStr">
        <is>
          <t>point</t>
        </is>
      </c>
      <c r="H17" s="7" t="inlineStr">
        <is>
          <t>R</t>
        </is>
      </c>
      <c r="I17" t="inlineStr">
        <is>
          <t>Reported</t>
        </is>
      </c>
      <c r="J17" t="inlineStr"/>
      <c r="K17" t="inlineStr"/>
      <c r="L17" s="1" t="inlineStr">
        <is>
          <t>Nscale Ltd Form S-1 (filed 2026-09-18; CIK 0002110365). Local copy /workspace/nebius/comps_raw/nscale_s1.htm(.txt)</t>
        </is>
      </c>
      <c r="M17" t="inlineStr">
        <is>
          <t>2026-09-18</t>
        </is>
      </c>
      <c r="N17" t="inlineStr">
        <is>
          <t>https://www.sec.gov/Archives/edgar/data/2110365/000119312526395475/ck0002110365-20260918.htm</t>
        </is>
      </c>
      <c r="O17" s="1" t="inlineStr"/>
    </row>
    <row r="18">
      <c r="A18" t="inlineStr">
        <is>
          <t>N15</t>
        </is>
      </c>
      <c r="B18" t="inlineStr">
        <is>
          <t>I06</t>
        </is>
      </c>
      <c r="C18" s="1" t="inlineStr">
        <is>
          <t>Construction in progress (EoP)</t>
        </is>
      </c>
      <c r="D18" s="6" t="n">
        <v>4160</v>
      </c>
      <c r="E18" t="inlineStr">
        <is>
          <t>$M</t>
        </is>
      </c>
      <c r="F18" t="inlineStr">
        <is>
          <t>2026-06-30</t>
        </is>
      </c>
      <c r="G18" t="inlineStr">
        <is>
          <t>point</t>
        </is>
      </c>
      <c r="H18" s="7" t="inlineStr">
        <is>
          <t>R</t>
        </is>
      </c>
      <c r="I18" t="inlineStr">
        <is>
          <t>Reported</t>
        </is>
      </c>
      <c r="J18" t="inlineStr"/>
      <c r="K18" t="inlineStr"/>
      <c r="L18" s="1" t="inlineStr">
        <is>
          <t>Nscale Ltd Form S-1 (filed 2026-09-18; CIK 0002110365). Local copy /workspace/nebius/comps_raw/nscale_s1.htm(.txt)</t>
        </is>
      </c>
      <c r="M18" t="inlineStr">
        <is>
          <t>2026-09-18</t>
        </is>
      </c>
      <c r="N18" t="inlineStr">
        <is>
          <t>https://www.sec.gov/Archives/edgar/data/2110365/000119312526395475/ck0002110365-20260918.htm</t>
        </is>
      </c>
      <c r="O18" s="1" t="inlineStr">
        <is>
          <t>Dec-25: 680.3</t>
        </is>
      </c>
    </row>
    <row r="19">
      <c r="A19" t="inlineStr">
        <is>
          <t>N16</t>
        </is>
      </c>
      <c r="B19" t="inlineStr">
        <is>
          <t>I06</t>
        </is>
      </c>
      <c r="C19" s="1" t="inlineStr">
        <is>
          <t>Construction in progress (EoP), YE25</t>
        </is>
      </c>
      <c r="D19" s="6" t="n">
        <v>680.3</v>
      </c>
      <c r="E19" t="inlineStr">
        <is>
          <t>$M</t>
        </is>
      </c>
      <c r="F19" t="inlineStr">
        <is>
          <t>2025-12-31</t>
        </is>
      </c>
      <c r="G19" t="inlineStr">
        <is>
          <t>point</t>
        </is>
      </c>
      <c r="H19" s="7" t="inlineStr">
        <is>
          <t>R</t>
        </is>
      </c>
      <c r="I19" t="inlineStr">
        <is>
          <t>Reported</t>
        </is>
      </c>
      <c r="J19" t="inlineStr"/>
      <c r="K19" t="inlineStr"/>
      <c r="L19" s="1" t="inlineStr">
        <is>
          <t>Nscale Ltd Form S-1 (filed 2026-09-18; CIK 0002110365). Local copy /workspace/nebius/comps_raw/nscale_s1.htm(.txt)</t>
        </is>
      </c>
      <c r="M19" t="inlineStr">
        <is>
          <t>2026-09-18</t>
        </is>
      </c>
      <c r="N19" t="inlineStr">
        <is>
          <t>https://www.sec.gov/Archives/edgar/data/2110365/000119312526395475/ck0002110365-20260918.htm</t>
        </is>
      </c>
      <c r="O19" s="1" t="inlineStr"/>
    </row>
    <row r="20">
      <c r="A20" t="inlineStr">
        <is>
          <t>N17</t>
        </is>
      </c>
      <c r="B20" t="inlineStr">
        <is>
          <t>I07</t>
        </is>
      </c>
      <c r="C20" s="1" t="inlineStr">
        <is>
          <t>Property &amp; equipment, net (EoP)</t>
        </is>
      </c>
      <c r="D20" s="6" t="n">
        <v>5727.5</v>
      </c>
      <c r="E20" t="inlineStr">
        <is>
          <t>$M</t>
        </is>
      </c>
      <c r="F20" t="inlineStr">
        <is>
          <t>2026-06-30</t>
        </is>
      </c>
      <c r="G20" t="inlineStr">
        <is>
          <t>point</t>
        </is>
      </c>
      <c r="H20" s="7" t="inlineStr">
        <is>
          <t>R</t>
        </is>
      </c>
      <c r="I20" t="inlineStr">
        <is>
          <t>Reported</t>
        </is>
      </c>
      <c r="J20" t="inlineStr"/>
      <c r="K20" t="inlineStr"/>
      <c r="L20" s="1" t="inlineStr">
        <is>
          <t>Nscale Ltd Form S-1 (filed 2026-09-18; CIK 0002110365). Local copy /workspace/nebius/comps_raw/nscale_s1.htm(.txt)</t>
        </is>
      </c>
      <c r="M20" t="inlineStr">
        <is>
          <t>2026-09-18</t>
        </is>
      </c>
      <c r="N20" t="inlineStr">
        <is>
          <t>https://www.sec.gov/Archives/edgar/data/2110365/000119312526395475/ck0002110365-20260918.htm</t>
        </is>
      </c>
      <c r="O20" s="1" t="inlineStr">
        <is>
          <t>Dec-25: 938.0</t>
        </is>
      </c>
    </row>
    <row r="21">
      <c r="A21" t="inlineStr">
        <is>
          <t>N18</t>
        </is>
      </c>
      <c r="B21" t="inlineStr">
        <is>
          <t>I08</t>
        </is>
      </c>
      <c r="C21" s="1" t="inlineStr">
        <is>
          <t>Technology equipment, gross (EoP)</t>
        </is>
      </c>
      <c r="D21" s="6" t="n">
        <v>1306.5</v>
      </c>
      <c r="E21" t="inlineStr">
        <is>
          <t>$M</t>
        </is>
      </c>
      <c r="F21" t="inlineStr">
        <is>
          <t>2026-06-30</t>
        </is>
      </c>
      <c r="G21" t="inlineStr">
        <is>
          <t>point</t>
        </is>
      </c>
      <c r="H21" s="7" t="inlineStr">
        <is>
          <t>R</t>
        </is>
      </c>
      <c r="I21" t="inlineStr">
        <is>
          <t>Reported</t>
        </is>
      </c>
      <c r="J21" t="inlineStr"/>
      <c r="K21" t="inlineStr"/>
      <c r="L21" s="1" t="inlineStr">
        <is>
          <t>Nscale Ltd Form S-1 (filed 2026-09-18; CIK 0002110365). Local copy /workspace/nebius/comps_raw/nscale_s1.htm(.txt)</t>
        </is>
      </c>
      <c r="M21" t="inlineStr">
        <is>
          <t>2026-09-18</t>
        </is>
      </c>
      <c r="N21" t="inlineStr">
        <is>
          <t>https://www.sec.gov/Archives/edgar/data/2110365/000119312526395475/ck0002110365-20260918.htm</t>
        </is>
      </c>
      <c r="O21" s="1" t="inlineStr">
        <is>
          <t>Dec-25: 105.6; 'primarily relates to our GPU and related infrastructure assets'</t>
        </is>
      </c>
    </row>
    <row r="22">
      <c r="A22" t="inlineStr">
        <is>
          <t>N19</t>
        </is>
      </c>
      <c r="B22" t="inlineStr">
        <is>
          <t>I05S</t>
        </is>
      </c>
      <c r="C22" s="1" t="inlineStr">
        <is>
          <t>In-service gross PP&amp;E (gross - CIP)</t>
        </is>
      </c>
      <c r="D22" s="10">
        <f>D16-D18</f>
        <v/>
      </c>
      <c r="E22" t="inlineStr">
        <is>
          <t>$M</t>
        </is>
      </c>
      <c r="F22" t="inlineStr">
        <is>
          <t>2026-06-30</t>
        </is>
      </c>
      <c r="G22" t="inlineStr">
        <is>
          <t>point</t>
        </is>
      </c>
      <c r="H22" s="11" t="inlineStr">
        <is>
          <t>D</t>
        </is>
      </c>
      <c r="I22" t="inlineStr">
        <is>
          <t>Derived</t>
        </is>
      </c>
      <c r="J22" t="inlineStr"/>
      <c r="K22" t="inlineStr">
        <is>
          <t>{N13}-{N15}</t>
        </is>
      </c>
      <c r="L22" s="1" t="inlineStr">
        <is>
          <t>Nscale Ltd Form S-1 (filed 2026-09-18; CIK 0002110365). Local copy /workspace/nebius/comps_raw/nscale_s1.htm(.txt)</t>
        </is>
      </c>
      <c r="M22" t="inlineStr">
        <is>
          <t>2026-09-18</t>
        </is>
      </c>
      <c r="N22" t="inlineStr">
        <is>
          <t>https://www.sec.gov/Archives/edgar/data/2110365/000119312526395475/ck0002110365-20260918.htm</t>
        </is>
      </c>
      <c r="O22" s="1" t="inlineStr"/>
    </row>
    <row r="23">
      <c r="A23" t="inlineStr">
        <is>
          <t>N20</t>
        </is>
      </c>
      <c r="B23" t="inlineStr">
        <is>
          <t>I05S</t>
        </is>
      </c>
      <c r="C23" s="1" t="inlineStr">
        <is>
          <t>In-service gross PP&amp;E (gross - CIP), YE25</t>
        </is>
      </c>
      <c r="D23" s="10">
        <f>D17-D19</f>
        <v/>
      </c>
      <c r="E23" t="inlineStr">
        <is>
          <t>$M</t>
        </is>
      </c>
      <c r="F23" t="inlineStr">
        <is>
          <t>2025-12-31</t>
        </is>
      </c>
      <c r="G23" t="inlineStr">
        <is>
          <t>point</t>
        </is>
      </c>
      <c r="H23" s="11" t="inlineStr">
        <is>
          <t>D</t>
        </is>
      </c>
      <c r="I23" t="inlineStr">
        <is>
          <t>Derived</t>
        </is>
      </c>
      <c r="J23" t="inlineStr"/>
      <c r="K23" t="inlineStr">
        <is>
          <t>{N14}-{N16}</t>
        </is>
      </c>
      <c r="L23" s="1" t="inlineStr">
        <is>
          <t>Nscale Ltd Form S-1 (filed 2026-09-18; CIK 0002110365). Local copy /workspace/nebius/comps_raw/nscale_s1.htm(.txt)</t>
        </is>
      </c>
      <c r="M23" t="inlineStr">
        <is>
          <t>2026-09-18</t>
        </is>
      </c>
      <c r="N23" t="inlineStr">
        <is>
          <t>https://www.sec.gov/Archives/edgar/data/2110365/000119312526395475/ck0002110365-20260918.htm</t>
        </is>
      </c>
      <c r="O23" s="1" t="inlineStr"/>
    </row>
    <row r="24">
      <c r="A24" t="inlineStr">
        <is>
          <t>N21</t>
        </is>
      </c>
      <c r="B24" t="inlineStr">
        <is>
          <t>I09</t>
        </is>
      </c>
      <c r="C24" s="1" t="inlineStr">
        <is>
          <t>Active IT MW (sum of contracted IT MW at the 5 active sites)</t>
        </is>
      </c>
      <c r="D24" s="10">
        <f>30+6+5+15+25</f>
        <v/>
      </c>
      <c r="E24" t="inlineStr">
        <is>
          <t>IT MW</t>
        </is>
      </c>
      <c r="F24" t="inlineStr">
        <is>
          <t>2026-08-31</t>
        </is>
      </c>
      <c r="G24" t="inlineStr">
        <is>
          <t>point</t>
        </is>
      </c>
      <c r="H24" s="11" t="inlineStr">
        <is>
          <t>D</t>
        </is>
      </c>
      <c r="I24" t="inlineStr">
        <is>
          <t>Derived</t>
        </is>
      </c>
      <c r="J24" t="inlineStr"/>
      <c r="K24" t="inlineStr">
        <is>
          <t>30+6+5+15+25</t>
        </is>
      </c>
      <c r="L24" s="1" t="inlineStr">
        <is>
          <t>Nscale Ltd Form S-1 (filed 2026-09-18; CIK 0002110365). Local copy /workspace/nebius/comps_raw/nscale_s1.htm(.txt)</t>
        </is>
      </c>
      <c r="M24" t="inlineStr">
        <is>
          <t>2026-09-18</t>
        </is>
      </c>
      <c r="N24" t="inlineStr">
        <is>
          <t>https://www.sec.gov/Archives/edgar/data/2110365/000119312526395475/ck0002110365-20260918.htm</t>
        </is>
      </c>
      <c r="O24" s="1" t="inlineStr">
        <is>
          <t>Facilities table: Portugal colo 30 + Norway colo 6 + Norway colo 5 + Iceland colo 15 + Norway owned 25. 'Active capacity' is DEFINED but not quantified in the S-1; this site sum is an UPPER BOUND on live MW</t>
        </is>
      </c>
    </row>
    <row r="25">
      <c r="A25" t="inlineStr">
        <is>
          <t>N22</t>
        </is>
      </c>
      <c r="B25" t="inlineStr">
        <is>
          <t>I10</t>
        </is>
      </c>
      <c r="C25" s="1" t="inlineStr">
        <is>
          <t>Active + contracted IT MW</t>
        </is>
      </c>
      <c r="D25" s="6" t="n">
        <v>1370</v>
      </c>
      <c r="E25" t="inlineStr">
        <is>
          <t>IT MW</t>
        </is>
      </c>
      <c r="F25" t="inlineStr">
        <is>
          <t>2026-08-31</t>
        </is>
      </c>
      <c r="G25" t="inlineStr">
        <is>
          <t>point</t>
        </is>
      </c>
      <c r="H25" s="7" t="inlineStr">
        <is>
          <t>R</t>
        </is>
      </c>
      <c r="I25" t="inlineStr">
        <is>
          <t>Reported</t>
        </is>
      </c>
      <c r="J25" t="inlineStr"/>
      <c r="K25" t="inlineStr"/>
      <c r="L25" s="1" t="inlineStr">
        <is>
          <t>Nscale Ltd Form S-1 (filed 2026-09-18; CIK 0002110365). Local copy /workspace/nebius/comps_raw/nscale_s1.htm(.txt)</t>
        </is>
      </c>
      <c r="M25" t="inlineStr">
        <is>
          <t>2026-09-18</t>
        </is>
      </c>
      <c r="N25" t="inlineStr">
        <is>
          <t>https://www.sec.gov/Archives/edgar/data/2110365/000119312526395475/ck0002110365-20260918.htm</t>
        </is>
      </c>
      <c r="O25" s="1" t="inlineStr">
        <is>
          <t>'approximately 1.37 GW' = 1 GW owned + 200 MW leased + 165 MW colo; 17 sites (5 active, 12 contracted)</t>
        </is>
      </c>
    </row>
    <row r="26">
      <c r="A26" t="inlineStr">
        <is>
          <t>N23</t>
        </is>
      </c>
      <c r="B26" t="inlineStr">
        <is>
          <t>I10</t>
        </is>
      </c>
      <c r="C26" s="1" t="inlineStr">
        <is>
          <t>Contracted, not yet active IT MW</t>
        </is>
      </c>
      <c r="D26" s="10">
        <f>D25-D24</f>
        <v/>
      </c>
      <c r="E26" t="inlineStr">
        <is>
          <t>IT MW</t>
        </is>
      </c>
      <c r="F26" t="inlineStr">
        <is>
          <t>2026-08-31</t>
        </is>
      </c>
      <c r="G26" t="inlineStr">
        <is>
          <t>point</t>
        </is>
      </c>
      <c r="H26" s="11" t="inlineStr">
        <is>
          <t>D</t>
        </is>
      </c>
      <c r="I26" t="inlineStr">
        <is>
          <t>Derived</t>
        </is>
      </c>
      <c r="J26" t="inlineStr"/>
      <c r="K26" t="inlineStr">
        <is>
          <t>{N22}-{N21}</t>
        </is>
      </c>
      <c r="L26" s="1" t="inlineStr">
        <is>
          <t>Nscale Ltd Form S-1 (filed 2026-09-18; CIK 0002110365). Local copy /workspace/nebius/comps_raw/nscale_s1.htm(.txt)</t>
        </is>
      </c>
      <c r="M26" t="inlineStr">
        <is>
          <t>2026-09-18</t>
        </is>
      </c>
      <c r="N26" t="inlineStr">
        <is>
          <t>https://www.sec.gov/Archives/edgar/data/2110365/000119312526395475/ck0002110365-20260918.htm</t>
        </is>
      </c>
      <c r="O26" s="1" t="inlineStr"/>
    </row>
    <row r="27">
      <c r="A27" t="inlineStr">
        <is>
          <t>N24</t>
        </is>
      </c>
      <c r="B27" t="inlineStr">
        <is>
          <t>PX02</t>
        </is>
      </c>
      <c r="C27" s="1" t="inlineStr">
        <is>
          <t>Potential power capacity (line of sight)</t>
        </is>
      </c>
      <c r="D27" s="6" t="n">
        <v>10000</v>
      </c>
      <c r="E27" t="inlineStr">
        <is>
          <t>MW</t>
        </is>
      </c>
      <c r="F27" t="inlineStr">
        <is>
          <t>2026-08-31</t>
        </is>
      </c>
      <c r="G27" t="inlineStr">
        <is>
          <t>point</t>
        </is>
      </c>
      <c r="H27" s="7" t="inlineStr">
        <is>
          <t>R</t>
        </is>
      </c>
      <c r="I27" t="inlineStr">
        <is>
          <t>Reported</t>
        </is>
      </c>
      <c r="J27" t="inlineStr"/>
      <c r="K27" t="inlineStr"/>
      <c r="L27" s="1" t="inlineStr">
        <is>
          <t>Nscale Ltd Form S-1 (filed 2026-09-18; CIK 0002110365). Local copy /workspace/nebius/comps_raw/nscale_s1.htm(.txt)</t>
        </is>
      </c>
      <c r="M27" t="inlineStr">
        <is>
          <t>2026-09-18</t>
        </is>
      </c>
      <c r="N27" t="inlineStr">
        <is>
          <t>https://www.sec.gov/Archives/edgar/data/2110365/000119312526395475/ck0002110365-20260918.htm</t>
        </is>
      </c>
      <c r="O27" s="1" t="inlineStr">
        <is>
          <t>'line of sight to approximately 10 GW of potential power capacity'</t>
        </is>
      </c>
    </row>
    <row r="28">
      <c r="A28" t="inlineStr">
        <is>
          <t>N25</t>
        </is>
      </c>
      <c r="B28" t="inlineStr">
        <is>
          <t>PX02</t>
        </is>
      </c>
      <c r="C28" s="1" t="inlineStr">
        <is>
          <t>Monarch Compute Campus (WV) initial phase, IT MW (expected H1'28)</t>
        </is>
      </c>
      <c r="D28" s="6" t="n">
        <v>1370</v>
      </c>
      <c r="E28" t="inlineStr">
        <is>
          <t>IT MW</t>
        </is>
      </c>
      <c r="F28" t="inlineStr">
        <is>
          <t>2026-03-31</t>
        </is>
      </c>
      <c r="G28" t="inlineStr">
        <is>
          <t>point</t>
        </is>
      </c>
      <c r="H28" s="7" t="inlineStr">
        <is>
          <t>R</t>
        </is>
      </c>
      <c r="I28" t="inlineStr">
        <is>
          <t>Reported</t>
        </is>
      </c>
      <c r="J28" t="inlineStr"/>
      <c r="K28" t="inlineStr"/>
      <c r="L28" s="1" t="inlineStr">
        <is>
          <t>Nscale Ltd Form S-1 (filed 2026-09-18; CIK 0002110365). Local copy /workspace/nebius/comps_raw/nscale_s1.htm(.txt)</t>
        </is>
      </c>
      <c r="M28" t="inlineStr">
        <is>
          <t>2026-09-18</t>
        </is>
      </c>
      <c r="N28" t="inlineStr">
        <is>
          <t>https://www.sec.gov/Archives/edgar/data/2110365/000119312526395475/ck0002110365-20260918.htm</t>
        </is>
      </c>
      <c r="O28" s="1" t="inlineStr">
        <is>
          <t>Initial 2 GW gross / 1.37 GW IT by H1 2028; ~8 GW gross by 2031. Only 460 MW of it in contracted table; do not add to N22. Site status: see N60-N63 + peers/sites/</t>
        </is>
      </c>
    </row>
    <row r="29">
      <c r="A29" t="inlineStr">
        <is>
          <t>N60</t>
        </is>
      </c>
      <c r="B29" t="inlineStr">
        <is>
          <t>PX02</t>
        </is>
      </c>
      <c r="C29" s="1" t="inlineStr">
        <is>
          <t>Monarch WV - contracted IT MW (S-1 facilities table / Anthropic slice)</t>
        </is>
      </c>
      <c r="D29" s="6" t="n">
        <v>460</v>
      </c>
      <c r="E29" t="inlineStr">
        <is>
          <t>IT MW</t>
        </is>
      </c>
      <c r="F29" t="inlineStr">
        <is>
          <t>2026-08-31</t>
        </is>
      </c>
      <c r="G29" t="inlineStr">
        <is>
          <t>point</t>
        </is>
      </c>
      <c r="H29" s="7" t="inlineStr">
        <is>
          <t>R</t>
        </is>
      </c>
      <c r="I29" t="inlineStr">
        <is>
          <t>Reported</t>
        </is>
      </c>
      <c r="J29" t="inlineStr"/>
      <c r="K29" t="inlineStr"/>
      <c r="L29" s="1" t="inlineStr">
        <is>
          <t>Nscale Ltd Form S-1 (filed 2026-09-18; CIK 0002110365). Local copy /workspace/nebius/comps_raw/nscale_s1.htm(.txt)</t>
        </is>
      </c>
      <c r="M29" t="inlineStr">
        <is>
          <t>2026-09-18</t>
        </is>
      </c>
      <c r="N29" t="inlineStr">
        <is>
          <t>https://www.sec.gov/Archives/edgar/data/2110365/000119312526395475/ck0002110365-20260918.htm</t>
        </is>
      </c>
      <c r="O29" s="1" t="inlineStr">
        <is>
          <t>US Owned Tier 3 Contracted 460 MW in S-1 facilities table (= Anthropic Monarch slice). Part of N22; not additive.</t>
        </is>
      </c>
    </row>
    <row r="30">
      <c r="A30" t="inlineStr">
        <is>
          <t>N61</t>
        </is>
      </c>
      <c r="B30" t="inlineStr">
        <is>
          <t>I09</t>
        </is>
      </c>
      <c r="C30" s="1" t="inlineStr">
        <is>
          <t>Monarch WV - evidenced-active IT MW (Peer KPIs site pack)</t>
        </is>
      </c>
      <c r="D30" s="6" t="n">
        <v>0</v>
      </c>
      <c r="E30" t="inlineStr">
        <is>
          <t>IT MW</t>
        </is>
      </c>
      <c r="F30" t="inlineStr">
        <is>
          <t>2026-10-05</t>
        </is>
      </c>
      <c r="G30" t="inlineStr">
        <is>
          <t>point</t>
        </is>
      </c>
      <c r="H30" s="7" t="inlineStr">
        <is>
          <t>R</t>
        </is>
      </c>
      <c r="I30" t="inlineStr">
        <is>
          <t>Reported</t>
        </is>
      </c>
      <c r="J30" t="inlineStr"/>
      <c r="K30" t="inlineStr"/>
      <c r="L30" s="1" t="inlineStr">
        <is>
          <t>Peer site verification: Monarch Compute Campus, Mason County WV (Point Pleasant). /workspace/nebius/peers/sites/site_verification.md §7 + sites.xlsx. Active 0; contracted 460 IT MW; Grade Yellow (460 H1'28) / Yellow-Red (1.37 GW). Off-grid gas microgrid; air permit R14-0042 draft; Anthropic financing uncommitted.</t>
        </is>
      </c>
      <c r="M30" t="inlineStr">
        <is>
          <t>2026-10-05</t>
        </is>
      </c>
      <c r="N30" t="inlineStr">
        <is>
          <t>local:/workspace/nebius/peers/sites/</t>
        </is>
      </c>
      <c r="O30" s="1" t="inlineStr">
        <is>
          <t>Sentinel-2 through 2026-09-25: civil/grading only (~85-100 ha bare); no hall roofs. Site manager 2026-09-20: about to go vertical. Active = 0.</t>
        </is>
      </c>
    </row>
    <row r="31">
      <c r="A31" t="inlineStr">
        <is>
          <t>N62</t>
        </is>
      </c>
      <c r="B31" t="inlineStr">
        <is>
          <t>PX10</t>
        </is>
      </c>
      <c r="C31" s="1" t="inlineStr">
        <is>
          <t>Monarch WV - Anthropic contract ACV per IT MW (assumes 6-yr press term)</t>
        </is>
      </c>
      <c r="D31" s="14">
        <f>D42*1000/6/D29</f>
        <v/>
      </c>
      <c r="E31" t="inlineStr">
        <is>
          <t>$M/MW-yr</t>
        </is>
      </c>
      <c r="F31" t="inlineStr">
        <is>
          <t>2026-08-25</t>
        </is>
      </c>
      <c r="G31" t="inlineStr">
        <is>
          <t>contract avg</t>
        </is>
      </c>
      <c r="H31" s="15" t="inlineStr">
        <is>
          <t>E</t>
        </is>
      </c>
      <c r="I31" t="inlineStr">
        <is>
          <t>Estimated</t>
        </is>
      </c>
      <c r="J31" t="inlineStr">
        <is>
          <t>P</t>
        </is>
      </c>
      <c r="K31" t="inlineStr">
        <is>
          <t>{N35}*1000/6/{N60}</t>
        </is>
      </c>
      <c r="L31" s="1" t="inlineStr">
        <is>
          <t>Nscale Ltd Form S-1 (filed 2026-09-18; CIK 0002110365). Local copy /workspace/nebius/comps_raw/nscale_s1.htm(.txt)</t>
        </is>
      </c>
      <c r="M31" t="inlineStr">
        <is>
          <t>2026-09-18</t>
        </is>
      </c>
      <c r="N31" t="inlineStr">
        <is>
          <t>https://www.sec.gov/Archives/edgar/data/2110365/000119312526395475/ck0002110365-20260918.htm</t>
        </is>
      </c>
      <c r="O31" s="1" t="inlineStr">
        <is>
          <t>= 44,600 / 6 / 460. S-1 states $44.6B 'up to' and four tranches but not the term years; 6 yrs is press (Bloomberg/Reuters via WV MetroNews). Financing NOT committed.</t>
        </is>
      </c>
    </row>
    <row r="32">
      <c r="A32" t="inlineStr">
        <is>
          <t>N63</t>
        </is>
      </c>
      <c r="B32" t="inlineStr">
        <is>
          <t>PX02</t>
        </is>
      </c>
      <c r="C32" s="1" t="inlineStr">
        <is>
          <t>Monarch WV - site grade (Peer KPIs)</t>
        </is>
      </c>
      <c r="D32" s="6" t="inlineStr">
        <is>
          <t>Yellow (460 H1'28) / Yellow-Red (1.37 GW)</t>
        </is>
      </c>
      <c r="E32" t="inlineStr">
        <is>
          <t>text</t>
        </is>
      </c>
      <c r="F32" t="inlineStr">
        <is>
          <t>2026-10-05</t>
        </is>
      </c>
      <c r="G32" t="inlineStr">
        <is>
          <t>point</t>
        </is>
      </c>
      <c r="H32" s="7" t="inlineStr">
        <is>
          <t>R</t>
        </is>
      </c>
      <c r="I32" t="inlineStr">
        <is>
          <t>Reported</t>
        </is>
      </c>
      <c r="J32" t="inlineStr"/>
      <c r="K32" t="inlineStr"/>
      <c r="L32" s="1" t="inlineStr">
        <is>
          <t>Peer site verification: Monarch Compute Campus, Mason County WV (Point Pleasant). /workspace/nebius/peers/sites/site_verification.md §7 + sites.xlsx. Active 0; contracted 460 IT MW; Grade Yellow (460 H1'28) / Yellow-Red (1.37 GW). Off-grid gas microgrid; air permit R14-0042 draft; Anthropic financing uncommitted.</t>
        </is>
      </c>
      <c r="M32" t="inlineStr">
        <is>
          <t>2026-10-05</t>
        </is>
      </c>
      <c r="N32" t="inlineStr">
        <is>
          <t>local:/workspace/nebius/peers/sites/</t>
        </is>
      </c>
      <c r="O32" s="1" t="inlineStr">
        <is>
          <t>Off-grid gas (864x2.5 MW RICE); WVDEP air R14-0042 DRAFT (not final); High Impact certification 2026-09-03; land option at April permit filing. See peers/sites/site_verification.md §7.</t>
        </is>
      </c>
    </row>
    <row r="33">
      <c r="A33" t="inlineStr">
        <is>
          <t>N26</t>
        </is>
      </c>
      <c r="B33" t="inlineStr">
        <is>
          <t>I11</t>
        </is>
      </c>
      <c r="C33" s="1" t="inlineStr">
        <is>
          <t>Active GPUs</t>
        </is>
      </c>
      <c r="D33" s="6" t="n">
        <v>25000</v>
      </c>
      <c r="E33" t="inlineStr">
        <is>
          <t>GPUs</t>
        </is>
      </c>
      <c r="F33" t="inlineStr">
        <is>
          <t>2026-08-31</t>
        </is>
      </c>
      <c r="G33" t="inlineStr">
        <is>
          <t>point</t>
        </is>
      </c>
      <c r="H33" s="7" t="inlineStr">
        <is>
          <t>R</t>
        </is>
      </c>
      <c r="I33" t="inlineStr">
        <is>
          <t>Reported</t>
        </is>
      </c>
      <c r="J33" t="inlineStr"/>
      <c r="K33" t="inlineStr"/>
      <c r="L33" s="1" t="inlineStr">
        <is>
          <t>Nscale Ltd Form S-1 (filed 2026-09-18; CIK 0002110365). Local copy /workspace/nebius/comps_raw/nscale_s1.htm(.txt)</t>
        </is>
      </c>
      <c r="M33" t="inlineStr">
        <is>
          <t>2026-09-18</t>
        </is>
      </c>
      <c r="N33" t="inlineStr">
        <is>
          <t>https://www.sec.gov/Archives/edgar/data/2110365/000119312526395475/ck0002110365-20260918.htm</t>
        </is>
      </c>
      <c r="O33" s="1" t="inlineStr">
        <is>
          <t>'approximately 25,000 active GPUs'</t>
        </is>
      </c>
    </row>
    <row r="34">
      <c r="A34" t="inlineStr">
        <is>
          <t>N27</t>
        </is>
      </c>
      <c r="B34" t="inlineStr">
        <is>
          <t>PX04</t>
        </is>
      </c>
      <c r="C34" s="1" t="inlineStr">
        <is>
          <t>Active + contracted GPUs</t>
        </is>
      </c>
      <c r="D34" s="6" t="n">
        <v>461000</v>
      </c>
      <c r="E34" t="inlineStr">
        <is>
          <t>GPUs</t>
        </is>
      </c>
      <c r="F34" t="inlineStr">
        <is>
          <t>2026-08-31</t>
        </is>
      </c>
      <c r="G34" t="inlineStr">
        <is>
          <t>point</t>
        </is>
      </c>
      <c r="H34" s="7" t="inlineStr">
        <is>
          <t>R</t>
        </is>
      </c>
      <c r="I34" t="inlineStr">
        <is>
          <t>Reported</t>
        </is>
      </c>
      <c r="J34" t="inlineStr"/>
      <c r="K34" t="inlineStr"/>
      <c r="L34" s="1" t="inlineStr">
        <is>
          <t>Nscale Ltd Form S-1 (filed 2026-09-18; CIK 0002110365). Local copy /workspace/nebius/comps_raw/nscale_s1.htm(.txt)</t>
        </is>
      </c>
      <c r="M34" t="inlineStr">
        <is>
          <t>2026-09-18</t>
        </is>
      </c>
      <c r="N34" t="inlineStr">
        <is>
          <t>https://www.sec.gov/Archives/edgar/data/2110365/000119312526395475/ck0002110365-20260918.htm</t>
        </is>
      </c>
      <c r="O34" s="1" t="inlineStr"/>
    </row>
    <row r="35">
      <c r="A35" t="inlineStr">
        <is>
          <t>N28</t>
        </is>
      </c>
      <c r="B35" t="inlineStr">
        <is>
          <t>PX05</t>
        </is>
      </c>
      <c r="C35" s="1" t="inlineStr">
        <is>
          <t>Weighted average contract life</t>
        </is>
      </c>
      <c r="D35" s="6" t="n">
        <v>5.7</v>
      </c>
      <c r="E35" t="inlineStr">
        <is>
          <t>years</t>
        </is>
      </c>
      <c r="F35" t="inlineStr">
        <is>
          <t>2026-08-31</t>
        </is>
      </c>
      <c r="G35" t="inlineStr">
        <is>
          <t>point</t>
        </is>
      </c>
      <c r="H35" s="7" t="inlineStr">
        <is>
          <t>R</t>
        </is>
      </c>
      <c r="I35" t="inlineStr">
        <is>
          <t>Reported</t>
        </is>
      </c>
      <c r="J35" t="inlineStr"/>
      <c r="K35" t="inlineStr"/>
      <c r="L35" s="1" t="inlineStr">
        <is>
          <t>Nscale Ltd Form S-1 (filed 2026-09-18; CIK 0002110365). Local copy /workspace/nebius/comps_raw/nscale_s1.htm(.txt)</t>
        </is>
      </c>
      <c r="M35" t="inlineStr">
        <is>
          <t>2026-09-18</t>
        </is>
      </c>
      <c r="N35" t="inlineStr">
        <is>
          <t>https://www.sec.gov/Archives/edgar/data/2110365/000119312526395475/ck0002110365-20260918.htm</t>
        </is>
      </c>
      <c r="O35" s="1" t="inlineStr">
        <is>
          <t>Take-or-pay; terms commence on delivery</t>
        </is>
      </c>
    </row>
    <row r="36">
      <c r="A36" t="inlineStr">
        <is>
          <t>N29</t>
        </is>
      </c>
      <c r="B36" t="inlineStr">
        <is>
          <t>PX05</t>
        </is>
      </c>
      <c r="C36" s="1" t="inlineStr">
        <is>
          <t>Weighted-average customer prepayment (% of TCV)</t>
        </is>
      </c>
      <c r="D36" s="6" t="n">
        <v>23</v>
      </c>
      <c r="E36" t="inlineStr">
        <is>
          <t>%</t>
        </is>
      </c>
      <c r="F36" t="inlineStr">
        <is>
          <t>2026-08-31</t>
        </is>
      </c>
      <c r="G36" t="inlineStr">
        <is>
          <t>point</t>
        </is>
      </c>
      <c r="H36" s="7" t="inlineStr">
        <is>
          <t>R</t>
        </is>
      </c>
      <c r="I36" t="inlineStr">
        <is>
          <t>Reported</t>
        </is>
      </c>
      <c r="J36" t="inlineStr"/>
      <c r="K36" t="inlineStr"/>
      <c r="L36" s="1" t="inlineStr">
        <is>
          <t>Nscale Ltd Form S-1 (filed 2026-09-18; CIK 0002110365). Local copy /workspace/nebius/comps_raw/nscale_s1.htm(.txt)</t>
        </is>
      </c>
      <c r="M36" t="inlineStr">
        <is>
          <t>2026-09-18</t>
        </is>
      </c>
      <c r="N36" t="inlineStr">
        <is>
          <t>https://www.sec.gov/Archives/edgar/data/2110365/000119312526395475/ck0002110365-20260918.htm</t>
        </is>
      </c>
      <c r="O36" s="1" t="inlineStr"/>
    </row>
    <row r="37">
      <c r="A37" t="inlineStr">
        <is>
          <t>N30</t>
        </is>
      </c>
      <c r="B37" t="inlineStr">
        <is>
          <t>I14</t>
        </is>
      </c>
      <c r="C37" s="1" t="inlineStr">
        <is>
          <t>RPO (ASC 606, EoP)</t>
        </is>
      </c>
      <c r="D37" s="6" t="n">
        <v>56.4</v>
      </c>
      <c r="E37" t="inlineStr">
        <is>
          <t>$B</t>
        </is>
      </c>
      <c r="F37" t="inlineStr">
        <is>
          <t>2026-06-30</t>
        </is>
      </c>
      <c r="G37" t="inlineStr">
        <is>
          <t>point</t>
        </is>
      </c>
      <c r="H37" s="7" t="inlineStr">
        <is>
          <t>R</t>
        </is>
      </c>
      <c r="I37" t="inlineStr">
        <is>
          <t>Reported</t>
        </is>
      </c>
      <c r="J37" t="inlineStr"/>
      <c r="K37" t="inlineStr"/>
      <c r="L37" s="1" t="inlineStr">
        <is>
          <t>Nscale Ltd Form S-1 (filed 2026-09-18; CIK 0002110365). Local copy /workspace/nebius/comps_raw/nscale_s1.htm(.txt)</t>
        </is>
      </c>
      <c r="M37" t="inlineStr">
        <is>
          <t>2026-09-18</t>
        </is>
      </c>
      <c r="N37" t="inlineStr">
        <is>
          <t>https://www.sec.gov/Archives/edgar/data/2110365/000119312526395475/ck0002110365-20260918.htm</t>
        </is>
      </c>
      <c r="O37" s="1" t="inlineStr">
        <is>
          <t>Incl. $7.1B significant financing component; recognized over ~7 years</t>
        </is>
      </c>
    </row>
    <row r="38">
      <c r="A38" t="inlineStr">
        <is>
          <t>N31</t>
        </is>
      </c>
      <c r="B38" t="inlineStr">
        <is>
          <t>I14</t>
        </is>
      </c>
      <c r="C38" s="1" t="inlineStr">
        <is>
          <t>RPO (ASC 606), YE25</t>
        </is>
      </c>
      <c r="D38" s="6" t="n">
        <v>34.5</v>
      </c>
      <c r="E38" t="inlineStr">
        <is>
          <t>$B</t>
        </is>
      </c>
      <c r="F38" t="inlineStr">
        <is>
          <t>2025-12-31</t>
        </is>
      </c>
      <c r="G38" t="inlineStr">
        <is>
          <t>point</t>
        </is>
      </c>
      <c r="H38" s="7" t="inlineStr">
        <is>
          <t>R</t>
        </is>
      </c>
      <c r="I38" t="inlineStr">
        <is>
          <t>Reported</t>
        </is>
      </c>
      <c r="J38" t="inlineStr"/>
      <c r="K38" t="inlineStr"/>
      <c r="L38" s="1" t="inlineStr">
        <is>
          <t>Nscale Ltd Form S-1 (filed 2026-09-18; CIK 0002110365). Local copy /workspace/nebius/comps_raw/nscale_s1.htm(.txt)</t>
        </is>
      </c>
      <c r="M38" t="inlineStr">
        <is>
          <t>2026-09-18</t>
        </is>
      </c>
      <c r="N38" t="inlineStr">
        <is>
          <t>https://www.sec.gov/Archives/edgar/data/2110365/000119312526395475/ck0002110365-20260918.htm</t>
        </is>
      </c>
      <c r="O38" s="1" t="inlineStr">
        <is>
          <t>Incl. $4.6B SFC</t>
        </is>
      </c>
    </row>
    <row r="39">
      <c r="A39" t="inlineStr">
        <is>
          <t>N32</t>
        </is>
      </c>
      <c r="B39" t="inlineStr">
        <is>
          <t>I16</t>
        </is>
      </c>
      <c r="C39" s="1" t="inlineStr">
        <is>
          <t>RPO % expected within 24 months (YE25)</t>
        </is>
      </c>
      <c r="D39" s="6" t="n">
        <v>16</v>
      </c>
      <c r="E39" t="inlineStr">
        <is>
          <t>%</t>
        </is>
      </c>
      <c r="F39" t="inlineStr">
        <is>
          <t>2025-12-31</t>
        </is>
      </c>
      <c r="G39" t="inlineStr">
        <is>
          <t>point</t>
        </is>
      </c>
      <c r="H39" s="7" t="inlineStr">
        <is>
          <t>R</t>
        </is>
      </c>
      <c r="I39" t="inlineStr">
        <is>
          <t>Reported</t>
        </is>
      </c>
      <c r="J39" t="inlineStr"/>
      <c r="K39" t="inlineStr"/>
      <c r="L39" s="1" t="inlineStr">
        <is>
          <t>Nscale Ltd Form S-1 (filed 2026-09-18; CIK 0002110365). Local copy /workspace/nebius/comps_raw/nscale_s1.htm(.txt)</t>
        </is>
      </c>
      <c r="M39" t="inlineStr">
        <is>
          <t>2026-09-18</t>
        </is>
      </c>
      <c r="N39" t="inlineStr">
        <is>
          <t>https://www.sec.gov/Archives/edgar/data/2110365/000119312526395475/ck0002110365-20260918.htm</t>
        </is>
      </c>
      <c r="O39" s="1" t="inlineStr">
        <is>
          <t>+40% in years 3-4; not disclosed for 6/30/26</t>
        </is>
      </c>
    </row>
    <row r="40">
      <c r="A40" t="inlineStr">
        <is>
          <t>N33</t>
        </is>
      </c>
      <c r="B40" t="inlineStr">
        <is>
          <t>I15</t>
        </is>
      </c>
      <c r="C40" s="1" t="inlineStr">
        <is>
          <t>Total contract value, active + contracted (company metric)</t>
        </is>
      </c>
      <c r="D40" s="6" t="n">
        <v>103.4</v>
      </c>
      <c r="E40" t="inlineStr">
        <is>
          <t>$B</t>
        </is>
      </c>
      <c r="F40" t="inlineStr">
        <is>
          <t>2026-08-31</t>
        </is>
      </c>
      <c r="G40" t="inlineStr">
        <is>
          <t>point</t>
        </is>
      </c>
      <c r="H40" s="7" t="inlineStr">
        <is>
          <t>R</t>
        </is>
      </c>
      <c r="I40" t="inlineStr">
        <is>
          <t>Reported</t>
        </is>
      </c>
      <c r="J40" t="inlineStr"/>
      <c r="K40" t="inlineStr"/>
      <c r="L40" s="1" t="inlineStr">
        <is>
          <t>Nscale Ltd Form S-1 (filed 2026-09-18; CIK 0002110365). Local copy /workspace/nebius/comps_raw/nscale_s1.htm(.txt)</t>
        </is>
      </c>
      <c r="M40" t="inlineStr">
        <is>
          <t>2026-09-18</t>
        </is>
      </c>
      <c r="N40" t="inlineStr">
        <is>
          <t>https://www.sec.gov/Archives/edgar/data/2110365/000119312526395475/ck0002110365-20260918.htm</t>
        </is>
      </c>
      <c r="O40" s="1" t="inlineStr">
        <is>
          <t>Excl. extensions/renewals/SFC; Dec-31-2025 $38.0B. NOT ASC 606 RPO</t>
        </is>
      </c>
    </row>
    <row r="41">
      <c r="A41" t="inlineStr">
        <is>
          <t>N34</t>
        </is>
      </c>
      <c r="B41" t="inlineStr">
        <is>
          <t>PX12</t>
        </is>
      </c>
      <c r="C41" s="1" t="inlineStr">
        <is>
          <t>Microsoft statements of work (Sep-2025 to Apr-2026)</t>
        </is>
      </c>
      <c r="D41" s="6" t="n">
        <v>43.8</v>
      </c>
      <c r="E41" t="inlineStr">
        <is>
          <t>$B</t>
        </is>
      </c>
      <c r="F41" t="inlineStr">
        <is>
          <t>2026-04-30</t>
        </is>
      </c>
      <c r="G41" t="inlineStr">
        <is>
          <t>signed Sep-25..Apr-26</t>
        </is>
      </c>
      <c r="H41" s="7" t="inlineStr">
        <is>
          <t>R</t>
        </is>
      </c>
      <c r="I41" t="inlineStr">
        <is>
          <t>Reported</t>
        </is>
      </c>
      <c r="J41" t="inlineStr"/>
      <c r="K41" t="inlineStr"/>
      <c r="L41" s="1" t="inlineStr">
        <is>
          <t>Nscale Ltd Form S-1 (filed 2026-09-18; CIK 0002110365). Local copy /workspace/nebius/comps_raw/nscale_s1.htm(.txt)</t>
        </is>
      </c>
      <c r="M41" t="inlineStr">
        <is>
          <t>2026-09-18</t>
        </is>
      </c>
      <c r="N41" t="inlineStr">
        <is>
          <t>https://www.sec.gov/Archives/edgar/data/2110365/000119312526395475/ck0002110365-20260918.htm</t>
        </is>
      </c>
      <c r="O41" s="1" t="inlineStr">
        <is>
          <t>'up to approximately $43.8 billion through December 2033'; 5-6 yr GPU terms; Microsoft took OpenAI's Stargate Norway capacity after OpenAI withdrew (Apr-2026)</t>
        </is>
      </c>
    </row>
    <row r="42">
      <c r="A42" t="inlineStr">
        <is>
          <t>N35</t>
        </is>
      </c>
      <c r="B42" t="inlineStr">
        <is>
          <t>PX12</t>
        </is>
      </c>
      <c r="C42" s="1" t="inlineStr">
        <is>
          <t>Anthropic GPU Services Agreements (Monarch, Vera Rubin NVL72)</t>
        </is>
      </c>
      <c r="D42" s="6" t="n">
        <v>44.6</v>
      </c>
      <c r="E42" t="inlineStr">
        <is>
          <t>$B</t>
        </is>
      </c>
      <c r="F42" t="inlineStr">
        <is>
          <t>2026-08-25</t>
        </is>
      </c>
      <c r="G42" t="inlineStr">
        <is>
          <t>signed 2026-08-25</t>
        </is>
      </c>
      <c r="H42" s="7" t="inlineStr">
        <is>
          <t>R</t>
        </is>
      </c>
      <c r="I42" t="inlineStr">
        <is>
          <t>Reported</t>
        </is>
      </c>
      <c r="J42" t="inlineStr"/>
      <c r="K42" t="inlineStr"/>
      <c r="L42" s="1" t="inlineStr">
        <is>
          <t>Nscale Ltd Form S-1 (filed 2026-09-18; CIK 0002110365). Local copy /workspace/nebius/comps_raw/nscale_s1.htm(.txt)</t>
        </is>
      </c>
      <c r="M42" t="inlineStr">
        <is>
          <t>2026-09-18</t>
        </is>
      </c>
      <c r="N42" t="inlineStr">
        <is>
          <t>https://www.sec.gov/Archives/edgar/data/2110365/000119312526395475/ck0002110365-20260918.htm</t>
        </is>
      </c>
      <c r="O42" s="1" t="inlineStr">
        <is>
          <t>'up to approximately $44.6 billion'; four tranches; financing NOT yet committed; delivery/uptime termination rights</t>
        </is>
      </c>
    </row>
    <row r="43">
      <c r="A43" t="inlineStr">
        <is>
          <t>N36</t>
        </is>
      </c>
      <c r="B43" t="inlineStr">
        <is>
          <t>PX12</t>
        </is>
      </c>
      <c r="C43" s="1" t="inlineStr">
        <is>
          <t>NVIDIA master cloud services agreement</t>
        </is>
      </c>
      <c r="D43" s="6" t="n">
        <v>1.2</v>
      </c>
      <c r="E43" t="inlineStr">
        <is>
          <t>$B</t>
        </is>
      </c>
      <c r="F43" t="inlineStr">
        <is>
          <t>2025-07-31</t>
        </is>
      </c>
      <c r="G43" t="inlineStr">
        <is>
          <t>signed Jul-2025</t>
        </is>
      </c>
      <c r="H43" s="7" t="inlineStr">
        <is>
          <t>R</t>
        </is>
      </c>
      <c r="I43" t="inlineStr">
        <is>
          <t>Reported</t>
        </is>
      </c>
      <c r="J43" t="inlineStr"/>
      <c r="K43" t="inlineStr"/>
      <c r="L43" s="1" t="inlineStr">
        <is>
          <t>Nscale Ltd Form S-1 (filed 2026-09-18; CIK 0002110365). Local copy /workspace/nebius/comps_raw/nscale_s1.htm(.txt)</t>
        </is>
      </c>
      <c r="M43" t="inlineStr">
        <is>
          <t>2026-09-18</t>
        </is>
      </c>
      <c r="N43" t="inlineStr">
        <is>
          <t>https://www.sec.gov/Archives/edgar/data/2110365/000119312526395475/ck0002110365-20260918.htm</t>
        </is>
      </c>
      <c r="O43" s="1" t="inlineStr">
        <is>
          <t>12-48 month terms. Figure AI (2026-08-24): up to 100k Vera Rubin GPUs, value n/d</t>
        </is>
      </c>
    </row>
    <row r="44">
      <c r="A44" t="inlineStr">
        <is>
          <t>N37</t>
        </is>
      </c>
      <c r="B44" t="inlineStr">
        <is>
          <t>PX12</t>
        </is>
      </c>
      <c r="C44" s="1" t="inlineStr">
        <is>
          <t>Microsoft + Anthropic share of active+contracted TCV</t>
        </is>
      </c>
      <c r="D44" s="10">
        <f>(D41+D42)/D40*100</f>
        <v/>
      </c>
      <c r="E44" t="inlineStr">
        <is>
          <t>%</t>
        </is>
      </c>
      <c r="F44" t="inlineStr">
        <is>
          <t>2026-08-31</t>
        </is>
      </c>
      <c r="G44" t="inlineStr">
        <is>
          <t>point</t>
        </is>
      </c>
      <c r="H44" s="11" t="inlineStr">
        <is>
          <t>D</t>
        </is>
      </c>
      <c r="I44" t="inlineStr">
        <is>
          <t>Derived</t>
        </is>
      </c>
      <c r="J44" t="inlineStr"/>
      <c r="K44" t="inlineStr">
        <is>
          <t>({N34}+{N35})/{N33}*100</t>
        </is>
      </c>
      <c r="L44" s="1" t="inlineStr">
        <is>
          <t>Nscale Ltd Form S-1 (filed 2026-09-18; CIK 0002110365). Local copy /workspace/nebius/comps_raw/nscale_s1.htm(.txt)</t>
        </is>
      </c>
      <c r="M44" t="inlineStr">
        <is>
          <t>2026-09-18</t>
        </is>
      </c>
      <c r="N44" t="inlineStr">
        <is>
          <t>https://www.sec.gov/Archives/edgar/data/2110365/000119312526395475/ck0002110365-20260918.htm</t>
        </is>
      </c>
      <c r="O44" s="1" t="inlineStr">
        <is>
          <t>Approximate ('up to' amounts vs TCV)</t>
        </is>
      </c>
    </row>
    <row r="45">
      <c r="A45" t="inlineStr">
        <is>
          <t>N38</t>
        </is>
      </c>
      <c r="B45" t="inlineStr">
        <is>
          <t>I17</t>
        </is>
      </c>
      <c r="C45" s="1" t="inlineStr">
        <is>
          <t>Largest customer, % of revenue (H1'26)</t>
        </is>
      </c>
      <c r="D45" s="6" t="n">
        <v>52</v>
      </c>
      <c r="E45" t="inlineStr">
        <is>
          <t>%</t>
        </is>
      </c>
      <c r="F45" t="inlineStr">
        <is>
          <t>2026-06-30</t>
        </is>
      </c>
      <c r="G45" t="inlineStr">
        <is>
          <t>6M</t>
        </is>
      </c>
      <c r="H45" s="7" t="inlineStr">
        <is>
          <t>R</t>
        </is>
      </c>
      <c r="I45" t="inlineStr">
        <is>
          <t>Reported</t>
        </is>
      </c>
      <c r="J45" t="inlineStr"/>
      <c r="K45" t="inlineStr"/>
      <c r="L45" s="1" t="inlineStr">
        <is>
          <t>Nscale Ltd Form S-1 (filed 2026-09-18; CIK 0002110365). Local copy /workspace/nebius/comps_raw/nscale_s1.htm(.txt)</t>
        </is>
      </c>
      <c r="M45" t="inlineStr">
        <is>
          <t>2026-09-18</t>
        </is>
      </c>
      <c r="N45" t="inlineStr">
        <is>
          <t>https://www.sec.gov/Archives/edgar/data/2110365/000119312526395475/ck0002110365-20260918.htm</t>
        </is>
      </c>
      <c r="O45" s="1" t="inlineStr">
        <is>
          <t>FY25 73% (same customer expected &lt;20% of FY26); FY24 93%</t>
        </is>
      </c>
    </row>
    <row r="46">
      <c r="A46" t="inlineStr">
        <is>
          <t>N39</t>
        </is>
      </c>
      <c r="B46" t="inlineStr">
        <is>
          <t>I17</t>
        </is>
      </c>
      <c r="C46" s="1" t="inlineStr">
        <is>
          <t>Largest customer, % of revenue (FY25)</t>
        </is>
      </c>
      <c r="D46" s="6" t="n">
        <v>73</v>
      </c>
      <c r="E46" t="inlineStr">
        <is>
          <t>%</t>
        </is>
      </c>
      <c r="F46" t="inlineStr">
        <is>
          <t>2025-12-31</t>
        </is>
      </c>
      <c r="G46" t="inlineStr">
        <is>
          <t>FY2025</t>
        </is>
      </c>
      <c r="H46" s="7" t="inlineStr">
        <is>
          <t>R</t>
        </is>
      </c>
      <c r="I46" t="inlineStr">
        <is>
          <t>Reported</t>
        </is>
      </c>
      <c r="J46" t="inlineStr"/>
      <c r="K46" t="inlineStr"/>
      <c r="L46" s="1" t="inlineStr">
        <is>
          <t>Nscale Ltd Form S-1 (filed 2026-09-18; CIK 0002110365). Local copy /workspace/nebius/comps_raw/nscale_s1.htm(.txt)</t>
        </is>
      </c>
      <c r="M46" t="inlineStr">
        <is>
          <t>2026-09-18</t>
        </is>
      </c>
      <c r="N46" t="inlineStr">
        <is>
          <t>https://www.sec.gov/Archives/edgar/data/2110365/000119312526395475/ck0002110365-20260918.htm</t>
        </is>
      </c>
      <c r="O46" s="1" t="inlineStr"/>
    </row>
    <row r="47">
      <c r="A47" t="inlineStr">
        <is>
          <t>N40</t>
        </is>
      </c>
      <c r="B47" t="inlineStr">
        <is>
          <t>I23</t>
        </is>
      </c>
      <c r="C47" s="1" t="inlineStr">
        <is>
          <t>Total debt, carrying value (EoP)</t>
        </is>
      </c>
      <c r="D47" s="6" t="n">
        <v>137.4</v>
      </c>
      <c r="E47" t="inlineStr">
        <is>
          <t>$M</t>
        </is>
      </c>
      <c r="F47" t="inlineStr">
        <is>
          <t>2026-06-30</t>
        </is>
      </c>
      <c r="G47" t="inlineStr">
        <is>
          <t>point</t>
        </is>
      </c>
      <c r="H47" s="7" t="inlineStr">
        <is>
          <t>R</t>
        </is>
      </c>
      <c r="I47" t="inlineStr">
        <is>
          <t>Reported</t>
        </is>
      </c>
      <c r="J47" t="inlineStr"/>
      <c r="K47" t="inlineStr"/>
      <c r="L47" s="1" t="inlineStr">
        <is>
          <t>Nscale Ltd Form S-1 (filed 2026-09-18; CIK 0002110365). Local copy /workspace/nebius/comps_raw/nscale_s1.htm(.txt)</t>
        </is>
      </c>
      <c r="M47" t="inlineStr">
        <is>
          <t>2026-09-18</t>
        </is>
      </c>
      <c r="N47" t="inlineStr">
        <is>
          <t>https://www.sec.gov/Archives/edgar/data/2110365/000119312526395475/ck0002110365-20260918.htm</t>
        </is>
      </c>
      <c r="O47" s="1" t="inlineStr">
        <is>
          <t>GPU Financing Facility 48.2 + Macquarie Senior 89.2. Post-June: +$329M GPU FF draw (Aug), $830M revolver utilized; see Debt_Facilities</t>
        </is>
      </c>
    </row>
    <row r="48">
      <c r="A48" t="inlineStr">
        <is>
          <t>N41</t>
        </is>
      </c>
      <c r="B48" t="inlineStr">
        <is>
          <t>I23</t>
        </is>
      </c>
      <c r="C48" s="1" t="inlineStr">
        <is>
          <t>Total debt, carrying value, YE25</t>
        </is>
      </c>
      <c r="D48" s="6" t="n">
        <v>78.90000000000001</v>
      </c>
      <c r="E48" t="inlineStr">
        <is>
          <t>$M</t>
        </is>
      </c>
      <c r="F48" t="inlineStr">
        <is>
          <t>2025-12-31</t>
        </is>
      </c>
      <c r="G48" t="inlineStr">
        <is>
          <t>point</t>
        </is>
      </c>
      <c r="H48" s="7" t="inlineStr">
        <is>
          <t>R</t>
        </is>
      </c>
      <c r="I48" t="inlineStr">
        <is>
          <t>Reported</t>
        </is>
      </c>
      <c r="J48" t="inlineStr"/>
      <c r="K48" t="inlineStr"/>
      <c r="L48" s="1" t="inlineStr">
        <is>
          <t>Nscale Ltd Form S-1 (filed 2026-09-18; CIK 0002110365). Local copy /workspace/nebius/comps_raw/nscale_s1.htm(.txt)</t>
        </is>
      </c>
      <c r="M48" t="inlineStr">
        <is>
          <t>2026-09-18</t>
        </is>
      </c>
      <c r="N48" t="inlineStr">
        <is>
          <t>https://www.sec.gov/Archives/edgar/data/2110365/000119312526395475/ck0002110365-20260918.htm</t>
        </is>
      </c>
      <c r="O48" s="1" t="inlineStr">
        <is>
          <t>Macquarie Senior only</t>
        </is>
      </c>
    </row>
    <row r="49">
      <c r="A49" t="inlineStr">
        <is>
          <t>N42</t>
        </is>
      </c>
      <c r="B49" t="inlineStr">
        <is>
          <t>I21</t>
        </is>
      </c>
      <c r="C49" s="1" t="inlineStr">
        <is>
          <t>Interest expense on debt, H1'26</t>
        </is>
      </c>
      <c r="D49" s="6" t="n">
        <v>12</v>
      </c>
      <c r="E49" t="inlineStr">
        <is>
          <t>$M</t>
        </is>
      </c>
      <c r="F49" t="inlineStr">
        <is>
          <t>2026-06-30</t>
        </is>
      </c>
      <c r="G49" t="inlineStr">
        <is>
          <t>6M</t>
        </is>
      </c>
      <c r="H49" s="7" t="inlineStr">
        <is>
          <t>R</t>
        </is>
      </c>
      <c r="I49" t="inlineStr">
        <is>
          <t>Reported</t>
        </is>
      </c>
      <c r="J49" t="inlineStr"/>
      <c r="K49" t="inlineStr"/>
      <c r="L49" s="1" t="inlineStr">
        <is>
          <t>Nscale Ltd Form S-1 (filed 2026-09-18; CIK 0002110365). Local copy /workspace/nebius/comps_raw/nscale_s1.htm(.txt)</t>
        </is>
      </c>
      <c r="M49" t="inlineStr">
        <is>
          <t>2026-09-18</t>
        </is>
      </c>
      <c r="N49" t="inlineStr">
        <is>
          <t>https://www.sec.gov/Archives/edgar/data/2110365/000119312526395475/ck0002110365-20260918.htm</t>
        </is>
      </c>
      <c r="O49" s="1" t="inlineStr">
        <is>
          <t>'Interest expense, net' 95.1 includes SFC interest on prepayments</t>
        </is>
      </c>
    </row>
    <row r="50">
      <c r="A50" t="inlineStr">
        <is>
          <t>N43</t>
        </is>
      </c>
      <c r="B50" t="inlineStr">
        <is>
          <t>I22</t>
        </is>
      </c>
      <c r="C50" s="1" t="inlineStr">
        <is>
          <t>Capitalized interest, H1'26</t>
        </is>
      </c>
      <c r="D50" s="6" t="n">
        <v>0</v>
      </c>
      <c r="E50" t="inlineStr">
        <is>
          <t>$M</t>
        </is>
      </c>
      <c r="F50" t="inlineStr">
        <is>
          <t>2026-06-30</t>
        </is>
      </c>
      <c r="G50" t="inlineStr">
        <is>
          <t>6M</t>
        </is>
      </c>
      <c r="H50" s="7" t="inlineStr">
        <is>
          <t>R</t>
        </is>
      </c>
      <c r="I50" t="inlineStr">
        <is>
          <t>Reported</t>
        </is>
      </c>
      <c r="J50" t="inlineStr"/>
      <c r="K50" t="inlineStr"/>
      <c r="L50" s="1" t="inlineStr">
        <is>
          <t>Nscale Ltd Form S-1 (filed 2026-09-18; CIK 0002110365). Local copy /workspace/nebius/comps_raw/nscale_s1.htm(.txt)</t>
        </is>
      </c>
      <c r="M50" t="inlineStr">
        <is>
          <t>2026-09-18</t>
        </is>
      </c>
      <c r="N50" t="inlineStr">
        <is>
          <t>https://www.sec.gov/Archives/edgar/data/2110365/000119312526395475/ck0002110365-20260918.htm</t>
        </is>
      </c>
      <c r="O50" s="1" t="inlineStr">
        <is>
          <t>FY25: 11.8</t>
        </is>
      </c>
    </row>
    <row r="51">
      <c r="A51" t="inlineStr">
        <is>
          <t>N44</t>
        </is>
      </c>
      <c r="B51" t="inlineStr">
        <is>
          <t>PX09</t>
        </is>
      </c>
      <c r="C51" s="1" t="inlineStr">
        <is>
          <t>GPU Financing Facility effective interest rate</t>
        </is>
      </c>
      <c r="D51" s="6" t="n">
        <v>11.3</v>
      </c>
      <c r="E51" t="inlineStr">
        <is>
          <t>%</t>
        </is>
      </c>
      <c r="F51" t="inlineStr">
        <is>
          <t>2026-06-30</t>
        </is>
      </c>
      <c r="G51" t="inlineStr">
        <is>
          <t>point</t>
        </is>
      </c>
      <c r="H51" s="7" t="inlineStr">
        <is>
          <t>R</t>
        </is>
      </c>
      <c r="I51" t="inlineStr">
        <is>
          <t>Reported</t>
        </is>
      </c>
      <c r="J51" t="inlineStr"/>
      <c r="K51" t="inlineStr"/>
      <c r="L51" s="1" t="inlineStr">
        <is>
          <t>Nscale Ltd Form S-1 (filed 2026-09-18; CIK 0002110365). Local copy /workspace/nebius/comps_raw/nscale_s1.htm(.txt)</t>
        </is>
      </c>
      <c r="M51" t="inlineStr">
        <is>
          <t>2026-09-18</t>
        </is>
      </c>
      <c r="N51" t="inlineStr">
        <is>
          <t>https://www.sec.gov/Archives/edgar/data/2110365/000119312526395475/ck0002110365-20260918.htm</t>
        </is>
      </c>
      <c r="O51" s="1" t="inlineStr">
        <is>
          <t>SOFR+5.00% (+0.25% step-up), $1.4B commitments, $1,363.1M unused</t>
        </is>
      </c>
    </row>
    <row r="52">
      <c r="A52" t="inlineStr">
        <is>
          <t>N45</t>
        </is>
      </c>
      <c r="B52" t="inlineStr">
        <is>
          <t>PX09</t>
        </is>
      </c>
      <c r="C52" s="1" t="inlineStr">
        <is>
          <t>Macquarie Senior Credit Facility effective interest rate</t>
        </is>
      </c>
      <c r="D52" s="6" t="n">
        <v>22.74</v>
      </c>
      <c r="E52" t="inlineStr">
        <is>
          <t>%</t>
        </is>
      </c>
      <c r="F52" t="inlineStr">
        <is>
          <t>2026-06-30</t>
        </is>
      </c>
      <c r="G52" t="inlineStr">
        <is>
          <t>point</t>
        </is>
      </c>
      <c r="H52" s="7" t="inlineStr">
        <is>
          <t>R</t>
        </is>
      </c>
      <c r="I52" t="inlineStr">
        <is>
          <t>Reported</t>
        </is>
      </c>
      <c r="J52" t="inlineStr"/>
      <c r="K52" t="inlineStr"/>
      <c r="L52" s="1" t="inlineStr">
        <is>
          <t>Nscale Ltd Form S-1 (filed 2026-09-18; CIK 0002110365). Local copy /workspace/nebius/comps_raw/nscale_s1.htm(.txt)</t>
        </is>
      </c>
      <c r="M52" t="inlineStr">
        <is>
          <t>2026-09-18</t>
        </is>
      </c>
      <c r="N52" t="inlineStr">
        <is>
          <t>https://www.sec.gov/Archives/edgar/data/2110365/000119312526395475/ck0002110365-20260918.htm</t>
        </is>
      </c>
      <c r="O52" s="1" t="inlineStr">
        <is>
          <t>SOFR+7.50% plus MOIC; 21.48% at YE25</t>
        </is>
      </c>
    </row>
    <row r="53">
      <c r="A53" t="inlineStr">
        <is>
          <t>N46</t>
        </is>
      </c>
      <c r="B53" t="inlineStr">
        <is>
          <t>K16</t>
        </is>
      </c>
      <c r="C53" s="1" t="inlineStr">
        <is>
          <t>Useful life - technology equipment (midpoint of 5-6)</t>
        </is>
      </c>
      <c r="D53" s="6" t="n">
        <v>5.5</v>
      </c>
      <c r="E53" t="inlineStr">
        <is>
          <t>years</t>
        </is>
      </c>
      <c r="F53" t="inlineStr">
        <is>
          <t>2026-06-30</t>
        </is>
      </c>
      <c r="G53" t="inlineStr">
        <is>
          <t>policy</t>
        </is>
      </c>
      <c r="H53" s="7" t="inlineStr">
        <is>
          <t>R</t>
        </is>
      </c>
      <c r="I53" t="inlineStr">
        <is>
          <t>Reported</t>
        </is>
      </c>
      <c r="J53" t="inlineStr"/>
      <c r="K53" t="inlineStr"/>
      <c r="L53" s="1" t="inlineStr">
        <is>
          <t>Nscale Ltd Form S-1 (filed 2026-09-18; CIK 0002110365). Local copy /workspace/nebius/comps_raw/nscale_s1.htm(.txt)</t>
        </is>
      </c>
      <c r="M53" t="inlineStr">
        <is>
          <t>2026-09-18</t>
        </is>
      </c>
      <c r="N53" t="inlineStr">
        <is>
          <t>https://www.sec.gov/Archives/edgar/data/2110365/000119312526395475/ck0002110365-20260918.htm</t>
        </is>
      </c>
      <c r="O53" s="1" t="inlineStr">
        <is>
          <t>Tech equipment 5-6 yrs; plant 5-15; buildings 25-50; computer equipment 3. Midpoint entered</t>
        </is>
      </c>
    </row>
    <row r="54">
      <c r="A54" t="inlineStr">
        <is>
          <t>N47</t>
        </is>
      </c>
      <c r="B54" t="inlineStr">
        <is>
          <t>PX06</t>
        </is>
      </c>
      <c r="C54" s="1" t="inlineStr">
        <is>
          <t>Series B equity</t>
        </is>
      </c>
      <c r="D54" s="6" t="n">
        <v>1100</v>
      </c>
      <c r="E54" t="inlineStr">
        <is>
          <t>$M</t>
        </is>
      </c>
      <c r="F54" t="inlineStr">
        <is>
          <t>2025-10-08</t>
        </is>
      </c>
      <c r="G54" t="inlineStr">
        <is>
          <t>round</t>
        </is>
      </c>
      <c r="H54" s="7" t="inlineStr">
        <is>
          <t>R</t>
        </is>
      </c>
      <c r="I54" t="inlineStr">
        <is>
          <t>Reported</t>
        </is>
      </c>
      <c r="J54" t="inlineStr"/>
      <c r="K54" t="inlineStr"/>
      <c r="L54" s="1" t="inlineStr">
        <is>
          <t>Nscale Ltd Form S-1 (filed 2026-09-18; CIK 0002110365). Local copy /workspace/nebius/comps_raw/nscale_s1.htm(.txt)</t>
        </is>
      </c>
      <c r="M54" t="inlineStr">
        <is>
          <t>2026-09-18</t>
        </is>
      </c>
      <c r="N54" t="inlineStr">
        <is>
          <t>https://www.sec.gov/Archives/edgar/data/2110365/000119312526395475/ck0002110365-20260918.htm</t>
        </is>
      </c>
      <c r="O54" s="1" t="inlineStr">
        <is>
          <t>Series B prefs at $6.33</t>
        </is>
      </c>
    </row>
    <row r="55">
      <c r="A55" t="inlineStr">
        <is>
          <t>N48</t>
        </is>
      </c>
      <c r="B55" t="inlineStr">
        <is>
          <t>PX06</t>
        </is>
      </c>
      <c r="C55" s="1" t="inlineStr">
        <is>
          <t>Series C equity (S-1: $1.64B first close + $118.3M second close)</t>
        </is>
      </c>
      <c r="D55" s="10">
        <f>1640+118.3</f>
        <v/>
      </c>
      <c r="E55" t="inlineStr">
        <is>
          <t>$M</t>
        </is>
      </c>
      <c r="F55" t="inlineStr">
        <is>
          <t>2026-04-30</t>
        </is>
      </c>
      <c r="G55" t="inlineStr">
        <is>
          <t>round</t>
        </is>
      </c>
      <c r="H55" s="11" t="inlineStr">
        <is>
          <t>D</t>
        </is>
      </c>
      <c r="I55" t="inlineStr">
        <is>
          <t>Derived</t>
        </is>
      </c>
      <c r="J55" t="inlineStr"/>
      <c r="K55" t="inlineStr">
        <is>
          <t>1640+118.3</t>
        </is>
      </c>
      <c r="L55" s="1" t="inlineStr">
        <is>
          <t>Nscale Ltd Form S-1 (filed 2026-09-18; CIK 0002110365). Local copy /workspace/nebius/comps_raw/nscale_s1.htm(.txt)</t>
        </is>
      </c>
      <c r="M55" t="inlineStr">
        <is>
          <t>2026-09-18</t>
        </is>
      </c>
      <c r="N55" t="inlineStr">
        <is>
          <t>https://www.sec.gov/Archives/edgar/data/2110365/000119312526395475/ck0002110365-20260918.htm</t>
        </is>
      </c>
      <c r="O55" s="1" t="inlineStr">
        <is>
          <t>PR headline $2B incl. Pre-Series C SAFE (N49)</t>
        </is>
      </c>
    </row>
    <row r="56">
      <c r="A56" t="inlineStr">
        <is>
          <t>N49</t>
        </is>
      </c>
      <c r="B56" t="inlineStr">
        <is>
          <t>PX06</t>
        </is>
      </c>
      <c r="C56" s="1" t="inlineStr">
        <is>
          <t>Series C headline (company PR)</t>
        </is>
      </c>
      <c r="D56" s="6" t="n">
        <v>2000</v>
      </c>
      <c r="E56" t="inlineStr">
        <is>
          <t>$M</t>
        </is>
      </c>
      <c r="F56" t="inlineStr">
        <is>
          <t>2026-03-09</t>
        </is>
      </c>
      <c r="G56" t="inlineStr">
        <is>
          <t>round</t>
        </is>
      </c>
      <c r="H56" s="7" t="inlineStr">
        <is>
          <t>R</t>
        </is>
      </c>
      <c r="I56" t="inlineStr">
        <is>
          <t>Reported</t>
        </is>
      </c>
      <c r="J56" t="inlineStr"/>
      <c r="K56" t="inlineStr"/>
      <c r="L56" s="1" t="inlineStr">
        <is>
          <t>Nscale PR: $2B Series C at $14.6B valuation</t>
        </is>
      </c>
      <c r="M56" t="inlineStr">
        <is>
          <t>2026-03-09</t>
        </is>
      </c>
      <c r="N56" t="inlineStr">
        <is>
          <t>https://www.nscale.tech/press-releases/nscale-series-c</t>
        </is>
      </c>
      <c r="O56" s="1" t="inlineStr">
        <is>
          <t>Valuation $14.6B</t>
        </is>
      </c>
    </row>
    <row r="57">
      <c r="A57" t="inlineStr">
        <is>
          <t>N50</t>
        </is>
      </c>
      <c r="B57" t="inlineStr">
        <is>
          <t>PX06</t>
        </is>
      </c>
      <c r="C57" s="1" t="inlineStr">
        <is>
          <t>Series financing raised to date (S-1 wording)</t>
        </is>
      </c>
      <c r="D57" s="6" t="n">
        <v>3300</v>
      </c>
      <c r="E57" t="inlineStr">
        <is>
          <t>$M</t>
        </is>
      </c>
      <c r="F57" t="inlineStr">
        <is>
          <t>2026-09-18</t>
        </is>
      </c>
      <c r="G57" t="inlineStr">
        <is>
          <t>cumulative</t>
        </is>
      </c>
      <c r="H57" s="7" t="inlineStr">
        <is>
          <t>R</t>
        </is>
      </c>
      <c r="I57" t="inlineStr">
        <is>
          <t>Reported</t>
        </is>
      </c>
      <c r="J57" t="inlineStr"/>
      <c r="K57" t="inlineStr"/>
      <c r="L57" s="1" t="inlineStr">
        <is>
          <t>Nscale Ltd Form S-1 (filed 2026-09-18; CIK 0002110365). Local copy /workspace/nebius/comps_raw/nscale_s1.htm(.txt)</t>
        </is>
      </c>
      <c r="M57" t="inlineStr">
        <is>
          <t>2026-09-18</t>
        </is>
      </c>
      <c r="N57" t="inlineStr">
        <is>
          <t>https://www.sec.gov/Archives/edgar/data/2110365/000119312526395475/ck0002110365-20260918.htm</t>
        </is>
      </c>
      <c r="O57" s="1" t="inlineStr">
        <is>
          <t>'raised over $3.3 billion through our series financing'</t>
        </is>
      </c>
    </row>
    <row r="58">
      <c r="A58" t="inlineStr">
        <is>
          <t>N51</t>
        </is>
      </c>
      <c r="B58" t="inlineStr">
        <is>
          <t>PX06</t>
        </is>
      </c>
      <c r="C58" s="1" t="inlineStr">
        <is>
          <t>Pre-IPO convertible loan notes</t>
        </is>
      </c>
      <c r="D58" s="6" t="n">
        <v>3360</v>
      </c>
      <c r="E58" t="inlineStr">
        <is>
          <t>$M</t>
        </is>
      </c>
      <c r="F58" t="inlineStr">
        <is>
          <t>2026-09-25</t>
        </is>
      </c>
      <c r="G58" t="inlineStr">
        <is>
          <t>round</t>
        </is>
      </c>
      <c r="H58" s="7" t="inlineStr">
        <is>
          <t>R</t>
        </is>
      </c>
      <c r="I58" t="inlineStr">
        <is>
          <t>Reported</t>
        </is>
      </c>
      <c r="J58" t="inlineStr"/>
      <c r="K58" t="inlineStr"/>
      <c r="L58" s="1" t="inlineStr">
        <is>
          <t>Nscale PR (PRNewswire): $3.36B pre-IPO convertible loan notes</t>
        </is>
      </c>
      <c r="M58" t="inlineStr">
        <is>
          <t>2026-09-25</t>
        </is>
      </c>
      <c r="N58" t="inlineStr">
        <is>
          <t>https://www.prnewswire.com/news-releases/nscale-raises-3-36b-in-pre-ipo-convertible-financing-302890199.html</t>
        </is>
      </c>
      <c r="O58" s="1" t="inlineStr">
        <is>
          <t>$2.36B + $1.0B NVIDIA (mid-Nov-2026); S-1 states minimum $3.1B</t>
        </is>
      </c>
    </row>
    <row r="59">
      <c r="A59" t="inlineStr">
        <is>
          <t>N52</t>
        </is>
      </c>
      <c r="B59" t="inlineStr">
        <is>
          <t>PX07</t>
        </is>
      </c>
      <c r="C59" s="1" t="inlineStr">
        <is>
          <t>Post-money valuation, Series C</t>
        </is>
      </c>
      <c r="D59" s="6" t="n">
        <v>14600</v>
      </c>
      <c r="E59" t="inlineStr">
        <is>
          <t>$M</t>
        </is>
      </c>
      <c r="F59" t="inlineStr">
        <is>
          <t>2026-03-09</t>
        </is>
      </c>
      <c r="G59" t="inlineStr">
        <is>
          <t>round</t>
        </is>
      </c>
      <c r="H59" s="7" t="inlineStr">
        <is>
          <t>R</t>
        </is>
      </c>
      <c r="I59" t="inlineStr">
        <is>
          <t>Reported</t>
        </is>
      </c>
      <c r="J59" t="inlineStr"/>
      <c r="K59" t="inlineStr"/>
      <c r="L59" s="1" t="inlineStr">
        <is>
          <t>Nscale PR: $2B Series C at $14.6B valuation</t>
        </is>
      </c>
      <c r="M59" t="inlineStr">
        <is>
          <t>2026-03-09</t>
        </is>
      </c>
      <c r="N59" t="inlineStr">
        <is>
          <t>https://www.nscale.tech/press-releases/nscale-series-c</t>
        </is>
      </c>
      <c r="O59" s="1" t="inlineStr"/>
    </row>
    <row r="60">
      <c r="A60" t="inlineStr">
        <is>
          <t>N53</t>
        </is>
      </c>
      <c r="B60" t="inlineStr">
        <is>
          <t>PX07</t>
        </is>
      </c>
      <c r="C60" s="1" t="inlineStr">
        <is>
          <t>IPO target valuation (press)</t>
        </is>
      </c>
      <c r="D60" s="8" t="n">
        <v>35000</v>
      </c>
      <c r="E60" t="inlineStr">
        <is>
          <t>$M</t>
        </is>
      </c>
      <c r="F60" t="inlineStr">
        <is>
          <t>2026-09</t>
        </is>
      </c>
      <c r="G60" t="inlineStr">
        <is>
          <t>IPO talk</t>
        </is>
      </c>
      <c r="H60" s="9" t="inlineStr">
        <is>
          <t>P</t>
        </is>
      </c>
      <c r="I60" t="inlineStr">
        <is>
          <t>Press-reported</t>
        </is>
      </c>
      <c r="J60" t="inlineStr"/>
      <c r="K60" t="inlineStr"/>
      <c r="L60" s="1" t="inlineStr">
        <is>
          <t>Deep Quarry (Substack) citing FT: S-1 aims at valuation 'as high as $35B'</t>
        </is>
      </c>
      <c r="M60" t="inlineStr">
        <is>
          <t>2026-09</t>
        </is>
      </c>
      <c r="N60" t="inlineStr">
        <is>
          <t>https://deepquarry.substack.com/p/what-changed-between-nscales-confidential</t>
        </is>
      </c>
      <c r="O60" s="1" t="inlineStr">
        <is>
          <t>'as high as $35 billion' per FT; no S-1 price range yet; IPO ~Oct-15 per press, unconfirmed</t>
        </is>
      </c>
    </row>
    <row r="61">
      <c r="A61" t="inlineStr">
        <is>
          <t>N54</t>
        </is>
      </c>
      <c r="B61" t="inlineStr">
        <is>
          <t>PX08</t>
        </is>
      </c>
      <c r="C61" s="1" t="inlineStr">
        <is>
          <t>Debt &amp; lease-financing commitments signed after 6/30/26 (sum)</t>
        </is>
      </c>
      <c r="D61" s="10">
        <f>790+331.9+1850+1200+2540</f>
        <v/>
      </c>
      <c r="E61" t="inlineStr">
        <is>
          <t>$M</t>
        </is>
      </c>
      <c r="F61" t="inlineStr">
        <is>
          <t>2026-09-04</t>
        </is>
      </c>
      <c r="G61" t="inlineStr">
        <is>
          <t>Jul-Sep 2026</t>
        </is>
      </c>
      <c r="H61" s="11" t="inlineStr">
        <is>
          <t>D</t>
        </is>
      </c>
      <c r="I61" t="inlineStr">
        <is>
          <t>Derived</t>
        </is>
      </c>
      <c r="J61" t="inlineStr"/>
      <c r="K61" t="inlineStr">
        <is>
          <t>790+331.9+1850+1200+2540</t>
        </is>
      </c>
      <c r="L61" s="1" t="inlineStr">
        <is>
          <t>Nscale Ltd Form S-1 (filed 2026-09-18; CIK 0002110365). Local copy /workspace/nebius/comps_raw/nscale_s1.htm(.txt)</t>
        </is>
      </c>
      <c r="M61" t="inlineStr">
        <is>
          <t>2026-09-18</t>
        </is>
      </c>
      <c r="N61" t="inlineStr">
        <is>
          <t>https://www.sec.gov/Archives/edgar/data/2110365/000119312526395475/ck0002110365-20260918.htm</t>
        </is>
      </c>
      <c r="O61" s="1" t="inlineStr">
        <is>
          <t>Kvandal 790 + Macquarie Iceland 331.9 + Ward County 1,850 + North Carolina 1,200 + Dell DFS initial-term rent ~2,540</t>
        </is>
      </c>
    </row>
    <row r="62">
      <c r="A62" t="inlineStr">
        <is>
          <t>N55</t>
        </is>
      </c>
      <c r="B62" t="inlineStr">
        <is>
          <t>PX09</t>
        </is>
      </c>
      <c r="C62" s="1" t="inlineStr">
        <is>
          <t>Marginal secured GPU debt (NC / Ward County, floating), all-in estimate</t>
        </is>
      </c>
      <c r="D62" s="14">
        <f>3.87+2.375</f>
        <v/>
      </c>
      <c r="E62" t="inlineStr">
        <is>
          <t>%</t>
        </is>
      </c>
      <c r="F62" t="inlineStr">
        <is>
          <t>2026-08-31</t>
        </is>
      </c>
      <c r="G62" t="inlineStr">
        <is>
          <t>Aug-2026 facilities</t>
        </is>
      </c>
      <c r="H62" s="15" t="inlineStr">
        <is>
          <t>E</t>
        </is>
      </c>
      <c r="I62" t="inlineStr">
        <is>
          <t>Estimated</t>
        </is>
      </c>
      <c r="J62" t="inlineStr"/>
      <c r="K62" t="inlineStr">
        <is>
          <t>3.87+2.375</t>
        </is>
      </c>
      <c r="L62" s="1" t="inlineStr">
        <is>
          <t>Nscale Ltd Form S-1 (filed 2026-09-18; CIK 0002110365). Local copy /workspace/nebius/comps_raw/nscale_s1.htm(.txt)</t>
        </is>
      </c>
      <c r="M62" t="inlineStr">
        <is>
          <t>2026-09-18</t>
        </is>
      </c>
      <c r="N62" t="inlineStr">
        <is>
          <t>https://www.sec.gov/Archives/edgar/data/2110365/000119312526395475/ck0002110365-20260918.htm</t>
        </is>
      </c>
      <c r="O62" s="1" t="inlineStr">
        <is>
          <t>3M Term SOFR + 2.375%; spot SOFR 3.87% (2026-10-01) as proxy</t>
        </is>
      </c>
    </row>
    <row r="63">
      <c r="A63" t="inlineStr">
        <is>
          <t>N56</t>
        </is>
      </c>
      <c r="B63" t="inlineStr">
        <is>
          <t>I27</t>
        </is>
      </c>
      <c r="C63" s="1" t="inlineStr">
        <is>
          <t>Data center sites (active)</t>
        </is>
      </c>
      <c r="D63" s="6" t="n">
        <v>5</v>
      </c>
      <c r="E63" t="inlineStr">
        <is>
          <t>#</t>
        </is>
      </c>
      <c r="F63" t="inlineStr">
        <is>
          <t>2026-08-31</t>
        </is>
      </c>
      <c r="G63" t="inlineStr">
        <is>
          <t>point</t>
        </is>
      </c>
      <c r="H63" s="7" t="inlineStr">
        <is>
          <t>R</t>
        </is>
      </c>
      <c r="I63" t="inlineStr">
        <is>
          <t>Reported</t>
        </is>
      </c>
      <c r="J63" t="inlineStr"/>
      <c r="K63" t="inlineStr"/>
      <c r="L63" s="1" t="inlineStr">
        <is>
          <t>Nscale Ltd Form S-1 (filed 2026-09-18; CIK 0002110365). Local copy /workspace/nebius/comps_raw/nscale_s1.htm(.txt)</t>
        </is>
      </c>
      <c r="M63" t="inlineStr">
        <is>
          <t>2026-09-18</t>
        </is>
      </c>
      <c r="N63" t="inlineStr">
        <is>
          <t>https://www.sec.gov/Archives/edgar/data/2110365/000119312526395475/ck0002110365-20260918.htm</t>
        </is>
      </c>
      <c r="O63" s="1" t="inlineStr">
        <is>
          <t>5 active + 12 contracted</t>
        </is>
      </c>
    </row>
    <row r="64">
      <c r="A64" t="inlineStr">
        <is>
          <t>N57</t>
        </is>
      </c>
      <c r="B64" t="inlineStr">
        <is>
          <t>PX03</t>
        </is>
      </c>
      <c r="C64" s="1" t="inlineStr">
        <is>
          <t>MW basis</t>
        </is>
      </c>
      <c r="D64" s="6" t="inlineStr">
        <is>
          <t>IT</t>
        </is>
      </c>
      <c r="E64" t="inlineStr">
        <is>
          <t>text</t>
        </is>
      </c>
      <c r="F64" t="inlineStr">
        <is>
          <t>2026-08-31</t>
        </is>
      </c>
      <c r="G64" t="inlineStr">
        <is>
          <t>definition</t>
        </is>
      </c>
      <c r="H64" s="7" t="inlineStr">
        <is>
          <t>R</t>
        </is>
      </c>
      <c r="I64" t="inlineStr">
        <is>
          <t>Reported</t>
        </is>
      </c>
      <c r="J64" t="inlineStr"/>
      <c r="K64" t="inlineStr"/>
      <c r="L64" s="1" t="inlineStr">
        <is>
          <t>Nscale Ltd Form S-1 (filed 2026-09-18; CIK 0002110365). Local copy /workspace/nebius/comps_raw/nscale_s1.htm(.txt)</t>
        </is>
      </c>
      <c r="M64" t="inlineStr">
        <is>
          <t>2026-09-18</t>
        </is>
      </c>
      <c r="N64" t="inlineStr">
        <is>
          <t>https://www.sec.gov/Archives/edgar/data/2110365/000119312526395475/ck0002110365-20260918.htm</t>
        </is>
      </c>
      <c r="O64" s="1" t="inlineStr">
        <is>
          <t>Glossary: capacity in IT MW</t>
        </is>
      </c>
    </row>
    <row r="65">
      <c r="A65" t="inlineStr">
        <is>
          <t>N58</t>
        </is>
      </c>
      <c r="B65" t="inlineStr">
        <is>
          <t>I12</t>
        </is>
      </c>
      <c r="C65" s="1" t="inlineStr">
        <is>
          <t>GPU list price (on-demand)</t>
        </is>
      </c>
      <c r="D65" s="13" t="inlineStr">
        <is>
          <t>n/d</t>
        </is>
      </c>
      <c r="E65" t="inlineStr">
        <is>
          <t>$/GPU-hr</t>
        </is>
      </c>
      <c r="F65" t="inlineStr">
        <is>
          <t>2026-10-04</t>
        </is>
      </c>
      <c r="G65" t="inlineStr">
        <is>
          <t>point</t>
        </is>
      </c>
      <c r="H65" s="12" t="inlineStr">
        <is>
          <t>n/d</t>
        </is>
      </c>
      <c r="I65" t="inlineStr">
        <is>
          <t>n/d</t>
        </is>
      </c>
      <c r="J65" t="inlineStr"/>
      <c r="K65" t="inlineStr"/>
      <c r="L65" s="1" t="inlineStr">
        <is>
          <t>Nebius workspace: /workspace/nebius/parts/price_history_quarterly.csv and price_snapshot_2026-10-04.csv (first-party list pages / Wayback)</t>
        </is>
      </c>
      <c r="M65" t="inlineStr">
        <is>
          <t>2026-10-04</t>
        </is>
      </c>
      <c r="N65" t="inlineStr">
        <is>
          <t>local</t>
        </is>
      </c>
      <c r="O65" s="1" t="inlineStr">
        <is>
          <t>No public list price (pricing console-only)</t>
        </is>
      </c>
    </row>
    <row r="66">
      <c r="A66" t="inlineStr">
        <is>
          <t>N59</t>
        </is>
      </c>
      <c r="B66" t="inlineStr">
        <is>
          <t>PX01</t>
        </is>
      </c>
      <c r="C66" s="1" t="inlineStr">
        <is>
          <t>Cash and cash equivalents</t>
        </is>
      </c>
      <c r="D66" s="6" t="n">
        <v>1478.4</v>
      </c>
      <c r="E66" t="inlineStr">
        <is>
          <t>$M</t>
        </is>
      </c>
      <c r="F66" t="inlineStr">
        <is>
          <t>2026-06-30</t>
        </is>
      </c>
      <c r="G66" t="inlineStr">
        <is>
          <t>point</t>
        </is>
      </c>
      <c r="H66" s="7" t="inlineStr">
        <is>
          <t>R</t>
        </is>
      </c>
      <c r="I66" t="inlineStr">
        <is>
          <t>Reported</t>
        </is>
      </c>
      <c r="J66" t="inlineStr"/>
      <c r="K66" t="inlineStr"/>
      <c r="L66" s="1" t="inlineStr">
        <is>
          <t>Nscale Ltd Form S-1 (filed 2026-09-18; CIK 0002110365). Local copy /workspace/nebius/comps_raw/nscale_s1.htm(.txt)</t>
        </is>
      </c>
      <c r="M66" t="inlineStr">
        <is>
          <t>2026-09-18</t>
        </is>
      </c>
      <c r="N66" t="inlineStr">
        <is>
          <t>https://www.sec.gov/Archives/edgar/data/2110365/000119312526395475/ck0002110365-20260918.htm</t>
        </is>
      </c>
      <c r="O66" s="1" t="inlineStr">
        <is>
          <t>Plus restricted cash</t>
        </is>
      </c>
    </row>
    <row r="67">
      <c r="A67" t="inlineStr">
        <is>
          <t>NK01</t>
        </is>
      </c>
      <c r="B67" t="inlineStr">
        <is>
          <t>K01</t>
        </is>
      </c>
      <c r="C67" s="1" t="inlineStr">
        <is>
          <t>Revenue per active MW (H1'26 x2 / active-site MW)</t>
        </is>
      </c>
      <c r="D67" s="10">
        <f>D8/D24</f>
        <v/>
      </c>
      <c r="E67" t="inlineStr">
        <is>
          <t>$M/MW-yr</t>
        </is>
      </c>
      <c r="F67" t="inlineStr">
        <is>
          <t>2026-06-30</t>
        </is>
      </c>
      <c r="G67" t="inlineStr">
        <is>
          <t>H1'26 ann. / Aug-26 MW</t>
        </is>
      </c>
      <c r="H67" s="11" t="inlineStr">
        <is>
          <t>D</t>
        </is>
      </c>
      <c r="I67" t="inlineStr">
        <is>
          <t>Derived</t>
        </is>
      </c>
      <c r="J67" t="inlineStr"/>
      <c r="K67" t="inlineStr">
        <is>
          <t>{N05}/{N21}</t>
        </is>
      </c>
      <c r="L67" s="1" t="inlineStr">
        <is>
          <t>Nscale Ltd Form S-1 (filed 2026-09-18; CIK 0002110365). Local copy /workspace/nebius/comps_raw/nscale_s1.htm(.txt)</t>
        </is>
      </c>
      <c r="M67" t="inlineStr">
        <is>
          <t>2026-09-18</t>
        </is>
      </c>
      <c r="N67" t="inlineStr">
        <is>
          <t>https://www.sec.gov/Archives/edgar/data/2110365/000119312526395475/ck0002110365-20260918.htm</t>
        </is>
      </c>
      <c r="O67" s="1" t="inlineStr">
        <is>
          <t>MW is an upper bound and later than revenue period -&gt; understates</t>
        </is>
      </c>
    </row>
    <row r="68">
      <c r="A68" t="inlineStr">
        <is>
          <t>NK01b</t>
        </is>
      </c>
      <c r="B68" t="inlineStr">
        <is>
          <t>K01</t>
        </is>
      </c>
      <c r="C68" s="1" t="inlineStr">
        <is>
          <t>Active-contract ACV per active MW</t>
        </is>
      </c>
      <c r="D68" s="14">
        <f>D10/D24</f>
        <v/>
      </c>
      <c r="E68" t="inlineStr">
        <is>
          <t>$M/MW-yr</t>
        </is>
      </c>
      <c r="F68" t="inlineStr">
        <is>
          <t>2026-08-31</t>
        </is>
      </c>
      <c r="G68" t="inlineStr">
        <is>
          <t>point</t>
        </is>
      </c>
      <c r="H68" s="15" t="inlineStr">
        <is>
          <t>E</t>
        </is>
      </c>
      <c r="I68" t="inlineStr">
        <is>
          <t>Estimated</t>
        </is>
      </c>
      <c r="J68" t="inlineStr"/>
      <c r="K68" t="inlineStr">
        <is>
          <t>{N07}/{N21}</t>
        </is>
      </c>
      <c r="L68" s="1" t="inlineStr">
        <is>
          <t>Nscale Ltd Form S-1 (filed 2026-09-18; CIK 0002110365). Local copy /workspace/nebius/comps_raw/nscale_s1.htm(.txt)</t>
        </is>
      </c>
      <c r="M68" t="inlineStr">
        <is>
          <t>2026-09-18</t>
        </is>
      </c>
      <c r="N68" t="inlineStr">
        <is>
          <t>https://www.sec.gov/Archives/edgar/data/2110365/000119312526395475/ck0002110365-20260918.htm</t>
        </is>
      </c>
      <c r="O68" s="1" t="inlineStr">
        <is>
          <t>Uses N07</t>
        </is>
      </c>
    </row>
    <row r="69">
      <c r="A69" t="inlineStr">
        <is>
          <t>NK03</t>
        </is>
      </c>
      <c r="B69" t="inlineStr">
        <is>
          <t>K03</t>
        </is>
      </c>
      <c r="C69" s="1" t="inlineStr">
        <is>
          <t>Revenue per contracted MW (H1'26 x2 / 1,370 MW)</t>
        </is>
      </c>
      <c r="D69" s="10">
        <f>D8/D25</f>
        <v/>
      </c>
      <c r="E69" t="inlineStr">
        <is>
          <t>$M/MW-yr</t>
        </is>
      </c>
      <c r="F69" t="inlineStr">
        <is>
          <t>2026-08-31</t>
        </is>
      </c>
      <c r="G69" t="inlineStr">
        <is>
          <t>point</t>
        </is>
      </c>
      <c r="H69" s="11" t="inlineStr">
        <is>
          <t>D</t>
        </is>
      </c>
      <c r="I69" t="inlineStr">
        <is>
          <t>Derived</t>
        </is>
      </c>
      <c r="J69" t="inlineStr"/>
      <c r="K69" t="inlineStr">
        <is>
          <t>{N05}/{N22}</t>
        </is>
      </c>
      <c r="L69" s="1" t="inlineStr">
        <is>
          <t>Nscale Ltd Form S-1 (filed 2026-09-18; CIK 0002110365). Local copy /workspace/nebius/comps_raw/nscale_s1.htm(.txt)</t>
        </is>
      </c>
      <c r="M69" t="inlineStr">
        <is>
          <t>2026-09-18</t>
        </is>
      </c>
      <c r="N69" t="inlineStr">
        <is>
          <t>https://www.sec.gov/Archives/edgar/data/2110365/000119312526395475/ck0002110365-20260918.htm</t>
        </is>
      </c>
      <c r="O69" s="1" t="inlineStr">
        <is>
          <t>94% of MW not yet live</t>
        </is>
      </c>
    </row>
    <row r="70">
      <c r="A70" t="inlineStr">
        <is>
          <t>NK03b</t>
        </is>
      </c>
      <c r="B70" t="inlineStr">
        <is>
          <t>PX10</t>
        </is>
      </c>
      <c r="C70" s="1" t="inlineStr">
        <is>
          <t>Contracted ACV per contracted MW (TCV / 5.7 yrs / 1,370 MW)</t>
        </is>
      </c>
      <c r="D70" s="14">
        <f>D40*1000/D35/D25</f>
        <v/>
      </c>
      <c r="E70" t="inlineStr">
        <is>
          <t>$M/MW-yr</t>
        </is>
      </c>
      <c r="F70" t="inlineStr">
        <is>
          <t>2026-08-31</t>
        </is>
      </c>
      <c r="G70" t="inlineStr">
        <is>
          <t>point</t>
        </is>
      </c>
      <c r="H70" s="15" t="inlineStr">
        <is>
          <t>E</t>
        </is>
      </c>
      <c r="I70" t="inlineStr">
        <is>
          <t>Estimated</t>
        </is>
      </c>
      <c r="J70" t="inlineStr"/>
      <c r="K70" t="inlineStr">
        <is>
          <t>{N33}*1000/{N28}/{N22}</t>
        </is>
      </c>
      <c r="L70" s="1" t="inlineStr">
        <is>
          <t>Nscale Ltd Form S-1 (filed 2026-09-18; CIK 0002110365). Local copy /workspace/nebius/comps_raw/nscale_s1.htm(.txt)</t>
        </is>
      </c>
      <c r="M70" t="inlineStr">
        <is>
          <t>2026-09-18</t>
        </is>
      </c>
      <c r="N70" t="inlineStr">
        <is>
          <t>https://www.sec.gov/Archives/edgar/data/2110365/000119312526395475/ck0002110365-20260918.htm</t>
        </is>
      </c>
      <c r="O70" s="1" t="inlineStr">
        <is>
          <t>Assumes TCV spread evenly over 5.7-yr life</t>
        </is>
      </c>
    </row>
    <row r="71">
      <c r="A71" t="inlineStr">
        <is>
          <t>NK03c</t>
        </is>
      </c>
      <c r="B71" t="inlineStr">
        <is>
          <t>PX11</t>
        </is>
      </c>
      <c r="C71" s="1" t="inlineStr">
        <is>
          <t>TCV per active+contracted MW</t>
        </is>
      </c>
      <c r="D71" s="10">
        <f>D40*1000/D25</f>
        <v/>
      </c>
      <c r="E71" t="inlineStr">
        <is>
          <t>$M/MW</t>
        </is>
      </c>
      <c r="F71" t="inlineStr">
        <is>
          <t>2026-08-31</t>
        </is>
      </c>
      <c r="G71" t="inlineStr">
        <is>
          <t>point</t>
        </is>
      </c>
      <c r="H71" s="11" t="inlineStr">
        <is>
          <t>D</t>
        </is>
      </c>
      <c r="I71" t="inlineStr">
        <is>
          <t>Derived</t>
        </is>
      </c>
      <c r="J71" t="inlineStr"/>
      <c r="K71" t="inlineStr">
        <is>
          <t>{N33}*1000/{N22}</t>
        </is>
      </c>
      <c r="L71" s="1" t="inlineStr">
        <is>
          <t>Nscale Ltd Form S-1 (filed 2026-09-18; CIK 0002110365). Local copy /workspace/nebius/comps_raw/nscale_s1.htm(.txt)</t>
        </is>
      </c>
      <c r="M71" t="inlineStr">
        <is>
          <t>2026-09-18</t>
        </is>
      </c>
      <c r="N71" t="inlineStr">
        <is>
          <t>https://www.sec.gov/Archives/edgar/data/2110365/000119312526395475/ck0002110365-20260918.htm</t>
        </is>
      </c>
      <c r="O71" s="1" t="inlineStr"/>
    </row>
    <row r="72">
      <c r="A72" t="inlineStr">
        <is>
          <t>NK04</t>
        </is>
      </c>
      <c r="B72" t="inlineStr">
        <is>
          <t>K04</t>
        </is>
      </c>
      <c r="C72" s="1" t="inlineStr">
        <is>
          <t>Contracted (active+contracted) / active MW</t>
        </is>
      </c>
      <c r="D72" s="10">
        <f>D25/D24</f>
        <v/>
      </c>
      <c r="E72" t="inlineStr">
        <is>
          <t>x</t>
        </is>
      </c>
      <c r="F72" t="inlineStr">
        <is>
          <t>2026-08-31</t>
        </is>
      </c>
      <c r="G72" t="inlineStr">
        <is>
          <t>point</t>
        </is>
      </c>
      <c r="H72" s="11" t="inlineStr">
        <is>
          <t>D</t>
        </is>
      </c>
      <c r="I72" t="inlineStr">
        <is>
          <t>Derived</t>
        </is>
      </c>
      <c r="J72" t="inlineStr"/>
      <c r="K72" t="inlineStr">
        <is>
          <t>{N22}/{N21}</t>
        </is>
      </c>
      <c r="L72" s="1" t="inlineStr">
        <is>
          <t>Nscale Ltd Form S-1 (filed 2026-09-18; CIK 0002110365). Local copy /workspace/nebius/comps_raw/nscale_s1.htm(.txt)</t>
        </is>
      </c>
      <c r="M72" t="inlineStr">
        <is>
          <t>2026-09-18</t>
        </is>
      </c>
      <c r="N72" t="inlineStr">
        <is>
          <t>https://www.sec.gov/Archives/edgar/data/2110365/000119312526395475/ck0002110365-20260918.htm</t>
        </is>
      </c>
      <c r="O72" s="1" t="inlineStr"/>
    </row>
    <row r="73">
      <c r="A73" t="inlineStr">
        <is>
          <t>NK05</t>
        </is>
      </c>
      <c r="B73" t="inlineStr">
        <is>
          <t>K05</t>
        </is>
      </c>
      <c r="C73" s="1" t="inlineStr">
        <is>
          <t>Adj. EBITDA per active MW</t>
        </is>
      </c>
      <c r="D73" s="10">
        <f>D11*2/D24</f>
        <v/>
      </c>
      <c r="E73" t="inlineStr">
        <is>
          <t>$M/MW-yr</t>
        </is>
      </c>
      <c r="F73" t="inlineStr">
        <is>
          <t>2026-06-30</t>
        </is>
      </c>
      <c r="G73" t="inlineStr">
        <is>
          <t>H1'26 ann.</t>
        </is>
      </c>
      <c r="H73" s="11" t="inlineStr">
        <is>
          <t>D</t>
        </is>
      </c>
      <c r="I73" t="inlineStr">
        <is>
          <t>Derived</t>
        </is>
      </c>
      <c r="J73" t="inlineStr"/>
      <c r="K73" t="inlineStr">
        <is>
          <t>{N08}*2/{N21}</t>
        </is>
      </c>
      <c r="L73" s="1" t="inlineStr">
        <is>
          <t>Nscale Ltd Form S-1 (filed 2026-09-18; CIK 0002110365). Local copy /workspace/nebius/comps_raw/nscale_s1.htm(.txt)</t>
        </is>
      </c>
      <c r="M73" t="inlineStr">
        <is>
          <t>2026-09-18</t>
        </is>
      </c>
      <c r="N73" t="inlineStr">
        <is>
          <t>https://www.sec.gov/Archives/edgar/data/2110365/000119312526395475/ck0002110365-20260918.htm</t>
        </is>
      </c>
      <c r="O73" s="1" t="inlineStr">
        <is>
          <t>Negative: pre-scale</t>
        </is>
      </c>
    </row>
    <row r="74">
      <c r="A74" t="inlineStr">
        <is>
          <t>NK06</t>
        </is>
      </c>
      <c r="B74" t="inlineStr">
        <is>
          <t>K06</t>
        </is>
      </c>
      <c r="C74" s="1" t="inlineStr">
        <is>
          <t>Revenue per GPU (H1'26 x2 / Aug-26 active GPUs)</t>
        </is>
      </c>
      <c r="D74" s="14">
        <f>D8*1000/D33</f>
        <v/>
      </c>
      <c r="E74" t="inlineStr">
        <is>
          <t>$K/GPU-yr</t>
        </is>
      </c>
      <c r="F74" t="inlineStr">
        <is>
          <t>2026-06-30</t>
        </is>
      </c>
      <c r="G74" t="inlineStr">
        <is>
          <t>H1'26 ann.</t>
        </is>
      </c>
      <c r="H74" s="15" t="inlineStr">
        <is>
          <t>E</t>
        </is>
      </c>
      <c r="I74" t="inlineStr">
        <is>
          <t>Estimated</t>
        </is>
      </c>
      <c r="J74" t="inlineStr"/>
      <c r="K74" t="inlineStr">
        <is>
          <t>{N05}*1000/{N26}</t>
        </is>
      </c>
      <c r="L74" s="1" t="inlineStr">
        <is>
          <t>Nscale Ltd Form S-1 (filed 2026-09-18; CIK 0002110365). Local copy /workspace/nebius/comps_raw/nscale_s1.htm(.txt)</t>
        </is>
      </c>
      <c r="M74" t="inlineStr">
        <is>
          <t>2026-09-18</t>
        </is>
      </c>
      <c r="N74" t="inlineStr">
        <is>
          <t>https://www.sec.gov/Archives/edgar/data/2110365/000119312526395475/ck0002110365-20260918.htm</t>
        </is>
      </c>
      <c r="O74" s="1" t="inlineStr">
        <is>
          <t>Aug-31 GPU count used as H1 average</t>
        </is>
      </c>
    </row>
    <row r="75">
      <c r="A75" t="inlineStr">
        <is>
          <t>NK07</t>
        </is>
      </c>
      <c r="B75" t="inlineStr">
        <is>
          <t>K07</t>
        </is>
      </c>
      <c r="C75" s="1" t="inlineStr">
        <is>
          <t>Implied blended $/GPU-hr (H1'26)</t>
        </is>
      </c>
      <c r="D75" s="14">
        <f>D4*1000000/(D33*181*24)</f>
        <v/>
      </c>
      <c r="E75" t="inlineStr">
        <is>
          <t>$/GPU-hr</t>
        </is>
      </c>
      <c r="F75" t="inlineStr">
        <is>
          <t>2026-06-30</t>
        </is>
      </c>
      <c r="G75" t="inlineStr">
        <is>
          <t>H1'26</t>
        </is>
      </c>
      <c r="H75" s="15" t="inlineStr">
        <is>
          <t>E</t>
        </is>
      </c>
      <c r="I75" t="inlineStr">
        <is>
          <t>Estimated</t>
        </is>
      </c>
      <c r="J75" t="inlineStr"/>
      <c r="K75" t="inlineStr">
        <is>
          <t>{N01}*1000000/({N26}*181*24)</t>
        </is>
      </c>
      <c r="L75" s="1" t="inlineStr">
        <is>
          <t>Nscale Ltd Form S-1 (filed 2026-09-18; CIK 0002110365). Local copy /workspace/nebius/comps_raw/nscale_s1.htm(.txt)</t>
        </is>
      </c>
      <c r="M75" t="inlineStr">
        <is>
          <t>2026-09-18</t>
        </is>
      </c>
      <c r="N75" t="inlineStr">
        <is>
          <t>https://www.sec.gov/Archives/edgar/data/2110365/000119312526395475/ck0002110365-20260918.htm</t>
        </is>
      </c>
      <c r="O75" s="1" t="inlineStr">
        <is>
          <t>181 days; same GPU caveat</t>
        </is>
      </c>
    </row>
    <row r="76">
      <c r="A76" t="inlineStr">
        <is>
          <t>NK07b</t>
        </is>
      </c>
      <c r="B76" t="inlineStr">
        <is>
          <t>K07</t>
        </is>
      </c>
      <c r="C76" s="1" t="inlineStr">
        <is>
          <t>Active-contract ACV per active GPU-hour</t>
        </is>
      </c>
      <c r="D76" s="14">
        <f>D10*1000000/(D33*8760)</f>
        <v/>
      </c>
      <c r="E76" t="inlineStr">
        <is>
          <t>$/GPU-hr</t>
        </is>
      </c>
      <c r="F76" t="inlineStr">
        <is>
          <t>2026-08-31</t>
        </is>
      </c>
      <c r="G76" t="inlineStr">
        <is>
          <t>point</t>
        </is>
      </c>
      <c r="H76" s="15" t="inlineStr">
        <is>
          <t>E</t>
        </is>
      </c>
      <c r="I76" t="inlineStr">
        <is>
          <t>Estimated</t>
        </is>
      </c>
      <c r="J76" t="inlineStr"/>
      <c r="K76" t="inlineStr">
        <is>
          <t>{N07}*1000000/({N26}*8760)</t>
        </is>
      </c>
      <c r="L76" s="1" t="inlineStr">
        <is>
          <t>Nscale Ltd Form S-1 (filed 2026-09-18; CIK 0002110365). Local copy /workspace/nebius/comps_raw/nscale_s1.htm(.txt)</t>
        </is>
      </c>
      <c r="M76" t="inlineStr">
        <is>
          <t>2026-09-18</t>
        </is>
      </c>
      <c r="N76" t="inlineStr">
        <is>
          <t>https://www.sec.gov/Archives/edgar/data/2110365/000119312526395475/ck0002110365-20260918.htm</t>
        </is>
      </c>
      <c r="O76" s="1" t="inlineStr">
        <is>
          <t>Run-rate view</t>
        </is>
      </c>
    </row>
    <row r="77">
      <c r="A77" t="inlineStr">
        <is>
          <t>NK07c</t>
        </is>
      </c>
      <c r="B77" t="inlineStr">
        <is>
          <t>PX13</t>
        </is>
      </c>
      <c r="C77" s="1" t="inlineStr">
        <is>
          <t>Contracted TCV per GPU-hour (TCV / 461k GPUs / 5.7 yrs)</t>
        </is>
      </c>
      <c r="D77" s="14">
        <f>D40*1e9/D34/D35/8760</f>
        <v/>
      </c>
      <c r="E77" t="inlineStr">
        <is>
          <t>$/GPU-hr</t>
        </is>
      </c>
      <c r="F77" t="inlineStr">
        <is>
          <t>2026-08-31</t>
        </is>
      </c>
      <c r="G77" t="inlineStr">
        <is>
          <t>point</t>
        </is>
      </c>
      <c r="H77" s="15" t="inlineStr">
        <is>
          <t>E</t>
        </is>
      </c>
      <c r="I77" t="inlineStr">
        <is>
          <t>Estimated</t>
        </is>
      </c>
      <c r="J77" t="inlineStr"/>
      <c r="K77" t="inlineStr">
        <is>
          <t>{N33}*1e9/{N27}/{N28}/8760</t>
        </is>
      </c>
      <c r="L77" s="1" t="inlineStr">
        <is>
          <t>Nscale Ltd Form S-1 (filed 2026-09-18; CIK 0002110365). Local copy /workspace/nebius/comps_raw/nscale_s1.htm(.txt)</t>
        </is>
      </c>
      <c r="M77" t="inlineStr">
        <is>
          <t>2026-09-18</t>
        </is>
      </c>
      <c r="N77" t="inlineStr">
        <is>
          <t>https://www.sec.gov/Archives/edgar/data/2110365/000119312526395475/ck0002110365-20260918.htm</t>
        </is>
      </c>
      <c r="O77" s="1" t="inlineStr">
        <is>
          <t>Vera Rubin-era contracts</t>
        </is>
      </c>
    </row>
    <row r="78">
      <c r="A78" t="inlineStr">
        <is>
          <t>NK14</t>
        </is>
      </c>
      <c r="B78" t="inlineStr">
        <is>
          <t>K14</t>
        </is>
      </c>
      <c r="C78" s="1" t="inlineStr">
        <is>
          <t>Net PP&amp;E per active MW</t>
        </is>
      </c>
      <c r="D78" s="10">
        <f>D20/D24</f>
        <v/>
      </c>
      <c r="E78" t="inlineStr">
        <is>
          <t>$M/MW</t>
        </is>
      </c>
      <c r="F78" t="inlineStr">
        <is>
          <t>2026-06-30</t>
        </is>
      </c>
      <c r="G78" t="inlineStr">
        <is>
          <t>Jun PP&amp;E / Aug MW</t>
        </is>
      </c>
      <c r="H78" s="11" t="inlineStr">
        <is>
          <t>D</t>
        </is>
      </c>
      <c r="I78" t="inlineStr">
        <is>
          <t>Derived</t>
        </is>
      </c>
      <c r="J78" t="inlineStr"/>
      <c r="K78" t="inlineStr">
        <is>
          <t>{N17}/{N21}</t>
        </is>
      </c>
      <c r="L78" s="1" t="inlineStr">
        <is>
          <t>Nscale Ltd Form S-1 (filed 2026-09-18; CIK 0002110365). Local copy /workspace/nebius/comps_raw/nscale_s1.htm(.txt)</t>
        </is>
      </c>
      <c r="M78" t="inlineStr">
        <is>
          <t>2026-09-18</t>
        </is>
      </c>
      <c r="N78" t="inlineStr">
        <is>
          <t>https://www.sec.gov/Archives/edgar/data/2110365/000119312526395475/ck0002110365-20260918.htm</t>
        </is>
      </c>
      <c r="O78" s="1" t="inlineStr">
        <is>
          <t>Includes $4.16B CIP for contracted sites -&gt; overstated</t>
        </is>
      </c>
    </row>
    <row r="79">
      <c r="A79" t="inlineStr">
        <is>
          <t>NK15</t>
        </is>
      </c>
      <c r="B79" t="inlineStr">
        <is>
          <t>K15</t>
        </is>
      </c>
      <c r="C79" s="1" t="inlineStr">
        <is>
          <t>Gross in-service PP&amp;E per active MW</t>
        </is>
      </c>
      <c r="D79" s="10">
        <f>D22/D24</f>
        <v/>
      </c>
      <c r="E79" t="inlineStr">
        <is>
          <t>$M/MW</t>
        </is>
      </c>
      <c r="F79" t="inlineStr">
        <is>
          <t>2026-06-30</t>
        </is>
      </c>
      <c r="G79" t="inlineStr">
        <is>
          <t>Jun PP&amp;E / Aug MW</t>
        </is>
      </c>
      <c r="H79" s="11" t="inlineStr">
        <is>
          <t>D</t>
        </is>
      </c>
      <c r="I79" t="inlineStr">
        <is>
          <t>Derived</t>
        </is>
      </c>
      <c r="J79" t="inlineStr"/>
      <c r="K79" t="inlineStr">
        <is>
          <t>{N19}/{N21}</t>
        </is>
      </c>
      <c r="L79" s="1" t="inlineStr">
        <is>
          <t>Nscale Ltd Form S-1 (filed 2026-09-18; CIK 0002110365). Local copy /workspace/nebius/comps_raw/nscale_s1.htm(.txt)</t>
        </is>
      </c>
      <c r="M79" t="inlineStr">
        <is>
          <t>2026-09-18</t>
        </is>
      </c>
      <c r="N79" t="inlineStr">
        <is>
          <t>https://www.sec.gov/Archives/edgar/data/2110365/000119312526395475/ck0002110365-20260918.htm</t>
        </is>
      </c>
      <c r="O79" s="1" t="inlineStr">
        <is>
          <t>Active base mostly colocation</t>
        </is>
      </c>
    </row>
    <row r="80">
      <c r="A80" t="inlineStr">
        <is>
          <t>NK15b</t>
        </is>
      </c>
      <c r="B80" t="inlineStr">
        <is>
          <t>K15</t>
        </is>
      </c>
      <c r="C80" s="1" t="inlineStr">
        <is>
          <t>In-service technology equipment per active GPU</t>
        </is>
      </c>
      <c r="D80" s="10">
        <f>D21*1000/D33</f>
        <v/>
      </c>
      <c r="E80" t="inlineStr">
        <is>
          <t>$K/GPU</t>
        </is>
      </c>
      <c r="F80" t="inlineStr">
        <is>
          <t>2026-06-30</t>
        </is>
      </c>
      <c r="G80" t="inlineStr">
        <is>
          <t>Jun / Aug</t>
        </is>
      </c>
      <c r="H80" s="11" t="inlineStr">
        <is>
          <t>D</t>
        </is>
      </c>
      <c r="I80" t="inlineStr">
        <is>
          <t>Derived</t>
        </is>
      </c>
      <c r="J80" t="inlineStr"/>
      <c r="K80" t="inlineStr">
        <is>
          <t>{N18}*1000/{N26}</t>
        </is>
      </c>
      <c r="L80" s="1" t="inlineStr">
        <is>
          <t>Nscale Ltd Form S-1 (filed 2026-09-18; CIK 0002110365). Local copy /workspace/nebius/comps_raw/nscale_s1.htm(.txt)</t>
        </is>
      </c>
      <c r="M80" t="inlineStr">
        <is>
          <t>2026-09-18</t>
        </is>
      </c>
      <c r="N80" t="inlineStr">
        <is>
          <t>https://www.sec.gov/Archives/edgar/data/2110365/000119312526395475/ck0002110365-20260918.htm</t>
        </is>
      </c>
      <c r="O80" s="1" t="inlineStr"/>
    </row>
    <row r="81">
      <c r="A81" t="inlineStr">
        <is>
          <t>NK17</t>
        </is>
      </c>
      <c r="B81" t="inlineStr">
        <is>
          <t>K17</t>
        </is>
      </c>
      <c r="C81" s="1" t="inlineStr">
        <is>
          <t>Depreciation yield (PP&amp;E depreciation x2 / avg in-service gross PP&amp;E)</t>
        </is>
      </c>
      <c r="D81" s="10">
        <f>D13*2/((D22+D23)/2)*100</f>
        <v/>
      </c>
      <c r="E81" t="inlineStr">
        <is>
          <t>%</t>
        </is>
      </c>
      <c r="F81" t="inlineStr">
        <is>
          <t>2026-06-30</t>
        </is>
      </c>
      <c r="G81" t="inlineStr">
        <is>
          <t>H1'26</t>
        </is>
      </c>
      <c r="H81" s="11" t="inlineStr">
        <is>
          <t>D</t>
        </is>
      </c>
      <c r="I81" t="inlineStr">
        <is>
          <t>Derived</t>
        </is>
      </c>
      <c r="J81" t="inlineStr"/>
      <c r="K81" t="inlineStr">
        <is>
          <t>{N10}*2/(({N19}+{N20})/2)*100</t>
        </is>
      </c>
      <c r="L81" s="1" t="inlineStr">
        <is>
          <t>Nscale Ltd Form S-1 (filed 2026-09-18; CIK 0002110365). Local copy /workspace/nebius/comps_raw/nscale_s1.htm(.txt)</t>
        </is>
      </c>
      <c r="M81" t="inlineStr">
        <is>
          <t>2026-09-18</t>
        </is>
      </c>
      <c r="N81" t="inlineStr">
        <is>
          <t>https://www.sec.gov/Archives/edgar/data/2110365/000119312526395475/ck0002110365-20260918.htm</t>
        </is>
      </c>
      <c r="O81" s="1" t="inlineStr">
        <is>
          <t>Total D&amp;A incl. intangible amortization would give ~35%</t>
        </is>
      </c>
    </row>
    <row r="82">
      <c r="A82" t="inlineStr">
        <is>
          <t>NK18</t>
        </is>
      </c>
      <c r="B82" t="inlineStr">
        <is>
          <t>K18</t>
        </is>
      </c>
      <c r="C82" s="1" t="inlineStr">
        <is>
          <t>Implied average depreciable life (1/yield)</t>
        </is>
      </c>
      <c r="D82" s="10">
        <f>100/D81</f>
        <v/>
      </c>
      <c r="E82" t="inlineStr">
        <is>
          <t>years</t>
        </is>
      </c>
      <c r="F82" t="inlineStr">
        <is>
          <t>2026-06-30</t>
        </is>
      </c>
      <c r="G82" t="inlineStr">
        <is>
          <t>H1'26</t>
        </is>
      </c>
      <c r="H82" s="11" t="inlineStr">
        <is>
          <t>D</t>
        </is>
      </c>
      <c r="I82" t="inlineStr">
        <is>
          <t>Derived</t>
        </is>
      </c>
      <c r="J82" t="inlineStr"/>
      <c r="K82" t="inlineStr">
        <is>
          <t>100/{NK17}</t>
        </is>
      </c>
      <c r="L82" s="1" t="inlineStr">
        <is>
          <t>Nscale Ltd Form S-1 (filed 2026-09-18; CIK 0002110365). Local copy /workspace/nebius/comps_raw/nscale_s1.htm(.txt)</t>
        </is>
      </c>
      <c r="M82" t="inlineStr">
        <is>
          <t>2026-09-18</t>
        </is>
      </c>
      <c r="N82" t="inlineStr">
        <is>
          <t>https://www.sec.gov/Archives/edgar/data/2110365/000119312526395475/ck0002110365-20260918.htm</t>
        </is>
      </c>
      <c r="O82" s="1" t="inlineStr"/>
    </row>
    <row r="83">
      <c r="A83" t="inlineStr">
        <is>
          <t>NK19</t>
        </is>
      </c>
      <c r="B83" t="inlineStr">
        <is>
          <t>K19</t>
        </is>
      </c>
      <c r="C83" s="1" t="inlineStr">
        <is>
          <t>D&amp;A as % of revenue (H1'26)</t>
        </is>
      </c>
      <c r="D83" s="10">
        <f>D12/D4*100</f>
        <v/>
      </c>
      <c r="E83" t="inlineStr">
        <is>
          <t>%</t>
        </is>
      </c>
      <c r="F83" t="inlineStr">
        <is>
          <t>2026-06-30</t>
        </is>
      </c>
      <c r="G83" t="inlineStr">
        <is>
          <t>H1'26</t>
        </is>
      </c>
      <c r="H83" s="11" t="inlineStr">
        <is>
          <t>D</t>
        </is>
      </c>
      <c r="I83" t="inlineStr">
        <is>
          <t>Derived</t>
        </is>
      </c>
      <c r="J83" t="inlineStr"/>
      <c r="K83" t="inlineStr">
        <is>
          <t>{N09}/{N01}*100</t>
        </is>
      </c>
      <c r="L83" s="1" t="inlineStr">
        <is>
          <t>Nscale Ltd Form S-1 (filed 2026-09-18; CIK 0002110365). Local copy /workspace/nebius/comps_raw/nscale_s1.htm(.txt)</t>
        </is>
      </c>
      <c r="M83" t="inlineStr">
        <is>
          <t>2026-09-18</t>
        </is>
      </c>
      <c r="N83" t="inlineStr">
        <is>
          <t>https://www.sec.gov/Archives/edgar/data/2110365/000119312526395475/ck0002110365-20260918.htm</t>
        </is>
      </c>
      <c r="O83" s="1" t="inlineStr"/>
    </row>
    <row r="84">
      <c r="A84" t="inlineStr">
        <is>
          <t>NK23</t>
        </is>
      </c>
      <c r="B84" t="inlineStr">
        <is>
          <t>K23</t>
        </is>
      </c>
      <c r="C84" s="1" t="inlineStr">
        <is>
          <t>RPO / annualized revenue</t>
        </is>
      </c>
      <c r="D84" s="10">
        <f>D37*1000/D8</f>
        <v/>
      </c>
      <c r="E84" t="inlineStr">
        <is>
          <t>years</t>
        </is>
      </c>
      <c r="F84" t="inlineStr">
        <is>
          <t>2026-06-30</t>
        </is>
      </c>
      <c r="G84" t="inlineStr">
        <is>
          <t>point</t>
        </is>
      </c>
      <c r="H84" s="11" t="inlineStr">
        <is>
          <t>D</t>
        </is>
      </c>
      <c r="I84" t="inlineStr">
        <is>
          <t>Derived</t>
        </is>
      </c>
      <c r="J84" t="inlineStr"/>
      <c r="K84" t="inlineStr">
        <is>
          <t>{N30}*1000/{N05}</t>
        </is>
      </c>
      <c r="L84" s="1" t="inlineStr">
        <is>
          <t>Nscale Ltd Form S-1 (filed 2026-09-18; CIK 0002110365). Local copy /workspace/nebius/comps_raw/nscale_s1.htm(.txt)</t>
        </is>
      </c>
      <c r="M84" t="inlineStr">
        <is>
          <t>2026-09-18</t>
        </is>
      </c>
      <c r="N84" t="inlineStr">
        <is>
          <t>https://www.sec.gov/Archives/edgar/data/2110365/000119312526395475/ck0002110365-20260918.htm</t>
        </is>
      </c>
      <c r="O84" s="1" t="inlineStr"/>
    </row>
    <row r="85">
      <c r="A85" t="inlineStr">
        <is>
          <t>NK28</t>
        </is>
      </c>
      <c r="B85" t="inlineStr">
        <is>
          <t>K28</t>
        </is>
      </c>
      <c r="C85" s="1" t="inlineStr">
        <is>
          <t>Weighted effective cost of debt (6/30/26)</t>
        </is>
      </c>
      <c r="D85" s="10">
        <f>(48.2*D51+89.2*D52)/D47</f>
        <v/>
      </c>
      <c r="E85" t="inlineStr">
        <is>
          <t>%</t>
        </is>
      </c>
      <c r="F85" t="inlineStr">
        <is>
          <t>2026-06-30</t>
        </is>
      </c>
      <c r="G85" t="inlineStr">
        <is>
          <t>point</t>
        </is>
      </c>
      <c r="H85" s="11" t="inlineStr">
        <is>
          <t>D</t>
        </is>
      </c>
      <c r="I85" t="inlineStr">
        <is>
          <t>Derived</t>
        </is>
      </c>
      <c r="J85" t="inlineStr"/>
      <c r="K85" t="inlineStr">
        <is>
          <t>(48.2*{N44}+89.2*{N45})/{N40}</t>
        </is>
      </c>
      <c r="L85" s="1" t="inlineStr">
        <is>
          <t>Nscale Ltd Form S-1 (filed 2026-09-18; CIK 0002110365). Local copy /workspace/nebius/comps_raw/nscale_s1.htm(.txt)</t>
        </is>
      </c>
      <c r="M85" t="inlineStr">
        <is>
          <t>2026-09-18</t>
        </is>
      </c>
      <c r="N85" t="inlineStr">
        <is>
          <t>https://www.sec.gov/Archives/edgar/data/2110365/000119312526395475/ck0002110365-20260918.htm</t>
        </is>
      </c>
      <c r="O85" s="1" t="inlineStr">
        <is>
          <t>Carrying-value weights</t>
        </is>
      </c>
    </row>
    <row r="86">
      <c r="A86" t="inlineStr">
        <is>
          <t>NK35</t>
        </is>
      </c>
      <c r="B86" t="inlineStr">
        <is>
          <t>K35</t>
        </is>
      </c>
      <c r="C86" s="1" t="inlineStr">
        <is>
          <t>GPU-backed share of debt</t>
        </is>
      </c>
      <c r="D86" s="10">
        <f>48.2/D47*100</f>
        <v/>
      </c>
      <c r="E86" t="inlineStr">
        <is>
          <t>%</t>
        </is>
      </c>
      <c r="F86" t="inlineStr">
        <is>
          <t>2026-06-30</t>
        </is>
      </c>
      <c r="G86" t="inlineStr">
        <is>
          <t>point</t>
        </is>
      </c>
      <c r="H86" s="11" t="inlineStr">
        <is>
          <t>D</t>
        </is>
      </c>
      <c r="I86" t="inlineStr">
        <is>
          <t>Derived</t>
        </is>
      </c>
      <c r="J86" t="inlineStr"/>
      <c r="K86" t="inlineStr">
        <is>
          <t>48.2/{N40}*100</t>
        </is>
      </c>
      <c r="L86" s="1" t="inlineStr">
        <is>
          <t>Nscale Ltd Form S-1 (filed 2026-09-18; CIK 0002110365). Local copy /workspace/nebius/comps_raw/nscale_s1.htm(.txt)</t>
        </is>
      </c>
      <c r="M86" t="inlineStr">
        <is>
          <t>2026-09-18</t>
        </is>
      </c>
      <c r="N86" t="inlineStr">
        <is>
          <t>https://www.sec.gov/Archives/edgar/data/2110365/000119312526395475/ck0002110365-20260918.htm</t>
        </is>
      </c>
      <c r="O86" s="1" t="inlineStr"/>
    </row>
    <row r="87">
      <c r="A87" t="inlineStr">
        <is>
          <t>NK36</t>
        </is>
      </c>
      <c r="B87" t="inlineStr">
        <is>
          <t>K36</t>
        </is>
      </c>
      <c r="C87" s="1" t="inlineStr">
        <is>
          <t>Interest on debt x2 / avg debt</t>
        </is>
      </c>
      <c r="D87" s="10">
        <f>D49*2/((D47+D48)/2)*100</f>
        <v/>
      </c>
      <c r="E87" t="inlineStr">
        <is>
          <t>%</t>
        </is>
      </c>
      <c r="F87" t="inlineStr">
        <is>
          <t>2026-06-30</t>
        </is>
      </c>
      <c r="G87" t="inlineStr">
        <is>
          <t>H1'26</t>
        </is>
      </c>
      <c r="H87" s="11" t="inlineStr">
        <is>
          <t>D</t>
        </is>
      </c>
      <c r="I87" t="inlineStr">
        <is>
          <t>Derived</t>
        </is>
      </c>
      <c r="J87" t="inlineStr"/>
      <c r="K87" t="inlineStr">
        <is>
          <t>{N42}*2/(({N40}+{N41})/2)*100</t>
        </is>
      </c>
      <c r="L87" s="1" t="inlineStr">
        <is>
          <t>Nscale Ltd Form S-1 (filed 2026-09-18; CIK 0002110365). Local copy /workspace/nebius/comps_raw/nscale_s1.htm(.txt)</t>
        </is>
      </c>
      <c r="M87" t="inlineStr">
        <is>
          <t>2026-09-18</t>
        </is>
      </c>
      <c r="N87" t="inlineStr">
        <is>
          <t>https://www.sec.gov/Archives/edgar/data/2110365/000119312526395475/ck0002110365-20260918.htm</t>
        </is>
      </c>
      <c r="O87" s="1" t="inlineStr"/>
    </row>
    <row r="88">
      <c r="A88" t="inlineStr">
        <is>
          <t>NK38</t>
        </is>
      </c>
      <c r="B88" t="inlineStr">
        <is>
          <t>K38</t>
        </is>
      </c>
      <c r="C88" s="1" t="inlineStr">
        <is>
          <t>Total debt (EoP)</t>
        </is>
      </c>
      <c r="D88" s="10">
        <f>D47/1000</f>
        <v/>
      </c>
      <c r="E88" t="inlineStr">
        <is>
          <t>$B</t>
        </is>
      </c>
      <c r="F88" t="inlineStr">
        <is>
          <t>2026-06-30</t>
        </is>
      </c>
      <c r="G88" t="inlineStr">
        <is>
          <t>point</t>
        </is>
      </c>
      <c r="H88" s="11" t="inlineStr">
        <is>
          <t>D</t>
        </is>
      </c>
      <c r="I88" t="inlineStr">
        <is>
          <t>Derived</t>
        </is>
      </c>
      <c r="J88" t="inlineStr"/>
      <c r="K88" t="inlineStr">
        <is>
          <t>{N40}/1000</t>
        </is>
      </c>
      <c r="L88" s="1" t="inlineStr">
        <is>
          <t>Nscale Ltd Form S-1 (filed 2026-09-18; CIK 0002110365). Local copy /workspace/nebius/comps_raw/nscale_s1.htm(.txt)</t>
        </is>
      </c>
      <c r="M88" t="inlineStr">
        <is>
          <t>2026-09-18</t>
        </is>
      </c>
      <c r="N88" t="inlineStr">
        <is>
          <t>https://www.sec.gov/Archives/edgar/data/2110365/000119312526395475/ck0002110365-20260918.htm</t>
        </is>
      </c>
      <c r="O88" s="1" t="inlineStr"/>
    </row>
    <row r="89">
      <c r="A89" t="inlineStr">
        <is>
          <t>NK39</t>
        </is>
      </c>
      <c r="B89" t="inlineStr">
        <is>
          <t>K39</t>
        </is>
      </c>
      <c r="C89" s="1" t="inlineStr">
        <is>
          <t>Debt / RPO</t>
        </is>
      </c>
      <c r="D89" s="10">
        <f>D47/1000/D37</f>
        <v/>
      </c>
      <c r="E89" t="inlineStr">
        <is>
          <t>x</t>
        </is>
      </c>
      <c r="F89" t="inlineStr">
        <is>
          <t>2026-06-30</t>
        </is>
      </c>
      <c r="G89" t="inlineStr">
        <is>
          <t>point</t>
        </is>
      </c>
      <c r="H89" s="11" t="inlineStr">
        <is>
          <t>D</t>
        </is>
      </c>
      <c r="I89" t="inlineStr">
        <is>
          <t>Derived</t>
        </is>
      </c>
      <c r="J89" t="inlineStr"/>
      <c r="K89" t="inlineStr">
        <is>
          <t>{N40}/1000/{N30}</t>
        </is>
      </c>
      <c r="L89" s="1" t="inlineStr">
        <is>
          <t>Nscale Ltd Form S-1 (filed 2026-09-18; CIK 0002110365). Local copy /workspace/nebius/comps_raw/nscale_s1.htm(.txt)</t>
        </is>
      </c>
      <c r="M89" t="inlineStr">
        <is>
          <t>2026-09-18</t>
        </is>
      </c>
      <c r="N89" t="inlineStr">
        <is>
          <t>https://www.sec.gov/Archives/edgar/data/2110365/000119312526395475/ck0002110365-20260918.htm</t>
        </is>
      </c>
      <c r="O89" s="1" t="inlineStr"/>
    </row>
    <row r="90">
      <c r="A90" t="inlineStr">
        <is>
          <t>NK40</t>
        </is>
      </c>
      <c r="B90" t="inlineStr">
        <is>
          <t>K40</t>
        </is>
      </c>
      <c r="C90" s="1" t="inlineStr">
        <is>
          <t>Capitalized interest % of interest (H1'26)</t>
        </is>
      </c>
      <c r="D90" s="10">
        <f>D50/D49*100</f>
        <v/>
      </c>
      <c r="E90" t="inlineStr">
        <is>
          <t>%</t>
        </is>
      </c>
      <c r="F90" t="inlineStr">
        <is>
          <t>2026-06-30</t>
        </is>
      </c>
      <c r="G90" t="inlineStr">
        <is>
          <t>H1'26</t>
        </is>
      </c>
      <c r="H90" s="11" t="inlineStr">
        <is>
          <t>D</t>
        </is>
      </c>
      <c r="I90" t="inlineStr">
        <is>
          <t>Derived</t>
        </is>
      </c>
      <c r="J90" t="inlineStr"/>
      <c r="K90" t="inlineStr">
        <is>
          <t>{N43}/{N42}*100</t>
        </is>
      </c>
      <c r="L90" s="1" t="inlineStr">
        <is>
          <t>Nscale Ltd Form S-1 (filed 2026-09-18; CIK 0002110365). Local copy /workspace/nebius/comps_raw/nscale_s1.htm(.txt)</t>
        </is>
      </c>
      <c r="M90" t="inlineStr">
        <is>
          <t>2026-09-18</t>
        </is>
      </c>
      <c r="N90" t="inlineStr">
        <is>
          <t>https://www.sec.gov/Archives/edgar/data/2110365/000119312526395475/ck0002110365-20260918.htm</t>
        </is>
      </c>
      <c r="O90" s="1" t="inlineStr">
        <is>
          <t>FY25: 11.8/12.9 = 91%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8"/>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52" customWidth="1" min="3" max="3"/>
    <col width="14" customWidth="1" min="4" max="4"/>
    <col width="11" customWidth="1" min="5" max="5"/>
    <col width="12" customWidth="1" min="6" max="6"/>
    <col width="18" customWidth="1" min="7" max="7"/>
    <col width="6" customWidth="1" min="8" max="8"/>
    <col width="13" customWidth="1" min="9" max="9"/>
    <col width="10" customWidth="1" min="10" max="10"/>
    <col width="30" customWidth="1" min="11" max="11"/>
    <col width="60" customWidth="1" min="12" max="12"/>
    <col width="11" customWidth="1" min="13" max="13"/>
    <col width="60" customWidth="1" min="14" max="14"/>
    <col width="80" customWidth="1" min="15" max="15"/>
  </cols>
  <sheetData>
    <row r="1">
      <c r="A1" s="2" t="inlineStr">
        <is>
          <t>Lambda - dated data points. Value column is live formulas for D/E rows. Tags: see README.</t>
        </is>
      </c>
    </row>
    <row r="3">
      <c r="A3" s="3" t="inlineStr">
        <is>
          <t>DP id</t>
        </is>
      </c>
      <c r="B3" s="3" t="inlineStr">
        <is>
          <t>Row ID (CRWV template)</t>
        </is>
      </c>
      <c r="C3" s="3" t="inlineStr">
        <is>
          <t>Metric</t>
        </is>
      </c>
      <c r="D3" s="3" t="inlineStr">
        <is>
          <t>Value</t>
        </is>
      </c>
      <c r="E3" s="3" t="inlineStr">
        <is>
          <t>Unit</t>
        </is>
      </c>
      <c r="F3" s="3" t="inlineStr">
        <is>
          <t>As-of date</t>
        </is>
      </c>
      <c r="G3" s="3" t="inlineStr">
        <is>
          <t>Period / basis</t>
        </is>
      </c>
      <c r="H3" s="3" t="inlineStr">
        <is>
          <t>Tag</t>
        </is>
      </c>
      <c r="I3" s="3" t="inlineStr">
        <is>
          <t>Tag name</t>
        </is>
      </c>
      <c r="J3" s="3" t="inlineStr">
        <is>
          <t>Input tags</t>
        </is>
      </c>
      <c r="K3" s="3" t="inlineStr">
        <is>
          <t>Formula (DP ids)</t>
        </is>
      </c>
      <c r="L3" s="3" t="inlineStr">
        <is>
          <t>Source document</t>
        </is>
      </c>
      <c r="M3" s="3" t="inlineStr">
        <is>
          <t>Source date</t>
        </is>
      </c>
      <c r="N3" s="3" t="inlineStr">
        <is>
          <t>URL</t>
        </is>
      </c>
      <c r="O3" s="3" t="inlineStr">
        <is>
          <t>Notes / caveats</t>
        </is>
      </c>
    </row>
    <row r="4">
      <c r="A4" t="inlineStr">
        <is>
          <t>L01</t>
        </is>
      </c>
      <c r="B4" t="inlineStr">
        <is>
          <t>I01</t>
        </is>
      </c>
      <c r="C4" s="1" t="inlineStr">
        <is>
          <t>Revenue, Q2'25 (total incl. legacy hardware)</t>
        </is>
      </c>
      <c r="D4" s="8" t="n">
        <v>140</v>
      </c>
      <c r="E4" t="inlineStr">
        <is>
          <t>$M</t>
        </is>
      </c>
      <c r="F4" t="inlineStr">
        <is>
          <t>2025-06-30</t>
        </is>
      </c>
      <c r="G4" t="inlineStr">
        <is>
          <t>Q2'25</t>
        </is>
      </c>
      <c r="H4" s="9" t="inlineStr">
        <is>
          <t>P</t>
        </is>
      </c>
      <c r="I4" t="inlineStr">
        <is>
          <t>Press-reported</t>
        </is>
      </c>
      <c r="J4" t="inlineStr"/>
      <c r="K4" t="inlineStr"/>
      <c r="L4" s="1" t="inlineStr">
        <is>
          <t>DCD citing The Information (documents viewed): Q2'25 revenue ~$140M, H1'25 &gt;$250M, GM 50%/61%, H1 net loss ~$24M</t>
        </is>
      </c>
      <c r="M4" t="inlineStr">
        <is>
          <t>2025-09-04</t>
        </is>
      </c>
      <c r="N4" t="inlineStr">
        <is>
          <t>https://www.datacenterdynamics.com/en/news/ai-cloud-lambda-hires-investment-banks-in-preparation-for-ipo-report/</t>
        </is>
      </c>
      <c r="O4" s="1" t="inlineStr">
        <is>
          <t>'almost 60%' YoY; documents viewed by The Information</t>
        </is>
      </c>
    </row>
    <row r="5">
      <c r="A5" t="inlineStr">
        <is>
          <t>L02</t>
        </is>
      </c>
      <c r="B5" t="inlineStr">
        <is>
          <t>I01</t>
        </is>
      </c>
      <c r="C5" s="1" t="inlineStr">
        <is>
          <t>Revenue, H1'25</t>
        </is>
      </c>
      <c r="D5" s="8" t="n">
        <v>250</v>
      </c>
      <c r="E5" t="inlineStr">
        <is>
          <t>$M</t>
        </is>
      </c>
      <c r="F5" t="inlineStr">
        <is>
          <t>2025-06-30</t>
        </is>
      </c>
      <c r="G5" t="inlineStr">
        <is>
          <t>H1'25</t>
        </is>
      </c>
      <c r="H5" s="9" t="inlineStr">
        <is>
          <t>P</t>
        </is>
      </c>
      <c r="I5" t="inlineStr">
        <is>
          <t>Press-reported</t>
        </is>
      </c>
      <c r="J5" t="inlineStr"/>
      <c r="K5" t="inlineStr"/>
      <c r="L5" s="1" t="inlineStr">
        <is>
          <t>DCD citing The Information (documents viewed): Q2'25 revenue ~$140M, H1'25 &gt;$250M, GM 50%/61%, H1 net loss ~$24M</t>
        </is>
      </c>
      <c r="M5" t="inlineStr">
        <is>
          <t>2025-09-04</t>
        </is>
      </c>
      <c r="N5" t="inlineStr">
        <is>
          <t>https://www.datacenterdynamics.com/en/news/ai-cloud-lambda-hires-investment-banks-in-preparation-for-ipo-report/</t>
        </is>
      </c>
      <c r="O5" s="1" t="inlineStr">
        <is>
          <t>'more than $250m', +33% YoY (lower bound)</t>
        </is>
      </c>
    </row>
    <row r="6">
      <c r="A6" t="inlineStr">
        <is>
          <t>L03</t>
        </is>
      </c>
      <c r="B6" t="inlineStr">
        <is>
          <t>I01</t>
        </is>
      </c>
      <c r="C6" s="1" t="inlineStr">
        <is>
          <t>Cloud revenue, Q2'25</t>
        </is>
      </c>
      <c r="D6" s="8" t="n">
        <v>114</v>
      </c>
      <c r="E6" t="inlineStr">
        <is>
          <t>$M</t>
        </is>
      </c>
      <c r="F6" t="inlineStr">
        <is>
          <t>2025-06-30</t>
        </is>
      </c>
      <c r="G6" t="inlineStr">
        <is>
          <t>Q2'25</t>
        </is>
      </c>
      <c r="H6" s="9" t="inlineStr">
        <is>
          <t>P</t>
        </is>
      </c>
      <c r="I6" t="inlineStr">
        <is>
          <t>Press-reported</t>
        </is>
      </c>
      <c r="J6" t="inlineStr"/>
      <c r="K6" t="inlineStr"/>
      <c r="L6" s="1" t="inlineStr">
        <is>
          <t>Deep News / Tiger Brokers relaying The Information: Q2'25 cloud revenue ~$114M, 47MW in Q2'25, ~3GW 2030 target, Amazon+Microsoft ~half of cloud revenue</t>
        </is>
      </c>
      <c r="M6" t="inlineStr">
        <is>
          <t>2025-09-05</t>
        </is>
      </c>
      <c r="N6" t="inlineStr">
        <is>
          <t>https://www.itiger.com/news/1116660571</t>
        </is>
      </c>
      <c r="O6" s="1" t="inlineStr">
        <is>
          <t>~$114M cloud revenue (The Information via Deep News)</t>
        </is>
      </c>
    </row>
    <row r="7">
      <c r="A7" t="inlineStr">
        <is>
          <t>L04</t>
        </is>
      </c>
      <c r="B7" t="inlineStr">
        <is>
          <t>I01</t>
        </is>
      </c>
      <c r="C7" s="1" t="inlineStr">
        <is>
          <t>Revenue, FY24 (third-party estimate)</t>
        </is>
      </c>
      <c r="D7" s="14" t="n">
        <v>425</v>
      </c>
      <c r="E7" t="inlineStr">
        <is>
          <t>$M</t>
        </is>
      </c>
      <c r="F7" t="inlineStr">
        <is>
          <t>2024-12-31</t>
        </is>
      </c>
      <c r="G7" t="inlineStr">
        <is>
          <t>FY2024</t>
        </is>
      </c>
      <c r="H7" s="15" t="inlineStr">
        <is>
          <t>E</t>
        </is>
      </c>
      <c r="I7" t="inlineStr">
        <is>
          <t>Estimated</t>
        </is>
      </c>
      <c r="J7" t="inlineStr"/>
      <c r="K7" t="inlineStr"/>
      <c r="L7" s="1" t="inlineStr">
        <is>
          <t>Sacra (third-party research) Lambda profile: ~$760M ARR Dec-2025, ~$425M 2024 revenue, Series E $5.9B post, site list (LAX01 21MW, EdgeConneX &gt;30MW)</t>
        </is>
      </c>
      <c r="M7" t="inlineStr">
        <is>
          <t>2026-09</t>
        </is>
      </c>
      <c r="N7" t="inlineStr">
        <is>
          <t>https://sacra.com/c/lambda-labs/</t>
        </is>
      </c>
      <c r="O7" s="1" t="inlineStr">
        <is>
          <t>Sacra; company told investors 'closer to $400M' after guiding ~$600M</t>
        </is>
      </c>
    </row>
    <row r="8">
      <c r="A8" t="inlineStr">
        <is>
          <t>L05</t>
        </is>
      </c>
      <c r="B8" t="inlineStr">
        <is>
          <t>PX01</t>
        </is>
      </c>
      <c r="C8" s="1" t="inlineStr">
        <is>
          <t>Annualized revenue run-rate, Dec-2025 (third-party estimate)</t>
        </is>
      </c>
      <c r="D8" s="14" t="n">
        <v>760</v>
      </c>
      <c r="E8" t="inlineStr">
        <is>
          <t>$M/yr</t>
        </is>
      </c>
      <c r="F8" t="inlineStr">
        <is>
          <t>2025-12-31</t>
        </is>
      </c>
      <c r="G8" t="inlineStr">
        <is>
          <t>ARR</t>
        </is>
      </c>
      <c r="H8" s="15" t="inlineStr">
        <is>
          <t>E</t>
        </is>
      </c>
      <c r="I8" t="inlineStr">
        <is>
          <t>Estimated</t>
        </is>
      </c>
      <c r="J8" t="inlineStr"/>
      <c r="K8" t="inlineStr"/>
      <c r="L8" s="1" t="inlineStr">
        <is>
          <t>Sacra (third-party research) Lambda profile: ~$760M ARR Dec-2025, ~$425M 2024 revenue, Series E $5.9B post, site list (LAX01 21MW, EdgeConneX &gt;30MW)</t>
        </is>
      </c>
      <c r="M8" t="inlineStr">
        <is>
          <t>2026-09</t>
        </is>
      </c>
      <c r="N8" t="inlineStr">
        <is>
          <t>https://sacra.com/c/lambda-labs/</t>
        </is>
      </c>
      <c r="O8" s="1" t="inlineStr">
        <is>
          <t>Sacra estimate</t>
        </is>
      </c>
    </row>
    <row r="9">
      <c r="A9" t="inlineStr">
        <is>
          <t>L06</t>
        </is>
      </c>
      <c r="B9" t="inlineStr">
        <is>
          <t>PX01</t>
        </is>
      </c>
      <c r="C9" s="1" t="inlineStr">
        <is>
          <t>Expected 2026 revenue (press)</t>
        </is>
      </c>
      <c r="D9" s="8" t="n">
        <v>1500</v>
      </c>
      <c r="E9" t="inlineStr">
        <is>
          <t>$M</t>
        </is>
      </c>
      <c r="F9" t="inlineStr">
        <is>
          <t>2026-12-31</t>
        </is>
      </c>
      <c r="G9" t="inlineStr">
        <is>
          <t>FY2026E</t>
        </is>
      </c>
      <c r="H9" s="9" t="inlineStr">
        <is>
          <t>P</t>
        </is>
      </c>
      <c r="I9" t="inlineStr">
        <is>
          <t>Press-reported</t>
        </is>
      </c>
      <c r="J9" t="inlineStr"/>
      <c r="K9" t="inlineStr"/>
      <c r="L9" s="1" t="inlineStr">
        <is>
          <t>Bloomberg: Lambda in talks for up to $3B pre-IPO round at $12B+; expected 2026 revenue &gt;$1.5B</t>
        </is>
      </c>
      <c r="M9" t="inlineStr">
        <is>
          <t>2026-08-24</t>
        </is>
      </c>
      <c r="N9" t="inlineStr">
        <is>
          <t>https://www.bloomberg.com/news/articles/2026-08-24/ai-cloud-provider-lambda-in-talks-for-3-billion-pre-ipo-round</t>
        </is>
      </c>
      <c r="O9" s="1" t="inlineStr">
        <is>
          <t>'more than $1.5 billion in revenue this year' - people familiar (lower bound)</t>
        </is>
      </c>
    </row>
    <row r="10">
      <c r="A10" t="inlineStr">
        <is>
          <t>L07</t>
        </is>
      </c>
      <c r="B10" t="inlineStr">
        <is>
          <t>PX01</t>
        </is>
      </c>
      <c r="C10" s="1" t="inlineStr">
        <is>
          <t>Q2'25 revenue annualized (x4)</t>
        </is>
      </c>
      <c r="D10" s="10">
        <f>D4*4</f>
        <v/>
      </c>
      <c r="E10" t="inlineStr">
        <is>
          <t>$M/yr</t>
        </is>
      </c>
      <c r="F10" t="inlineStr">
        <is>
          <t>2025-06-30</t>
        </is>
      </c>
      <c r="G10" t="inlineStr">
        <is>
          <t>Q2'25 x4</t>
        </is>
      </c>
      <c r="H10" s="11" t="inlineStr">
        <is>
          <t>D</t>
        </is>
      </c>
      <c r="I10" t="inlineStr">
        <is>
          <t>Derived</t>
        </is>
      </c>
      <c r="J10" t="inlineStr">
        <is>
          <t>P</t>
        </is>
      </c>
      <c r="K10" t="inlineStr">
        <is>
          <t>{L01}*4</t>
        </is>
      </c>
      <c r="L10" s="1" t="inlineStr">
        <is>
          <t>DCD citing The Information (documents viewed): Q2'25 revenue ~$140M, H1'25 &gt;$250M, GM 50%/61%, H1 net loss ~$24M</t>
        </is>
      </c>
      <c r="M10" t="inlineStr">
        <is>
          <t>2025-09-04</t>
        </is>
      </c>
      <c r="N10" t="inlineStr">
        <is>
          <t>https://www.datacenterdynamics.com/en/news/ai-cloud-lambda-hires-investment-banks-in-preparation-for-ipo-report/</t>
        </is>
      </c>
      <c r="O10" s="1" t="inlineStr"/>
    </row>
    <row r="11">
      <c r="A11" t="inlineStr">
        <is>
          <t>L08</t>
        </is>
      </c>
      <c r="B11" t="inlineStr">
        <is>
          <t>I02</t>
        </is>
      </c>
      <c r="C11" s="1" t="inlineStr">
        <is>
          <t>Gross margin H1'25 (blended; 61% ex non-cloud)</t>
        </is>
      </c>
      <c r="D11" s="8" t="n">
        <v>50</v>
      </c>
      <c r="E11" t="inlineStr">
        <is>
          <t>%</t>
        </is>
      </c>
      <c r="F11" t="inlineStr">
        <is>
          <t>2025-06-30</t>
        </is>
      </c>
      <c r="G11" t="inlineStr">
        <is>
          <t>H1'25</t>
        </is>
      </c>
      <c r="H11" s="9" t="inlineStr">
        <is>
          <t>P</t>
        </is>
      </c>
      <c r="I11" t="inlineStr">
        <is>
          <t>Press-reported</t>
        </is>
      </c>
      <c r="J11" t="inlineStr"/>
      <c r="K11" t="inlineStr"/>
      <c r="L11" s="1" t="inlineStr">
        <is>
          <t>DCD citing The Information (documents viewed): Q2'25 revenue ~$140M, H1'25 &gt;$250M, GM 50%/61%, H1 net loss ~$24M</t>
        </is>
      </c>
      <c r="M11" t="inlineStr">
        <is>
          <t>2025-09-04</t>
        </is>
      </c>
      <c r="N11" t="inlineStr">
        <is>
          <t>https://www.datacenterdynamics.com/en/news/ai-cloud-lambda-hires-investment-banks-in-preparation-for-ipo-report/</t>
        </is>
      </c>
      <c r="O11" s="1" t="inlineStr">
        <is>
          <t>H1'25 net loss ~$24M. No EBITDA disclosed</t>
        </is>
      </c>
    </row>
    <row r="12">
      <c r="A12" t="inlineStr">
        <is>
          <t>L09</t>
        </is>
      </c>
      <c r="B12" t="inlineStr">
        <is>
          <t>I09</t>
        </is>
      </c>
      <c r="C12" s="1" t="inlineStr">
        <is>
          <t>Active (operating) capacity, Q2'25</t>
        </is>
      </c>
      <c r="D12" s="8" t="n">
        <v>47</v>
      </c>
      <c r="E12" t="inlineStr">
        <is>
          <t>MW</t>
        </is>
      </c>
      <c r="F12" t="inlineStr">
        <is>
          <t>2025-06-30</t>
        </is>
      </c>
      <c r="G12" t="inlineStr">
        <is>
          <t>Q2'25</t>
        </is>
      </c>
      <c r="H12" s="9" t="inlineStr">
        <is>
          <t>P</t>
        </is>
      </c>
      <c r="I12" t="inlineStr">
        <is>
          <t>Press-reported</t>
        </is>
      </c>
      <c r="J12" t="inlineStr"/>
      <c r="K12" t="inlineStr"/>
      <c r="L12" s="1" t="inlineStr">
        <is>
          <t>Deep News / Tiger Brokers relaying The Information: Q2'25 cloud revenue ~$114M, 47MW in Q2'25, ~3GW 2030 target, Amazon+Microsoft ~half of cloud revenue</t>
        </is>
      </c>
      <c r="M12" t="inlineStr">
        <is>
          <t>2025-09-05</t>
        </is>
      </c>
      <c r="N12" t="inlineStr">
        <is>
          <t>https://www.itiger.com/news/1116660571</t>
        </is>
      </c>
      <c r="O12" s="1" t="inlineStr">
        <is>
          <t>IT vs gross basis NOT stated</t>
        </is>
      </c>
    </row>
    <row r="13">
      <c r="A13" t="inlineStr">
        <is>
          <t>L10</t>
        </is>
      </c>
      <c r="B13" t="inlineStr">
        <is>
          <t>PX02</t>
        </is>
      </c>
      <c r="C13" s="1" t="inlineStr">
        <is>
          <t>Capacity target 2030</t>
        </is>
      </c>
      <c r="D13" s="8" t="n">
        <v>3000</v>
      </c>
      <c r="E13" t="inlineStr">
        <is>
          <t>MW</t>
        </is>
      </c>
      <c r="F13" t="inlineStr">
        <is>
          <t>2025-09-05</t>
        </is>
      </c>
      <c r="G13" t="inlineStr">
        <is>
          <t>target</t>
        </is>
      </c>
      <c r="H13" s="9" t="inlineStr">
        <is>
          <t>P</t>
        </is>
      </c>
      <c r="I13" t="inlineStr">
        <is>
          <t>Press-reported</t>
        </is>
      </c>
      <c r="J13" t="inlineStr"/>
      <c r="K13" t="inlineStr"/>
      <c r="L13" s="1" t="inlineStr">
        <is>
          <t>Deep News / Tiger Brokers relaying The Information: Q2'25 cloud revenue ~$114M, 47MW in Q2'25, ~3GW 2030 target, Amazon+Microsoft ~half of cloud revenue</t>
        </is>
      </c>
      <c r="M13" t="inlineStr">
        <is>
          <t>2025-09-05</t>
        </is>
      </c>
      <c r="N13" t="inlineStr">
        <is>
          <t>https://www.itiger.com/news/1116660571</t>
        </is>
      </c>
      <c r="O13" s="1" t="inlineStr">
        <is>
          <t>'nearly 3 gigawatts by 2030'</t>
        </is>
      </c>
    </row>
    <row r="14">
      <c r="A14" t="inlineStr">
        <is>
          <t>L11</t>
        </is>
      </c>
      <c r="B14" t="inlineStr">
        <is>
          <t>PX02</t>
        </is>
      </c>
      <c r="C14" s="1" t="inlineStr">
        <is>
          <t>Kansas City AI factory: initial MW</t>
        </is>
      </c>
      <c r="D14" s="6" t="n">
        <v>24</v>
      </c>
      <c r="E14" t="inlineStr">
        <is>
          <t>MW</t>
        </is>
      </c>
      <c r="F14" t="inlineStr">
        <is>
          <t>2025-10-28</t>
        </is>
      </c>
      <c r="G14" t="inlineStr">
        <is>
          <t>announced</t>
        </is>
      </c>
      <c r="H14" s="7" t="inlineStr">
        <is>
          <t>R</t>
        </is>
      </c>
      <c r="I14" t="inlineStr">
        <is>
          <t>Reported</t>
        </is>
      </c>
      <c r="J14" t="inlineStr"/>
      <c r="K14" t="inlineStr"/>
      <c r="L14" s="1" t="inlineStr">
        <is>
          <t>Lambda PR: Kansas City AI factory (24MW initial, &gt;100MW potential, &gt;10,000 Blackwell Ultra GPUs)</t>
        </is>
      </c>
      <c r="M14" t="inlineStr">
        <is>
          <t>2025-10-28</t>
        </is>
      </c>
      <c r="N14" t="inlineStr">
        <is>
          <t>https://lambda.ai/blog/lambda-to-build-a-100mw-ai-factory-in-kansas-city-mo</t>
        </is>
      </c>
      <c r="O14" s="1" t="inlineStr">
        <is>
          <t>Early 2026; potential &gt;100 MW; &gt;10,000 Blackwell Ultra GPUs; single customer, multi-year</t>
        </is>
      </c>
    </row>
    <row r="15">
      <c r="A15" t="inlineStr">
        <is>
          <t>L12</t>
        </is>
      </c>
      <c r="B15" t="inlineStr">
        <is>
          <t>PX02</t>
        </is>
      </c>
      <c r="C15" s="1" t="inlineStr">
        <is>
          <t>Beacon Point (Hut 8, Nueces County TX) capacity for Anthropic</t>
        </is>
      </c>
      <c r="D15" s="8" t="n">
        <v>350</v>
      </c>
      <c r="E15" t="inlineStr">
        <is>
          <t>MW</t>
        </is>
      </c>
      <c r="F15" t="inlineStr">
        <is>
          <t>2026-09-01</t>
        </is>
      </c>
      <c r="G15" t="inlineStr">
        <is>
          <t>contracted (press)</t>
        </is>
      </c>
      <c r="H15" s="9" t="inlineStr">
        <is>
          <t>P</t>
        </is>
      </c>
      <c r="I15" t="inlineStr">
        <is>
          <t>Press-reported</t>
        </is>
      </c>
      <c r="J15" t="inlineStr"/>
      <c r="K15" t="inlineStr"/>
      <c r="L15" s="1" t="inlineStr">
        <is>
          <t>TheEnergyMag citing WSJ: Anthropic $35B, six-year, ~350MW at Hut 8 Beacon Point (Nueces County TX), NVIDIA holds lease</t>
        </is>
      </c>
      <c r="M15" t="inlineStr">
        <is>
          <t>2026-09-01</t>
        </is>
      </c>
      <c r="N15" t="inlineStr">
        <is>
          <t>https://www.theenergymag.com/news/market-news/anthropic-lambda-nvidia-hut-ai-texas-beacon-point</t>
        </is>
      </c>
      <c r="O15" s="1" t="inlineStr">
        <is>
          <t>NVIDIA holds the Hut 8 lease (704 MW, $19.6B, 15 yrs per Hut 8); energization from Q1'27</t>
        </is>
      </c>
    </row>
    <row r="16">
      <c r="A16" t="inlineStr">
        <is>
          <t>L13</t>
        </is>
      </c>
      <c r="B16" t="inlineStr">
        <is>
          <t>PX02</t>
        </is>
      </c>
      <c r="C16" s="1" t="inlineStr">
        <is>
          <t>Other leased sites (Prime LAX01 21 MW; EdgeConneX Chicago 23 MW + Atlanta)</t>
        </is>
      </c>
      <c r="D16" s="14" t="n">
        <v>51</v>
      </c>
      <c r="E16" t="inlineStr">
        <is>
          <t>MW</t>
        </is>
      </c>
      <c r="F16" t="inlineStr">
        <is>
          <t>2026-09</t>
        </is>
      </c>
      <c r="G16" t="inlineStr">
        <is>
          <t>announced</t>
        </is>
      </c>
      <c r="H16" s="15" t="inlineStr">
        <is>
          <t>E</t>
        </is>
      </c>
      <c r="I16" t="inlineStr">
        <is>
          <t>Estimated</t>
        </is>
      </c>
      <c r="J16" t="inlineStr"/>
      <c r="K16" t="inlineStr"/>
      <c r="L16" s="1" t="inlineStr">
        <is>
          <t>Sacra (third-party research) Lambda profile: ~$760M ARR Dec-2025, ~$425M 2024 revenue, Series E $5.9B post, site list (LAX01 21MW, EdgeConneX &gt;30MW)</t>
        </is>
      </c>
      <c r="M16" t="inlineStr">
        <is>
          <t>2026-09</t>
        </is>
      </c>
      <c r="N16" t="inlineStr">
        <is>
          <t>https://sacra.com/c/lambda-labs/</t>
        </is>
      </c>
      <c r="O16" s="1" t="inlineStr">
        <is>
          <t>21 + &gt;30 (lower bound); third-party compilation</t>
        </is>
      </c>
    </row>
    <row r="17">
      <c r="A17" t="inlineStr">
        <is>
          <t>L14</t>
        </is>
      </c>
      <c r="B17" t="inlineStr">
        <is>
          <t>I10</t>
        </is>
      </c>
      <c r="C17" s="1" t="inlineStr">
        <is>
          <t>Contracted / announced MW (company total)</t>
        </is>
      </c>
      <c r="D17" s="13" t="inlineStr">
        <is>
          <t>n/d</t>
        </is>
      </c>
      <c r="E17" t="inlineStr">
        <is>
          <t>MW</t>
        </is>
      </c>
      <c r="F17" t="inlineStr">
        <is>
          <t>2026-10-04</t>
        </is>
      </c>
      <c r="G17" t="inlineStr">
        <is>
          <t>point</t>
        </is>
      </c>
      <c r="H17" s="12" t="inlineStr">
        <is>
          <t>n/d</t>
        </is>
      </c>
      <c r="I17" t="inlineStr">
        <is>
          <t>n/d</t>
        </is>
      </c>
      <c r="J17" t="inlineStr"/>
      <c r="K17" t="inlineStr"/>
      <c r="L17" s="1" t="inlineStr">
        <is>
          <t>EDGAR: Lambda, Inc./DE (CIK 0001954966) has only Form D filings (2022-11-17, 2024-02-16); EDGAR full-text search finds no S-1/S-1/A/DRS by Lambda</t>
        </is>
      </c>
      <c r="M17" t="inlineStr">
        <is>
          <t>2026-10-04</t>
        </is>
      </c>
      <c r="N17" t="inlineStr">
        <is>
          <t>https://www.sec.gov/cgi-bin/browse-edgar?action=getcompany&amp;CIK=0001954966</t>
        </is>
      </c>
      <c r="O17" s="1" t="inlineStr">
        <is>
          <t>No company total. Pieces: KC 24 (-&gt;100+), Beacon Point ~350 (press), LAX01 21, EdgeConneX &gt;30</t>
        </is>
      </c>
    </row>
    <row r="18">
      <c r="A18" t="inlineStr">
        <is>
          <t>L15</t>
        </is>
      </c>
      <c r="B18" t="inlineStr">
        <is>
          <t>I11</t>
        </is>
      </c>
      <c r="C18" s="1" t="inlineStr">
        <is>
          <t>GPUs on cloud platform</t>
        </is>
      </c>
      <c r="D18" s="6" t="n">
        <v>25000</v>
      </c>
      <c r="E18" t="inlineStr">
        <is>
          <t>GPUs</t>
        </is>
      </c>
      <c r="F18" t="inlineStr">
        <is>
          <t>2025-02-24</t>
        </is>
      </c>
      <c r="G18" t="inlineStr">
        <is>
          <t>point</t>
        </is>
      </c>
      <c r="H18" s="7" t="inlineStr">
        <is>
          <t>R</t>
        </is>
      </c>
      <c r="I18" t="inlineStr">
        <is>
          <t>Reported</t>
        </is>
      </c>
      <c r="J18" t="inlineStr"/>
      <c r="K18" t="inlineStr"/>
      <c r="L18" s="1" t="inlineStr">
        <is>
          <t>Technology Magazine interview: CEO 'well over 25,000 GPUs on our cloud platform'; Series D $480M at $2.5B</t>
        </is>
      </c>
      <c r="M18" t="inlineStr">
        <is>
          <t>2025-02-24</t>
        </is>
      </c>
      <c r="N18" t="inlineStr">
        <is>
          <t>https://technologymagazine.com/articles/why-lambda-secured-funding-and-investment-from-nvidia</t>
        </is>
      </c>
      <c r="O18" s="1" t="inlineStr">
        <is>
          <t>CEO: 'well over 25,000 GPUs on our cloud platform' (lower bound)</t>
        </is>
      </c>
    </row>
    <row r="19">
      <c r="A19" t="inlineStr">
        <is>
          <t>L16</t>
        </is>
      </c>
      <c r="B19" t="inlineStr">
        <is>
          <t>I11</t>
        </is>
      </c>
      <c r="C19" s="1" t="inlineStr">
        <is>
          <t>GPUs in one GB300 AI factory (production)</t>
        </is>
      </c>
      <c r="D19" s="6" t="n">
        <v>10000</v>
      </c>
      <c r="E19" t="inlineStr">
        <is>
          <t>GPUs</t>
        </is>
      </c>
      <c r="F19" t="inlineStr">
        <is>
          <t>2026-03-16</t>
        </is>
      </c>
      <c r="G19" t="inlineStr">
        <is>
          <t>point</t>
        </is>
      </c>
      <c r="H19" s="7" t="inlineStr">
        <is>
          <t>R</t>
        </is>
      </c>
      <c r="I19" t="inlineStr">
        <is>
          <t>Reported</t>
        </is>
      </c>
      <c r="J19" t="inlineStr"/>
      <c r="K19" t="inlineStr"/>
      <c r="L19" s="1" t="inlineStr">
        <is>
          <t>Lambda blog at GTC 2026 (AI factory with 10,000+ GB300 GPUs in production)</t>
        </is>
      </c>
      <c r="M19" t="inlineStr">
        <is>
          <t>2026-03-16</t>
        </is>
      </c>
      <c r="N19" t="inlineStr">
        <is>
          <t>https://lambda.ai/blog/lambda-at-gtc-2026-building-the-superintelligence-cloud</t>
        </is>
      </c>
      <c r="O19" s="1" t="inlineStr">
        <is>
          <t>'10,000+ NVIDIA GB300 GPUs' (lower bound)</t>
        </is>
      </c>
    </row>
    <row r="20">
      <c r="A20" t="inlineStr">
        <is>
          <t>L17</t>
        </is>
      </c>
      <c r="B20" t="inlineStr">
        <is>
          <t>I27</t>
        </is>
      </c>
      <c r="C20" s="1" t="inlineStr">
        <is>
          <t>US data centers</t>
        </is>
      </c>
      <c r="D20" s="8" t="n">
        <v>15</v>
      </c>
      <c r="E20" t="inlineStr">
        <is>
          <t>#</t>
        </is>
      </c>
      <c r="F20" t="inlineStr">
        <is>
          <t>2026-01-09</t>
        </is>
      </c>
      <c r="G20" t="inlineStr">
        <is>
          <t>point</t>
        </is>
      </c>
      <c r="H20" s="9" t="inlineStr">
        <is>
          <t>P</t>
        </is>
      </c>
      <c r="I20" t="inlineStr">
        <is>
          <t>Press-reported</t>
        </is>
      </c>
      <c r="J20" t="inlineStr"/>
      <c r="K20" t="inlineStr"/>
      <c r="L20" s="1" t="inlineStr">
        <is>
          <t>DCD citing The Information: Lambda in talks to raise $350M pre-IPO (Mubadala); 15 US data centers per Lambda website</t>
        </is>
      </c>
      <c r="M20" t="inlineStr">
        <is>
          <t>2026-01-09</t>
        </is>
      </c>
      <c r="N20" t="inlineStr">
        <is>
          <t>https://www.datacenterdynamics.com/en/news/lambda-in-talks-to-raise-350m-in-pre-ipo-funding-report/</t>
        </is>
      </c>
      <c r="O20" s="1" t="inlineStr">
        <is>
          <t>'15 data centers across the US, according to its website'</t>
        </is>
      </c>
    </row>
    <row r="21">
      <c r="A21" t="inlineStr">
        <is>
          <t>L18</t>
        </is>
      </c>
      <c r="B21" t="inlineStr">
        <is>
          <t>PX12</t>
        </is>
      </c>
      <c r="C21" s="1" t="inlineStr">
        <is>
          <t>NVIDIA leaseback: $1.3B / 10,000 GPUs / 4 yrs (+$200M / 8,000 GPUs)</t>
        </is>
      </c>
      <c r="D21" s="8" t="n">
        <v>1.5</v>
      </c>
      <c r="E21" t="inlineStr">
        <is>
          <t>$B</t>
        </is>
      </c>
      <c r="F21" t="inlineStr">
        <is>
          <t>2025-09-08</t>
        </is>
      </c>
      <c r="G21" t="inlineStr">
        <is>
          <t>signed 2025</t>
        </is>
      </c>
      <c r="H21" s="9" t="inlineStr">
        <is>
          <t>P</t>
        </is>
      </c>
      <c r="I21" t="inlineStr">
        <is>
          <t>Press-reported</t>
        </is>
      </c>
      <c r="J21" t="inlineStr"/>
      <c r="K21" t="inlineStr"/>
      <c r="L21" s="1" t="inlineStr">
        <is>
          <t>DCD citing The Information: NVIDIA $1.5B / ~18,000-GPU 4-year leaseback; NVIDIA largest customer</t>
        </is>
      </c>
      <c r="M21" t="inlineStr">
        <is>
          <t>2025-09-08</t>
        </is>
      </c>
      <c r="N21" t="inlineStr">
        <is>
          <t>https://www.datacenterdynamics.com/en/news/nvidia-signs-15bn-deal-to-lease-its-gpus-back-from-lambda-report/</t>
        </is>
      </c>
      <c r="O21" s="1" t="inlineStr">
        <is>
          <t>NVIDIA largest customer</t>
        </is>
      </c>
    </row>
    <row r="22">
      <c r="A22" t="inlineStr">
        <is>
          <t>L19</t>
        </is>
      </c>
      <c r="B22" t="inlineStr">
        <is>
          <t>PX13</t>
        </is>
      </c>
      <c r="C22" s="1" t="inlineStr">
        <is>
          <t>Implied price, NVIDIA $1.3B / 10,000-GPU / 4-yr contract</t>
        </is>
      </c>
      <c r="D22" s="10">
        <f>1300/(10000*4*8760)*1000000</f>
        <v/>
      </c>
      <c r="E22" t="inlineStr">
        <is>
          <t>$/GPU-hr</t>
        </is>
      </c>
      <c r="F22" t="inlineStr">
        <is>
          <t>2025-09-08</t>
        </is>
      </c>
      <c r="G22" t="inlineStr">
        <is>
          <t>contract avg</t>
        </is>
      </c>
      <c r="H22" s="11" t="inlineStr">
        <is>
          <t>D</t>
        </is>
      </c>
      <c r="I22" t="inlineStr">
        <is>
          <t>Derived</t>
        </is>
      </c>
      <c r="J22" t="inlineStr">
        <is>
          <t>P</t>
        </is>
      </c>
      <c r="K22" t="inlineStr">
        <is>
          <t>1300/(10000*4*8760)*1000000</t>
        </is>
      </c>
      <c r="L22" s="1" t="inlineStr">
        <is>
          <t>DCD citing The Information: NVIDIA $1.5B / ~18,000-GPU 4-year leaseback; NVIDIA largest customer</t>
        </is>
      </c>
      <c r="M22" t="inlineStr">
        <is>
          <t>2025-09-08</t>
        </is>
      </c>
      <c r="N22" t="inlineStr">
        <is>
          <t>https://www.datacenterdynamics.com/en/news/nvidia-signs-15bn-deal-to-lease-its-gpus-back-from-lambda-report/</t>
        </is>
      </c>
      <c r="O22" s="1" t="inlineStr">
        <is>
          <t>= 1,300e6 / (10,000 x 4 x 8,760)</t>
        </is>
      </c>
    </row>
    <row r="23">
      <c r="A23" t="inlineStr">
        <is>
          <t>L20</t>
        </is>
      </c>
      <c r="B23" t="inlineStr">
        <is>
          <t>PX12</t>
        </is>
      </c>
      <c r="C23" s="1" t="inlineStr">
        <is>
          <t>Microsoft multi-year agreement</t>
        </is>
      </c>
      <c r="D23" s="6" t="inlineStr">
        <is>
          <t>n/d</t>
        </is>
      </c>
      <c r="E23" t="inlineStr">
        <is>
          <t>$B</t>
        </is>
      </c>
      <c r="F23" t="inlineStr">
        <is>
          <t>2025-11-03</t>
        </is>
      </c>
      <c r="G23" t="inlineStr">
        <is>
          <t>signed</t>
        </is>
      </c>
      <c r="H23" s="7" t="inlineStr">
        <is>
          <t>R</t>
        </is>
      </c>
      <c r="I23" t="inlineStr">
        <is>
          <t>Reported</t>
        </is>
      </c>
      <c r="J23" t="inlineStr"/>
      <c r="K23" t="inlineStr"/>
      <c r="L23" s="1" t="inlineStr">
        <is>
          <t>Lambda PR: multibillion-dollar agreement with Microsoft (tens of thousands of NVIDIA GPUs incl. GB300 NVL72)</t>
        </is>
      </c>
      <c r="M23" t="inlineStr">
        <is>
          <t>2025-11-03</t>
        </is>
      </c>
      <c r="N23" t="inlineStr">
        <is>
          <t>https://lambda.ai/blog/lambda-announces-multibillion-dollar-agreement-with-microsoft-to-deploy-ai-infrastructure-powered-by-tens-of-thousands-of-nvidia-gpus</t>
        </is>
      </c>
      <c r="O23" s="1" t="inlineStr">
        <is>
          <t>'multibillion-dollar'; value/GPUs/term n/d</t>
        </is>
      </c>
    </row>
    <row r="24">
      <c r="A24" t="inlineStr">
        <is>
          <t>L21</t>
        </is>
      </c>
      <c r="B24" t="inlineStr">
        <is>
          <t>PX12</t>
        </is>
      </c>
      <c r="C24" s="1" t="inlineStr">
        <is>
          <t>Anthropic cloud contract (six years, ~350 MW)</t>
        </is>
      </c>
      <c r="D24" s="8" t="n">
        <v>35</v>
      </c>
      <c r="E24" t="inlineStr">
        <is>
          <t>$B</t>
        </is>
      </c>
      <c r="F24" t="inlineStr">
        <is>
          <t>2026-09-01</t>
        </is>
      </c>
      <c r="G24" t="inlineStr">
        <is>
          <t>signed (press)</t>
        </is>
      </c>
      <c r="H24" s="9" t="inlineStr">
        <is>
          <t>P</t>
        </is>
      </c>
      <c r="I24" t="inlineStr">
        <is>
          <t>Press-reported</t>
        </is>
      </c>
      <c r="J24" t="inlineStr"/>
      <c r="K24" t="inlineStr"/>
      <c r="L24" s="1" t="inlineStr">
        <is>
          <t>TheEnergyMag citing WSJ: Anthropic $35B, six-year, ~350MW at Hut 8 Beacon Point (Nueces County TX), NVIDIA holds lease</t>
        </is>
      </c>
      <c r="M24" t="inlineStr">
        <is>
          <t>2026-09-01</t>
        </is>
      </c>
      <c r="N24" t="inlineStr">
        <is>
          <t>https://www.theenergymag.com/news/market-news/anthropic-lambda-nvidia-hut-ai-texas-beacon-point</t>
        </is>
      </c>
      <c r="O24" s="1" t="inlineStr">
        <is>
          <t>WSJ via TheEnergyMag / Proactive (LM-ANTH2); not confirmed by Lambda</t>
        </is>
      </c>
    </row>
    <row r="25">
      <c r="A25" t="inlineStr">
        <is>
          <t>L22</t>
        </is>
      </c>
      <c r="B25" t="inlineStr">
        <is>
          <t>PX10</t>
        </is>
      </c>
      <c r="C25" s="1" t="inlineStr">
        <is>
          <t>Anthropic contract ACV per MW</t>
        </is>
      </c>
      <c r="D25" s="10">
        <f>D24*1000/6/D15</f>
        <v/>
      </c>
      <c r="E25" t="inlineStr">
        <is>
          <t>$M/MW-yr</t>
        </is>
      </c>
      <c r="F25" t="inlineStr">
        <is>
          <t>2026-09-01</t>
        </is>
      </c>
      <c r="G25" t="inlineStr">
        <is>
          <t>contract avg</t>
        </is>
      </c>
      <c r="H25" s="11" t="inlineStr">
        <is>
          <t>D</t>
        </is>
      </c>
      <c r="I25" t="inlineStr">
        <is>
          <t>Derived</t>
        </is>
      </c>
      <c r="J25" t="inlineStr">
        <is>
          <t>P</t>
        </is>
      </c>
      <c r="K25" t="inlineStr">
        <is>
          <t>{L21}*1000/6/{L12}</t>
        </is>
      </c>
      <c r="L25" s="1" t="inlineStr">
        <is>
          <t>TheEnergyMag citing WSJ: Anthropic $35B, six-year, ~350MW at Hut 8 Beacon Point (Nueces County TX), NVIDIA holds lease</t>
        </is>
      </c>
      <c r="M25" t="inlineStr">
        <is>
          <t>2026-09-01</t>
        </is>
      </c>
      <c r="N25" t="inlineStr">
        <is>
          <t>https://www.theenergymag.com/news/market-news/anthropic-lambda-nvidia-hut-ai-texas-beacon-point</t>
        </is>
      </c>
      <c r="O25" s="1" t="inlineStr">
        <is>
          <t>= 35,000 / 6 / 350</t>
        </is>
      </c>
    </row>
    <row r="26">
      <c r="A26" t="inlineStr">
        <is>
          <t>L23</t>
        </is>
      </c>
      <c r="B26" t="inlineStr">
        <is>
          <t>K26</t>
        </is>
      </c>
      <c r="C26" s="1" t="inlineStr">
        <is>
          <t>Amazon + Microsoft share of cloud revenue, Q2'25</t>
        </is>
      </c>
      <c r="D26" s="8" t="n">
        <v>50</v>
      </c>
      <c r="E26" t="inlineStr">
        <is>
          <t>%</t>
        </is>
      </c>
      <c r="F26" t="inlineStr">
        <is>
          <t>2025-06-30</t>
        </is>
      </c>
      <c r="G26" t="inlineStr">
        <is>
          <t>Q2'25</t>
        </is>
      </c>
      <c r="H26" s="9" t="inlineStr">
        <is>
          <t>P</t>
        </is>
      </c>
      <c r="I26" t="inlineStr">
        <is>
          <t>Press-reported</t>
        </is>
      </c>
      <c r="J26" t="inlineStr"/>
      <c r="K26" t="inlineStr"/>
      <c r="L26" s="1" t="inlineStr">
        <is>
          <t>Deep News / Tiger Brokers relaying The Information: Q2'25 cloud revenue ~$114M, 47MW in Q2'25, ~3GW 2030 target, Amazon+Microsoft ~half of cloud revenue</t>
        </is>
      </c>
      <c r="M26" t="inlineStr">
        <is>
          <t>2025-09-05</t>
        </is>
      </c>
      <c r="N26" t="inlineStr">
        <is>
          <t>https://www.itiger.com/news/1116660571</t>
        </is>
      </c>
      <c r="O26" s="1" t="inlineStr">
        <is>
          <t>'nearly half' (approx.)</t>
        </is>
      </c>
    </row>
    <row r="27">
      <c r="A27" t="inlineStr">
        <is>
          <t>L24</t>
        </is>
      </c>
      <c r="B27" t="inlineStr">
        <is>
          <t>PX06</t>
        </is>
      </c>
      <c r="C27" s="1" t="inlineStr">
        <is>
          <t>Series C equity (Form D amount sold)</t>
        </is>
      </c>
      <c r="D27" s="6" t="n">
        <v>320</v>
      </c>
      <c r="E27" t="inlineStr">
        <is>
          <t>$M</t>
        </is>
      </c>
      <c r="F27" t="inlineStr">
        <is>
          <t>2023-10-05</t>
        </is>
      </c>
      <c r="G27" t="inlineStr">
        <is>
          <t>round (first sale)</t>
        </is>
      </c>
      <c r="H27" s="7" t="inlineStr">
        <is>
          <t>R</t>
        </is>
      </c>
      <c r="I27" t="inlineStr">
        <is>
          <t>Reported</t>
        </is>
      </c>
      <c r="J27" t="inlineStr"/>
      <c r="K27" t="inlineStr"/>
      <c r="L27" s="1" t="inlineStr">
        <is>
          <t>Lambda, Inc. Form D (filed 2024-02-16; first sale 2023-10-05)</t>
        </is>
      </c>
      <c r="M27" t="inlineStr">
        <is>
          <t>2024-02-16</t>
        </is>
      </c>
      <c r="N27" t="inlineStr">
        <is>
          <t>https://www.sec.gov/Archives/edgar/data/1954966/000195496624000001/primary_doc.xml</t>
        </is>
      </c>
      <c r="O27" s="1" t="inlineStr">
        <is>
          <t>$319,999,978 sold, 38 investors</t>
        </is>
      </c>
    </row>
    <row r="28">
      <c r="A28" t="inlineStr">
        <is>
          <t>L25</t>
        </is>
      </c>
      <c r="B28" t="inlineStr">
        <is>
          <t>PX06</t>
        </is>
      </c>
      <c r="C28" s="1" t="inlineStr">
        <is>
          <t>Series D equity</t>
        </is>
      </c>
      <c r="D28" s="6" t="n">
        <v>480</v>
      </c>
      <c r="E28" t="inlineStr">
        <is>
          <t>$M</t>
        </is>
      </c>
      <c r="F28" t="inlineStr">
        <is>
          <t>2025-02-24</t>
        </is>
      </c>
      <c r="G28" t="inlineStr">
        <is>
          <t>round</t>
        </is>
      </c>
      <c r="H28" s="7" t="inlineStr">
        <is>
          <t>R</t>
        </is>
      </c>
      <c r="I28" t="inlineStr">
        <is>
          <t>Reported</t>
        </is>
      </c>
      <c r="J28" t="inlineStr"/>
      <c r="K28" t="inlineStr"/>
      <c r="L28" s="1" t="inlineStr">
        <is>
          <t>Technology Magazine interview: CEO 'well over 25,000 GPUs on our cloud platform'; Series D $480M at $2.5B</t>
        </is>
      </c>
      <c r="M28" t="inlineStr">
        <is>
          <t>2025-02-24</t>
        </is>
      </c>
      <c r="N28" t="inlineStr">
        <is>
          <t>https://technologymagazine.com/articles/why-lambda-secured-funding-and-investment-from-nvidia</t>
        </is>
      </c>
      <c r="O28" s="1" t="inlineStr">
        <is>
          <t>$2.5B post-money; total equity $863M then</t>
        </is>
      </c>
    </row>
    <row r="29">
      <c r="A29" t="inlineStr">
        <is>
          <t>L26</t>
        </is>
      </c>
      <c r="B29" t="inlineStr">
        <is>
          <t>PX06</t>
        </is>
      </c>
      <c r="C29" s="1" t="inlineStr">
        <is>
          <t>Series E equity</t>
        </is>
      </c>
      <c r="D29" s="6" t="n">
        <v>1500</v>
      </c>
      <c r="E29" t="inlineStr">
        <is>
          <t>$M</t>
        </is>
      </c>
      <c r="F29" t="inlineStr">
        <is>
          <t>2025-11-18</t>
        </is>
      </c>
      <c r="G29" t="inlineStr">
        <is>
          <t>round</t>
        </is>
      </c>
      <c r="H29" s="7" t="inlineStr">
        <is>
          <t>R</t>
        </is>
      </c>
      <c r="I29" t="inlineStr">
        <is>
          <t>Reported</t>
        </is>
      </c>
      <c r="J29" t="inlineStr"/>
      <c r="K29" t="inlineStr"/>
      <c r="L29" s="1" t="inlineStr">
        <is>
          <t>Lambda PR: raises over $1.5B Series E led by TWG Global</t>
        </is>
      </c>
      <c r="M29" t="inlineStr">
        <is>
          <t>2025-11-18</t>
        </is>
      </c>
      <c r="N29" t="inlineStr">
        <is>
          <t>https://lambda.ai/blog/lambda-raises-over-1.5b-from-twg-global-usit-to-build-superintelligence-cloud-infrastructure</t>
        </is>
      </c>
      <c r="O29" s="1" t="inlineStr">
        <is>
          <t>'over $1.5B', led by TWG Global + USIT (lower bound)</t>
        </is>
      </c>
    </row>
    <row r="30">
      <c r="A30" t="inlineStr">
        <is>
          <t>L27</t>
        </is>
      </c>
      <c r="B30" t="inlineStr">
        <is>
          <t>PX07</t>
        </is>
      </c>
      <c r="C30" s="1" t="inlineStr">
        <is>
          <t>Post-money valuation, Series E (PitchBook)</t>
        </is>
      </c>
      <c r="D30" s="8" t="n">
        <v>5430</v>
      </c>
      <c r="E30" t="inlineStr">
        <is>
          <t>$M</t>
        </is>
      </c>
      <c r="F30" t="inlineStr">
        <is>
          <t>2025-11-18</t>
        </is>
      </c>
      <c r="G30" t="inlineStr">
        <is>
          <t>round</t>
        </is>
      </c>
      <c r="H30" s="9" t="inlineStr">
        <is>
          <t>P</t>
        </is>
      </c>
      <c r="I30" t="inlineStr">
        <is>
          <t>Press-reported</t>
        </is>
      </c>
      <c r="J30" t="inlineStr"/>
      <c r="K30" t="inlineStr"/>
      <c r="L30" s="1" t="inlineStr">
        <is>
          <t>TechCrunch: Series E at $5.43B post-money (PitchBook)</t>
        </is>
      </c>
      <c r="M30" t="inlineStr">
        <is>
          <t>2026-08-28</t>
        </is>
      </c>
      <c r="N30" t="inlineStr">
        <is>
          <t>https://techcrunch.com/2026/08/28/neocloud-lambda-secures-1b-in-debt-to-buy-more-chips/</t>
        </is>
      </c>
      <c r="O30" s="1" t="inlineStr">
        <is>
          <t>Sacra cites $5.9B</t>
        </is>
      </c>
    </row>
    <row r="31">
      <c r="A31" t="inlineStr">
        <is>
          <t>L28</t>
        </is>
      </c>
      <c r="B31" t="inlineStr">
        <is>
          <t>PX07</t>
        </is>
      </c>
      <c r="C31" s="1" t="inlineStr">
        <is>
          <t>Pre-IPO round in talks: up to $3B at $12B+</t>
        </is>
      </c>
      <c r="D31" s="8" t="n">
        <v>12000</v>
      </c>
      <c r="E31" t="inlineStr">
        <is>
          <t>$M</t>
        </is>
      </c>
      <c r="F31" t="inlineStr">
        <is>
          <t>2026-08-24</t>
        </is>
      </c>
      <c r="G31" t="inlineStr">
        <is>
          <t>talks</t>
        </is>
      </c>
      <c r="H31" s="9" t="inlineStr">
        <is>
          <t>P</t>
        </is>
      </c>
      <c r="I31" t="inlineStr">
        <is>
          <t>Press-reported</t>
        </is>
      </c>
      <c r="J31" t="inlineStr"/>
      <c r="K31" t="inlineStr"/>
      <c r="L31" s="1" t="inlineStr">
        <is>
          <t>Bloomberg: Lambda in talks for up to $3B pre-IPO round at $12B+; expected 2026 revenue &gt;$1.5B</t>
        </is>
      </c>
      <c r="M31" t="inlineStr">
        <is>
          <t>2026-08-24</t>
        </is>
      </c>
      <c r="N31" t="inlineStr">
        <is>
          <t>https://www.bloomberg.com/news/articles/2026-08-24/ai-cloud-provider-lambda-in-talks-for-3-billion-pre-ipo-round</t>
        </is>
      </c>
      <c r="O31" s="1" t="inlineStr">
        <is>
          <t>Not closed</t>
        </is>
      </c>
    </row>
    <row r="32">
      <c r="A32" t="inlineStr">
        <is>
          <t>L29</t>
        </is>
      </c>
      <c r="B32" t="inlineStr">
        <is>
          <t>PX09</t>
        </is>
      </c>
      <c r="C32" s="1" t="inlineStr">
        <is>
          <t>IG fixed-rate DDTL coupon</t>
        </is>
      </c>
      <c r="D32" s="6" t="n">
        <v>6.78</v>
      </c>
      <c r="E32" t="inlineStr">
        <is>
          <t>%</t>
        </is>
      </c>
      <c r="F32" t="inlineStr">
        <is>
          <t>2026-10-01</t>
        </is>
      </c>
      <c r="G32" t="inlineStr">
        <is>
          <t>fixed coupon</t>
        </is>
      </c>
      <c r="H32" s="7" t="inlineStr">
        <is>
          <t>R</t>
        </is>
      </c>
      <c r="I32" t="inlineStr">
        <is>
          <t>Reported</t>
        </is>
      </c>
      <c r="J32" t="inlineStr"/>
      <c r="K32" t="inlineStr"/>
      <c r="L32" s="1" t="inlineStr">
        <is>
          <t>Lambda PR: closes $1.008B investment-grade fixed-rate DDTL (6.78%)</t>
        </is>
      </c>
      <c r="M32" t="inlineStr">
        <is>
          <t>2026-10-01</t>
        </is>
      </c>
      <c r="N32" t="inlineStr">
        <is>
          <t>https://lambda.ai/blog/lambda-closes-1-billion-senior-secured-fixed-rate-financing</t>
        </is>
      </c>
      <c r="O32" s="1" t="inlineStr">
        <is>
          <t>$1.008B, A(low)/Baa1, matures 2033-05-30, amortizing</t>
        </is>
      </c>
    </row>
    <row r="33">
      <c r="A33" t="inlineStr">
        <is>
          <t>L30</t>
        </is>
      </c>
      <c r="B33" t="inlineStr">
        <is>
          <t>PX09</t>
        </is>
      </c>
      <c r="C33" s="1" t="inlineStr">
        <is>
          <t>Term loan B all-in estimate (SOFR+3.00%, 99.5 OID)</t>
        </is>
      </c>
      <c r="D33" s="14">
        <f>3.87+3.00+0.5/4.3</f>
        <v/>
      </c>
      <c r="E33" t="inlineStr">
        <is>
          <t>%</t>
        </is>
      </c>
      <c r="F33" t="inlineStr">
        <is>
          <t>2026-08-27</t>
        </is>
      </c>
      <c r="G33" t="inlineStr">
        <is>
          <t>floating</t>
        </is>
      </c>
      <c r="H33" s="15" t="inlineStr">
        <is>
          <t>E</t>
        </is>
      </c>
      <c r="I33" t="inlineStr">
        <is>
          <t>Estimated</t>
        </is>
      </c>
      <c r="J33" t="inlineStr"/>
      <c r="K33" t="inlineStr">
        <is>
          <t>3.87+3.00+0.5/4.3</t>
        </is>
      </c>
      <c r="L33" s="1" t="inlineStr">
        <is>
          <t>Lambda PR: closes $926M senior secured term loan B (SOFR+3.00%)</t>
        </is>
      </c>
      <c r="M33" t="inlineStr">
        <is>
          <t>2026-08-27</t>
        </is>
      </c>
      <c r="N33" t="inlineStr">
        <is>
          <t>https://lambda.ai/blog/lambda-closes-926-million-senior-secured-term-loan-b-facility</t>
        </is>
      </c>
      <c r="O33" s="1" t="inlineStr">
        <is>
          <t>$926M, Baa2, to 2030-12-31; = 3.87 + 3.00 + 0.5pt OID / ~4.3 yrs</t>
        </is>
      </c>
    </row>
    <row r="34">
      <c r="A34" t="inlineStr">
        <is>
          <t>L31</t>
        </is>
      </c>
      <c r="B34" t="inlineStr">
        <is>
          <t>PX08</t>
        </is>
      </c>
      <c r="C34" s="1" t="inlineStr">
        <is>
          <t>2026 debt facilities announced (sum of commitments)</t>
        </is>
      </c>
      <c r="D34" s="10">
        <f>1000+926+1008</f>
        <v/>
      </c>
      <c r="E34" t="inlineStr">
        <is>
          <t>$M</t>
        </is>
      </c>
      <c r="F34" t="inlineStr">
        <is>
          <t>2026-10-01</t>
        </is>
      </c>
      <c r="G34" t="inlineStr">
        <is>
          <t>2026</t>
        </is>
      </c>
      <c r="H34" s="11" t="inlineStr">
        <is>
          <t>D</t>
        </is>
      </c>
      <c r="I34" t="inlineStr">
        <is>
          <t>Derived</t>
        </is>
      </c>
      <c r="J34" t="inlineStr"/>
      <c r="K34" t="inlineStr">
        <is>
          <t>1000+926+1008</t>
        </is>
      </c>
      <c r="L34" s="1" t="inlineStr">
        <is>
          <t>Lambda PR: closes $1B senior secured credit facility (upsized from $275M Aug-2025)</t>
        </is>
      </c>
      <c r="M34" t="inlineStr">
        <is>
          <t>2026-05-07</t>
        </is>
      </c>
      <c r="N34" t="inlineStr">
        <is>
          <t>https://lambda.ai/blog/lambda-closes-1-billion-senior-secured-credit-facility</t>
        </is>
      </c>
      <c r="O34" s="1" t="inlineStr">
        <is>
          <t>1,000 (May) + 926 (Aug) + 1,008 (Oct). Excludes Bloomberg ~$1B Aug-28 deal (possible overlap) and 2024 $500M</t>
        </is>
      </c>
    </row>
    <row r="35">
      <c r="A35" t="inlineStr">
        <is>
          <t>L32</t>
        </is>
      </c>
      <c r="B35" t="inlineStr">
        <is>
          <t>I23</t>
        </is>
      </c>
      <c r="C35" s="1" t="inlineStr">
        <is>
          <t>Total debt outstanding</t>
        </is>
      </c>
      <c r="D35" s="13" t="inlineStr">
        <is>
          <t>n/d</t>
        </is>
      </c>
      <c r="E35" t="inlineStr">
        <is>
          <t>$M</t>
        </is>
      </c>
      <c r="F35" t="inlineStr">
        <is>
          <t>2026-10-04</t>
        </is>
      </c>
      <c r="G35" t="inlineStr">
        <is>
          <t>point</t>
        </is>
      </c>
      <c r="H35" s="12" t="inlineStr">
        <is>
          <t>n/d</t>
        </is>
      </c>
      <c r="I35" t="inlineStr">
        <is>
          <t>n/d</t>
        </is>
      </c>
      <c r="J35" t="inlineStr"/>
      <c r="K35" t="inlineStr"/>
      <c r="L35" s="1" t="inlineStr">
        <is>
          <t>EDGAR: Lambda, Inc./DE (CIK 0001954966) has only Form D filings (2022-11-17, 2024-02-16); EDGAR full-text search finds no S-1/S-1/A/DRS by Lambda</t>
        </is>
      </c>
      <c r="M35" t="inlineStr">
        <is>
          <t>2026-10-04</t>
        </is>
      </c>
      <c r="N35" t="inlineStr">
        <is>
          <t>https://www.sec.gov/cgi-bin/browse-edgar?action=getcompany&amp;CIK=0001954966</t>
        </is>
      </c>
      <c r="O35" s="1" t="inlineStr">
        <is>
          <t>No balance sheet public</t>
        </is>
      </c>
    </row>
    <row r="36">
      <c r="A36" t="inlineStr">
        <is>
          <t>L33</t>
        </is>
      </c>
      <c r="B36" t="inlineStr">
        <is>
          <t>I14</t>
        </is>
      </c>
      <c r="C36" s="1" t="inlineStr">
        <is>
          <t>RPO / backlog</t>
        </is>
      </c>
      <c r="D36" s="13" t="inlineStr">
        <is>
          <t>n/d</t>
        </is>
      </c>
      <c r="E36" t="inlineStr">
        <is>
          <t>$B</t>
        </is>
      </c>
      <c r="F36" t="inlineStr">
        <is>
          <t>2026-10-04</t>
        </is>
      </c>
      <c r="G36" t="inlineStr">
        <is>
          <t>point</t>
        </is>
      </c>
      <c r="H36" s="12" t="inlineStr">
        <is>
          <t>n/d</t>
        </is>
      </c>
      <c r="I36" t="inlineStr">
        <is>
          <t>n/d</t>
        </is>
      </c>
      <c r="J36" t="inlineStr"/>
      <c r="K36" t="inlineStr"/>
      <c r="L36" s="1" t="inlineStr">
        <is>
          <t>EDGAR: Lambda, Inc./DE (CIK 0001954966) has only Form D filings (2022-11-17, 2024-02-16); EDGAR full-text search finds no S-1/S-1/A/DRS by Lambda</t>
        </is>
      </c>
      <c r="M36" t="inlineStr">
        <is>
          <t>2026-10-04</t>
        </is>
      </c>
      <c r="N36" t="inlineStr">
        <is>
          <t>https://www.sec.gov/cgi-bin/browse-edgar?action=getcompany&amp;CIK=0001954966</t>
        </is>
      </c>
      <c r="O36" s="1" t="inlineStr">
        <is>
          <t>Not disclosed</t>
        </is>
      </c>
    </row>
    <row r="37">
      <c r="A37" t="inlineStr">
        <is>
          <t>L34</t>
        </is>
      </c>
      <c r="B37" t="inlineStr">
        <is>
          <t>K16</t>
        </is>
      </c>
      <c r="C37" s="1" t="inlineStr">
        <is>
          <t>Useful life - GPUs</t>
        </is>
      </c>
      <c r="D37" s="13" t="inlineStr">
        <is>
          <t>n/d</t>
        </is>
      </c>
      <c r="E37" t="inlineStr">
        <is>
          <t>years</t>
        </is>
      </c>
      <c r="F37" t="inlineStr">
        <is>
          <t>2026-10-04</t>
        </is>
      </c>
      <c r="G37" t="inlineStr">
        <is>
          <t>policy</t>
        </is>
      </c>
      <c r="H37" s="12" t="inlineStr">
        <is>
          <t>n/d</t>
        </is>
      </c>
      <c r="I37" t="inlineStr">
        <is>
          <t>n/d</t>
        </is>
      </c>
      <c r="J37" t="inlineStr"/>
      <c r="K37" t="inlineStr"/>
      <c r="L37" s="1" t="inlineStr">
        <is>
          <t>Lambda PR: closes $926M senior secured term loan B (SOFR+3.00%)</t>
        </is>
      </c>
      <c r="M37" t="inlineStr">
        <is>
          <t>2026-08-27</t>
        </is>
      </c>
      <c r="N37" t="inlineStr">
        <is>
          <t>https://lambda.ai/blog/lambda-closes-926-million-senior-secured-term-loan-b-facility</t>
        </is>
      </c>
      <c r="O37" s="1" t="inlineStr">
        <is>
          <t>Not disclosed; TLB amortization 'aligned with' GPU useful life (~4.3 yrs from close)</t>
        </is>
      </c>
    </row>
    <row r="38">
      <c r="A38" t="inlineStr">
        <is>
          <t>L35</t>
        </is>
      </c>
      <c r="B38" t="inlineStr">
        <is>
          <t>I12</t>
        </is>
      </c>
      <c r="C38" s="1" t="inlineStr">
        <is>
          <t>H100 SXM on-demand list, Q2'25</t>
        </is>
      </c>
      <c r="D38" s="6" t="n">
        <v>2.99</v>
      </c>
      <c r="E38" t="inlineStr">
        <is>
          <t>$/GPU-hr</t>
        </is>
      </c>
      <c r="F38" t="inlineStr">
        <is>
          <t>2025-06-16</t>
        </is>
      </c>
      <c r="G38" t="inlineStr">
        <is>
          <t>snapshot</t>
        </is>
      </c>
      <c r="H38" s="7" t="inlineStr">
        <is>
          <t>R</t>
        </is>
      </c>
      <c r="I38" t="inlineStr">
        <is>
          <t>Reported</t>
        </is>
      </c>
      <c r="J38" t="inlineStr"/>
      <c r="K38" t="inlineStr"/>
      <c r="L38" s="1" t="inlineStr">
        <is>
          <t>Nebius workspace: /workspace/nebius/parts/price_history_quarterly.csv and price_snapshot_2026-10-04.csv (first-party list pages / Wayback)</t>
        </is>
      </c>
      <c r="M38" t="inlineStr">
        <is>
          <t>2026-10-04</t>
        </is>
      </c>
      <c r="N38" t="inlineStr">
        <is>
          <t>local</t>
        </is>
      </c>
      <c r="O38" s="1" t="inlineStr">
        <is>
          <t>Now $3.99; B200 $6.69 (2026-10-04)</t>
        </is>
      </c>
    </row>
    <row r="39">
      <c r="A39" t="inlineStr">
        <is>
          <t>L37</t>
        </is>
      </c>
      <c r="B39" t="inlineStr">
        <is>
          <t>PX07</t>
        </is>
      </c>
      <c r="C39" s="1" t="inlineStr">
        <is>
          <t>Pre-IPO round in talks: up to $4B at $14.5B PRE-money (Blackstone + Coatue)</t>
        </is>
      </c>
      <c r="D39" s="8" t="n">
        <v>14500</v>
      </c>
      <c r="E39" t="inlineStr">
        <is>
          <t>$M</t>
        </is>
      </c>
      <c r="F39" t="inlineStr">
        <is>
          <t>2026-10-06</t>
        </is>
      </c>
      <c r="G39" t="inlineStr">
        <is>
          <t>talks</t>
        </is>
      </c>
      <c r="H39" s="9" t="inlineStr">
        <is>
          <t>P</t>
        </is>
      </c>
      <c r="I39" t="inlineStr">
        <is>
          <t>Press-reported</t>
        </is>
      </c>
      <c r="J39" t="inlineStr"/>
      <c r="K39" t="inlineStr"/>
      <c r="L39" s="1" t="inlineStr">
        <is>
          <t>TechCrunch citing WSJ (2026-10-06): Lambda raising up to $4B at $14.5B pre-money (Blackstone + Coatue lead), likely last private round before a planned 2027 IPO; investor letter shows backlog $15B (Jun-26) -&gt; $50B (Sep-26), much of it the ~$35B Anthropic deal</t>
        </is>
      </c>
      <c r="M39" t="inlineStr">
        <is>
          <t>2026-10-06</t>
        </is>
      </c>
      <c r="N39" t="inlineStr">
        <is>
          <t>https://techcrunch.com/2026/10/06/ai-computing-startup-lambda-to-raise-4b-ahead-of-planned-ipo/</t>
        </is>
      </c>
      <c r="O39" s="1" t="inlineStr">
        <is>
          <t>Supersedes L28 ($3B at $12B+). Not closed; ~$18.5B post if fully raised (E). IPO now targeted 2027 per investor letter</t>
        </is>
      </c>
    </row>
    <row r="40">
      <c r="A40" t="inlineStr">
        <is>
          <t>L38</t>
        </is>
      </c>
      <c r="B40" t="inlineStr">
        <is>
          <t>I15</t>
        </is>
      </c>
      <c r="C40" s="1" t="inlineStr">
        <is>
          <t>Backlog (company metric, investor letter), Sep-2026</t>
        </is>
      </c>
      <c r="D40" s="8" t="n">
        <v>50</v>
      </c>
      <c r="E40" t="inlineStr">
        <is>
          <t>$B</t>
        </is>
      </c>
      <c r="F40" t="inlineStr">
        <is>
          <t>2026-09-30</t>
        </is>
      </c>
      <c r="G40" t="inlineStr">
        <is>
          <t>point</t>
        </is>
      </c>
      <c r="H40" s="9" t="inlineStr">
        <is>
          <t>P</t>
        </is>
      </c>
      <c r="I40" t="inlineStr">
        <is>
          <t>Press-reported</t>
        </is>
      </c>
      <c r="J40" t="inlineStr"/>
      <c r="K40" t="inlineStr"/>
      <c r="L40" s="1" t="inlineStr">
        <is>
          <t>TechCrunch citing WSJ (2026-10-06): Lambda raising up to $4B at $14.5B pre-money (Blackstone + Coatue lead), likely last private round before a planned 2027 IPO; investor letter shows backlog $15B (Jun-26) -&gt; $50B (Sep-26), much of it the ~$35B Anthropic deal</t>
        </is>
      </c>
      <c r="M40" t="inlineStr">
        <is>
          <t>2026-10-06</t>
        </is>
      </c>
      <c r="N40" t="inlineStr">
        <is>
          <t>https://techcrunch.com/2026/10/06/ai-computing-startup-lambda-to-raise-4b-ahead-of-planned-ipo/</t>
        </is>
      </c>
      <c r="O40" s="1" t="inlineStr">
        <is>
          <t>Not ASC 606 RPO; ~$35B of the jump is Anthropic (L21). Term/schedule n/d</t>
        </is>
      </c>
    </row>
    <row r="41">
      <c r="A41" t="inlineStr">
        <is>
          <t>L39</t>
        </is>
      </c>
      <c r="B41" t="inlineStr">
        <is>
          <t>I15</t>
        </is>
      </c>
      <c r="C41" s="1" t="inlineStr">
        <is>
          <t>Backlog (company metric, investor letter), Jun-2026</t>
        </is>
      </c>
      <c r="D41" s="8" t="n">
        <v>15</v>
      </c>
      <c r="E41" t="inlineStr">
        <is>
          <t>$B</t>
        </is>
      </c>
      <c r="F41" t="inlineStr">
        <is>
          <t>2026-06-30</t>
        </is>
      </c>
      <c r="G41" t="inlineStr">
        <is>
          <t>point</t>
        </is>
      </c>
      <c r="H41" s="9" t="inlineStr">
        <is>
          <t>P</t>
        </is>
      </c>
      <c r="I41" t="inlineStr">
        <is>
          <t>Press-reported</t>
        </is>
      </c>
      <c r="J41" t="inlineStr"/>
      <c r="K41" t="inlineStr"/>
      <c r="L41" s="1" t="inlineStr">
        <is>
          <t>TechCrunch citing WSJ (2026-10-06): Lambda raising up to $4B at $14.5B pre-money (Blackstone + Coatue lead), likely last private round before a planned 2027 IPO; investor letter shows backlog $15B (Jun-26) -&gt; $50B (Sep-26), much of it the ~$35B Anthropic deal</t>
        </is>
      </c>
      <c r="M41" t="inlineStr">
        <is>
          <t>2026-10-06</t>
        </is>
      </c>
      <c r="N41" t="inlineStr">
        <is>
          <t>https://techcrunch.com/2026/10/06/ai-computing-startup-lambda-to-raise-4b-ahead-of-planned-ipo/</t>
        </is>
      </c>
      <c r="O41" s="1" t="inlineStr">
        <is>
          <t>Pre-Anthropic baseline</t>
        </is>
      </c>
    </row>
    <row r="42">
      <c r="A42" t="inlineStr">
        <is>
          <t>L36</t>
        </is>
      </c>
      <c r="B42" t="inlineStr">
        <is>
          <t>PX01</t>
        </is>
      </c>
      <c r="C42" s="1" t="inlineStr">
        <is>
          <t>Lambda S-1 status</t>
        </is>
      </c>
      <c r="D42" s="6" t="inlineStr">
        <is>
          <t>none filed</t>
        </is>
      </c>
      <c r="E42" t="inlineStr">
        <is>
          <t>text</t>
        </is>
      </c>
      <c r="F42" t="inlineStr">
        <is>
          <t>2026-10-04</t>
        </is>
      </c>
      <c r="G42" t="inlineStr">
        <is>
          <t>check</t>
        </is>
      </c>
      <c r="H42" s="7" t="inlineStr">
        <is>
          <t>R</t>
        </is>
      </c>
      <c r="I42" t="inlineStr">
        <is>
          <t>Reported</t>
        </is>
      </c>
      <c r="J42" t="inlineStr"/>
      <c r="K42" t="inlineStr"/>
      <c r="L42" s="1" t="inlineStr">
        <is>
          <t>EDGAR: Lambda, Inc./DE (CIK 0001954966) has only Form D filings (2022-11-17, 2024-02-16); EDGAR full-text search finds no S-1/S-1/A/DRS by Lambda</t>
        </is>
      </c>
      <c r="M42" t="inlineStr">
        <is>
          <t>2026-10-04</t>
        </is>
      </c>
      <c r="N42" t="inlineStr">
        <is>
          <t>https://www.sec.gov/cgi-bin/browse-edgar?action=getcompany&amp;CIK=0001954966</t>
        </is>
      </c>
      <c r="O42" s="1" t="inlineStr">
        <is>
          <t>Only Form D (2022, 2024)</t>
        </is>
      </c>
    </row>
    <row r="43">
      <c r="A43" t="inlineStr">
        <is>
          <t>LK01</t>
        </is>
      </c>
      <c r="B43" t="inlineStr">
        <is>
          <t>K01</t>
        </is>
      </c>
      <c r="C43" s="1" t="inlineStr">
        <is>
          <t>Cloud revenue per active MW (Q2'25 x4 / 47 MW)</t>
        </is>
      </c>
      <c r="D43" s="10">
        <f>D6*4/D12</f>
        <v/>
      </c>
      <c r="E43" t="inlineStr">
        <is>
          <t>$M/MW-yr</t>
        </is>
      </c>
      <c r="F43" t="inlineStr">
        <is>
          <t>2025-06-30</t>
        </is>
      </c>
      <c r="G43" t="inlineStr">
        <is>
          <t>Q2'25</t>
        </is>
      </c>
      <c r="H43" s="11" t="inlineStr">
        <is>
          <t>D</t>
        </is>
      </c>
      <c r="I43" t="inlineStr">
        <is>
          <t>Derived</t>
        </is>
      </c>
      <c r="J43" t="inlineStr">
        <is>
          <t>P</t>
        </is>
      </c>
      <c r="K43" t="inlineStr">
        <is>
          <t>{L03}*4/{L09}</t>
        </is>
      </c>
      <c r="L43" s="1" t="inlineStr">
        <is>
          <t>Deep News / Tiger Brokers relaying The Information: Q2'25 cloud revenue ~$114M, 47MW in Q2'25, ~3GW 2030 target, Amazon+Microsoft ~half of cloud revenue</t>
        </is>
      </c>
      <c r="M43" t="inlineStr">
        <is>
          <t>2025-09-05</t>
        </is>
      </c>
      <c r="N43" t="inlineStr">
        <is>
          <t>https://www.itiger.com/news/1116660571</t>
        </is>
      </c>
      <c r="O43" s="1" t="inlineStr">
        <is>
          <t>Press inputs; MW basis unknown</t>
        </is>
      </c>
    </row>
    <row r="44">
      <c r="A44" t="inlineStr">
        <is>
          <t>LK01b</t>
        </is>
      </c>
      <c r="B44" t="inlineStr">
        <is>
          <t>K01</t>
        </is>
      </c>
      <c r="C44" s="1" t="inlineStr">
        <is>
          <t>Total revenue per active MW (Q2'25 x4 / 47 MW)</t>
        </is>
      </c>
      <c r="D44" s="10">
        <f>D4*4/D12</f>
        <v/>
      </c>
      <c r="E44" t="inlineStr">
        <is>
          <t>$M/MW-yr</t>
        </is>
      </c>
      <c r="F44" t="inlineStr">
        <is>
          <t>2025-06-30</t>
        </is>
      </c>
      <c r="G44" t="inlineStr">
        <is>
          <t>Q2'25</t>
        </is>
      </c>
      <c r="H44" s="11" t="inlineStr">
        <is>
          <t>D</t>
        </is>
      </c>
      <c r="I44" t="inlineStr">
        <is>
          <t>Derived</t>
        </is>
      </c>
      <c r="J44" t="inlineStr">
        <is>
          <t>P</t>
        </is>
      </c>
      <c r="K44" t="inlineStr">
        <is>
          <t>{L01}*4/{L09}</t>
        </is>
      </c>
      <c r="L44" s="1" t="inlineStr">
        <is>
          <t>DCD citing The Information (documents viewed): Q2'25 revenue ~$140M, H1'25 &gt;$250M, GM 50%/61%, H1 net loss ~$24M</t>
        </is>
      </c>
      <c r="M44" t="inlineStr">
        <is>
          <t>2025-09-04</t>
        </is>
      </c>
      <c r="N44" t="inlineStr">
        <is>
          <t>https://www.datacenterdynamics.com/en/news/ai-cloud-lambda-hires-investment-banks-in-preparation-for-ipo-report/</t>
        </is>
      </c>
      <c r="O44" s="1" t="inlineStr">
        <is>
          <t>Includes legacy hardware</t>
        </is>
      </c>
    </row>
    <row r="45">
      <c r="A45" t="inlineStr">
        <is>
          <t>LK06</t>
        </is>
      </c>
      <c r="B45" t="inlineStr">
        <is>
          <t>K06</t>
        </is>
      </c>
      <c r="C45" s="1" t="inlineStr">
        <is>
          <t>Cloud revenue per GPU (Q2'25 x4 / 25,000 GPUs)</t>
        </is>
      </c>
      <c r="D45" s="14">
        <f>D6*4000/D18</f>
        <v/>
      </c>
      <c r="E45" t="inlineStr">
        <is>
          <t>$K/GPU-yr</t>
        </is>
      </c>
      <c r="F45" t="inlineStr">
        <is>
          <t>2025-06-30</t>
        </is>
      </c>
      <c r="G45" t="inlineStr">
        <is>
          <t>Q2'25</t>
        </is>
      </c>
      <c r="H45" s="15" t="inlineStr">
        <is>
          <t>E</t>
        </is>
      </c>
      <c r="I45" t="inlineStr">
        <is>
          <t>Estimated</t>
        </is>
      </c>
      <c r="J45" t="inlineStr">
        <is>
          <t>P/R</t>
        </is>
      </c>
      <c r="K45" t="inlineStr">
        <is>
          <t>{L03}*4000/{L15}</t>
        </is>
      </c>
      <c r="L45" s="1" t="inlineStr">
        <is>
          <t>Technology Magazine interview: CEO 'well over 25,000 GPUs on our cloud platform'; Series D $480M at $2.5B</t>
        </is>
      </c>
      <c r="M45" t="inlineStr">
        <is>
          <t>2025-02-24</t>
        </is>
      </c>
      <c r="N45" t="inlineStr">
        <is>
          <t>https://technologymagazine.com/articles/why-lambda-secured-funding-and-investment-from-nvidia</t>
        </is>
      </c>
      <c r="O45" s="1" t="inlineStr">
        <is>
          <t>Feb-2025 lower-bound GPU count used -&gt; overstates</t>
        </is>
      </c>
    </row>
    <row r="46">
      <c r="A46" t="inlineStr">
        <is>
          <t>LK07</t>
        </is>
      </c>
      <c r="B46" t="inlineStr">
        <is>
          <t>K07</t>
        </is>
      </c>
      <c r="C46" s="1" t="inlineStr">
        <is>
          <t>Implied blended cloud $/GPU-hr (Q2'25)</t>
        </is>
      </c>
      <c r="D46" s="14">
        <f>D6*1000000/(D18*91*24)</f>
        <v/>
      </c>
      <c r="E46" t="inlineStr">
        <is>
          <t>$/GPU-hr</t>
        </is>
      </c>
      <c r="F46" t="inlineStr">
        <is>
          <t>2025-06-30</t>
        </is>
      </c>
      <c r="G46" t="inlineStr">
        <is>
          <t>Q2'25</t>
        </is>
      </c>
      <c r="H46" s="15" t="inlineStr">
        <is>
          <t>E</t>
        </is>
      </c>
      <c r="I46" t="inlineStr">
        <is>
          <t>Estimated</t>
        </is>
      </c>
      <c r="J46" t="inlineStr">
        <is>
          <t>P/R</t>
        </is>
      </c>
      <c r="K46" t="inlineStr">
        <is>
          <t>{L03}*1000000/({L15}*91*24)</t>
        </is>
      </c>
      <c r="L46" s="1" t="inlineStr">
        <is>
          <t>Technology Magazine interview: CEO 'well over 25,000 GPUs on our cloud platform'; Series D $480M at $2.5B</t>
        </is>
      </c>
      <c r="M46" t="inlineStr">
        <is>
          <t>2025-02-24</t>
        </is>
      </c>
      <c r="N46" t="inlineStr">
        <is>
          <t>https://technologymagazine.com/articles/why-lambda-secured-funding-and-investment-from-nvidia</t>
        </is>
      </c>
      <c r="O46" s="1" t="inlineStr">
        <is>
          <t>Same caveat</t>
        </is>
      </c>
    </row>
    <row r="47">
      <c r="A47" t="inlineStr">
        <is>
          <t>LK08</t>
        </is>
      </c>
      <c r="B47" t="inlineStr">
        <is>
          <t>K08</t>
        </is>
      </c>
      <c r="C47" s="1" t="inlineStr">
        <is>
          <t>List price proxy (H100 SXM on-demand, Q2'25)</t>
        </is>
      </c>
      <c r="D47" s="6">
        <f>D38</f>
        <v/>
      </c>
      <c r="E47" t="inlineStr">
        <is>
          <t>$/GPU-hr</t>
        </is>
      </c>
      <c r="F47" t="inlineStr">
        <is>
          <t>2025-06-16</t>
        </is>
      </c>
      <c r="G47" t="inlineStr">
        <is>
          <t>snapshot</t>
        </is>
      </c>
      <c r="H47" s="7" t="inlineStr">
        <is>
          <t>R</t>
        </is>
      </c>
      <c r="I47" t="inlineStr">
        <is>
          <t>Reported</t>
        </is>
      </c>
      <c r="J47" t="inlineStr"/>
      <c r="K47" t="inlineStr">
        <is>
          <t>{L35}</t>
        </is>
      </c>
      <c r="L47" s="1" t="inlineStr">
        <is>
          <t>Nebius workspace: /workspace/nebius/parts/price_history_quarterly.csv and price_snapshot_2026-10-04.csv (first-party list pages / Wayback)</t>
        </is>
      </c>
      <c r="M47" t="inlineStr">
        <is>
          <t>2026-10-04</t>
        </is>
      </c>
      <c r="N47" t="inlineStr">
        <is>
          <t>local</t>
        </is>
      </c>
      <c r="O47" s="1" t="inlineStr">
        <is>
          <t>Single-SKU proxy</t>
        </is>
      </c>
    </row>
    <row r="48">
      <c r="A48" t="inlineStr">
        <is>
          <t>LK09</t>
        </is>
      </c>
      <c r="B48" t="inlineStr">
        <is>
          <t>K09</t>
        </is>
      </c>
      <c r="C48" s="1" t="inlineStr">
        <is>
          <t>Implied utilization (realized / list)</t>
        </is>
      </c>
      <c r="D48" s="14">
        <f>D46/D47*100</f>
        <v/>
      </c>
      <c r="E48" t="inlineStr">
        <is>
          <t>%</t>
        </is>
      </c>
      <c r="F48" t="inlineStr">
        <is>
          <t>2025-06-30</t>
        </is>
      </c>
      <c r="G48" t="inlineStr">
        <is>
          <t>Q2'25</t>
        </is>
      </c>
      <c r="H48" s="15" t="inlineStr">
        <is>
          <t>E</t>
        </is>
      </c>
      <c r="I48" t="inlineStr">
        <is>
          <t>Estimated</t>
        </is>
      </c>
      <c r="J48" t="inlineStr">
        <is>
          <t>P/R</t>
        </is>
      </c>
      <c r="K48" t="inlineStr">
        <is>
          <t>{LK07}/{LK08}*100</t>
        </is>
      </c>
      <c r="L48" s="1" t="inlineStr">
        <is>
          <t>Nebius workspace: /workspace/nebius/parts/price_history_quarterly.csv and price_snapshot_2026-10-04.csv (first-party list pages / Wayback)</t>
        </is>
      </c>
      <c r="M48" t="inlineStr">
        <is>
          <t>2026-10-04</t>
        </is>
      </c>
      <c r="N48" t="inlineStr">
        <is>
          <t>local</t>
        </is>
      </c>
      <c r="O48" s="1" t="inlineStr">
        <is>
          <t>Price-realization x utilization index (D3)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4"/>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52" customWidth="1" min="3" max="3"/>
    <col width="14" customWidth="1" min="4" max="4"/>
    <col width="11" customWidth="1" min="5" max="5"/>
    <col width="12" customWidth="1" min="6" max="6"/>
    <col width="18" customWidth="1" min="7" max="7"/>
    <col width="6" customWidth="1" min="8" max="8"/>
    <col width="13" customWidth="1" min="9" max="9"/>
    <col width="10" customWidth="1" min="10" max="10"/>
    <col width="30" customWidth="1" min="11" max="11"/>
    <col width="60" customWidth="1" min="12" max="12"/>
    <col width="11" customWidth="1" min="13" max="13"/>
    <col width="60" customWidth="1" min="14" max="14"/>
    <col width="80" customWidth="1" min="15" max="15"/>
  </cols>
  <sheetData>
    <row r="1">
      <c r="A1" s="2" t="inlineStr">
        <is>
          <t>Crusoe - dated data points. Value column is live formulas for D/E rows. Tags: see README.</t>
        </is>
      </c>
    </row>
    <row r="3">
      <c r="A3" s="3" t="inlineStr">
        <is>
          <t>DP id</t>
        </is>
      </c>
      <c r="B3" s="3" t="inlineStr">
        <is>
          <t>Row ID (CRWV template)</t>
        </is>
      </c>
      <c r="C3" s="3" t="inlineStr">
        <is>
          <t>Metric</t>
        </is>
      </c>
      <c r="D3" s="3" t="inlineStr">
        <is>
          <t>Value</t>
        </is>
      </c>
      <c r="E3" s="3" t="inlineStr">
        <is>
          <t>Unit</t>
        </is>
      </c>
      <c r="F3" s="3" t="inlineStr">
        <is>
          <t>As-of date</t>
        </is>
      </c>
      <c r="G3" s="3" t="inlineStr">
        <is>
          <t>Period / basis</t>
        </is>
      </c>
      <c r="H3" s="3" t="inlineStr">
        <is>
          <t>Tag</t>
        </is>
      </c>
      <c r="I3" s="3" t="inlineStr">
        <is>
          <t>Tag name</t>
        </is>
      </c>
      <c r="J3" s="3" t="inlineStr">
        <is>
          <t>Input tags</t>
        </is>
      </c>
      <c r="K3" s="3" t="inlineStr">
        <is>
          <t>Formula (DP ids)</t>
        </is>
      </c>
      <c r="L3" s="3" t="inlineStr">
        <is>
          <t>Source document</t>
        </is>
      </c>
      <c r="M3" s="3" t="inlineStr">
        <is>
          <t>Source date</t>
        </is>
      </c>
      <c r="N3" s="3" t="inlineStr">
        <is>
          <t>URL</t>
        </is>
      </c>
      <c r="O3" s="3" t="inlineStr">
        <is>
          <t>Notes / caveats</t>
        </is>
      </c>
    </row>
    <row r="4">
      <c r="A4" t="inlineStr">
        <is>
          <t>C01</t>
        </is>
      </c>
      <c r="B4" t="inlineStr">
        <is>
          <t>I01</t>
        </is>
      </c>
      <c r="C4" s="1" t="inlineStr">
        <is>
          <t>Revenue, FY24</t>
        </is>
      </c>
      <c r="D4" s="8" t="n">
        <v>250</v>
      </c>
      <c r="E4" t="inlineStr">
        <is>
          <t>$M</t>
        </is>
      </c>
      <c r="F4" t="inlineStr">
        <is>
          <t>2024-12-31</t>
        </is>
      </c>
      <c r="G4" t="inlineStr">
        <is>
          <t>FY2024</t>
        </is>
      </c>
      <c r="H4" s="9" t="inlineStr">
        <is>
          <t>P</t>
        </is>
      </c>
      <c r="I4" t="inlineStr">
        <is>
          <t>Press-reported</t>
        </is>
      </c>
      <c r="J4" t="inlineStr"/>
      <c r="K4" t="inlineStr"/>
      <c r="L4" s="1" t="inlineStr">
        <is>
          <t>The Logic citing The Information: 2024 revenue ~$250M; projections $500M (2025) / $2.2B (2026); Series D $600M at $2.8B</t>
        </is>
      </c>
      <c r="M4" t="inlineStr">
        <is>
          <t>2025-08-22</t>
        </is>
      </c>
      <c r="N4" t="inlineStr">
        <is>
          <t>https://thelogic.co/briefing/crusoe-seeks-us1b-at-us10b-valuation-for-more-data-centres/</t>
        </is>
      </c>
      <c r="O4" s="1" t="inlineStr">
        <is>
          <t>Sacra estimate $276M</t>
        </is>
      </c>
    </row>
    <row r="5">
      <c r="A5" t="inlineStr">
        <is>
          <t>C02</t>
        </is>
      </c>
      <c r="B5" t="inlineStr">
        <is>
          <t>I01</t>
        </is>
      </c>
      <c r="C5" s="1" t="inlineStr">
        <is>
          <t>Revenue, FY25 (projection as of Aug-2025)</t>
        </is>
      </c>
      <c r="D5" s="8" t="n">
        <v>500</v>
      </c>
      <c r="E5" t="inlineStr">
        <is>
          <t>$M</t>
        </is>
      </c>
      <c r="F5" t="inlineStr">
        <is>
          <t>2025-12-31</t>
        </is>
      </c>
      <c r="G5" t="inlineStr">
        <is>
          <t>FY2025E</t>
        </is>
      </c>
      <c r="H5" s="9" t="inlineStr">
        <is>
          <t>P</t>
        </is>
      </c>
      <c r="I5" t="inlineStr">
        <is>
          <t>Press-reported</t>
        </is>
      </c>
      <c r="J5" t="inlineStr"/>
      <c r="K5" t="inlineStr"/>
      <c r="L5" s="1" t="inlineStr">
        <is>
          <t>The Logic citing The Information: 2024 revenue ~$250M; projections $500M (2025) / $2.2B (2026); Series D $600M at $2.8B</t>
        </is>
      </c>
      <c r="M5" t="inlineStr">
        <is>
          <t>2025-08-22</t>
        </is>
      </c>
      <c r="N5" t="inlineStr">
        <is>
          <t>https://thelogic.co/briefing/crusoe-seeks-us1b-at-us10b-valuation-for-more-data-centres/</t>
        </is>
      </c>
      <c r="O5" s="1" t="inlineStr">
        <is>
          <t>Actual FY25 n/d</t>
        </is>
      </c>
    </row>
    <row r="6">
      <c r="A6" t="inlineStr">
        <is>
          <t>C03</t>
        </is>
      </c>
      <c r="B6" t="inlineStr">
        <is>
          <t>PX01</t>
        </is>
      </c>
      <c r="C6" s="1" t="inlineStr">
        <is>
          <t>Revenue, FY26 ('on track for $2 billion')</t>
        </is>
      </c>
      <c r="D6" s="8" t="n">
        <v>2000</v>
      </c>
      <c r="E6" t="inlineStr">
        <is>
          <t>$M</t>
        </is>
      </c>
      <c r="F6" t="inlineStr">
        <is>
          <t>2026-12-31</t>
        </is>
      </c>
      <c r="G6" t="inlineStr">
        <is>
          <t>FY2026E</t>
        </is>
      </c>
      <c r="H6" s="9" t="inlineStr">
        <is>
          <t>P</t>
        </is>
      </c>
      <c r="I6" t="inlineStr">
        <is>
          <t>Press-reported</t>
        </is>
      </c>
      <c r="J6" t="inlineStr"/>
      <c r="K6" t="inlineStr"/>
      <c r="L6" s="1" t="inlineStr">
        <is>
          <t>Newcomer (financials obtained): Crusoe 'on track for $2 billion in revenue this year'</t>
        </is>
      </c>
      <c r="M6" t="inlineStr">
        <is>
          <t>2026-09-23</t>
        </is>
      </c>
      <c r="N6" t="inlineStr">
        <is>
          <t>https://www.newcomer.co/p/crusoe-is-on-track-for-2-billion</t>
        </is>
      </c>
      <c r="O6" s="1" t="inlineStr">
        <is>
          <t>Aug-2025 projection $2.2B (CR-TI); Sacra: $3.6B 2027 / $5.5B 2028 projections</t>
        </is>
      </c>
    </row>
    <row r="7">
      <c r="A7" t="inlineStr">
        <is>
          <t>C04</t>
        </is>
      </c>
      <c r="B7" t="inlineStr">
        <is>
          <t>PX01</t>
        </is>
      </c>
      <c r="C7" s="1" t="inlineStr">
        <is>
          <t>Managed Inference contracted ARR</t>
        </is>
      </c>
      <c r="D7" s="6" t="n">
        <v>100</v>
      </c>
      <c r="E7" t="inlineStr">
        <is>
          <t>$M</t>
        </is>
      </c>
      <c r="F7" t="inlineStr">
        <is>
          <t>2026-09-17</t>
        </is>
      </c>
      <c r="G7" t="inlineStr">
        <is>
          <t>point</t>
        </is>
      </c>
      <c r="H7" s="7" t="inlineStr">
        <is>
          <t>R</t>
        </is>
      </c>
      <c r="I7" t="inlineStr">
        <is>
          <t>Reported</t>
        </is>
      </c>
      <c r="J7" t="inlineStr"/>
      <c r="K7" t="inlineStr"/>
      <c r="L7" s="1" t="inlineStr">
        <is>
          <t>Crusoe PR: $3.9B Series F at $30.9B post-money; $140B+ TCV; 6GW+ gross contracted; ~1GW gross delivered &amp; operational</t>
        </is>
      </c>
      <c r="M7" t="inlineStr">
        <is>
          <t>2026-09-17</t>
        </is>
      </c>
      <c r="N7" t="inlineStr">
        <is>
          <t>https://www.crusoe.ai/resources/newsroom/crusoe-announces-series-f-funding</t>
        </is>
      </c>
      <c r="O7" s="1" t="inlineStr">
        <is>
          <t>'over $100M' (lower bound)</t>
        </is>
      </c>
    </row>
    <row r="8">
      <c r="A8" t="inlineStr">
        <is>
          <t>C05</t>
        </is>
      </c>
      <c r="B8" t="inlineStr">
        <is>
          <t>PX01</t>
        </is>
      </c>
      <c r="C8" s="1" t="inlineStr">
        <is>
          <t>Bookings growth YTD 2026 (YoY)</t>
        </is>
      </c>
      <c r="D8" s="6" t="n">
        <v>20</v>
      </c>
      <c r="E8" t="inlineStr">
        <is>
          <t>x</t>
        </is>
      </c>
      <c r="F8" t="inlineStr">
        <is>
          <t>2026-09-17</t>
        </is>
      </c>
      <c r="G8" t="inlineStr">
        <is>
          <t>YTD</t>
        </is>
      </c>
      <c r="H8" s="7" t="inlineStr">
        <is>
          <t>R</t>
        </is>
      </c>
      <c r="I8" t="inlineStr">
        <is>
          <t>Reported</t>
        </is>
      </c>
      <c r="J8" t="inlineStr"/>
      <c r="K8" t="inlineStr"/>
      <c r="L8" s="1" t="inlineStr">
        <is>
          <t>Crusoe PR: $3.9B Series F at $30.9B post-money; $140B+ TCV; 6GW+ gross contracted; ~1GW gross delivered &amp; operational</t>
        </is>
      </c>
      <c r="M8" t="inlineStr">
        <is>
          <t>2026-09-17</t>
        </is>
      </c>
      <c r="N8" t="inlineStr">
        <is>
          <t>https://www.crusoe.ai/resources/newsroom/crusoe-announces-series-f-funding</t>
        </is>
      </c>
      <c r="O8" s="1" t="inlineStr">
        <is>
          <t>'20x+'; 2025 TCV added ~17x, cloud ARR +150% (CR-BLOG)</t>
        </is>
      </c>
    </row>
    <row r="9">
      <c r="A9" t="inlineStr">
        <is>
          <t>C06</t>
        </is>
      </c>
      <c r="B9" t="inlineStr">
        <is>
          <t>I09</t>
        </is>
      </c>
      <c r="C9" s="1" t="inlineStr">
        <is>
          <t>Delivered &amp; operational capacity (gross)</t>
        </is>
      </c>
      <c r="D9" s="6" t="n">
        <v>1000</v>
      </c>
      <c r="E9" t="inlineStr">
        <is>
          <t>gross MW</t>
        </is>
      </c>
      <c r="F9" t="inlineStr">
        <is>
          <t>2026-09-17</t>
        </is>
      </c>
      <c r="G9" t="inlineStr">
        <is>
          <t>point</t>
        </is>
      </c>
      <c r="H9" s="7" t="inlineStr">
        <is>
          <t>R</t>
        </is>
      </c>
      <c r="I9" t="inlineStr">
        <is>
          <t>Reported</t>
        </is>
      </c>
      <c r="J9" t="inlineStr"/>
      <c r="K9" t="inlineStr"/>
      <c r="L9" s="1" t="inlineStr">
        <is>
          <t>Crusoe PR: $3.9B Series F at $30.9B post-money; $140B+ TCV; 6GW+ gross contracted; ~1GW gross delivered &amp; operational</t>
        </is>
      </c>
      <c r="M9" t="inlineStr">
        <is>
          <t>2026-09-17</t>
        </is>
      </c>
      <c r="N9" t="inlineStr">
        <is>
          <t>https://www.crusoe.ai/resources/newsroom/crusoe-announces-series-f-funding</t>
        </is>
      </c>
      <c r="O9" s="1" t="inlineStr">
        <is>
          <t>'1 GW of gross capacity'; includes JV/landlord capacity (Abilene for Oracle/OpenAI)</t>
        </is>
      </c>
    </row>
    <row r="10">
      <c r="A10" t="inlineStr">
        <is>
          <t>C07</t>
        </is>
      </c>
      <c r="B10" t="inlineStr">
        <is>
          <t>PX03</t>
        </is>
      </c>
      <c r="C10" s="1" t="inlineStr">
        <is>
          <t>IT/gross ratio (Microsoft Abilene design: 672 IT / 900 MW)</t>
        </is>
      </c>
      <c r="D10" s="10">
        <f>672/900</f>
        <v/>
      </c>
      <c r="E10" t="inlineStr">
        <is>
          <t>x</t>
        </is>
      </c>
      <c r="F10" t="inlineStr">
        <is>
          <t>2026-03-27</t>
        </is>
      </c>
      <c r="G10" t="inlineStr">
        <is>
          <t>design</t>
        </is>
      </c>
      <c r="H10" s="11" t="inlineStr">
        <is>
          <t>D</t>
        </is>
      </c>
      <c r="I10" t="inlineStr">
        <is>
          <t>Derived</t>
        </is>
      </c>
      <c r="J10" t="inlineStr"/>
      <c r="K10" t="inlineStr">
        <is>
          <t>672/900</t>
        </is>
      </c>
      <c r="L10" s="1" t="inlineStr">
        <is>
          <t>Crusoe PR: new 900MW Abilene AI factory campus for Microsoft (2 x 336MW critical IT; first building mid-2027)</t>
        </is>
      </c>
      <c r="M10" t="inlineStr">
        <is>
          <t>2026-03-27</t>
        </is>
      </c>
      <c r="N10" t="inlineStr">
        <is>
          <t>https://www.crusoe.ai/resources/newsroom/crusoe-announces-new-900-mw-ai-factory-campus-in-abilene-texas-to-support-microsoft-ai-infrastructure</t>
        </is>
      </c>
      <c r="O10" s="1" t="inlineStr"/>
    </row>
    <row r="11">
      <c r="A11" t="inlineStr">
        <is>
          <t>C08</t>
        </is>
      </c>
      <c r="B11" t="inlineStr">
        <is>
          <t>I09</t>
        </is>
      </c>
      <c r="C11" s="1" t="inlineStr">
        <is>
          <t>Delivered capacity, IT-equivalent</t>
        </is>
      </c>
      <c r="D11" s="14">
        <f>D9*D10</f>
        <v/>
      </c>
      <c r="E11" t="inlineStr">
        <is>
          <t>IT MW</t>
        </is>
      </c>
      <c r="F11" t="inlineStr">
        <is>
          <t>2026-09-17</t>
        </is>
      </c>
      <c r="G11" t="inlineStr">
        <is>
          <t>point</t>
        </is>
      </c>
      <c r="H11" s="15" t="inlineStr">
        <is>
          <t>E</t>
        </is>
      </c>
      <c r="I11" t="inlineStr">
        <is>
          <t>Estimated</t>
        </is>
      </c>
      <c r="J11" t="inlineStr"/>
      <c r="K11" t="inlineStr">
        <is>
          <t>{C06}*{C07}</t>
        </is>
      </c>
      <c r="L11" s="1" t="inlineStr">
        <is>
          <t>Crusoe PR: $3.9B Series F at $30.9B post-money; $140B+ TCV; 6GW+ gross contracted; ~1GW gross delivered &amp; operational</t>
        </is>
      </c>
      <c r="M11" t="inlineStr">
        <is>
          <t>2026-09-17</t>
        </is>
      </c>
      <c r="N11" t="inlineStr">
        <is>
          <t>https://www.crusoe.ai/resources/newsroom/crusoe-announces-series-f-funding</t>
        </is>
      </c>
      <c r="O11" s="1" t="inlineStr">
        <is>
          <t>ESTIMATE = gross x 0.747</t>
        </is>
      </c>
    </row>
    <row r="12">
      <c r="A12" t="inlineStr">
        <is>
          <t>C09</t>
        </is>
      </c>
      <c r="B12" t="inlineStr">
        <is>
          <t>I10</t>
        </is>
      </c>
      <c r="C12" s="1" t="inlineStr">
        <is>
          <t>Gross contracted capacity</t>
        </is>
      </c>
      <c r="D12" s="6" t="n">
        <v>6000</v>
      </c>
      <c r="E12" t="inlineStr">
        <is>
          <t>gross MW</t>
        </is>
      </c>
      <c r="F12" t="inlineStr">
        <is>
          <t>2026-09-17</t>
        </is>
      </c>
      <c r="G12" t="inlineStr">
        <is>
          <t>point</t>
        </is>
      </c>
      <c r="H12" s="7" t="inlineStr">
        <is>
          <t>R</t>
        </is>
      </c>
      <c r="I12" t="inlineStr">
        <is>
          <t>Reported</t>
        </is>
      </c>
      <c r="J12" t="inlineStr"/>
      <c r="K12" t="inlineStr"/>
      <c r="L12" s="1" t="inlineStr">
        <is>
          <t>Crusoe PR: $3.9B Series F at $30.9B post-money; $140B+ TCV; 6GW+ gross contracted; ~1GW gross delivered &amp; operational</t>
        </is>
      </c>
      <c r="M12" t="inlineStr">
        <is>
          <t>2026-09-17</t>
        </is>
      </c>
      <c r="N12" t="inlineStr">
        <is>
          <t>https://www.crusoe.ai/resources/newsroom/crusoe-announces-series-f-funding</t>
        </is>
      </c>
      <c r="O12" s="1" t="inlineStr">
        <is>
          <t>'6GW+' (lower bound); Jun-2026 4.9 GW (C10)</t>
        </is>
      </c>
    </row>
    <row r="13">
      <c r="A13" t="inlineStr">
        <is>
          <t>C10</t>
        </is>
      </c>
      <c r="B13" t="inlineStr">
        <is>
          <t>I10</t>
        </is>
      </c>
      <c r="C13" s="1" t="inlineStr">
        <is>
          <t>Contracted capacity (Jun-2026)</t>
        </is>
      </c>
      <c r="D13" s="8" t="n">
        <v>4900</v>
      </c>
      <c r="E13" t="inlineStr">
        <is>
          <t>MW</t>
        </is>
      </c>
      <c r="F13" t="inlineStr">
        <is>
          <t>2026-06-14</t>
        </is>
      </c>
      <c r="G13" t="inlineStr">
        <is>
          <t>point</t>
        </is>
      </c>
      <c r="H13" s="9" t="inlineStr">
        <is>
          <t>P</t>
        </is>
      </c>
      <c r="I13" t="inlineStr">
        <is>
          <t>Press-reported</t>
        </is>
      </c>
      <c r="J13" t="inlineStr"/>
      <c r="K13" t="inlineStr"/>
      <c r="L13" s="1" t="inlineStr">
        <is>
          <t>HostingJournalist (relaying Crusoe announcement): 4.9GW contracted; &gt;40GW pipeline; Abilene 2 buildings operational / 6 under construction</t>
        </is>
      </c>
      <c r="M13" t="inlineStr">
        <is>
          <t>2026-06-14</t>
        </is>
      </c>
      <c r="N13" t="inlineStr">
        <is>
          <t>https://hostingjournalist.com/news/crusoe-nears-5gw-in-contracted-ai-infrastructure-deals</t>
        </is>
      </c>
      <c r="O13" s="1" t="inlineStr"/>
    </row>
    <row r="14">
      <c r="A14" t="inlineStr">
        <is>
          <t>C11</t>
        </is>
      </c>
      <c r="B14" t="inlineStr">
        <is>
          <t>PX02</t>
        </is>
      </c>
      <c r="C14" s="1" t="inlineStr">
        <is>
          <t>Power / development pipeline</t>
        </is>
      </c>
      <c r="D14" s="6" t="n">
        <v>45000</v>
      </c>
      <c r="E14" t="inlineStr">
        <is>
          <t>MW</t>
        </is>
      </c>
      <c r="F14" t="inlineStr">
        <is>
          <t>2025-10-24</t>
        </is>
      </c>
      <c r="G14" t="inlineStr">
        <is>
          <t>point</t>
        </is>
      </c>
      <c r="H14" s="7" t="inlineStr">
        <is>
          <t>R</t>
        </is>
      </c>
      <c r="I14" t="inlineStr">
        <is>
          <t>Reported</t>
        </is>
      </c>
      <c r="J14" t="inlineStr"/>
      <c r="K14" t="inlineStr"/>
      <c r="L14" s="1" t="inlineStr">
        <is>
          <t>Crusoe PR: $1.375B Series E at &gt;$10B; bookings 5x 9M'25; power pipeline &gt;45GW</t>
        </is>
      </c>
      <c r="M14" t="inlineStr">
        <is>
          <t>2025-10-24</t>
        </is>
      </c>
      <c r="N14" t="inlineStr">
        <is>
          <t>https://www.crusoe.ai/resources/newsroom/crusoe-announces-series-e-funding</t>
        </is>
      </c>
      <c r="O14" s="1" t="inlineStr">
        <is>
          <t>'over 45 gigawatts'; Jun-2026 '&gt;40GW' (CR-HJ)</t>
        </is>
      </c>
    </row>
    <row r="15">
      <c r="A15" t="inlineStr">
        <is>
          <t>C12</t>
        </is>
      </c>
      <c r="B15" t="inlineStr">
        <is>
          <t>PX02</t>
        </is>
      </c>
      <c r="C15" s="1" t="inlineStr">
        <is>
          <t>Abilene (Oracle/OpenAI) campus, total</t>
        </is>
      </c>
      <c r="D15" s="6" t="n">
        <v>1200</v>
      </c>
      <c r="E15" t="inlineStr">
        <is>
          <t>MW</t>
        </is>
      </c>
      <c r="F15" t="inlineStr">
        <is>
          <t>2025-05-21</t>
        </is>
      </c>
      <c r="G15" t="inlineStr">
        <is>
          <t>8 buildings</t>
        </is>
      </c>
      <c r="H15" s="7" t="inlineStr">
        <is>
          <t>R</t>
        </is>
      </c>
      <c r="I15" t="inlineStr">
        <is>
          <t>Reported</t>
        </is>
      </c>
      <c r="J15" t="inlineStr"/>
      <c r="K15" t="inlineStr"/>
      <c r="L15" s="1" t="inlineStr">
        <is>
          <t>Crusoe PR: second phase of $15B Abilene JV with Blue Owl and Primary Digital (1.2GW, 8 buildings, up to 50,000 GB200 per building)</t>
        </is>
      </c>
      <c r="M15" t="inlineStr">
        <is>
          <t>2025-05-21</t>
        </is>
      </c>
      <c r="N15" t="inlineStr">
        <is>
          <t>https://www.crusoe.ai/resources/newsroom/crusoe-blue-owl-capital-and-primary-digital-infrastructure-enter-joint-venture</t>
        </is>
      </c>
      <c r="O15" s="1" t="inlineStr">
        <is>
          <t>Phase 1: 2 bldgs 200+ MW (H1'25); phase 2: 6 bldgs, completion end-2026</t>
        </is>
      </c>
    </row>
    <row r="16">
      <c r="A16" t="inlineStr">
        <is>
          <t>C37</t>
        </is>
      </c>
      <c r="B16" t="inlineStr">
        <is>
          <t>I09</t>
        </is>
      </c>
      <c r="C16" s="1" t="inlineStr">
        <is>
          <t>Abilene TX - evidenced-active IT MW (Peer KPIs site appendix; count under Crusoe not Oracle)</t>
        </is>
      </c>
      <c r="D16" s="10" t="n">
        <v>618</v>
      </c>
      <c r="E16" t="inlineStr">
        <is>
          <t>IT MW</t>
        </is>
      </c>
      <c r="F16" t="inlineStr">
        <is>
          <t>2026-09-10</t>
        </is>
      </c>
      <c r="G16" t="inlineStr">
        <is>
          <t>point</t>
        </is>
      </c>
      <c r="H16" s="11" t="inlineStr">
        <is>
          <t>D</t>
        </is>
      </c>
      <c r="I16" t="inlineStr">
        <is>
          <t>Derived</t>
        </is>
      </c>
      <c r="J16" t="inlineStr">
        <is>
          <t>R</t>
        </is>
      </c>
      <c r="K16" t="inlineStr"/>
      <c r="L16" s="1" t="inlineStr">
        <is>
          <t>Peer site appendix: Abilene TX (Crusoe/Lancium Stargate), as of Oct 8. Active IT L/B/H 421/618/618 [D on R] per Oracle FQ1 FY27 call (2026-09-10: 6 of 8 bldgs, 618 MW, 75% delivered; IT vs gross basis unstated); YE26 618/721/824; Grade Green (B1-6) / Yellow (B7-8). Counted under Crusoe, not Oracle. Oct 5 view 200/421/421 is history.</t>
        </is>
      </c>
      <c r="M16" t="inlineStr">
        <is>
          <t>2026-10-08</t>
        </is>
      </c>
      <c r="N16" t="inlineStr">
        <is>
          <t>local:/workspace/nebius/peers/sites/appendix_crusoe_abilene.pdf ; https://www.fool.com/earnings/call-transcripts/2026/09/11/oracle-orcl-q1-2027-earnings-call-transcript/</t>
        </is>
      </c>
      <c r="O16" s="1" t="inlineStr">
        <is>
          <t>[D on R] Oracle FQ1 FY27 call (Sep 10): 6 of 8 buildings, 618 MW, 75% of capacity delivered to the customer; delivered + accepted read as active. IT vs gross basis unstated. Low/Base/High 421/618/618 (low = Epoch satellite model, P); YE26 618/721/824. Grade Green B1-6 / Yellow B7-8. History: Oct 5 value 421 (L/B/H 200/421/421). GPUs are Oracle/OpenAI's - Crusoe is landlord/builder.</t>
        </is>
      </c>
    </row>
    <row r="17">
      <c r="A17" t="inlineStr">
        <is>
          <t>C13</t>
        </is>
      </c>
      <c r="B17" t="inlineStr">
        <is>
          <t>PX02</t>
        </is>
      </c>
      <c r="C17" s="1" t="inlineStr">
        <is>
          <t>Abilene Microsoft campus</t>
        </is>
      </c>
      <c r="D17" s="6" t="n">
        <v>900</v>
      </c>
      <c r="E17" t="inlineStr">
        <is>
          <t>MW</t>
        </is>
      </c>
      <c r="F17" t="inlineStr">
        <is>
          <t>2026-03-27</t>
        </is>
      </c>
      <c r="G17" t="inlineStr">
        <is>
          <t>announced</t>
        </is>
      </c>
      <c r="H17" s="7" t="inlineStr">
        <is>
          <t>R</t>
        </is>
      </c>
      <c r="I17" t="inlineStr">
        <is>
          <t>Reported</t>
        </is>
      </c>
      <c r="J17" t="inlineStr"/>
      <c r="K17" t="inlineStr"/>
      <c r="L17" s="1" t="inlineStr">
        <is>
          <t>Crusoe PR: new 900MW Abilene AI factory campus for Microsoft (2 x 336MW critical IT; first building mid-2027)</t>
        </is>
      </c>
      <c r="M17" t="inlineStr">
        <is>
          <t>2026-03-27</t>
        </is>
      </c>
      <c r="N17" t="inlineStr">
        <is>
          <t>https://www.crusoe.ai/resources/newsroom/crusoe-announces-new-900-mw-ai-factory-campus-in-abilene-texas-to-support-microsoft-ai-infrastructure</t>
        </is>
      </c>
      <c r="O17" s="1" t="inlineStr">
        <is>
          <t>2 x 336 MW critical IT; first building mid-2027</t>
        </is>
      </c>
    </row>
    <row r="18">
      <c r="A18" t="inlineStr">
        <is>
          <t>C14</t>
        </is>
      </c>
      <c r="B18" t="inlineStr">
        <is>
          <t>PX02</t>
        </is>
      </c>
      <c r="C18" s="1" t="inlineStr">
        <is>
          <t>Meta capacity (Childress TX + Warrenton MO)</t>
        </is>
      </c>
      <c r="D18" s="8" t="n">
        <v>1600</v>
      </c>
      <c r="E18" t="inlineStr">
        <is>
          <t>MW</t>
        </is>
      </c>
      <c r="F18" t="inlineStr">
        <is>
          <t>2026-06-19</t>
        </is>
      </c>
      <c r="G18" t="inlineStr">
        <is>
          <t>contracted (press)</t>
        </is>
      </c>
      <c r="H18" s="9" t="inlineStr">
        <is>
          <t>P</t>
        </is>
      </c>
      <c r="I18" t="inlineStr">
        <is>
          <t>Press-reported</t>
        </is>
      </c>
      <c r="J18" t="inlineStr"/>
      <c r="K18" t="inlineStr"/>
      <c r="L18" s="1" t="inlineStr">
        <is>
          <t>DCD citing Bloomberg: Meta contracts ~1.6GW at Crusoe Childress TX + Warrenton MO</t>
        </is>
      </c>
      <c r="M18" t="inlineStr">
        <is>
          <t>2026-06-19</t>
        </is>
      </c>
      <c r="N18" t="inlineStr">
        <is>
          <t>https://www.datacenterdynamics.com/en/news/meta-signs-16gw-capacity-agreement-with-crusoe-report/</t>
        </is>
      </c>
      <c r="O18" s="1" t="inlineStr">
        <is>
          <t>Value/term n/d</t>
        </is>
      </c>
    </row>
    <row r="19">
      <c r="A19" t="inlineStr">
        <is>
          <t>C15</t>
        </is>
      </c>
      <c r="B19" t="inlineStr">
        <is>
          <t>I15</t>
        </is>
      </c>
      <c r="C19" s="1" t="inlineStr">
        <is>
          <t>Total contracted value (company metric)</t>
        </is>
      </c>
      <c r="D19" s="6" t="n">
        <v>140</v>
      </c>
      <c r="E19" t="inlineStr">
        <is>
          <t>$B</t>
        </is>
      </c>
      <c r="F19" t="inlineStr">
        <is>
          <t>2026-09-17</t>
        </is>
      </c>
      <c r="G19" t="inlineStr">
        <is>
          <t>point</t>
        </is>
      </c>
      <c r="H19" s="7" t="inlineStr">
        <is>
          <t>R</t>
        </is>
      </c>
      <c r="I19" t="inlineStr">
        <is>
          <t>Reported</t>
        </is>
      </c>
      <c r="J19" t="inlineStr"/>
      <c r="K19" t="inlineStr"/>
      <c r="L19" s="1" t="inlineStr">
        <is>
          <t>Crusoe PR: $3.9B Series F at $30.9B post-money; $140B+ TCV; 6GW+ gross contracted; ~1GW gross delivered &amp; operational</t>
        </is>
      </c>
      <c r="M19" t="inlineStr">
        <is>
          <t>2026-09-17</t>
        </is>
      </c>
      <c r="N19" t="inlineStr">
        <is>
          <t>https://www.crusoe.ai/resources/newsroom/crusoe-announces-series-f-funding</t>
        </is>
      </c>
      <c r="O19" s="1" t="inlineStr">
        <is>
          <t>'$140B+'; term n/d; not RPO</t>
        </is>
      </c>
    </row>
    <row r="20">
      <c r="A20" t="inlineStr">
        <is>
          <t>C16</t>
        </is>
      </c>
      <c r="B20" t="inlineStr">
        <is>
          <t>PX11</t>
        </is>
      </c>
      <c r="C20" s="1" t="inlineStr">
        <is>
          <t>TCV per gross contracted MW</t>
        </is>
      </c>
      <c r="D20" s="10">
        <f>D19*1000/D12</f>
        <v/>
      </c>
      <c r="E20" t="inlineStr">
        <is>
          <t>$M/MW</t>
        </is>
      </c>
      <c r="F20" t="inlineStr">
        <is>
          <t>2026-09-17</t>
        </is>
      </c>
      <c r="G20" t="inlineStr">
        <is>
          <t>point</t>
        </is>
      </c>
      <c r="H20" s="11" t="inlineStr">
        <is>
          <t>D</t>
        </is>
      </c>
      <c r="I20" t="inlineStr">
        <is>
          <t>Derived</t>
        </is>
      </c>
      <c r="J20" t="inlineStr"/>
      <c r="K20" t="inlineStr">
        <is>
          <t>{C15}*1000/{C09}</t>
        </is>
      </c>
      <c r="L20" s="1" t="inlineStr">
        <is>
          <t>Crusoe PR: $3.9B Series F at $30.9B post-money; $140B+ TCV; 6GW+ gross contracted; ~1GW gross delivered &amp; operational</t>
        </is>
      </c>
      <c r="M20" t="inlineStr">
        <is>
          <t>2026-09-17</t>
        </is>
      </c>
      <c r="N20" t="inlineStr">
        <is>
          <t>https://www.crusoe.ai/resources/newsroom/crusoe-announces-series-f-funding</t>
        </is>
      </c>
      <c r="O20" s="1" t="inlineStr">
        <is>
          <t>= 140,000 / 6,000 (both lower bounds)</t>
        </is>
      </c>
    </row>
    <row r="21">
      <c r="A21" t="inlineStr">
        <is>
          <t>C17</t>
        </is>
      </c>
      <c r="B21" t="inlineStr">
        <is>
          <t>PX12</t>
        </is>
      </c>
      <c r="C21" s="1" t="inlineStr">
        <is>
          <t>Jane Street Crusoe Cloud contract (five years)</t>
        </is>
      </c>
      <c r="D21" s="8" t="n">
        <v>13</v>
      </c>
      <c r="E21" t="inlineStr">
        <is>
          <t>$B</t>
        </is>
      </c>
      <c r="F21" t="inlineStr">
        <is>
          <t>2026-09-04</t>
        </is>
      </c>
      <c r="G21" t="inlineStr">
        <is>
          <t>signed (press)</t>
        </is>
      </c>
      <c r="H21" s="9" t="inlineStr">
        <is>
          <t>P</t>
        </is>
      </c>
      <c r="I21" t="inlineStr">
        <is>
          <t>Press-reported</t>
        </is>
      </c>
      <c r="J21" t="inlineStr"/>
      <c r="K21" t="inlineStr"/>
      <c r="L21" s="1" t="inlineStr">
        <is>
          <t>DCD citing Bloomberg: Jane Street ~$13B five-year Crusoe Cloud contract</t>
        </is>
      </c>
      <c r="M21" t="inlineStr">
        <is>
          <t>2026-09-04</t>
        </is>
      </c>
      <c r="N21" t="inlineStr">
        <is>
          <t>https://www.datacenterdynamics.com/en/news/crusoe-signs-13bn-deal-with-jane-street-report/</t>
        </is>
      </c>
      <c r="O21" s="1" t="inlineStr"/>
    </row>
    <row r="22">
      <c r="A22" t="inlineStr">
        <is>
          <t>C18</t>
        </is>
      </c>
      <c r="B22" t="inlineStr">
        <is>
          <t>PX12</t>
        </is>
      </c>
      <c r="C22" s="1" t="inlineStr">
        <is>
          <t>Jane Street contract ACV</t>
        </is>
      </c>
      <c r="D22" s="10">
        <f>D21/5</f>
        <v/>
      </c>
      <c r="E22" t="inlineStr">
        <is>
          <t>$B/yr</t>
        </is>
      </c>
      <c r="F22" t="inlineStr">
        <is>
          <t>2026-09-04</t>
        </is>
      </c>
      <c r="G22" t="inlineStr">
        <is>
          <t>contract avg</t>
        </is>
      </c>
      <c r="H22" s="11" t="inlineStr">
        <is>
          <t>D</t>
        </is>
      </c>
      <c r="I22" t="inlineStr">
        <is>
          <t>Derived</t>
        </is>
      </c>
      <c r="J22" t="inlineStr">
        <is>
          <t>P</t>
        </is>
      </c>
      <c r="K22" t="inlineStr">
        <is>
          <t>{C17}/5</t>
        </is>
      </c>
      <c r="L22" s="1" t="inlineStr">
        <is>
          <t>DCD citing Bloomberg: Jane Street ~$13B five-year Crusoe Cloud contract</t>
        </is>
      </c>
      <c r="M22" t="inlineStr">
        <is>
          <t>2026-09-04</t>
        </is>
      </c>
      <c r="N22" t="inlineStr">
        <is>
          <t>https://www.datacenterdynamics.com/en/news/crusoe-signs-13bn-deal-with-jane-street-report/</t>
        </is>
      </c>
      <c r="O22" s="1" t="inlineStr">
        <is>
          <t>= 13 / 5</t>
        </is>
      </c>
    </row>
    <row r="23">
      <c r="A23" t="inlineStr">
        <is>
          <t>C19</t>
        </is>
      </c>
      <c r="B23" t="inlineStr">
        <is>
          <t>PX12</t>
        </is>
      </c>
      <c r="C23" s="1" t="inlineStr">
        <is>
          <t>Anchor customers (named)</t>
        </is>
      </c>
      <c r="D23" s="6" t="inlineStr">
        <is>
          <t>Oracle/OpenAI, Microsoft, Meta (press), Jane Street (press)</t>
        </is>
      </c>
      <c r="E23" t="inlineStr">
        <is>
          <t>text</t>
        </is>
      </c>
      <c r="F23" t="inlineStr">
        <is>
          <t>2026-09-17</t>
        </is>
      </c>
      <c r="G23" t="inlineStr">
        <is>
          <t>point</t>
        </is>
      </c>
      <c r="H23" s="7" t="inlineStr">
        <is>
          <t>R</t>
        </is>
      </c>
      <c r="I23" t="inlineStr">
        <is>
          <t>Reported</t>
        </is>
      </c>
      <c r="J23" t="inlineStr"/>
      <c r="K23" t="inlineStr"/>
      <c r="L23" s="1" t="inlineStr">
        <is>
          <t>Crusoe PR: new 900MW Abilene AI factory campus for Microsoft (2 x 336MW critical IT; first building mid-2027)</t>
        </is>
      </c>
      <c r="M23" t="inlineStr">
        <is>
          <t>2026-03-27</t>
        </is>
      </c>
      <c r="N23" t="inlineStr">
        <is>
          <t>https://www.crusoe.ai/resources/newsroom/crusoe-announces-new-900-mw-ai-factory-campus-in-abilene-texas-to-support-microsoft-ai-infrastructure</t>
        </is>
      </c>
      <c r="O23" s="1" t="inlineStr">
        <is>
          <t>Concentration % n/d</t>
        </is>
      </c>
    </row>
    <row r="24">
      <c r="A24" t="inlineStr">
        <is>
          <t>C20</t>
        </is>
      </c>
      <c r="B24" t="inlineStr">
        <is>
          <t>I11</t>
        </is>
      </c>
      <c r="C24" s="1" t="inlineStr">
        <is>
          <t>GPU count (Crusoe Cloud fleet)</t>
        </is>
      </c>
      <c r="D24" s="13" t="inlineStr">
        <is>
          <t>n/d</t>
        </is>
      </c>
      <c r="E24" t="inlineStr">
        <is>
          <t>GPUs</t>
        </is>
      </c>
      <c r="F24" t="inlineStr">
        <is>
          <t>2026-10-04</t>
        </is>
      </c>
      <c r="G24" t="inlineStr">
        <is>
          <t>point</t>
        </is>
      </c>
      <c r="H24" s="12" t="inlineStr">
        <is>
          <t>n/d</t>
        </is>
      </c>
      <c r="I24" t="inlineStr">
        <is>
          <t>n/d</t>
        </is>
      </c>
      <c r="J24" t="inlineStr"/>
      <c r="K24" t="inlineStr"/>
      <c r="L24" s="1" t="inlineStr">
        <is>
          <t>Crusoe PR: $3.9B Series F at $30.9B post-money; $140B+ TCV; 6GW+ gross contracted; ~1GW gross delivered &amp; operational</t>
        </is>
      </c>
      <c r="M24" t="inlineStr">
        <is>
          <t>2026-09-17</t>
        </is>
      </c>
      <c r="N24" t="inlineStr">
        <is>
          <t>https://www.crusoe.ai/resources/newsroom/crusoe-announces-series-f-funding</t>
        </is>
      </c>
      <c r="O24" s="1" t="inlineStr">
        <is>
          <t>Not disclosed. Abilene GB200s are Oracle/OpenAI's</t>
        </is>
      </c>
    </row>
    <row r="25">
      <c r="A25" t="inlineStr">
        <is>
          <t>C21</t>
        </is>
      </c>
      <c r="B25" t="inlineStr">
        <is>
          <t>PX06</t>
        </is>
      </c>
      <c r="C25" s="1" t="inlineStr">
        <is>
          <t>Series F equity (Form D amount sold)</t>
        </is>
      </c>
      <c r="D25" s="6" t="n">
        <v>3108.5</v>
      </c>
      <c r="E25" t="inlineStr">
        <is>
          <t>$M</t>
        </is>
      </c>
      <c r="F25" t="inlineStr">
        <is>
          <t>2026-09-17</t>
        </is>
      </c>
      <c r="G25" t="inlineStr">
        <is>
          <t>round</t>
        </is>
      </c>
      <c r="H25" s="7" t="inlineStr">
        <is>
          <t>R</t>
        </is>
      </c>
      <c r="I25" t="inlineStr">
        <is>
          <t>Reported</t>
        </is>
      </c>
      <c r="J25" t="inlineStr"/>
      <c r="K25" t="inlineStr"/>
      <c r="L25" s="1" t="inlineStr">
        <is>
          <t>Crusoe Inc. Form D (filed 2026-09-17; equity; first sale 2026-08-31)</t>
        </is>
      </c>
      <c r="M25" t="inlineStr">
        <is>
          <t>2026-09-17</t>
        </is>
      </c>
      <c r="N25" t="inlineStr">
        <is>
          <t>https://www.sec.gov/Archives/edgar/data/1924674/000192467426000002/primary_doc.xml</t>
        </is>
      </c>
      <c r="O25" s="1" t="inlineStr">
        <is>
          <t>$3,108,543,889 of $3,901,017,922 offered; 108 investors</t>
        </is>
      </c>
    </row>
    <row r="26">
      <c r="A26" t="inlineStr">
        <is>
          <t>C22</t>
        </is>
      </c>
      <c r="B26" t="inlineStr">
        <is>
          <t>PX06</t>
        </is>
      </c>
      <c r="C26" s="1" t="inlineStr">
        <is>
          <t>Series E equity (Form D amount sold)</t>
        </is>
      </c>
      <c r="D26" s="6" t="n">
        <v>1027.4</v>
      </c>
      <c r="E26" t="inlineStr">
        <is>
          <t>$M</t>
        </is>
      </c>
      <c r="F26" t="inlineStr">
        <is>
          <t>2025-10-21</t>
        </is>
      </c>
      <c r="G26" t="inlineStr">
        <is>
          <t>round</t>
        </is>
      </c>
      <c r="H26" s="7" t="inlineStr">
        <is>
          <t>R</t>
        </is>
      </c>
      <c r="I26" t="inlineStr">
        <is>
          <t>Reported</t>
        </is>
      </c>
      <c r="J26" t="inlineStr"/>
      <c r="K26" t="inlineStr"/>
      <c r="L26" s="1" t="inlineStr">
        <is>
          <t>Crusoe Inc. Form D (filed 2025-10-21; equity; first sale 2025-10-08)</t>
        </is>
      </c>
      <c r="M26" t="inlineStr">
        <is>
          <t>2025-10-21</t>
        </is>
      </c>
      <c r="N26" t="inlineStr">
        <is>
          <t>https://www.sec.gov/Archives/edgar/data/1924674/000192467425000004/primary_doc.xml</t>
        </is>
      </c>
      <c r="O26" s="1" t="inlineStr">
        <is>
          <t>Of $1,374,999,988 offered</t>
        </is>
      </c>
    </row>
    <row r="27">
      <c r="A27" t="inlineStr">
        <is>
          <t>C23</t>
        </is>
      </c>
      <c r="B27" t="inlineStr">
        <is>
          <t>PX06</t>
        </is>
      </c>
      <c r="C27" s="1" t="inlineStr">
        <is>
          <t>Series D equity (Form D amount sold)</t>
        </is>
      </c>
      <c r="D27" s="6" t="n">
        <v>685.7</v>
      </c>
      <c r="E27" t="inlineStr">
        <is>
          <t>$M</t>
        </is>
      </c>
      <c r="F27" t="inlineStr">
        <is>
          <t>2024-11-20</t>
        </is>
      </c>
      <c r="G27" t="inlineStr">
        <is>
          <t>round</t>
        </is>
      </c>
      <c r="H27" s="7" t="inlineStr">
        <is>
          <t>R</t>
        </is>
      </c>
      <c r="I27" t="inlineStr">
        <is>
          <t>Reported</t>
        </is>
      </c>
      <c r="J27" t="inlineStr"/>
      <c r="K27" t="inlineStr"/>
      <c r="L27" s="1" t="inlineStr">
        <is>
          <t>Crusoe Inc. Form D (filed 2024-11-20; equity)</t>
        </is>
      </c>
      <c r="M27" t="inlineStr">
        <is>
          <t>2024-11-20</t>
        </is>
      </c>
      <c r="N27" t="inlineStr">
        <is>
          <t>https://www.sec.gov/Archives/edgar/data/1924674/000192467424000003/primary_doc.xml</t>
        </is>
      </c>
      <c r="O27" s="1" t="inlineStr">
        <is>
          <t>Of $817,744,542 offered; press: $600M at $2.8B</t>
        </is>
      </c>
    </row>
    <row r="28">
      <c r="A28" t="inlineStr">
        <is>
          <t>C24</t>
        </is>
      </c>
      <c r="B28" t="inlineStr">
        <is>
          <t>PX06</t>
        </is>
      </c>
      <c r="C28" s="1" t="inlineStr">
        <is>
          <t>Form D: options/rights to acquire securities</t>
        </is>
      </c>
      <c r="D28" s="6" t="n">
        <v>595.9</v>
      </c>
      <c r="E28" t="inlineStr">
        <is>
          <t>$M</t>
        </is>
      </c>
      <c r="F28" t="inlineStr">
        <is>
          <t>2026-09-17</t>
        </is>
      </c>
      <c r="G28" t="inlineStr">
        <is>
          <t>offering</t>
        </is>
      </c>
      <c r="H28" s="7" t="inlineStr">
        <is>
          <t>R</t>
        </is>
      </c>
      <c r="I28" t="inlineStr">
        <is>
          <t>Reported</t>
        </is>
      </c>
      <c r="J28" t="inlineStr"/>
      <c r="K28" t="inlineStr"/>
      <c r="L28" s="1" t="inlineStr">
        <is>
          <t>Crusoe Inc. Form D (filed 2026-09-17; options/rights to acquire securities; first sale 2026-07-17)</t>
        </is>
      </c>
      <c r="M28" t="inlineStr">
        <is>
          <t>2026-09-17</t>
        </is>
      </c>
      <c r="N28" t="inlineStr">
        <is>
          <t>https://www.sec.gov/Archives/edgar/data/1924674/000192467426000001/primary_doc.xml</t>
        </is>
      </c>
      <c r="O28" s="1" t="inlineStr">
        <is>
          <t>Nature not described</t>
        </is>
      </c>
    </row>
    <row r="29">
      <c r="A29" t="inlineStr">
        <is>
          <t>C25</t>
        </is>
      </c>
      <c r="B29" t="inlineStr">
        <is>
          <t>PX06</t>
        </is>
      </c>
      <c r="C29" s="1" t="inlineStr">
        <is>
          <t>Equity raised 2024-2026 (Form D D+E+F)</t>
        </is>
      </c>
      <c r="D29" s="10">
        <f>D25+D26+D27</f>
        <v/>
      </c>
      <c r="E29" t="inlineStr">
        <is>
          <t>$M</t>
        </is>
      </c>
      <c r="F29" t="inlineStr">
        <is>
          <t>2026-09-17</t>
        </is>
      </c>
      <c r="G29" t="inlineStr">
        <is>
          <t>cumulative</t>
        </is>
      </c>
      <c r="H29" s="11" t="inlineStr">
        <is>
          <t>D</t>
        </is>
      </c>
      <c r="I29" t="inlineStr">
        <is>
          <t>Derived</t>
        </is>
      </c>
      <c r="J29" t="inlineStr"/>
      <c r="K29" t="inlineStr">
        <is>
          <t>{C21}+{C22}+{C23}</t>
        </is>
      </c>
      <c r="L29" s="1" t="inlineStr">
        <is>
          <t>Crusoe Inc. Form D (filed 2026-09-17; equity; first sale 2026-08-31)</t>
        </is>
      </c>
      <c r="M29" t="inlineStr">
        <is>
          <t>2026-09-17</t>
        </is>
      </c>
      <c r="N29" t="inlineStr">
        <is>
          <t>https://www.sec.gov/Archives/edgar/data/1924674/000192467426000002/primary_doc.xml</t>
        </is>
      </c>
      <c r="O29" s="1" t="inlineStr">
        <is>
          <t>Excl. C24 and pre-2024</t>
        </is>
      </c>
    </row>
    <row r="30">
      <c r="A30" t="inlineStr">
        <is>
          <t>C26</t>
        </is>
      </c>
      <c r="B30" t="inlineStr">
        <is>
          <t>PX07</t>
        </is>
      </c>
      <c r="C30" s="1" t="inlineStr">
        <is>
          <t>Post-money valuation, Series F</t>
        </is>
      </c>
      <c r="D30" s="6" t="n">
        <v>30900</v>
      </c>
      <c r="E30" t="inlineStr">
        <is>
          <t>$M</t>
        </is>
      </c>
      <c r="F30" t="inlineStr">
        <is>
          <t>2026-09-17</t>
        </is>
      </c>
      <c r="G30" t="inlineStr">
        <is>
          <t>round</t>
        </is>
      </c>
      <c r="H30" s="7" t="inlineStr">
        <is>
          <t>R</t>
        </is>
      </c>
      <c r="I30" t="inlineStr">
        <is>
          <t>Reported</t>
        </is>
      </c>
      <c r="J30" t="inlineStr"/>
      <c r="K30" t="inlineStr"/>
      <c r="L30" s="1" t="inlineStr">
        <is>
          <t>Crusoe PR: $3.9B Series F at $30.9B post-money; $140B+ TCV; 6GW+ gross contracted; ~1GW gross delivered &amp; operational</t>
        </is>
      </c>
      <c r="M30" t="inlineStr">
        <is>
          <t>2026-09-17</t>
        </is>
      </c>
      <c r="N30" t="inlineStr">
        <is>
          <t>https://www.crusoe.ai/resources/newsroom/crusoe-announces-series-f-funding</t>
        </is>
      </c>
      <c r="O30" s="1" t="inlineStr">
        <is>
          <t>Series E &gt;$10B</t>
        </is>
      </c>
    </row>
    <row r="31">
      <c r="A31" t="inlineStr">
        <is>
          <t>C27</t>
        </is>
      </c>
      <c r="B31" t="inlineStr">
        <is>
          <t>PX14</t>
        </is>
      </c>
      <c r="C31" s="1" t="inlineStr">
        <is>
          <t>Valuation / FY26E revenue</t>
        </is>
      </c>
      <c r="D31" s="14">
        <f>D30/D6</f>
        <v/>
      </c>
      <c r="E31" t="inlineStr">
        <is>
          <t>x</t>
        </is>
      </c>
      <c r="F31" t="inlineStr">
        <is>
          <t>2026-09-17</t>
        </is>
      </c>
      <c r="G31" t="inlineStr">
        <is>
          <t>point</t>
        </is>
      </c>
      <c r="H31" s="15" t="inlineStr">
        <is>
          <t>E</t>
        </is>
      </c>
      <c r="I31" t="inlineStr">
        <is>
          <t>Estimated</t>
        </is>
      </c>
      <c r="J31" t="inlineStr">
        <is>
          <t>P</t>
        </is>
      </c>
      <c r="K31" t="inlineStr">
        <is>
          <t>{C26}/{C03}</t>
        </is>
      </c>
      <c r="L31" s="1" t="inlineStr">
        <is>
          <t>Crusoe PR: $3.9B Series F at $30.9B post-money; $140B+ TCV; 6GW+ gross contracted; ~1GW gross delivered &amp; operational</t>
        </is>
      </c>
      <c r="M31" t="inlineStr">
        <is>
          <t>2026-09-17</t>
        </is>
      </c>
      <c r="N31" t="inlineStr">
        <is>
          <t>https://www.crusoe.ai/resources/newsroom/crusoe-announces-series-f-funding</t>
        </is>
      </c>
      <c r="O31" s="1" t="inlineStr">
        <is>
          <t>= 30,900 / 2,000 (press revenue)</t>
        </is>
      </c>
    </row>
    <row r="32">
      <c r="A32" t="inlineStr">
        <is>
          <t>C28</t>
        </is>
      </c>
      <c r="B32" t="inlineStr">
        <is>
          <t>PX09</t>
        </is>
      </c>
      <c r="C32" s="1" t="inlineStr">
        <is>
          <t>Iceland GPU DDTL all-in estimate (price talk midpoint)</t>
        </is>
      </c>
      <c r="D32" s="14">
        <f>3.87+4.875+1.5/4.2</f>
        <v/>
      </c>
      <c r="E32" t="inlineStr">
        <is>
          <t>%</t>
        </is>
      </c>
      <c r="F32" t="inlineStr">
        <is>
          <t>2026-09-10</t>
        </is>
      </c>
      <c r="G32" t="inlineStr">
        <is>
          <t>price talk</t>
        </is>
      </c>
      <c r="H32" s="15" t="inlineStr">
        <is>
          <t>E</t>
        </is>
      </c>
      <c r="I32" t="inlineStr">
        <is>
          <t>Estimated</t>
        </is>
      </c>
      <c r="J32" t="inlineStr">
        <is>
          <t>P</t>
        </is>
      </c>
      <c r="K32" t="inlineStr">
        <is>
          <t>3.87+4.875+1.5/4.2</t>
        </is>
      </c>
      <c r="L32" s="1" t="inlineStr">
        <is>
          <t>Octus: Crusoe launches ~$509M senior secured GPU DDTL (borrower IS AN03 LLC / Crusoe Iceland III), price talk S+475-500, 98.5 OID, Nov-2030</t>
        </is>
      </c>
      <c r="M32" t="inlineStr">
        <is>
          <t>2026-09-10</t>
        </is>
      </c>
      <c r="N32" t="inlineStr">
        <is>
          <t>https://octus.com/resources/articles/primary-crusoe-launches-509m-senior-secured-ddtl-due-november-2030-to-finance-gpu-capital-expenditures/</t>
        </is>
      </c>
      <c r="O32" s="1" t="inlineStr">
        <is>
          <t>~$509M, Nov-2030; final pricing n/d. = 3.87 + 4.875 + 1.5pt OID / ~4.2 yrs</t>
        </is>
      </c>
    </row>
    <row r="33">
      <c r="A33" t="inlineStr">
        <is>
          <t>C29</t>
        </is>
      </c>
      <c r="B33" t="inlineStr">
        <is>
          <t>PX09</t>
        </is>
      </c>
      <c r="C33" s="1" t="inlineStr">
        <is>
          <t>AMD-backstopped Goldman GPU loan rate</t>
        </is>
      </c>
      <c r="D33" s="8" t="n">
        <v>6</v>
      </c>
      <c r="E33" t="inlineStr">
        <is>
          <t>%</t>
        </is>
      </c>
      <c r="F33" t="inlineStr">
        <is>
          <t>2026-02-20</t>
        </is>
      </c>
      <c r="G33" t="inlineStr">
        <is>
          <t>loan</t>
        </is>
      </c>
      <c r="H33" s="9" t="inlineStr">
        <is>
          <t>P</t>
        </is>
      </c>
      <c r="I33" t="inlineStr">
        <is>
          <t>Press-reported</t>
        </is>
      </c>
      <c r="J33" t="inlineStr"/>
      <c r="K33" t="inlineStr"/>
      <c r="L33" s="1" t="inlineStr">
        <is>
          <t>DCD citing The Information: Goldman $300M loan for AMD chips (Springfield OH), AMD rent-back backstop, ~6% rate</t>
        </is>
      </c>
      <c r="M33" t="inlineStr">
        <is>
          <t>2026-02-20</t>
        </is>
      </c>
      <c r="N33" t="inlineStr">
        <is>
          <t>https://www.datacenterdynamics.com/en/news/amd-underwrites-300m-crusoe-loan-so-data-center-firm-can-buy-its-ai-chips-report/</t>
        </is>
      </c>
      <c r="O33" s="1" t="inlineStr">
        <is>
          <t>$300M</t>
        </is>
      </c>
    </row>
    <row r="34">
      <c r="A34" t="inlineStr">
        <is>
          <t>C30</t>
        </is>
      </c>
      <c r="B34" t="inlineStr">
        <is>
          <t>PX08</t>
        </is>
      </c>
      <c r="C34" s="1" t="inlineStr">
        <is>
          <t>Corporate facilities (Brookfield 750 + Upper90 225 + Victory Park 175)</t>
        </is>
      </c>
      <c r="D34" s="10">
        <f>750+225+175</f>
        <v/>
      </c>
      <c r="E34" t="inlineStr">
        <is>
          <t>$M</t>
        </is>
      </c>
      <c r="F34" t="inlineStr">
        <is>
          <t>2025-06-11</t>
        </is>
      </c>
      <c r="G34" t="inlineStr">
        <is>
          <t>facilities</t>
        </is>
      </c>
      <c r="H34" s="11" t="inlineStr">
        <is>
          <t>D</t>
        </is>
      </c>
      <c r="I34" t="inlineStr">
        <is>
          <t>Derived</t>
        </is>
      </c>
      <c r="J34" t="inlineStr">
        <is>
          <t>R/E</t>
        </is>
      </c>
      <c r="K34" t="inlineStr">
        <is>
          <t>750+225+175</t>
        </is>
      </c>
      <c r="L34" s="1" t="inlineStr">
        <is>
          <t>Crusoe PR: $750M credit facility from Brookfield</t>
        </is>
      </c>
      <c r="M34" t="inlineStr">
        <is>
          <t>2025-06-11</t>
        </is>
      </c>
      <c r="N34" t="inlineStr">
        <is>
          <t>https://www.crusoe.ai/resources/newsroom/crusoe-secures-usd750-million-credit-facility-from-brookfield-to-accelerate</t>
        </is>
      </c>
      <c r="O34" s="1" t="inlineStr">
        <is>
          <t>Upper90/Victory Park per Sacra</t>
        </is>
      </c>
    </row>
    <row r="35">
      <c r="A35" t="inlineStr">
        <is>
          <t>C31</t>
        </is>
      </c>
      <c r="B35" t="inlineStr">
        <is>
          <t>PX08</t>
        </is>
      </c>
      <c r="C35" s="1" t="inlineStr">
        <is>
          <t>Abilene JV project financing ($2.3B ph1 + $7.1B ph2)</t>
        </is>
      </c>
      <c r="D35" s="10">
        <f>2300+7100</f>
        <v/>
      </c>
      <c r="E35" t="inlineStr">
        <is>
          <t>$M</t>
        </is>
      </c>
      <c r="F35" t="inlineStr">
        <is>
          <t>2025-05-22</t>
        </is>
      </c>
      <c r="G35" t="inlineStr">
        <is>
          <t>JV-level</t>
        </is>
      </c>
      <c r="H35" s="11" t="inlineStr">
        <is>
          <t>D</t>
        </is>
      </c>
      <c r="I35" t="inlineStr">
        <is>
          <t>Derived</t>
        </is>
      </c>
      <c r="J35" t="inlineStr">
        <is>
          <t>R/P</t>
        </is>
      </c>
      <c r="K35" t="inlineStr">
        <is>
          <t>2300+7100</t>
        </is>
      </c>
      <c r="L35" s="1" t="inlineStr">
        <is>
          <t>Bloomberg: JPMorgan leads $7.1B loan for Blue Owl-tied (Abilene phase 2) data center</t>
        </is>
      </c>
      <c r="M35" t="inlineStr">
        <is>
          <t>2025-05-22</t>
        </is>
      </c>
      <c r="N35" t="inlineStr">
        <is>
          <t>https://www.bloomberg.com/news/articles/2025-05-22/jpmorgan-leads-7-1-billion-loan-for-blue-owl-tied-data-center</t>
        </is>
      </c>
      <c r="O35" s="1" t="inlineStr">
        <is>
          <t>JV-level debt</t>
        </is>
      </c>
    </row>
    <row r="36">
      <c r="A36" t="inlineStr">
        <is>
          <t>C32</t>
        </is>
      </c>
      <c r="B36" t="inlineStr">
        <is>
          <t>K14</t>
        </is>
      </c>
      <c r="C36" s="1" t="inlineStr">
        <is>
          <t>Abilene JV total cost per MW (shell + power, ex-GPU)</t>
        </is>
      </c>
      <c r="D36" s="10">
        <f>15000/D15</f>
        <v/>
      </c>
      <c r="E36" t="inlineStr">
        <is>
          <t>$M/MW</t>
        </is>
      </c>
      <c r="F36" t="inlineStr">
        <is>
          <t>2025-05-21</t>
        </is>
      </c>
      <c r="G36" t="inlineStr">
        <is>
          <t>project</t>
        </is>
      </c>
      <c r="H36" s="11" t="inlineStr">
        <is>
          <t>D</t>
        </is>
      </c>
      <c r="I36" t="inlineStr">
        <is>
          <t>Derived</t>
        </is>
      </c>
      <c r="J36" t="inlineStr"/>
      <c r="K36" t="inlineStr">
        <is>
          <t>15000/{C12}</t>
        </is>
      </c>
      <c r="L36" s="1" t="inlineStr">
        <is>
          <t>Crusoe PR: second phase of $15B Abilene JV with Blue Owl and Primary Digital (1.2GW, 8 buildings, up to 50,000 GB200 per building)</t>
        </is>
      </c>
      <c r="M36" t="inlineStr">
        <is>
          <t>2025-05-21</t>
        </is>
      </c>
      <c r="N36" t="inlineStr">
        <is>
          <t>https://www.crusoe.ai/resources/newsroom/crusoe-blue-owl-capital-and-primary-digital-infrastructure-enter-joint-venture</t>
        </is>
      </c>
      <c r="O36" s="1" t="inlineStr">
        <is>
          <t>= $15B / 1,200 MW</t>
        </is>
      </c>
    </row>
    <row r="37">
      <c r="A37" t="inlineStr">
        <is>
          <t>C33</t>
        </is>
      </c>
      <c r="B37" t="inlineStr">
        <is>
          <t>K14</t>
        </is>
      </c>
      <c r="C37" s="1" t="inlineStr">
        <is>
          <t>Abilene phase-1 construction debt per MW</t>
        </is>
      </c>
      <c r="D37" s="10">
        <f>2300/206</f>
        <v/>
      </c>
      <c r="E37" t="inlineStr">
        <is>
          <t>$M/MW</t>
        </is>
      </c>
      <c r="F37" t="inlineStr">
        <is>
          <t>2024</t>
        </is>
      </c>
      <c r="G37" t="inlineStr">
        <is>
          <t>project</t>
        </is>
      </c>
      <c r="H37" s="11" t="inlineStr">
        <is>
          <t>D</t>
        </is>
      </c>
      <c r="I37" t="inlineStr">
        <is>
          <t>Derived</t>
        </is>
      </c>
      <c r="J37" t="inlineStr"/>
      <c r="K37" t="inlineStr">
        <is>
          <t>2300/206</t>
        </is>
      </c>
      <c r="L37" s="1" t="inlineStr">
        <is>
          <t>Newmark PR: arranges $2.3B construction financing for 206MW build-to-suit data center (Abilene phase 1)</t>
        </is>
      </c>
      <c r="M37" t="inlineStr">
        <is>
          <t>2024</t>
        </is>
      </c>
      <c r="N37" t="inlineStr">
        <is>
          <t>https://www.nmrk.com/insights/press-releases/newmark-arranges-2-3-billion-construction-financing-for-206-mw-build-to-suit-data-center</t>
        </is>
      </c>
      <c r="O37" s="1" t="inlineStr">
        <is>
          <t>= $2.3B / 206 MW</t>
        </is>
      </c>
    </row>
    <row r="38">
      <c r="A38" t="inlineStr">
        <is>
          <t>C34</t>
        </is>
      </c>
      <c r="B38" t="inlineStr">
        <is>
          <t>I23</t>
        </is>
      </c>
      <c r="C38" s="1" t="inlineStr">
        <is>
          <t>Total debt outstanding</t>
        </is>
      </c>
      <c r="D38" s="13" t="inlineStr">
        <is>
          <t>n/d</t>
        </is>
      </c>
      <c r="E38" t="inlineStr">
        <is>
          <t>$M</t>
        </is>
      </c>
      <c r="F38" t="inlineStr">
        <is>
          <t>2026-10-04</t>
        </is>
      </c>
      <c r="G38" t="inlineStr">
        <is>
          <t>point</t>
        </is>
      </c>
      <c r="H38" s="12" t="inlineStr">
        <is>
          <t>n/d</t>
        </is>
      </c>
      <c r="I38" t="inlineStr">
        <is>
          <t>n/d</t>
        </is>
      </c>
      <c r="J38" t="inlineStr"/>
      <c r="K38" t="inlineStr"/>
      <c r="L38" s="1" t="inlineStr">
        <is>
          <t>EDGAR: Crusoe Inc. (CIK 0001924674) has only Form D filings; no S-1/DRS public</t>
        </is>
      </c>
      <c r="M38" t="inlineStr">
        <is>
          <t>2026-10-04</t>
        </is>
      </c>
      <c r="N38" t="inlineStr">
        <is>
          <t>https://www.sec.gov/cgi-bin/browse-edgar?action=getcompany&amp;CIK=0001924674</t>
        </is>
      </c>
      <c r="O38" s="1" t="inlineStr">
        <is>
          <t>No balance sheet public</t>
        </is>
      </c>
    </row>
    <row r="39">
      <c r="A39" t="inlineStr">
        <is>
          <t>C35</t>
        </is>
      </c>
      <c r="B39" t="inlineStr">
        <is>
          <t>K16</t>
        </is>
      </c>
      <c r="C39" s="1" t="inlineStr">
        <is>
          <t>Useful life - GPUs</t>
        </is>
      </c>
      <c r="D39" s="13" t="inlineStr">
        <is>
          <t>n/d</t>
        </is>
      </c>
      <c r="E39" t="inlineStr">
        <is>
          <t>years</t>
        </is>
      </c>
      <c r="F39" t="inlineStr">
        <is>
          <t>2026-10-04</t>
        </is>
      </c>
      <c r="G39" t="inlineStr">
        <is>
          <t>policy</t>
        </is>
      </c>
      <c r="H39" s="12" t="inlineStr">
        <is>
          <t>n/d</t>
        </is>
      </c>
      <c r="I39" t="inlineStr">
        <is>
          <t>n/d</t>
        </is>
      </c>
      <c r="J39" t="inlineStr"/>
      <c r="K39" t="inlineStr"/>
      <c r="L39" s="1" t="inlineStr">
        <is>
          <t>EDGAR: Crusoe Inc. (CIK 0001924674) has only Form D filings; no S-1/DRS public</t>
        </is>
      </c>
      <c r="M39" t="inlineStr">
        <is>
          <t>2026-10-04</t>
        </is>
      </c>
      <c r="N39" t="inlineStr">
        <is>
          <t>https://www.sec.gov/cgi-bin/browse-edgar?action=getcompany&amp;CIK=0001924674</t>
        </is>
      </c>
      <c r="O39" s="1" t="inlineStr">
        <is>
          <t>Not disclosed</t>
        </is>
      </c>
    </row>
    <row r="40">
      <c r="A40" t="inlineStr">
        <is>
          <t>C36</t>
        </is>
      </c>
      <c r="B40" t="inlineStr">
        <is>
          <t>I12</t>
        </is>
      </c>
      <c r="C40" s="1" t="inlineStr">
        <is>
          <t>H100 SXM on-demand list</t>
        </is>
      </c>
      <c r="D40" s="6" t="n">
        <v>3.9</v>
      </c>
      <c r="E40" t="inlineStr">
        <is>
          <t>$/GPU-hr</t>
        </is>
      </c>
      <c r="F40" t="inlineStr">
        <is>
          <t>2026-10-04</t>
        </is>
      </c>
      <c r="G40" t="inlineStr">
        <is>
          <t>snapshot</t>
        </is>
      </c>
      <c r="H40" s="7" t="inlineStr">
        <is>
          <t>R</t>
        </is>
      </c>
      <c r="I40" t="inlineStr">
        <is>
          <t>Reported</t>
        </is>
      </c>
      <c r="J40" t="inlineStr"/>
      <c r="K40" t="inlineStr"/>
      <c r="L40" s="1" t="inlineStr">
        <is>
          <t>Nebius workspace: /workspace/nebius/parts/price_history_quarterly.csv and price_snapshot_2026-10-04.csv (first-party list pages / Wayback)</t>
        </is>
      </c>
      <c r="M40" t="inlineStr">
        <is>
          <t>2026-10-04</t>
        </is>
      </c>
      <c r="N40" t="inlineStr">
        <is>
          <t>local</t>
        </is>
      </c>
      <c r="O40" s="1" t="inlineStr">
        <is>
          <t>H200 $4.29; GB200 contact sales</t>
        </is>
      </c>
    </row>
    <row r="41">
      <c r="A41" t="inlineStr">
        <is>
          <t>CK01</t>
        </is>
      </c>
      <c r="B41" t="inlineStr">
        <is>
          <t>K01</t>
        </is>
      </c>
      <c r="C41" s="1" t="inlineStr">
        <is>
          <t>FY26E revenue per delivered gross MW</t>
        </is>
      </c>
      <c r="D41" s="14">
        <f>D6/D9</f>
        <v/>
      </c>
      <c r="E41" t="inlineStr">
        <is>
          <t>$M/MW-yr</t>
        </is>
      </c>
      <c r="F41" t="inlineStr">
        <is>
          <t>2026-09-17</t>
        </is>
      </c>
      <c r="G41" t="inlineStr">
        <is>
          <t>FY26E / Sep MW</t>
        </is>
      </c>
      <c r="H41" s="15" t="inlineStr">
        <is>
          <t>E</t>
        </is>
      </c>
      <c r="I41" t="inlineStr">
        <is>
          <t>Estimated</t>
        </is>
      </c>
      <c r="J41" t="inlineStr">
        <is>
          <t>P/R</t>
        </is>
      </c>
      <c r="K41" t="inlineStr">
        <is>
          <t>{C03}/{C06}</t>
        </is>
      </c>
      <c r="L41" s="1" t="inlineStr">
        <is>
          <t>Newcomer (financials obtained): Crusoe 'on track for $2 billion in revenue this year'</t>
        </is>
      </c>
      <c r="M41" t="inlineStr">
        <is>
          <t>2026-09-23</t>
        </is>
      </c>
      <c r="N41" t="inlineStr">
        <is>
          <t>https://www.newcomer.co/p/crusoe-is-on-track-for-2-billion</t>
        </is>
      </c>
      <c r="O41" s="1" t="inlineStr">
        <is>
          <t>Mixes landlord and cloud revenue; includes JV capacity</t>
        </is>
      </c>
    </row>
    <row r="42">
      <c r="A42" t="inlineStr">
        <is>
          <t>CK01b</t>
        </is>
      </c>
      <c r="B42" t="inlineStr">
        <is>
          <t>K01</t>
        </is>
      </c>
      <c r="C42" s="1" t="inlineStr">
        <is>
          <t>FY26E revenue per delivered IT-equivalent MW</t>
        </is>
      </c>
      <c r="D42" s="14">
        <f>D6/D11</f>
        <v/>
      </c>
      <c r="E42" t="inlineStr">
        <is>
          <t>$M/MW-yr</t>
        </is>
      </c>
      <c r="F42" t="inlineStr">
        <is>
          <t>2026-09-17</t>
        </is>
      </c>
      <c r="G42" t="inlineStr">
        <is>
          <t>FY26E / Sep MW</t>
        </is>
      </c>
      <c r="H42" s="15" t="inlineStr">
        <is>
          <t>E</t>
        </is>
      </c>
      <c r="I42" t="inlineStr">
        <is>
          <t>Estimated</t>
        </is>
      </c>
      <c r="J42" t="inlineStr">
        <is>
          <t>P/E</t>
        </is>
      </c>
      <c r="K42" t="inlineStr">
        <is>
          <t>{C03}/{C08}</t>
        </is>
      </c>
      <c r="L42" s="1" t="inlineStr">
        <is>
          <t>Newcomer (financials obtained): Crusoe 'on track for $2 billion in revenue this year'</t>
        </is>
      </c>
      <c r="M42" t="inlineStr">
        <is>
          <t>2026-09-23</t>
        </is>
      </c>
      <c r="N42" t="inlineStr">
        <is>
          <t>https://www.newcomer.co/p/crusoe-is-on-track-for-2-billion</t>
        </is>
      </c>
      <c r="O42" s="1" t="inlineStr">
        <is>
          <t>Plus IT conversion estimate</t>
        </is>
      </c>
    </row>
    <row r="43">
      <c r="A43" t="inlineStr">
        <is>
          <t>CK03</t>
        </is>
      </c>
      <c r="B43" t="inlineStr">
        <is>
          <t>K03</t>
        </is>
      </c>
      <c r="C43" s="1" t="inlineStr">
        <is>
          <t>FY26E revenue per gross contracted MW</t>
        </is>
      </c>
      <c r="D43" s="14">
        <f>D6/D12</f>
        <v/>
      </c>
      <c r="E43" t="inlineStr">
        <is>
          <t>$M/MW-yr</t>
        </is>
      </c>
      <c r="F43" t="inlineStr">
        <is>
          <t>2026-09-17</t>
        </is>
      </c>
      <c r="G43" t="inlineStr">
        <is>
          <t>point</t>
        </is>
      </c>
      <c r="H43" s="15" t="inlineStr">
        <is>
          <t>E</t>
        </is>
      </c>
      <c r="I43" t="inlineStr">
        <is>
          <t>Estimated</t>
        </is>
      </c>
      <c r="J43" t="inlineStr">
        <is>
          <t>P/R</t>
        </is>
      </c>
      <c r="K43" t="inlineStr">
        <is>
          <t>{C03}/{C09}</t>
        </is>
      </c>
      <c r="L43" s="1" t="inlineStr">
        <is>
          <t>Newcomer (financials obtained): Crusoe 'on track for $2 billion in revenue this year'</t>
        </is>
      </c>
      <c r="M43" t="inlineStr">
        <is>
          <t>2026-09-23</t>
        </is>
      </c>
      <c r="N43" t="inlineStr">
        <is>
          <t>https://www.newcomer.co/p/crusoe-is-on-track-for-2-billion</t>
        </is>
      </c>
      <c r="O43" s="1" t="inlineStr"/>
    </row>
    <row r="44">
      <c r="A44" t="inlineStr">
        <is>
          <t>CK04</t>
        </is>
      </c>
      <c r="B44" t="inlineStr">
        <is>
          <t>K04</t>
        </is>
      </c>
      <c r="C44" s="1" t="inlineStr">
        <is>
          <t>Gross contracted / delivered MW</t>
        </is>
      </c>
      <c r="D44" s="10">
        <f>D12/D9</f>
        <v/>
      </c>
      <c r="E44" t="inlineStr">
        <is>
          <t>x</t>
        </is>
      </c>
      <c r="F44" t="inlineStr">
        <is>
          <t>2026-09-17</t>
        </is>
      </c>
      <c r="G44" t="inlineStr">
        <is>
          <t>point</t>
        </is>
      </c>
      <c r="H44" s="11" t="inlineStr">
        <is>
          <t>D</t>
        </is>
      </c>
      <c r="I44" t="inlineStr">
        <is>
          <t>Derived</t>
        </is>
      </c>
      <c r="J44" t="inlineStr"/>
      <c r="K44" t="inlineStr">
        <is>
          <t>{C09}/{C06}</t>
        </is>
      </c>
      <c r="L44" s="1" t="inlineStr">
        <is>
          <t>Crusoe PR: $3.9B Series F at $30.9B post-money; $140B+ TCV; 6GW+ gross contracted; ~1GW gross delivered &amp; operational</t>
        </is>
      </c>
      <c r="M44" t="inlineStr">
        <is>
          <t>2026-09-17</t>
        </is>
      </c>
      <c r="N44" t="inlineStr">
        <is>
          <t>https://www.crusoe.ai/resources/newsroom/crusoe-announces-series-f-funding</t>
        </is>
      </c>
      <c r="O44" s="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5"/>
  <cols>
    <col width="10" customWidth="1" min="1" max="1"/>
    <col width="52" customWidth="1" min="2" max="2"/>
    <col width="12" customWidth="1" min="3" max="3"/>
    <col width="11" customWidth="1" min="4" max="4"/>
    <col width="50" customWidth="1" min="5" max="5"/>
    <col width="12" customWidth="1" min="6" max="6"/>
    <col width="14" customWidth="1" min="7" max="7"/>
    <col width="18" customWidth="1" min="8" max="8"/>
    <col width="48" customWidth="1" min="9" max="9"/>
    <col width="50" customWidth="1" min="10" max="10"/>
    <col width="60" customWidth="1" min="11" max="11"/>
  </cols>
  <sheetData>
    <row r="1">
      <c r="A1" s="2" t="inlineStr">
        <is>
          <t>Debt and financing facilities (commitment size unless noted). All-in % on floating facilities = ESTIMATE: SOFR 3.87% (2026-10-01) + disclosed spread (+ OID amortized where given).</t>
        </is>
      </c>
    </row>
    <row r="3">
      <c r="A3" s="3" t="inlineStr">
        <is>
          <t>Company</t>
        </is>
      </c>
      <c r="B3" s="3" t="inlineStr">
        <is>
          <t>Facility</t>
        </is>
      </c>
      <c r="C3" s="3" t="inlineStr">
        <is>
          <t>Date</t>
        </is>
      </c>
      <c r="D3" s="3" t="inlineStr">
        <is>
          <t>Size ($M)</t>
        </is>
      </c>
      <c r="E3" s="3" t="inlineStr">
        <is>
          <t>Pricing (as disclosed)</t>
        </is>
      </c>
      <c r="F3" s="3" t="inlineStr">
        <is>
          <t>All-in % (est. if floating)</t>
        </is>
      </c>
      <c r="G3" s="3" t="inlineStr">
        <is>
          <t>Tag</t>
        </is>
      </c>
      <c r="H3" s="3" t="inlineStr">
        <is>
          <t>Maturity</t>
        </is>
      </c>
      <c r="I3" s="3" t="inlineStr">
        <is>
          <t>Notes</t>
        </is>
      </c>
      <c r="J3" s="3" t="inlineStr">
        <is>
          <t>Source</t>
        </is>
      </c>
      <c r="K3" s="3" t="inlineStr">
        <is>
          <t>URL</t>
        </is>
      </c>
    </row>
    <row r="4">
      <c r="A4" s="1" t="inlineStr">
        <is>
          <t>Nscale</t>
        </is>
      </c>
      <c r="B4" s="1" t="inlineStr">
        <is>
          <t>Macquarie Senior Credit Facility (Glomfjord GPUs)</t>
        </is>
      </c>
      <c r="C4" s="1" t="inlineStr">
        <is>
          <t>2025-06</t>
        </is>
      </c>
      <c r="D4" s="1" t="n">
        <v>105</v>
      </c>
      <c r="E4" s="1" t="inlineStr">
        <is>
          <t>SOFR+7.50% + MOIC; eff. 22.74% (6/30/26)</t>
        </is>
      </c>
      <c r="F4" s="1" t="n">
        <v>22.74</v>
      </c>
      <c r="G4" s="16" t="inlineStr">
        <is>
          <t>R</t>
        </is>
      </c>
      <c r="H4" s="1" t="inlineStr">
        <is>
          <t>n/d</t>
        </is>
      </c>
      <c r="I4" s="1" t="inlineStr">
        <is>
          <t>Carrying 89.2 at 6/30/26</t>
        </is>
      </c>
      <c r="J4" s="1" t="inlineStr">
        <is>
          <t>Nscale Ltd Form S-1 (filed 2026-09-18; CIK 0002110365). Local copy /workspace/nebius/comps_raw/nscale_s1.htm(.txt)</t>
        </is>
      </c>
      <c r="K4" s="1" t="inlineStr">
        <is>
          <t>https://www.sec.gov/Archives/edgar/data/2110365/000119312526395475/ck0002110365-20260918.htm</t>
        </is>
      </c>
    </row>
    <row r="5">
      <c r="A5" s="1" t="inlineStr">
        <is>
          <t>Nscale</t>
        </is>
      </c>
      <c r="B5" s="1" t="inlineStr">
        <is>
          <t>GPU Financing Facility (senior secured DDTL)</t>
        </is>
      </c>
      <c r="C5" s="1" t="inlineStr">
        <is>
          <t>2026-02</t>
        </is>
      </c>
      <c r="D5" s="1" t="n">
        <v>1400</v>
      </c>
      <c r="E5" s="1" t="inlineStr">
        <is>
          <t>Term SOFR+5.00% (+0.25% step-up); eff. 11.30%</t>
        </is>
      </c>
      <c r="F5" s="1" t="n">
        <v>11.3</v>
      </c>
      <c r="G5" s="16" t="inlineStr">
        <is>
          <t>R</t>
        </is>
      </c>
      <c r="H5" s="1" t="inlineStr">
        <is>
          <t>n/d</t>
        </is>
      </c>
      <c r="I5" s="1" t="inlineStr">
        <is>
          <t>Carrying 48.2 at 6/30/26; +$329M drawn Aug-26; +$350M incremental option</t>
        </is>
      </c>
      <c r="J5" s="1" t="inlineStr">
        <is>
          <t>Nscale Ltd Form S-1 (filed 2026-09-18; CIK 0002110365). Local copy /workspace/nebius/comps_raw/nscale_s1.htm(.txt)</t>
        </is>
      </c>
      <c r="K5" s="1" t="inlineStr">
        <is>
          <t>https://www.sec.gov/Archives/edgar/data/2110365/000119312526395475/ck0002110365-20260918.htm</t>
        </is>
      </c>
    </row>
    <row r="6">
      <c r="A6" s="1" t="inlineStr">
        <is>
          <t>Nscale</t>
        </is>
      </c>
      <c r="B6" s="1" t="inlineStr">
        <is>
          <t>Revolving Credit Facility (upsized from $770M)</t>
        </is>
      </c>
      <c r="C6" s="1" t="inlineStr">
        <is>
          <t>2026-05</t>
        </is>
      </c>
      <c r="D6" s="1" t="n">
        <v>900</v>
      </c>
      <c r="E6" s="1" t="inlineStr">
        <is>
          <t>Term SOFR+1.75%</t>
        </is>
      </c>
      <c r="F6" s="1" t="n">
        <v>5.62</v>
      </c>
      <c r="G6" s="17" t="inlineStr">
        <is>
          <t>E (spread R)</t>
        </is>
      </c>
      <c r="H6" s="1" t="inlineStr">
        <is>
          <t>n/d</t>
        </is>
      </c>
      <c r="I6" s="1" t="inlineStr">
        <is>
          <t>Undrawn 6/30/26; $830M utilized since</t>
        </is>
      </c>
      <c r="J6" s="1" t="inlineStr">
        <is>
          <t>Nscale Ltd Form S-1 (filed 2026-09-18; CIK 0002110365). Local copy /workspace/nebius/comps_raw/nscale_s1.htm(.txt)</t>
        </is>
      </c>
      <c r="K6" s="1" t="inlineStr">
        <is>
          <t>https://www.sec.gov/Archives/edgar/data/2110365/000119312526395475/ck0002110365-20260918.htm</t>
        </is>
      </c>
    </row>
    <row r="7">
      <c r="A7" s="1" t="inlineStr">
        <is>
          <t>Nscale</t>
        </is>
      </c>
      <c r="B7" s="1" t="inlineStr">
        <is>
          <t>Dell Financial Services equipment lease framework</t>
        </is>
      </c>
      <c r="C7" s="1" t="inlineStr">
        <is>
          <t>2026</t>
        </is>
      </c>
      <c r="D7" s="1" t="n">
        <v>2540</v>
      </c>
      <c r="E7" s="1" t="inlineStr">
        <is>
          <t>Financing charges ~$34.8M on ~$2.54B initial-term rent</t>
        </is>
      </c>
      <c r="F7" s="1" t="inlineStr">
        <is>
          <t>n/d</t>
        </is>
      </c>
      <c r="G7" s="16" t="inlineStr">
        <is>
          <t>R</t>
        </is>
      </c>
      <c r="H7" s="1" t="inlineStr">
        <is>
          <t>per schedule</t>
        </is>
      </c>
      <c r="I7" s="1" t="inlineStr">
        <is>
          <t>As of 2026-09-04</t>
        </is>
      </c>
      <c r="J7" s="1" t="inlineStr">
        <is>
          <t>Nscale Ltd Form S-1 (filed 2026-09-18; CIK 0002110365). Local copy /workspace/nebius/comps_raw/nscale_s1.htm(.txt)</t>
        </is>
      </c>
      <c r="K7" s="1" t="inlineStr">
        <is>
          <t>https://www.sec.gov/Archives/edgar/data/2110365/000119312526395475/ck0002110365-20260918.htm</t>
        </is>
      </c>
    </row>
    <row r="8">
      <c r="A8" s="1" t="inlineStr">
        <is>
          <t>Nscale</t>
        </is>
      </c>
      <c r="B8" s="1" t="inlineStr">
        <is>
          <t>Kvandal South DC Facility ($725M TL + $65M VAT)</t>
        </is>
      </c>
      <c r="C8" s="1" t="inlineStr">
        <is>
          <t>2026-07</t>
        </is>
      </c>
      <c r="D8" s="1" t="n">
        <v>790</v>
      </c>
      <c r="E8" s="1" t="inlineStr">
        <is>
          <t>TL Term SOFR+3.00-3.75%; VAT SOFR+2.00%</t>
        </is>
      </c>
      <c r="F8" s="1" t="n">
        <v>7.25</v>
      </c>
      <c r="G8" s="17" t="inlineStr">
        <is>
          <t>E (spread R)</t>
        </is>
      </c>
      <c r="H8" s="1" t="inlineStr">
        <is>
          <t>n/d</t>
        </is>
      </c>
      <c r="I8" s="1" t="inlineStr">
        <is>
          <t>DC capex, Norway</t>
        </is>
      </c>
      <c r="J8" s="1" t="inlineStr">
        <is>
          <t>Nscale Ltd Form S-1 (filed 2026-09-18; CIK 0002110365). Local copy /workspace/nebius/comps_raw/nscale_s1.htm(.txt)</t>
        </is>
      </c>
      <c r="K8" s="1" t="inlineStr">
        <is>
          <t>https://www.sec.gov/Archives/edgar/data/2110365/000119312526395475/ck0002110365-20260918.htm</t>
        </is>
      </c>
    </row>
    <row r="9">
      <c r="A9" s="1" t="inlineStr">
        <is>
          <t>Nscale</t>
        </is>
      </c>
      <c r="B9" s="1" t="inlineStr">
        <is>
          <t>Macquarie Iceland Facility</t>
        </is>
      </c>
      <c r="C9" s="1" t="inlineStr">
        <is>
          <t>2026-07</t>
        </is>
      </c>
      <c r="D9" s="1" t="n">
        <v>331.9</v>
      </c>
      <c r="E9" s="1" t="inlineStr">
        <is>
          <t>SOFR+5.50%</t>
        </is>
      </c>
      <c r="F9" s="1" t="n">
        <v>9.369999999999999</v>
      </c>
      <c r="G9" s="17" t="inlineStr">
        <is>
          <t>E (spread R)</t>
        </is>
      </c>
      <c r="H9" s="1" t="inlineStr">
        <is>
          <t>46 months</t>
        </is>
      </c>
      <c r="I9" s="1" t="inlineStr">
        <is>
          <t>GPU purchase</t>
        </is>
      </c>
      <c r="J9" s="1" t="inlineStr">
        <is>
          <t>Nscale Ltd Form S-1 (filed 2026-09-18; CIK 0002110365). Local copy /workspace/nebius/comps_raw/nscale_s1.htm(.txt)</t>
        </is>
      </c>
      <c r="K9" s="1" t="inlineStr">
        <is>
          <t>https://www.sec.gov/Archives/edgar/data/2110365/000119312526395475/ck0002110365-20260918.htm</t>
        </is>
      </c>
    </row>
    <row r="10">
      <c r="A10" s="1" t="inlineStr">
        <is>
          <t>Nscale</t>
        </is>
      </c>
      <c r="B10" s="1" t="inlineStr">
        <is>
          <t>Ward County GPU Facility ($630M fixed / $1,220M floating)</t>
        </is>
      </c>
      <c r="C10" s="1" t="inlineStr">
        <is>
          <t>2026-08</t>
        </is>
      </c>
      <c r="D10" s="1" t="n">
        <v>1850</v>
      </c>
      <c r="E10" s="1" t="inlineStr">
        <is>
          <t>SOFR+2.375%</t>
        </is>
      </c>
      <c r="F10" s="1" t="n">
        <v>6.25</v>
      </c>
      <c r="G10" s="17" t="inlineStr">
        <is>
          <t>E (spread R)</t>
        </is>
      </c>
      <c r="H10" s="1" t="inlineStr">
        <is>
          <t>2033-02</t>
        </is>
      </c>
      <c r="I10" s="1" t="inlineStr">
        <is>
          <t>GPU capex</t>
        </is>
      </c>
      <c r="J10" s="1" t="inlineStr">
        <is>
          <t>Nscale Ltd Form S-1 (filed 2026-09-18; CIK 0002110365). Local copy /workspace/nebius/comps_raw/nscale_s1.htm(.txt)</t>
        </is>
      </c>
      <c r="K10" s="1" t="inlineStr">
        <is>
          <t>https://www.sec.gov/Archives/edgar/data/2110365/000119312526395475/ck0002110365-20260918.htm</t>
        </is>
      </c>
    </row>
    <row r="11">
      <c r="A11" s="1" t="inlineStr">
        <is>
          <t>Nscale</t>
        </is>
      </c>
      <c r="B11" s="1" t="inlineStr">
        <is>
          <t>North Carolina GPU Facility ($370M fixed / $830M floating)</t>
        </is>
      </c>
      <c r="C11" s="1" t="inlineStr">
        <is>
          <t>2026-08</t>
        </is>
      </c>
      <c r="D11" s="1" t="n">
        <v>1200</v>
      </c>
      <c r="E11" s="1" t="inlineStr">
        <is>
          <t>SOFR+2.375%</t>
        </is>
      </c>
      <c r="F11" s="1" t="n">
        <v>6.25</v>
      </c>
      <c r="G11" s="17" t="inlineStr">
        <is>
          <t>E (spread R)</t>
        </is>
      </c>
      <c r="H11" s="1" t="inlineStr">
        <is>
          <t>2031-12</t>
        </is>
      </c>
      <c r="I11" s="1" t="inlineStr">
        <is>
          <t>GPU capex</t>
        </is>
      </c>
      <c r="J11" s="1" t="inlineStr">
        <is>
          <t>Nscale Ltd Form S-1 (filed 2026-09-18; CIK 0002110365). Local copy /workspace/nebius/comps_raw/nscale_s1.htm(.txt)</t>
        </is>
      </c>
      <c r="K11" s="1" t="inlineStr">
        <is>
          <t>https://www.sec.gov/Archives/edgar/data/2110365/000119312526395475/ck0002110365-20260918.htm</t>
        </is>
      </c>
    </row>
    <row r="12">
      <c r="A12" s="1" t="inlineStr">
        <is>
          <t>Nscale</t>
        </is>
      </c>
      <c r="B12" s="1" t="inlineStr">
        <is>
          <t>Pre-IPO convertible loan notes</t>
        </is>
      </c>
      <c r="C12" s="1" t="inlineStr">
        <is>
          <t>2026-09-25</t>
        </is>
      </c>
      <c r="D12" s="1" t="n">
        <v>3360</v>
      </c>
      <c r="E12" s="1" t="inlineStr">
        <is>
          <t>n/d (convert at IPO)</t>
        </is>
      </c>
      <c r="F12" s="1" t="inlineStr">
        <is>
          <t>n/d</t>
        </is>
      </c>
      <c r="G12" s="16" t="inlineStr">
        <is>
          <t>R</t>
        </is>
      </c>
      <c r="H12" s="1" t="inlineStr">
        <is>
          <t>converts at IPO</t>
        </is>
      </c>
      <c r="I12" s="1" t="inlineStr">
        <is>
          <t>$2.36B + $1.0B NVIDIA mid-Nov</t>
        </is>
      </c>
      <c r="J12" s="1" t="inlineStr">
        <is>
          <t>Nscale PR (PRNewswire): $3.36B pre-IPO convertible loan notes</t>
        </is>
      </c>
      <c r="K12" s="1" t="inlineStr">
        <is>
          <t>https://www.prnewswire.com/news-releases/nscale-raises-3-36b-in-pre-ipo-convertible-financing-302890199.html</t>
        </is>
      </c>
    </row>
    <row r="13">
      <c r="A13" s="1" t="inlineStr">
        <is>
          <t>Nscale</t>
        </is>
      </c>
      <c r="B13" s="1" t="inlineStr">
        <is>
          <t>Series A convertible notes (~$155M + $10M; converted)</t>
        </is>
      </c>
      <c r="C13" s="1" t="inlineStr">
        <is>
          <t>2024</t>
        </is>
      </c>
      <c r="D13" s="1" t="n">
        <v>165</v>
      </c>
      <c r="E13" s="1" t="inlineStr">
        <is>
          <t>12% PIK</t>
        </is>
      </c>
      <c r="F13" s="1" t="n">
        <v>12</v>
      </c>
      <c r="G13" s="16" t="inlineStr">
        <is>
          <t>R</t>
        </is>
      </c>
      <c r="H13" s="1" t="inlineStr">
        <is>
          <t>converted</t>
        </is>
      </c>
      <c r="I13" s="1" t="inlineStr">
        <is>
          <t>Historical</t>
        </is>
      </c>
      <c r="J13" s="1" t="inlineStr">
        <is>
          <t>Nscale Ltd Form S-1 (filed 2026-09-18; CIK 0002110365). Local copy /workspace/nebius/comps_raw/nscale_s1.htm(.txt)</t>
        </is>
      </c>
      <c r="K13" s="1" t="inlineStr">
        <is>
          <t>https://www.sec.gov/Archives/edgar/data/2110365/000119312526395475/ck0002110365-20260918.htm</t>
        </is>
      </c>
    </row>
    <row r="14">
      <c r="A14" s="1" t="inlineStr">
        <is>
          <t>Nscale</t>
        </is>
      </c>
      <c r="B14" s="1" t="inlineStr">
        <is>
          <t>Sandton term loans (repaid Oct-2025)</t>
        </is>
      </c>
      <c r="C14" s="1" t="inlineStr">
        <is>
          <t>2023</t>
        </is>
      </c>
      <c r="D14" s="1" t="inlineStr">
        <is>
          <t>n/d</t>
        </is>
      </c>
      <c r="E14" s="1" t="inlineStr">
        <is>
          <t>13-15%</t>
        </is>
      </c>
      <c r="F14" s="1" t="n">
        <v>14</v>
      </c>
      <c r="G14" s="16" t="inlineStr">
        <is>
          <t>R</t>
        </is>
      </c>
      <c r="H14" s="1" t="inlineStr">
        <is>
          <t>repaid</t>
        </is>
      </c>
      <c r="I14" s="1" t="inlineStr">
        <is>
          <t>Historical (midpoint)</t>
        </is>
      </c>
      <c r="J14" s="1" t="inlineStr">
        <is>
          <t>Nscale Ltd Form S-1 (filed 2026-09-18; CIK 0002110365). Local copy /workspace/nebius/comps_raw/nscale_s1.htm(.txt)</t>
        </is>
      </c>
      <c r="K14" s="1" t="inlineStr">
        <is>
          <t>https://www.sec.gov/Archives/edgar/data/2110365/000119312526395475/ck0002110365-20260918.htm</t>
        </is>
      </c>
    </row>
    <row r="15">
      <c r="A15" s="1" t="inlineStr">
        <is>
          <t>Lambda</t>
        </is>
      </c>
      <c r="B15" s="1" t="inlineStr">
        <is>
          <t>GPU-backed SPV facility (Macquarie)</t>
        </is>
      </c>
      <c r="C15" s="1" t="inlineStr">
        <is>
          <t>2024-04-02</t>
        </is>
      </c>
      <c r="D15" s="1" t="n">
        <v>500</v>
      </c>
      <c r="E15" s="1" t="inlineStr">
        <is>
          <t>n/d</t>
        </is>
      </c>
      <c r="F15" s="1" t="inlineStr">
        <is>
          <t>n/d</t>
        </is>
      </c>
      <c r="G15" s="16" t="inlineStr">
        <is>
          <t>R</t>
        </is>
      </c>
      <c r="H15" s="1" t="inlineStr">
        <is>
          <t>n/d</t>
        </is>
      </c>
      <c r="I15" s="1" t="inlineStr"/>
      <c r="J15" s="1" t="inlineStr">
        <is>
          <t>Lambda PR (BusinessWire): $500M GPU-backed facility (Macquarie)</t>
        </is>
      </c>
      <c r="K15" s="1" t="inlineStr">
        <is>
          <t>https://www.businesswire.com/news/home/20240402148086/en/Lambda-Announces-%24500M-GPU-Backed-Facility-to-Expand-Cloud-for-AI</t>
        </is>
      </c>
    </row>
    <row r="16">
      <c r="A16" s="1" t="inlineStr">
        <is>
          <t>Lambda</t>
        </is>
      </c>
      <c r="B16" s="1" t="inlineStr">
        <is>
          <t>Credit facility (Aug-2025)</t>
        </is>
      </c>
      <c r="C16" s="1" t="inlineStr">
        <is>
          <t>2025-08</t>
        </is>
      </c>
      <c r="D16" s="1" t="n">
        <v>275</v>
      </c>
      <c r="E16" s="1" t="inlineStr">
        <is>
          <t>n/d</t>
        </is>
      </c>
      <c r="F16" s="1" t="inlineStr">
        <is>
          <t>n/d</t>
        </is>
      </c>
      <c r="G16" s="16" t="inlineStr">
        <is>
          <t>R</t>
        </is>
      </c>
      <c r="H16" s="1" t="inlineStr">
        <is>
          <t>n/d</t>
        </is>
      </c>
      <c r="I16" s="1" t="inlineStr">
        <is>
          <t>Upsized to $1B May-2026</t>
        </is>
      </c>
      <c r="J16" s="1" t="inlineStr">
        <is>
          <t>Lambda PR: closes $1B senior secured credit facility (upsized from $275M Aug-2025)</t>
        </is>
      </c>
      <c r="K16" s="1" t="inlineStr">
        <is>
          <t>https://lambda.ai/blog/lambda-closes-1-billion-senior-secured-credit-facility</t>
        </is>
      </c>
    </row>
    <row r="17">
      <c r="A17" s="1" t="inlineStr">
        <is>
          <t>Lambda</t>
        </is>
      </c>
      <c r="B17" s="1" t="inlineStr">
        <is>
          <t>Senior secured credit facility (JPM, multi-tranche)</t>
        </is>
      </c>
      <c r="C17" s="1" t="inlineStr">
        <is>
          <t>2026-05-07</t>
        </is>
      </c>
      <c r="D17" s="1" t="n">
        <v>1000</v>
      </c>
      <c r="E17" s="1" t="inlineStr">
        <is>
          <t>n/d</t>
        </is>
      </c>
      <c r="F17" s="1" t="inlineStr">
        <is>
          <t>n/d</t>
        </is>
      </c>
      <c r="G17" s="16" t="inlineStr">
        <is>
          <t>R</t>
        </is>
      </c>
      <c r="H17" s="1" t="inlineStr">
        <is>
          <t>n/d</t>
        </is>
      </c>
      <c r="I17" s="1" t="inlineStr"/>
      <c r="J17" s="1" t="inlineStr">
        <is>
          <t>Lambda PR: closes $1B senior secured credit facility (upsized from $275M Aug-2025)</t>
        </is>
      </c>
      <c r="K17" s="1" t="inlineStr">
        <is>
          <t>https://lambda.ai/blog/lambda-closes-1-billion-senior-secured-credit-facility</t>
        </is>
      </c>
    </row>
    <row r="18">
      <c r="A18" s="1" t="inlineStr">
        <is>
          <t>Lambda</t>
        </is>
      </c>
      <c r="B18" s="1" t="inlineStr">
        <is>
          <t>Senior secured Term Loan B (IG offtaker)</t>
        </is>
      </c>
      <c r="C18" s="1" t="inlineStr">
        <is>
          <t>2026-08-27</t>
        </is>
      </c>
      <c r="D18" s="1" t="n">
        <v>926</v>
      </c>
      <c r="E18" s="1" t="inlineStr">
        <is>
          <t>SOFR+3.00%, 99.5 OID; Baa2</t>
        </is>
      </c>
      <c r="F18" s="1" t="n">
        <v>6.99</v>
      </c>
      <c r="G18" s="17" t="inlineStr">
        <is>
          <t>E (spread R)</t>
        </is>
      </c>
      <c r="H18" s="1" t="inlineStr">
        <is>
          <t>2030-12-31</t>
        </is>
      </c>
      <c r="I18" s="1" t="inlineStr">
        <is>
          <t>Fully amortizing; MS lead</t>
        </is>
      </c>
      <c r="J18" s="1" t="inlineStr">
        <is>
          <t>Lambda PR: closes $926M senior secured term loan B (SOFR+3.00%)</t>
        </is>
      </c>
      <c r="K18" s="1" t="inlineStr">
        <is>
          <t>https://lambda.ai/blog/lambda-closes-926-million-senior-secured-term-loan-b-facility</t>
        </is>
      </c>
    </row>
    <row r="19">
      <c r="A19" s="1" t="inlineStr">
        <is>
          <t>Lambda</t>
        </is>
      </c>
      <c r="B19" s="1" t="inlineStr">
        <is>
          <t>Private short-dated debt (JPM, Microsoft-linked GPUs)</t>
        </is>
      </c>
      <c r="C19" s="1" t="inlineStr">
        <is>
          <t>2026-08-28</t>
        </is>
      </c>
      <c r="D19" s="1" t="n">
        <v>1000</v>
      </c>
      <c r="E19" s="1" t="inlineStr">
        <is>
          <t>n/d</t>
        </is>
      </c>
      <c r="F19" s="1" t="inlineStr">
        <is>
          <t>n/d</t>
        </is>
      </c>
      <c r="G19" s="18" t="inlineStr">
        <is>
          <t>P</t>
        </is>
      </c>
      <c r="H19" s="1" t="inlineStr">
        <is>
          <t>short-dated</t>
        </is>
      </c>
      <c r="I19" s="1" t="inlineStr">
        <is>
          <t>May overlap Oct-1 DDTL - not summed</t>
        </is>
      </c>
      <c r="J19" s="1" t="inlineStr">
        <is>
          <t>Bloomberg: Lambda raises ~$1B private short-dated debt (JPMorgan) for GPUs leased to Microsoft</t>
        </is>
      </c>
      <c r="K19" s="1" t="inlineStr">
        <is>
          <t>https://www.bloomberg.com/news/articles/2026-08-28/nvidia-backed-lambda-inks-1-billion-private-debt-for-chip-deal</t>
        </is>
      </c>
    </row>
    <row r="20">
      <c r="A20" s="1" t="inlineStr">
        <is>
          <t>Lambda</t>
        </is>
      </c>
      <c r="B20" s="1" t="inlineStr">
        <is>
          <t>IG fixed-rate DDTL (2 IG offtakers)</t>
        </is>
      </c>
      <c r="C20" s="1" t="inlineStr">
        <is>
          <t>2026-10-01</t>
        </is>
      </c>
      <c r="D20" s="1" t="n">
        <v>1008</v>
      </c>
      <c r="E20" s="1" t="inlineStr">
        <is>
          <t>6.78% fixed, semi-annual; A(low)/Baa1</t>
        </is>
      </c>
      <c r="F20" s="1" t="n">
        <v>6.78</v>
      </c>
      <c r="G20" s="16" t="inlineStr">
        <is>
          <t>R</t>
        </is>
      </c>
      <c r="H20" s="1" t="inlineStr">
        <is>
          <t>2033-05-30</t>
        </is>
      </c>
      <c r="I20" s="1" t="inlineStr">
        <is>
          <t>Fully amortizing; JPM</t>
        </is>
      </c>
      <c r="J20" s="1" t="inlineStr">
        <is>
          <t>Lambda PR: closes $1.008B investment-grade fixed-rate DDTL (6.78%)</t>
        </is>
      </c>
      <c r="K20" s="1" t="inlineStr">
        <is>
          <t>https://lambda.ai/blog/lambda-closes-1-billion-senior-secured-fixed-rate-financing</t>
        </is>
      </c>
    </row>
    <row r="21">
      <c r="A21" s="1" t="inlineStr">
        <is>
          <t>Crusoe</t>
        </is>
      </c>
      <c r="B21" s="1" t="inlineStr">
        <is>
          <t>Upper90 credit facility</t>
        </is>
      </c>
      <c r="C21" s="1" t="inlineStr">
        <is>
          <t>n/d</t>
        </is>
      </c>
      <c r="D21" s="1" t="n">
        <v>225</v>
      </c>
      <c r="E21" s="1" t="inlineStr">
        <is>
          <t>n/d</t>
        </is>
      </c>
      <c r="F21" s="1" t="inlineStr">
        <is>
          <t>n/d</t>
        </is>
      </c>
      <c r="G21" s="17" t="inlineStr">
        <is>
          <t>E</t>
        </is>
      </c>
      <c r="H21" s="1" t="inlineStr">
        <is>
          <t>n/d</t>
        </is>
      </c>
      <c r="I21" s="1" t="inlineStr">
        <is>
          <t>Per Sacra</t>
        </is>
      </c>
      <c r="J21" s="1" t="inlineStr">
        <is>
          <t>Sacra (third-party research) Crusoe profile: 2024 revenue ~$276M estimate; Upper90 $225M and Victory Park $175M facilities</t>
        </is>
      </c>
      <c r="K21" s="1" t="inlineStr">
        <is>
          <t>https://sacra.com/c/crusoe/</t>
        </is>
      </c>
    </row>
    <row r="22">
      <c r="A22" s="1" t="inlineStr">
        <is>
          <t>Crusoe</t>
        </is>
      </c>
      <c r="B22" s="1" t="inlineStr">
        <is>
          <t>Victory Park Capital facility</t>
        </is>
      </c>
      <c r="C22" s="1" t="inlineStr">
        <is>
          <t>n/d</t>
        </is>
      </c>
      <c r="D22" s="1" t="n">
        <v>175</v>
      </c>
      <c r="E22" s="1" t="inlineStr">
        <is>
          <t>n/d</t>
        </is>
      </c>
      <c r="F22" s="1" t="inlineStr">
        <is>
          <t>n/d</t>
        </is>
      </c>
      <c r="G22" s="17" t="inlineStr">
        <is>
          <t>E</t>
        </is>
      </c>
      <c r="H22" s="1" t="inlineStr">
        <is>
          <t>n/d</t>
        </is>
      </c>
      <c r="I22" s="1" t="inlineStr">
        <is>
          <t>Per Sacra</t>
        </is>
      </c>
      <c r="J22" s="1" t="inlineStr">
        <is>
          <t>Sacra (third-party research) Crusoe profile: 2024 revenue ~$276M estimate; Upper90 $225M and Victory Park $175M facilities</t>
        </is>
      </c>
      <c r="K22" s="1" t="inlineStr">
        <is>
          <t>https://sacra.com/c/crusoe/</t>
        </is>
      </c>
    </row>
    <row r="23">
      <c r="A23" s="1" t="inlineStr">
        <is>
          <t>Crusoe</t>
        </is>
      </c>
      <c r="B23" s="1" t="inlineStr">
        <is>
          <t>Brookfield credit facility</t>
        </is>
      </c>
      <c r="C23" s="1" t="inlineStr">
        <is>
          <t>2025-06-11</t>
        </is>
      </c>
      <c r="D23" s="1" t="n">
        <v>750</v>
      </c>
      <c r="E23" s="1" t="inlineStr">
        <is>
          <t>n/d</t>
        </is>
      </c>
      <c r="F23" s="1" t="inlineStr">
        <is>
          <t>n/d</t>
        </is>
      </c>
      <c r="G23" s="16" t="inlineStr">
        <is>
          <t>R</t>
        </is>
      </c>
      <c r="H23" s="1" t="inlineStr">
        <is>
          <t>n/d</t>
        </is>
      </c>
      <c r="I23" s="1" t="inlineStr"/>
      <c r="J23" s="1" t="inlineStr">
        <is>
          <t>Crusoe PR: $750M credit facility from Brookfield</t>
        </is>
      </c>
      <c r="K23" s="1" t="inlineStr">
        <is>
          <t>https://www.crusoe.ai/resources/newsroom/crusoe-secures-usd750-million-credit-facility-from-brookfield-to-accelerate</t>
        </is>
      </c>
    </row>
    <row r="24">
      <c r="A24" s="1" t="inlineStr">
        <is>
          <t>Crusoe</t>
        </is>
      </c>
      <c r="B24" s="1" t="inlineStr">
        <is>
          <t>Abilene phase-1 construction loan (JV)</t>
        </is>
      </c>
      <c r="C24" s="1" t="inlineStr">
        <is>
          <t>2024</t>
        </is>
      </c>
      <c r="D24" s="1" t="n">
        <v>2300</v>
      </c>
      <c r="E24" s="1" t="inlineStr">
        <is>
          <t>n/d</t>
        </is>
      </c>
      <c r="F24" s="1" t="inlineStr">
        <is>
          <t>n/d</t>
        </is>
      </c>
      <c r="G24" s="16" t="inlineStr">
        <is>
          <t>R</t>
        </is>
      </c>
      <c r="H24" s="1" t="inlineStr">
        <is>
          <t>n/d</t>
        </is>
      </c>
      <c r="I24" s="1" t="inlineStr">
        <is>
          <t>206 MW; JV-level</t>
        </is>
      </c>
      <c r="J24" s="1" t="inlineStr">
        <is>
          <t>Newmark PR: arranges $2.3B construction financing for 206MW build-to-suit data center (Abilene phase 1)</t>
        </is>
      </c>
      <c r="K24" s="1" t="inlineStr">
        <is>
          <t>https://www.nmrk.com/insights/press-releases/newmark-arranges-2-3-billion-construction-financing-for-206-mw-build-to-suit-data-center</t>
        </is>
      </c>
    </row>
    <row r="25">
      <c r="A25" s="1" t="inlineStr">
        <is>
          <t>Crusoe</t>
        </is>
      </c>
      <c r="B25" s="1" t="inlineStr">
        <is>
          <t>Abilene phase-2 loan (JV; JPM)</t>
        </is>
      </c>
      <c r="C25" s="1" t="inlineStr">
        <is>
          <t>2025-05-22</t>
        </is>
      </c>
      <c r="D25" s="1" t="n">
        <v>7100</v>
      </c>
      <c r="E25" s="1" t="inlineStr">
        <is>
          <t>n/d</t>
        </is>
      </c>
      <c r="F25" s="1" t="inlineStr">
        <is>
          <t>n/d</t>
        </is>
      </c>
      <c r="G25" s="18" t="inlineStr">
        <is>
          <t>P</t>
        </is>
      </c>
      <c r="H25" s="1" t="inlineStr">
        <is>
          <t>n/d</t>
        </is>
      </c>
      <c r="I25" s="1" t="inlineStr">
        <is>
          <t>JV-level</t>
        </is>
      </c>
      <c r="J25" s="1" t="inlineStr">
        <is>
          <t>Bloomberg: JPMorgan leads $7.1B loan for Blue Owl-tied (Abilene phase 2) data center</t>
        </is>
      </c>
      <c r="K25" s="1" t="inlineStr">
        <is>
          <t>https://www.bloomberg.com/news/articles/2025-05-22/jpmorgan-leads-7-1-billion-loan-for-blue-owl-tied-data-center</t>
        </is>
      </c>
    </row>
    <row r="26">
      <c r="A26" s="1" t="inlineStr">
        <is>
          <t>Crusoe</t>
        </is>
      </c>
      <c r="B26" s="1" t="inlineStr">
        <is>
          <t>Goldman GPU loan, AMD backstop (Ohio)</t>
        </is>
      </c>
      <c r="C26" s="1" t="inlineStr">
        <is>
          <t>2026-02-20</t>
        </is>
      </c>
      <c r="D26" s="1" t="n">
        <v>300</v>
      </c>
      <c r="E26" s="1" t="inlineStr">
        <is>
          <t>~6%</t>
        </is>
      </c>
      <c r="F26" s="1" t="n">
        <v>6</v>
      </c>
      <c r="G26" s="18" t="inlineStr">
        <is>
          <t>P</t>
        </is>
      </c>
      <c r="H26" s="1" t="inlineStr">
        <is>
          <t>n/d</t>
        </is>
      </c>
      <c r="I26" s="1" t="inlineStr"/>
      <c r="J26" s="1" t="inlineStr">
        <is>
          <t>DCD citing The Information: Goldman $300M loan for AMD chips (Springfield OH), AMD rent-back backstop, ~6% rate</t>
        </is>
      </c>
      <c r="K26" s="1" t="inlineStr">
        <is>
          <t>https://www.datacenterdynamics.com/en/news/amd-underwrites-300m-crusoe-loan-so-data-center-firm-can-buy-its-ai-chips-report/</t>
        </is>
      </c>
    </row>
    <row r="27">
      <c r="A27" s="1" t="inlineStr">
        <is>
          <t>Crusoe</t>
        </is>
      </c>
      <c r="B27" s="1" t="inlineStr">
        <is>
          <t>Iceland GPU DDTL (IS AN03 LLC)</t>
        </is>
      </c>
      <c r="C27" s="1" t="inlineStr">
        <is>
          <t>2026-09-10</t>
        </is>
      </c>
      <c r="D27" s="1" t="n">
        <v>509</v>
      </c>
      <c r="E27" s="1" t="inlineStr">
        <is>
          <t>Price talk SOFR+475-500, 0% floor, 98.5 OID</t>
        </is>
      </c>
      <c r="F27" s="1" t="n">
        <v>9.1</v>
      </c>
      <c r="G27" s="17" t="inlineStr">
        <is>
          <t>E (talk P)</t>
        </is>
      </c>
      <c r="H27" s="1" t="inlineStr">
        <is>
          <t>2030-11</t>
        </is>
      </c>
      <c r="I27" s="1" t="inlineStr">
        <is>
          <t>&lt;=75% LTC, 1.30x DSCR; GS; final n/d</t>
        </is>
      </c>
      <c r="J27" s="1" t="inlineStr">
        <is>
          <t>Octus: Crusoe launches ~$509M senior secured GPU DDTL (borrower IS AN03 LLC / Crusoe Iceland III), price talk S+475-500, 98.5 OID, Nov-2030</t>
        </is>
      </c>
      <c r="K27" s="1" t="inlineStr">
        <is>
          <t>https://octus.com/resources/articles/primary-crusoe-launches-509m-senior-secured-ddtl-due-november-2030-to-finance-gpu-capital-expenditures/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8"/>
  <sheetViews>
    <sheetView workbookViewId="0">
      <selection activeCell="A1" sqref="A1"/>
    </sheetView>
  </sheetViews>
  <sheetFormatPr baseColWidth="8" defaultRowHeight="15"/>
  <cols>
    <col width="10" customWidth="1" min="1" max="1"/>
    <col width="110" customWidth="1" min="2" max="2"/>
    <col width="14" customWidth="1" min="3" max="3"/>
    <col width="100" customWidth="1" min="4" max="4"/>
    <col width="24" customWidth="1" min="5" max="5"/>
  </cols>
  <sheetData>
    <row r="1">
      <c r="A1" s="3" t="inlineStr">
        <is>
          <t>Key</t>
        </is>
      </c>
      <c r="B1" s="3" t="inlineStr">
        <is>
          <t>Document</t>
        </is>
      </c>
      <c r="C1" s="3" t="inlineStr">
        <is>
          <t>Publication date</t>
        </is>
      </c>
      <c r="D1" s="3" t="inlineStr">
        <is>
          <t>URL</t>
        </is>
      </c>
      <c r="E1" s="3" t="inlineStr">
        <is>
          <t>Class</t>
        </is>
      </c>
    </row>
    <row r="2">
      <c r="A2" s="1" t="inlineStr">
        <is>
          <t>NS-S1</t>
        </is>
      </c>
      <c r="B2" s="1" t="inlineStr">
        <is>
          <t>Nscale Ltd Form S-1 (filed 2026-09-18; CIK 0002110365). Local copy /workspace/nebius/comps_raw/nscale_s1.htm(.txt)</t>
        </is>
      </c>
      <c r="C2" s="1" t="inlineStr">
        <is>
          <t>2026-09-18</t>
        </is>
      </c>
      <c r="D2" s="1" t="inlineStr">
        <is>
          <t>https://www.sec.gov/Archives/edgar/data/2110365/000119312526395475/ck0002110365-20260918.htm</t>
        </is>
      </c>
      <c r="E2" s="1" t="inlineStr">
        <is>
          <t>Reported (filing/company)</t>
        </is>
      </c>
    </row>
    <row r="3">
      <c r="A3" s="1" t="inlineStr">
        <is>
          <t>NS-EDGAR</t>
        </is>
      </c>
      <c r="B3" s="1" t="inlineStr">
        <is>
          <t>EDGAR filing index, Nscale Ltd (DRS 2026-02-17, DRS/A x3, S-1 2026-09-18; no S-1/A as of 2026-10-04)</t>
        </is>
      </c>
      <c r="C3" s="1" t="inlineStr">
        <is>
          <t>2026-10-04</t>
        </is>
      </c>
      <c r="D3" s="1" t="inlineStr">
        <is>
          <t>https://www.sec.gov/cgi-bin/browse-edgar?action=getcompany&amp;CIK=0002110365</t>
        </is>
      </c>
      <c r="E3" s="1" t="inlineStr">
        <is>
          <t>Reported (filing/company)</t>
        </is>
      </c>
    </row>
    <row r="4">
      <c r="A4" s="1" t="inlineStr">
        <is>
          <t>NS-IPO</t>
        </is>
      </c>
      <c r="B4" s="1" t="inlineStr">
        <is>
          <t>Nscale PR: files registration statement for proposed IPO (NYSE: NSCL)</t>
        </is>
      </c>
      <c r="C4" s="1" t="inlineStr">
        <is>
          <t>2026-09-18</t>
        </is>
      </c>
      <c r="D4" s="1" t="inlineStr">
        <is>
          <t>https://www.nscale.com/press-releases/nscale-files-initial-public-offering</t>
        </is>
      </c>
      <c r="E4" s="1" t="inlineStr">
        <is>
          <t>Reported (filing/company)</t>
        </is>
      </c>
    </row>
    <row r="5">
      <c r="A5" s="1" t="inlineStr">
        <is>
          <t>NS-C</t>
        </is>
      </c>
      <c r="B5" s="1" t="inlineStr">
        <is>
          <t>Nscale PR: $2B Series C at $14.6B valuation</t>
        </is>
      </c>
      <c r="C5" s="1" t="inlineStr">
        <is>
          <t>2026-03-09</t>
        </is>
      </c>
      <c r="D5" s="1" t="inlineStr">
        <is>
          <t>https://www.nscale.tech/press-releases/nscale-series-c</t>
        </is>
      </c>
      <c r="E5" s="1" t="inlineStr">
        <is>
          <t>Reported (filing/company)</t>
        </is>
      </c>
    </row>
    <row r="6">
      <c r="A6" s="1" t="inlineStr">
        <is>
          <t>NS-CV</t>
        </is>
      </c>
      <c r="B6" s="1" t="inlineStr">
        <is>
          <t>Nscale PR (PRNewswire): $3.36B pre-IPO convertible loan notes</t>
        </is>
      </c>
      <c r="C6" s="1" t="inlineStr">
        <is>
          <t>2026-09-25</t>
        </is>
      </c>
      <c r="D6" s="1" t="inlineStr">
        <is>
          <t>https://www.prnewswire.com/news-releases/nscale-raises-3-36b-in-pre-ipo-convertible-financing-302890199.html</t>
        </is>
      </c>
      <c r="E6" s="1" t="inlineStr">
        <is>
          <t>Reported (filing/company)</t>
        </is>
      </c>
    </row>
    <row r="7">
      <c r="A7" s="1" t="inlineStr">
        <is>
          <t>NS-FT</t>
        </is>
      </c>
      <c r="B7" s="1" t="inlineStr">
        <is>
          <t>Deep Quarry (Substack) citing FT: S-1 aims at valuation 'as high as $35B'</t>
        </is>
      </c>
      <c r="C7" s="1" t="inlineStr">
        <is>
          <t>2026-09</t>
        </is>
      </c>
      <c r="D7" s="1" t="inlineStr">
        <is>
          <t>https://deepquarry.substack.com/p/what-changed-between-nscales-confidential</t>
        </is>
      </c>
      <c r="E7" s="1" t="inlineStr">
        <is>
          <t>Press (secondhand)</t>
        </is>
      </c>
    </row>
    <row r="8">
      <c r="A8" s="1" t="inlineStr">
        <is>
          <t>LM-EDGAR</t>
        </is>
      </c>
      <c r="B8" s="1" t="inlineStr">
        <is>
          <t>EDGAR: Lambda, Inc./DE (CIK 0001954966) has only Form D filings (2022-11-17, 2024-02-16); EDGAR full-text search finds no S-1/S-1/A/DRS by Lambda</t>
        </is>
      </c>
      <c r="C8" s="1" t="inlineStr">
        <is>
          <t>2026-10-04</t>
        </is>
      </c>
      <c r="D8" s="1" t="inlineStr">
        <is>
          <t>https://www.sec.gov/cgi-bin/browse-edgar?action=getcompany&amp;CIK=0001954966</t>
        </is>
      </c>
      <c r="E8" s="1" t="inlineStr">
        <is>
          <t>Reported (filing/company)</t>
        </is>
      </c>
    </row>
    <row r="9">
      <c r="A9" s="1" t="inlineStr">
        <is>
          <t>LM-FD24</t>
        </is>
      </c>
      <c r="B9" s="1" t="inlineStr">
        <is>
          <t>Lambda, Inc. Form D (filed 2024-02-16; first sale 2023-10-05)</t>
        </is>
      </c>
      <c r="C9" s="1" t="inlineStr">
        <is>
          <t>2024-02-16</t>
        </is>
      </c>
      <c r="D9" s="1" t="inlineStr">
        <is>
          <t>https://www.sec.gov/Archives/edgar/data/1954966/000195496624000001/primary_doc.xml</t>
        </is>
      </c>
      <c r="E9" s="1" t="inlineStr">
        <is>
          <t>Reported (filing/company)</t>
        </is>
      </c>
    </row>
    <row r="10">
      <c r="A10" s="1" t="inlineStr">
        <is>
          <t>LM-IG</t>
        </is>
      </c>
      <c r="B10" s="1" t="inlineStr">
        <is>
          <t>Lambda PR: closes $1.008B investment-grade fixed-rate DDTL (6.78%)</t>
        </is>
      </c>
      <c r="C10" s="1" t="inlineStr">
        <is>
          <t>2026-10-01</t>
        </is>
      </c>
      <c r="D10" s="1" t="inlineStr">
        <is>
          <t>https://lambda.ai/blog/lambda-closes-1-billion-senior-secured-fixed-rate-financing</t>
        </is>
      </c>
      <c r="E10" s="1" t="inlineStr">
        <is>
          <t>Reported (filing/company)</t>
        </is>
      </c>
    </row>
    <row r="11">
      <c r="A11" s="1" t="inlineStr">
        <is>
          <t>LM-TLB</t>
        </is>
      </c>
      <c r="B11" s="1" t="inlineStr">
        <is>
          <t>Lambda PR: closes $926M senior secured term loan B (SOFR+3.00%)</t>
        </is>
      </c>
      <c r="C11" s="1" t="inlineStr">
        <is>
          <t>2026-08-27</t>
        </is>
      </c>
      <c r="D11" s="1" t="inlineStr">
        <is>
          <t>https://lambda.ai/blog/lambda-closes-926-million-senior-secured-term-loan-b-facility</t>
        </is>
      </c>
      <c r="E11" s="1" t="inlineStr">
        <is>
          <t>Reported (filing/company)</t>
        </is>
      </c>
    </row>
    <row r="12">
      <c r="A12" s="1" t="inlineStr">
        <is>
          <t>LM-CF</t>
        </is>
      </c>
      <c r="B12" s="1" t="inlineStr">
        <is>
          <t>Lambda PR: closes $1B senior secured credit facility (upsized from $275M Aug-2025)</t>
        </is>
      </c>
      <c r="C12" s="1" t="inlineStr">
        <is>
          <t>2026-05-07</t>
        </is>
      </c>
      <c r="D12" s="1" t="inlineStr">
        <is>
          <t>https://lambda.ai/blog/lambda-closes-1-billion-senior-secured-credit-facility</t>
        </is>
      </c>
      <c r="E12" s="1" t="inlineStr">
        <is>
          <t>Reported (filing/company)</t>
        </is>
      </c>
    </row>
    <row r="13">
      <c r="A13" s="1" t="inlineStr">
        <is>
          <t>LM-500</t>
        </is>
      </c>
      <c r="B13" s="1" t="inlineStr">
        <is>
          <t>Lambda PR (BusinessWire): $500M GPU-backed facility (Macquarie)</t>
        </is>
      </c>
      <c r="C13" s="1" t="inlineStr">
        <is>
          <t>2024-04-02</t>
        </is>
      </c>
      <c r="D13" s="1" t="inlineStr">
        <is>
          <t>https://www.businesswire.com/news/home/20240402148086/en/Lambda-Announces-%24500M-GPU-Backed-Facility-to-Expand-Cloud-for-AI</t>
        </is>
      </c>
      <c r="E13" s="1" t="inlineStr">
        <is>
          <t>Reported (filing/company)</t>
        </is>
      </c>
    </row>
    <row r="14">
      <c r="A14" s="1" t="inlineStr">
        <is>
          <t>LM-E</t>
        </is>
      </c>
      <c r="B14" s="1" t="inlineStr">
        <is>
          <t>Lambda PR: raises over $1.5B Series E led by TWG Global</t>
        </is>
      </c>
      <c r="C14" s="1" t="inlineStr">
        <is>
          <t>2025-11-18</t>
        </is>
      </c>
      <c r="D14" s="1" t="inlineStr">
        <is>
          <t>https://lambda.ai/blog/lambda-raises-over-1.5b-from-twg-global-usit-to-build-superintelligence-cloud-infrastructure</t>
        </is>
      </c>
      <c r="E14" s="1" t="inlineStr">
        <is>
          <t>Reported (filing/company)</t>
        </is>
      </c>
    </row>
    <row r="15">
      <c r="A15" s="1" t="inlineStr">
        <is>
          <t>LM-MSFT</t>
        </is>
      </c>
      <c r="B15" s="1" t="inlineStr">
        <is>
          <t>Lambda PR: multibillion-dollar agreement with Microsoft (tens of thousands of NVIDIA GPUs incl. GB300 NVL72)</t>
        </is>
      </c>
      <c r="C15" s="1" t="inlineStr">
        <is>
          <t>2025-11-03</t>
        </is>
      </c>
      <c r="D15" s="1" t="inlineStr">
        <is>
          <t>https://lambda.ai/blog/lambda-announces-multibillion-dollar-agreement-with-microsoft-to-deploy-ai-infrastructure-powered-by-tens-of-thousands-of-nvidia-gpus</t>
        </is>
      </c>
      <c r="E15" s="1" t="inlineStr">
        <is>
          <t>Reported (filing/company)</t>
        </is>
      </c>
    </row>
    <row r="16">
      <c r="A16" s="1" t="inlineStr">
        <is>
          <t>LM-KC</t>
        </is>
      </c>
      <c r="B16" s="1" t="inlineStr">
        <is>
          <t>Lambda PR: Kansas City AI factory (24MW initial, &gt;100MW potential, &gt;10,000 Blackwell Ultra GPUs)</t>
        </is>
      </c>
      <c r="C16" s="1" t="inlineStr">
        <is>
          <t>2025-10-28</t>
        </is>
      </c>
      <c r="D16" s="1" t="inlineStr">
        <is>
          <t>https://lambda.ai/blog/lambda-to-build-a-100mw-ai-factory-in-kansas-city-mo</t>
        </is>
      </c>
      <c r="E16" s="1" t="inlineStr">
        <is>
          <t>Reported (filing/company)</t>
        </is>
      </c>
    </row>
    <row r="17">
      <c r="A17" s="1" t="inlineStr">
        <is>
          <t>LM-GTC</t>
        </is>
      </c>
      <c r="B17" s="1" t="inlineStr">
        <is>
          <t>Lambda blog at GTC 2026 (AI factory with 10,000+ GB300 GPUs in production)</t>
        </is>
      </c>
      <c r="C17" s="1" t="inlineStr">
        <is>
          <t>2026-03-16</t>
        </is>
      </c>
      <c r="D17" s="1" t="inlineStr">
        <is>
          <t>https://lambda.ai/blog/lambda-at-gtc-2026-building-the-superintelligence-cloud</t>
        </is>
      </c>
      <c r="E17" s="1" t="inlineStr">
        <is>
          <t>Reported (filing/company)</t>
        </is>
      </c>
    </row>
    <row r="18">
      <c r="A18" s="1" t="inlineStr">
        <is>
          <t>LM-TI1</t>
        </is>
      </c>
      <c r="B18" s="1" t="inlineStr">
        <is>
          <t>DCD citing The Information (documents viewed): Q2'25 revenue ~$140M, H1'25 &gt;$250M, GM 50%/61%, H1 net loss ~$24M</t>
        </is>
      </c>
      <c r="C18" s="1" t="inlineStr">
        <is>
          <t>2025-09-04</t>
        </is>
      </c>
      <c r="D18" s="1" t="inlineStr">
        <is>
          <t>https://www.datacenterdynamics.com/en/news/ai-cloud-lambda-hires-investment-banks-in-preparation-for-ipo-report/</t>
        </is>
      </c>
      <c r="E18" s="1" t="inlineStr">
        <is>
          <t>Press (secondhand)</t>
        </is>
      </c>
    </row>
    <row r="19">
      <c r="A19" s="1" t="inlineStr">
        <is>
          <t>LM-TI2</t>
        </is>
      </c>
      <c r="B19" s="1" t="inlineStr">
        <is>
          <t>Deep News / Tiger Brokers relaying The Information: Q2'25 cloud revenue ~$114M, 47MW in Q2'25, ~3GW 2030 target, Amazon+Microsoft ~half of cloud revenue</t>
        </is>
      </c>
      <c r="C19" s="1" t="inlineStr">
        <is>
          <t>2025-09-05</t>
        </is>
      </c>
      <c r="D19" s="1" t="inlineStr">
        <is>
          <t>https://www.itiger.com/news/1116660571</t>
        </is>
      </c>
      <c r="E19" s="1" t="inlineStr">
        <is>
          <t>Press (secondhand)</t>
        </is>
      </c>
    </row>
    <row r="20">
      <c r="A20" s="1" t="inlineStr">
        <is>
          <t>LM-NV</t>
        </is>
      </c>
      <c r="B20" s="1" t="inlineStr">
        <is>
          <t>DCD citing The Information: NVIDIA $1.5B / ~18,000-GPU 4-year leaseback; NVIDIA largest customer</t>
        </is>
      </c>
      <c r="C20" s="1" t="inlineStr">
        <is>
          <t>2025-09-08</t>
        </is>
      </c>
      <c r="D20" s="1" t="inlineStr">
        <is>
          <t>https://www.datacenterdynamics.com/en/news/nvidia-signs-15bn-deal-to-lease-its-gpus-back-from-lambda-report/</t>
        </is>
      </c>
      <c r="E20" s="1" t="inlineStr">
        <is>
          <t>Press (secondhand)</t>
        </is>
      </c>
    </row>
    <row r="21">
      <c r="A21" s="1" t="inlineStr">
        <is>
          <t>LM-TM</t>
        </is>
      </c>
      <c r="B21" s="1" t="inlineStr">
        <is>
          <t>Technology Magazine interview: CEO 'well over 25,000 GPUs on our cloud platform'; Series D $480M at $2.5B</t>
        </is>
      </c>
      <c r="C21" s="1" t="inlineStr">
        <is>
          <t>2025-02-24</t>
        </is>
      </c>
      <c r="D21" s="1" t="inlineStr">
        <is>
          <t>https://technologymagazine.com/articles/why-lambda-secured-funding-and-investment-from-nvidia</t>
        </is>
      </c>
      <c r="E21" s="1" t="inlineStr">
        <is>
          <t>Reported (filing/company)</t>
        </is>
      </c>
    </row>
    <row r="22">
      <c r="A22" s="1" t="inlineStr">
        <is>
          <t>LM-BBG1</t>
        </is>
      </c>
      <c r="B22" s="1" t="inlineStr">
        <is>
          <t>Bloomberg: Lambda in talks for up to $3B pre-IPO round at $12B+; expected 2026 revenue &gt;$1.5B</t>
        </is>
      </c>
      <c r="C22" s="1" t="inlineStr">
        <is>
          <t>2026-08-24</t>
        </is>
      </c>
      <c r="D22" s="1" t="inlineStr">
        <is>
          <t>https://www.bloomberg.com/news/articles/2026-08-24/ai-cloud-provider-lambda-in-talks-for-3-billion-pre-ipo-round</t>
        </is>
      </c>
      <c r="E22" s="1" t="inlineStr">
        <is>
          <t>Press (secondhand)</t>
        </is>
      </c>
    </row>
    <row r="23">
      <c r="A23" s="1" t="inlineStr">
        <is>
          <t>LM-BBG2</t>
        </is>
      </c>
      <c r="B23" s="1" t="inlineStr">
        <is>
          <t>Bloomberg: Lambda raises ~$1B private short-dated debt (JPMorgan) for GPUs leased to Microsoft</t>
        </is>
      </c>
      <c r="C23" s="1" t="inlineStr">
        <is>
          <t>2026-08-28</t>
        </is>
      </c>
      <c r="D23" s="1" t="inlineStr">
        <is>
          <t>https://www.bloomberg.com/news/articles/2026-08-28/nvidia-backed-lambda-inks-1-billion-private-debt-for-chip-deal</t>
        </is>
      </c>
      <c r="E23" s="1" t="inlineStr">
        <is>
          <t>Press (secondhand)</t>
        </is>
      </c>
    </row>
    <row r="24">
      <c r="A24" s="1" t="inlineStr">
        <is>
          <t>LM-TC</t>
        </is>
      </c>
      <c r="B24" s="1" t="inlineStr">
        <is>
          <t>TechCrunch: Series E at $5.43B post-money (PitchBook)</t>
        </is>
      </c>
      <c r="C24" s="1" t="inlineStr">
        <is>
          <t>2026-08-28</t>
        </is>
      </c>
      <c r="D24" s="1" t="inlineStr">
        <is>
          <t>https://techcrunch.com/2026/08/28/neocloud-lambda-secures-1b-in-debt-to-buy-more-chips/</t>
        </is>
      </c>
      <c r="E24" s="1" t="inlineStr">
        <is>
          <t>Press (secondhand)</t>
        </is>
      </c>
    </row>
    <row r="25">
      <c r="A25" s="1" t="inlineStr">
        <is>
          <t>LM-ANTH</t>
        </is>
      </c>
      <c r="B25" s="1" t="inlineStr">
        <is>
          <t>TheEnergyMag citing WSJ: Anthropic $35B, six-year, ~350MW at Hut 8 Beacon Point (Nueces County TX), NVIDIA holds lease</t>
        </is>
      </c>
      <c r="C25" s="1" t="inlineStr">
        <is>
          <t>2026-09-01</t>
        </is>
      </c>
      <c r="D25" s="1" t="inlineStr">
        <is>
          <t>https://www.theenergymag.com/news/market-news/anthropic-lambda-nvidia-hut-ai-texas-beacon-point</t>
        </is>
      </c>
      <c r="E25" s="1" t="inlineStr">
        <is>
          <t>Press (secondhand)</t>
        </is>
      </c>
    </row>
    <row r="26">
      <c r="A26" s="1" t="inlineStr">
        <is>
          <t>LM-ANTH2</t>
        </is>
      </c>
      <c r="B26" s="1" t="inlineStr">
        <is>
          <t>Proactive Investors citing WSJ: Anthropic-Lambda $35B deal</t>
        </is>
      </c>
      <c r="C26" s="1" t="inlineStr">
        <is>
          <t>2026-09-01</t>
        </is>
      </c>
      <c r="D26" s="1" t="inlineStr">
        <is>
          <t>https://www.proactiveinvestors.com/companies/news/1097930</t>
        </is>
      </c>
      <c r="E26" s="1" t="inlineStr">
        <is>
          <t>Press (secondhand)</t>
        </is>
      </c>
    </row>
    <row r="27">
      <c r="A27" s="1" t="inlineStr">
        <is>
          <t>LM-WSJ4B</t>
        </is>
      </c>
      <c r="B27" s="1" t="inlineStr">
        <is>
          <t>TechCrunch citing WSJ (2026-10-06): Lambda raising up to $4B at $14.5B pre-money (Blackstone + Coatue lead), likely last private round before a planned 2027 IPO; investor letter shows backlog $15B (Jun-26) -&gt; $50B (Sep-26), much of it the ~$35B Anthropic deal</t>
        </is>
      </c>
      <c r="C27" s="1" t="inlineStr">
        <is>
          <t>2026-10-06</t>
        </is>
      </c>
      <c r="D27" s="1" t="inlineStr">
        <is>
          <t>https://techcrunch.com/2026/10/06/ai-computing-startup-lambda-to-raise-4b-ahead-of-planned-ipo/</t>
        </is>
      </c>
      <c r="E27" s="1" t="inlineStr">
        <is>
          <t>Press (secondhand)</t>
        </is>
      </c>
    </row>
    <row r="28">
      <c r="A28" s="1" t="inlineStr">
        <is>
          <t>LM-350</t>
        </is>
      </c>
      <c r="B28" s="1" t="inlineStr">
        <is>
          <t>DCD citing The Information: Lambda in talks to raise $350M pre-IPO (Mubadala); 15 US data centers per Lambda website</t>
        </is>
      </c>
      <c r="C28" s="1" t="inlineStr">
        <is>
          <t>2026-01-09</t>
        </is>
      </c>
      <c r="D28" s="1" t="inlineStr">
        <is>
          <t>https://www.datacenterdynamics.com/en/news/lambda-in-talks-to-raise-350m-in-pre-ipo-funding-report/</t>
        </is>
      </c>
      <c r="E28" s="1" t="inlineStr">
        <is>
          <t>Press (secondhand)</t>
        </is>
      </c>
    </row>
    <row r="29">
      <c r="A29" s="1" t="inlineStr">
        <is>
          <t>LM-SACRA</t>
        </is>
      </c>
      <c r="B29" s="1" t="inlineStr">
        <is>
          <t>Sacra (third-party research) Lambda profile: ~$760M ARR Dec-2025, ~$425M 2024 revenue, Series E $5.9B post, site list (LAX01 21MW, EdgeConneX &gt;30MW)</t>
        </is>
      </c>
      <c r="C29" s="1" t="inlineStr">
        <is>
          <t>2026-09</t>
        </is>
      </c>
      <c r="D29" s="1" t="inlineStr">
        <is>
          <t>https://sacra.com/c/lambda-labs/</t>
        </is>
      </c>
      <c r="E29" s="1" t="inlineStr">
        <is>
          <t>Third-party estimate</t>
        </is>
      </c>
    </row>
    <row r="30">
      <c r="A30" s="1" t="inlineStr">
        <is>
          <t>CR-F</t>
        </is>
      </c>
      <c r="B30" s="1" t="inlineStr">
        <is>
          <t>Crusoe PR: $3.9B Series F at $30.9B post-money; $140B+ TCV; 6GW+ gross contracted; ~1GW gross delivered &amp; operational</t>
        </is>
      </c>
      <c r="C30" s="1" t="inlineStr">
        <is>
          <t>2026-09-17</t>
        </is>
      </c>
      <c r="D30" s="1" t="inlineStr">
        <is>
          <t>https://www.crusoe.ai/resources/newsroom/crusoe-announces-series-f-funding</t>
        </is>
      </c>
      <c r="E30" s="1" t="inlineStr">
        <is>
          <t>Reported (filing/company)</t>
        </is>
      </c>
    </row>
    <row r="31">
      <c r="A31" s="1" t="inlineStr">
        <is>
          <t>CR-FDF</t>
        </is>
      </c>
      <c r="B31" s="1" t="inlineStr">
        <is>
          <t>Crusoe Inc. Form D (filed 2026-09-17; equity; first sale 2026-08-31)</t>
        </is>
      </c>
      <c r="C31" s="1" t="inlineStr">
        <is>
          <t>2026-09-17</t>
        </is>
      </c>
      <c r="D31" s="1" t="inlineStr">
        <is>
          <t>https://www.sec.gov/Archives/edgar/data/1924674/000192467426000002/primary_doc.xml</t>
        </is>
      </c>
      <c r="E31" s="1" t="inlineStr">
        <is>
          <t>Reported (filing/company)</t>
        </is>
      </c>
    </row>
    <row r="32">
      <c r="A32" s="1" t="inlineStr">
        <is>
          <t>CR-FDO</t>
        </is>
      </c>
      <c r="B32" s="1" t="inlineStr">
        <is>
          <t>Crusoe Inc. Form D (filed 2026-09-17; options/rights to acquire securities; first sale 2026-07-17)</t>
        </is>
      </c>
      <c r="C32" s="1" t="inlineStr">
        <is>
          <t>2026-09-17</t>
        </is>
      </c>
      <c r="D32" s="1" t="inlineStr">
        <is>
          <t>https://www.sec.gov/Archives/edgar/data/1924674/000192467426000001/primary_doc.xml</t>
        </is>
      </c>
      <c r="E32" s="1" t="inlineStr">
        <is>
          <t>Reported (filing/company)</t>
        </is>
      </c>
    </row>
    <row r="33">
      <c r="A33" s="1" t="inlineStr">
        <is>
          <t>CR-FDE</t>
        </is>
      </c>
      <c r="B33" s="1" t="inlineStr">
        <is>
          <t>Crusoe Inc. Form D (filed 2025-10-21; equity; first sale 2025-10-08)</t>
        </is>
      </c>
      <c r="C33" s="1" t="inlineStr">
        <is>
          <t>2025-10-21</t>
        </is>
      </c>
      <c r="D33" s="1" t="inlineStr">
        <is>
          <t>https://www.sec.gov/Archives/edgar/data/1924674/000192467425000004/primary_doc.xml</t>
        </is>
      </c>
      <c r="E33" s="1" t="inlineStr">
        <is>
          <t>Reported (filing/company)</t>
        </is>
      </c>
    </row>
    <row r="34">
      <c r="A34" s="1" t="inlineStr">
        <is>
          <t>CR-FDD</t>
        </is>
      </c>
      <c r="B34" s="1" t="inlineStr">
        <is>
          <t>Crusoe Inc. Form D (filed 2024-11-20; equity)</t>
        </is>
      </c>
      <c r="C34" s="1" t="inlineStr">
        <is>
          <t>2024-11-20</t>
        </is>
      </c>
      <c r="D34" s="1" t="inlineStr">
        <is>
          <t>https://www.sec.gov/Archives/edgar/data/1924674/000192467424000003/primary_doc.xml</t>
        </is>
      </c>
      <c r="E34" s="1" t="inlineStr">
        <is>
          <t>Reported (filing/company)</t>
        </is>
      </c>
    </row>
    <row r="35">
      <c r="A35" s="1" t="inlineStr">
        <is>
          <t>CR-EDGAR</t>
        </is>
      </c>
      <c r="B35" s="1" t="inlineStr">
        <is>
          <t>EDGAR: Crusoe Inc. (CIK 0001924674) has only Form D filings; no S-1/DRS public</t>
        </is>
      </c>
      <c r="C35" s="1" t="inlineStr">
        <is>
          <t>2026-10-04</t>
        </is>
      </c>
      <c r="D35" s="1" t="inlineStr">
        <is>
          <t>https://www.sec.gov/cgi-bin/browse-edgar?action=getcompany&amp;CIK=0001924674</t>
        </is>
      </c>
      <c r="E35" s="1" t="inlineStr">
        <is>
          <t>Reported (filing/company)</t>
        </is>
      </c>
    </row>
    <row r="36">
      <c r="A36" s="1" t="inlineStr">
        <is>
          <t>CR-E</t>
        </is>
      </c>
      <c r="B36" s="1" t="inlineStr">
        <is>
          <t>Crusoe PR: $1.375B Series E at &gt;$10B; bookings 5x 9M'25; power pipeline &gt;45GW</t>
        </is>
      </c>
      <c r="C36" s="1" t="inlineStr">
        <is>
          <t>2025-10-24</t>
        </is>
      </c>
      <c r="D36" s="1" t="inlineStr">
        <is>
          <t>https://www.crusoe.ai/resources/newsroom/crusoe-announces-series-e-funding</t>
        </is>
      </c>
      <c r="E36" s="1" t="inlineStr">
        <is>
          <t>Reported (filing/company)</t>
        </is>
      </c>
    </row>
    <row r="37">
      <c r="A37" s="1" t="inlineStr">
        <is>
          <t>CR-BLOG</t>
        </is>
      </c>
      <c r="B37" s="1" t="inlineStr">
        <is>
          <t>Crusoe blog: 2025 added TCV ~17x YoY, cloud ARR +150% YoY, new logos +70%</t>
        </is>
      </c>
      <c r="C37" s="1" t="inlineStr">
        <is>
          <t>2026-02-06</t>
        </is>
      </c>
      <c r="D37" s="1" t="inlineStr">
        <is>
          <t>https://www.crusoe.ai/resources/blog/building-the-worlds-favorite-ai-cloud</t>
        </is>
      </c>
      <c r="E37" s="1" t="inlineStr">
        <is>
          <t>Reported (filing/company)</t>
        </is>
      </c>
    </row>
    <row r="38">
      <c r="A38" s="1" t="inlineStr">
        <is>
          <t>CR-MSFT</t>
        </is>
      </c>
      <c r="B38" s="1" t="inlineStr">
        <is>
          <t>Crusoe PR: new 900MW Abilene AI factory campus for Microsoft (2 x 336MW critical IT; first building mid-2027)</t>
        </is>
      </c>
      <c r="C38" s="1" t="inlineStr">
        <is>
          <t>2026-03-27</t>
        </is>
      </c>
      <c r="D38" s="1" t="inlineStr">
        <is>
          <t>https://www.crusoe.ai/resources/newsroom/crusoe-announces-new-900-mw-ai-factory-campus-in-abilene-texas-to-support-microsoft-ai-infrastructure</t>
        </is>
      </c>
      <c r="E38" s="1" t="inlineStr">
        <is>
          <t>Reported (filing/company)</t>
        </is>
      </c>
    </row>
    <row r="39">
      <c r="A39" s="1" t="inlineStr">
        <is>
          <t>CR-JV</t>
        </is>
      </c>
      <c r="B39" s="1" t="inlineStr">
        <is>
          <t>Crusoe PR: second phase of $15B Abilene JV with Blue Owl and Primary Digital (1.2GW, 8 buildings, up to 50,000 GB200 per building)</t>
        </is>
      </c>
      <c r="C39" s="1" t="inlineStr">
        <is>
          <t>2025-05-21</t>
        </is>
      </c>
      <c r="D39" s="1" t="inlineStr">
        <is>
          <t>https://www.crusoe.ai/resources/newsroom/crusoe-blue-owl-capital-and-primary-digital-infrastructure-enter-joint-venture</t>
        </is>
      </c>
      <c r="E39" s="1" t="inlineStr">
        <is>
          <t>Reported (filing/company)</t>
        </is>
      </c>
    </row>
    <row r="40">
      <c r="A40" s="1" t="inlineStr">
        <is>
          <t>CR-NMRK</t>
        </is>
      </c>
      <c r="B40" s="1" t="inlineStr">
        <is>
          <t>Newmark PR: arranges $2.3B construction financing for 206MW build-to-suit data center (Abilene phase 1)</t>
        </is>
      </c>
      <c r="C40" s="1" t="inlineStr">
        <is>
          <t>2024</t>
        </is>
      </c>
      <c r="D40" s="1" t="inlineStr">
        <is>
          <t>https://www.nmrk.com/insights/press-releases/newmark-arranges-2-3-billion-construction-financing-for-206-mw-build-to-suit-data-center</t>
        </is>
      </c>
      <c r="E40" s="1" t="inlineStr">
        <is>
          <t>Reported (filing/company)</t>
        </is>
      </c>
    </row>
    <row r="41">
      <c r="A41" s="1" t="inlineStr">
        <is>
          <t>CR-BBG71</t>
        </is>
      </c>
      <c r="B41" s="1" t="inlineStr">
        <is>
          <t>Bloomberg: JPMorgan leads $7.1B loan for Blue Owl-tied (Abilene phase 2) data center</t>
        </is>
      </c>
      <c r="C41" s="1" t="inlineStr">
        <is>
          <t>2025-05-22</t>
        </is>
      </c>
      <c r="D41" s="1" t="inlineStr">
        <is>
          <t>https://www.bloomberg.com/news/articles/2025-05-22/jpmorgan-leads-7-1-billion-loan-for-blue-owl-tied-data-center</t>
        </is>
      </c>
      <c r="E41" s="1" t="inlineStr">
        <is>
          <t>Press (secondhand)</t>
        </is>
      </c>
    </row>
    <row r="42">
      <c r="A42" s="1" t="inlineStr">
        <is>
          <t>CR-BRK</t>
        </is>
      </c>
      <c r="B42" s="1" t="inlineStr">
        <is>
          <t>Crusoe PR: $750M credit facility from Brookfield</t>
        </is>
      </c>
      <c r="C42" s="1" t="inlineStr">
        <is>
          <t>2025-06-11</t>
        </is>
      </c>
      <c r="D42" s="1" t="inlineStr">
        <is>
          <t>https://www.crusoe.ai/resources/newsroom/crusoe-secures-usd750-million-credit-facility-from-brookfield-to-accelerate</t>
        </is>
      </c>
      <c r="E42" s="1" t="inlineStr">
        <is>
          <t>Reported (filing/company)</t>
        </is>
      </c>
    </row>
    <row r="43">
      <c r="A43" s="1" t="inlineStr">
        <is>
          <t>CR-AMD</t>
        </is>
      </c>
      <c r="B43" s="1" t="inlineStr">
        <is>
          <t>DCD citing The Information: Goldman $300M loan for AMD chips (Springfield OH), AMD rent-back backstop, ~6% rate</t>
        </is>
      </c>
      <c r="C43" s="1" t="inlineStr">
        <is>
          <t>2026-02-20</t>
        </is>
      </c>
      <c r="D43" s="1" t="inlineStr">
        <is>
          <t>https://www.datacenterdynamics.com/en/news/amd-underwrites-300m-crusoe-loan-so-data-center-firm-can-buy-its-ai-chips-report/</t>
        </is>
      </c>
      <c r="E43" s="1" t="inlineStr">
        <is>
          <t>Press (secondhand)</t>
        </is>
      </c>
    </row>
    <row r="44">
      <c r="A44" s="1" t="inlineStr">
        <is>
          <t>CR-OCTUS</t>
        </is>
      </c>
      <c r="B44" s="1" t="inlineStr">
        <is>
          <t>Octus: Crusoe launches ~$509M senior secured GPU DDTL (borrower IS AN03 LLC / Crusoe Iceland III), price talk S+475-500, 98.5 OID, Nov-2030</t>
        </is>
      </c>
      <c r="C44" s="1" t="inlineStr">
        <is>
          <t>2026-09-10</t>
        </is>
      </c>
      <c r="D44" s="1" t="inlineStr">
        <is>
          <t>https://octus.com/resources/articles/primary-crusoe-launches-509m-senior-secured-ddtl-due-november-2030-to-finance-gpu-capital-expenditures/</t>
        </is>
      </c>
      <c r="E44" s="1" t="inlineStr">
        <is>
          <t>Press (secondhand)</t>
        </is>
      </c>
    </row>
    <row r="45">
      <c r="A45" s="1" t="inlineStr">
        <is>
          <t>CR-HJ</t>
        </is>
      </c>
      <c r="B45" s="1" t="inlineStr">
        <is>
          <t>HostingJournalist (relaying Crusoe announcement): 4.9GW contracted; &gt;40GW pipeline; Abilene 2 buildings operational / 6 under construction</t>
        </is>
      </c>
      <c r="C45" s="1" t="inlineStr">
        <is>
          <t>2026-06-14</t>
        </is>
      </c>
      <c r="D45" s="1" t="inlineStr">
        <is>
          <t>https://hostingjournalist.com/news/crusoe-nears-5gw-in-contracted-ai-infrastructure-deals</t>
        </is>
      </c>
      <c r="E45" s="1" t="inlineStr">
        <is>
          <t>Press (secondhand)</t>
        </is>
      </c>
    </row>
    <row r="46">
      <c r="A46" s="1" t="inlineStr">
        <is>
          <t>CR-META</t>
        </is>
      </c>
      <c r="B46" s="1" t="inlineStr">
        <is>
          <t>DCD citing Bloomberg: Meta contracts ~1.6GW at Crusoe Childress TX + Warrenton MO</t>
        </is>
      </c>
      <c r="C46" s="1" t="inlineStr">
        <is>
          <t>2026-06-19</t>
        </is>
      </c>
      <c r="D46" s="1" t="inlineStr">
        <is>
          <t>https://www.datacenterdynamics.com/en/news/meta-signs-16gw-capacity-agreement-with-crusoe-report/</t>
        </is>
      </c>
      <c r="E46" s="1" t="inlineStr">
        <is>
          <t>Press (secondhand)</t>
        </is>
      </c>
    </row>
    <row r="47">
      <c r="A47" s="1" t="inlineStr">
        <is>
          <t>CR-JS</t>
        </is>
      </c>
      <c r="B47" s="1" t="inlineStr">
        <is>
          <t>DCD citing Bloomberg: Jane Street ~$13B five-year Crusoe Cloud contract</t>
        </is>
      </c>
      <c r="C47" s="1" t="inlineStr">
        <is>
          <t>2026-09-04</t>
        </is>
      </c>
      <c r="D47" s="1" t="inlineStr">
        <is>
          <t>https://www.datacenterdynamics.com/en/news/crusoe-signs-13bn-deal-with-jane-street-report/</t>
        </is>
      </c>
      <c r="E47" s="1" t="inlineStr">
        <is>
          <t>Press (secondhand)</t>
        </is>
      </c>
    </row>
    <row r="48">
      <c r="A48" s="1" t="inlineStr">
        <is>
          <t>CR-NEW</t>
        </is>
      </c>
      <c r="B48" s="1" t="inlineStr">
        <is>
          <t>Newcomer (financials obtained): Crusoe 'on track for $2 billion in revenue this year'</t>
        </is>
      </c>
      <c r="C48" s="1" t="inlineStr">
        <is>
          <t>2026-09-23</t>
        </is>
      </c>
      <c r="D48" s="1" t="inlineStr">
        <is>
          <t>https://www.newcomer.co/p/crusoe-is-on-track-for-2-billion</t>
        </is>
      </c>
      <c r="E48" s="1" t="inlineStr">
        <is>
          <t>Press (secondhand)</t>
        </is>
      </c>
    </row>
    <row r="49">
      <c r="A49" s="1" t="inlineStr">
        <is>
          <t>CR-TI</t>
        </is>
      </c>
      <c r="B49" s="1" t="inlineStr">
        <is>
          <t>The Logic citing The Information: 2024 revenue ~$250M; projections $500M (2025) / $2.2B (2026); Series D $600M at $2.8B</t>
        </is>
      </c>
      <c r="C49" s="1" t="inlineStr">
        <is>
          <t>2025-08-22</t>
        </is>
      </c>
      <c r="D49" s="1" t="inlineStr">
        <is>
          <t>https://thelogic.co/briefing/crusoe-seeks-us1b-at-us10b-valuation-for-more-data-centres/</t>
        </is>
      </c>
      <c r="E49" s="1" t="inlineStr">
        <is>
          <t>Press (secondhand)</t>
        </is>
      </c>
    </row>
    <row r="50">
      <c r="A50" s="1" t="inlineStr">
        <is>
          <t>CR-SACRA</t>
        </is>
      </c>
      <c r="B50" s="1" t="inlineStr">
        <is>
          <t>Sacra (third-party research) Crusoe profile: 2024 revenue ~$276M estimate; Upper90 $225M and Victory Park $175M facilities</t>
        </is>
      </c>
      <c r="C50" s="1" t="inlineStr">
        <is>
          <t>2026-09</t>
        </is>
      </c>
      <c r="D50" s="1" t="inlineStr">
        <is>
          <t>https://sacra.com/c/crusoe/</t>
        </is>
      </c>
      <c r="E50" s="1" t="inlineStr">
        <is>
          <t>Third-party estimate</t>
        </is>
      </c>
    </row>
    <row r="51">
      <c r="A51" s="1" t="inlineStr">
        <is>
          <t>SOFR</t>
        </is>
      </c>
      <c r="B51" s="1" t="inlineStr">
        <is>
          <t>Federal Reserve Bank of New York SOFR, 3.87% (2026-10-01) - used only to ESTIMATE all-in coupons on floating loans</t>
        </is>
      </c>
      <c r="C51" s="1" t="inlineStr">
        <is>
          <t>2026-10-01</t>
        </is>
      </c>
      <c r="D51" s="1" t="inlineStr">
        <is>
          <t>https://markets.newyorkfed.org/api/rates/secured/sofr/last/3.json</t>
        </is>
      </c>
      <c r="E51" s="1" t="inlineStr">
        <is>
          <t>Data / workspace</t>
        </is>
      </c>
    </row>
    <row r="52">
      <c r="A52" s="1" t="inlineStr">
        <is>
          <t>NBPX</t>
        </is>
      </c>
      <c r="B52" s="1" t="inlineStr">
        <is>
          <t>Nebius workspace: /workspace/nebius/parts/price_history_quarterly.csv and price_snapshot_2026-10-04.csv (first-party list pages / Wayback)</t>
        </is>
      </c>
      <c r="C52" s="1" t="inlineStr">
        <is>
          <t>2026-10-04</t>
        </is>
      </c>
      <c r="D52" s="1" t="inlineStr">
        <is>
          <t>local</t>
        </is>
      </c>
      <c r="E52" s="1" t="inlineStr">
        <is>
          <t>Data / workspace</t>
        </is>
      </c>
    </row>
    <row r="53">
      <c r="A53" s="1" t="inlineStr">
        <is>
          <t>NS-SITE</t>
        </is>
      </c>
      <c r="B53" s="1" t="inlineStr">
        <is>
          <t>Peer site verification: Monarch Compute Campus, Mason County WV (Point Pleasant). /workspace/nebius/peers/sites/site_verification.md §7 + sites.xlsx. Active 0; contracted 460 IT MW; Grade Yellow (460 H1'28) / Yellow-Red (1.37 GW). Off-grid gas microgrid; air permit R14-0042 draft; Anthropic financing uncommitted.</t>
        </is>
      </c>
      <c r="C53" s="1" t="inlineStr">
        <is>
          <t>2026-10-05</t>
        </is>
      </c>
      <c r="D53" s="1" t="inlineStr">
        <is>
          <t>local:/workspace/nebius/peers/sites/</t>
        </is>
      </c>
      <c r="E53" s="1" t="inlineStr">
        <is>
          <t>Reported (filing/company)</t>
        </is>
      </c>
    </row>
    <row r="54">
      <c r="A54" s="1" t="inlineStr">
        <is>
          <t>NS-EDGAR2</t>
        </is>
      </c>
      <c r="B54" s="1" t="inlineStr">
        <is>
          <t>EDGAR re-check 2026-10-05: Nscale Ltd (CIK 0002110365) — no S-1/A, 424B4 or new 8-K since 2026-10-04. Latest registration remains S-1 filed 2026-09-18.</t>
        </is>
      </c>
      <c r="C54" s="1" t="inlineStr">
        <is>
          <t>2026-10-05</t>
        </is>
      </c>
      <c r="D54" s="1" t="inlineStr">
        <is>
          <t>https://www.sec.gov/cgi-bin/browse-edgar?action=getcompany&amp;CIK=0002110365</t>
        </is>
      </c>
      <c r="E54" s="1" t="inlineStr">
        <is>
          <t>Reported (filing/company)</t>
        </is>
      </c>
    </row>
    <row r="55">
      <c r="A55" s="1" t="inlineStr">
        <is>
          <t>LM-EDGAR2</t>
        </is>
      </c>
      <c r="B55" s="1" t="inlineStr">
        <is>
          <t>EDGAR re-check 2026-10-05: Lambda, Inc. (CIK 0001954966) — no S-1/DRS/Form D since 2026-10-04.</t>
        </is>
      </c>
      <c r="C55" s="1" t="inlineStr">
        <is>
          <t>2026-10-05</t>
        </is>
      </c>
      <c r="D55" s="1" t="inlineStr">
        <is>
          <t>https://www.sec.gov/cgi-bin/browse-edgar?action=getcompany&amp;CIK=0001954966</t>
        </is>
      </c>
      <c r="E55" s="1" t="inlineStr">
        <is>
          <t>Reported (filing/company)</t>
        </is>
      </c>
    </row>
    <row r="56">
      <c r="A56" s="1" t="inlineStr">
        <is>
          <t>CR-EDGAR2</t>
        </is>
      </c>
      <c r="B56" s="1" t="inlineStr">
        <is>
          <t>EDGAR re-check 2026-10-05: Crusoe Inc. (CIK 0001924674) — no new Form D/S-1 since 2026-10-04. Series F Form D still 2026-09-17.</t>
        </is>
      </c>
      <c r="C56" s="1" t="inlineStr">
        <is>
          <t>2026-10-05</t>
        </is>
      </c>
      <c r="D56" s="1" t="inlineStr">
        <is>
          <t>https://www.sec.gov/cgi-bin/browse-edgar?action=getcompany&amp;CIK=0001924674</t>
        </is>
      </c>
      <c r="E56" s="1" t="inlineStr">
        <is>
          <t>Reported (filing/company)</t>
        </is>
      </c>
    </row>
    <row r="57">
      <c r="A57" s="1" t="inlineStr">
        <is>
          <t>CR-SITE</t>
        </is>
      </c>
      <c r="B57" s="1" t="inlineStr">
        <is>
          <t>Peer site appendix: Abilene TX (Crusoe/Lancium Stargate), as of Oct 8. Active IT L/B/H 421/618/618 [D on R] per Oracle FQ1 FY27 call (2026-09-10: 6 of 8 bldgs, 618 MW, 75% delivered; IT vs gross basis unstated); YE26 618/721/824; Grade Green (B1-6) / Yellow (B7-8). Counted under Crusoe, not Oracle. Oct 5 view 200/421/421 is history.</t>
        </is>
      </c>
      <c r="C57" s="1" t="inlineStr">
        <is>
          <t>2026-10-08</t>
        </is>
      </c>
      <c r="D57" s="1" t="inlineStr">
        <is>
          <t>local:/workspace/nebius/peers/sites/appendix_crusoe_abilene.pdf ; https://www.fool.com/earnings/call-transcripts/2026/09/11/oracle-orcl-q1-2027-earnings-call-transcript/</t>
        </is>
      </c>
      <c r="E57" s="1" t="inlineStr">
        <is>
          <t>Reported (filing/company)</t>
        </is>
      </c>
    </row>
    <row r="58">
      <c r="A58" s="1" t="inlineStr">
        <is>
          <t>CRWV</t>
        </is>
      </c>
      <c r="B58" s="1" t="inlineStr">
        <is>
          <t>CoreWeave comps: /workspace/nebius/peers/coreweave/crwv_kpis.xlsx / crwv_kpis.md (Q2'26 column)</t>
        </is>
      </c>
      <c r="C58" s="1" t="inlineStr">
        <is>
          <t>2026-10-04</t>
        </is>
      </c>
      <c r="D58" s="1" t="inlineStr">
        <is>
          <t>local</t>
        </is>
      </c>
      <c r="E58" s="1" t="inlineStr">
        <is>
          <t>Data / workspace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4" customWidth="1" min="1" max="1"/>
    <col width="24" customWidth="1" min="2" max="2"/>
    <col width="80" customWidth="1" min="3" max="3"/>
    <col width="90" customWidth="1" min="4" max="4"/>
  </cols>
  <sheetData>
    <row r="1">
      <c r="A1" s="3" t="inlineStr">
        <is>
          <t>Def / row</t>
        </is>
      </c>
      <c r="B1" s="3" t="inlineStr">
        <is>
          <t>Group</t>
        </is>
      </c>
      <c r="C1" s="3" t="inlineStr">
        <is>
          <t>Definition (as CoreWeave workbook)</t>
        </is>
      </c>
      <c r="D1" s="3" t="inlineStr">
        <is>
          <t>Private-peer application</t>
        </is>
      </c>
    </row>
    <row r="2">
      <c r="A2" s="1" t="inlineStr">
        <is>
          <t>D1</t>
        </is>
      </c>
      <c r="B2" s="1" t="inlineStr">
        <is>
          <t>Revenue per MW</t>
        </is>
      </c>
      <c r="C2" s="1" t="inlineStr">
        <is>
          <t>Annualized revenue / MW ($M per MW-yr); denominators active MW (period-end), average MW, contracted MW.</t>
        </is>
      </c>
      <c r="D2" s="1" t="inlineStr">
        <is>
          <t>Periods rarely match: Nscale H1'26 x2 over Aug-26 active-site MW; Lambda Q2'25 press revenue over Q2'25 press MW; Crusoe FY26E press revenue over Sep-26 gross MW (Estimated; mixes landlord and cloud revenue). K02 n/d for all.</t>
        </is>
      </c>
    </row>
    <row r="3">
      <c r="A3" s="1" t="inlineStr">
        <is>
          <t>D2</t>
        </is>
      </c>
      <c r="B3" s="1" t="inlineStr">
        <is>
          <t>Revenue per GPU</t>
        </is>
      </c>
      <c r="C3" s="1" t="inlineStr">
        <is>
          <t>Revenue x 4000 / avg GPUs ($K/GPU-yr); $/GPU-hr = revenue / (GPUs x hours).</t>
        </is>
      </c>
      <c r="D3" s="1" t="inlineStr">
        <is>
          <t>Point GPU counts used as averages -&gt; Estimated. PX13 = contract value / (GPUs x term x 8,760).</t>
        </is>
      </c>
    </row>
    <row r="4">
      <c r="A4" s="1" t="inlineStr">
        <is>
          <t>D3</t>
        </is>
      </c>
      <c r="B4" s="1" t="inlineStr">
        <is>
          <t>Implied utilization</t>
        </is>
      </c>
      <c r="C4" s="1" t="inlineStr">
        <is>
          <t>Implied $/GPU-hr / fleet-weighted on-demand list (mixes discounting and utilization).</t>
        </is>
      </c>
      <c r="D4" s="1" t="inlineStr">
        <is>
          <t>Lambda only (H100 SXM $2.99 single-SKU proxy). Nscale: no public list. Crusoe: no GPU count.</t>
        </is>
      </c>
    </row>
    <row r="5">
      <c r="A5" s="1" t="inlineStr">
        <is>
          <t>D4</t>
        </is>
      </c>
      <c r="B5" s="1" t="inlineStr">
        <is>
          <t>Capex per MW</t>
        </is>
      </c>
      <c r="C5" s="1" t="inlineStr">
        <is>
          <t>Cash capex / new active MW; stock checks Net PP&amp;E / active MW and in-service gross PP&amp;E / active MW.</t>
        </is>
      </c>
      <c r="D5" s="1" t="inlineStr">
        <is>
          <t>No MW history -&gt; flow versions n/d. Nscale stock ratios from S-1. Crusoe K14 row = Abilene JV project cost ($15B / 1.2 GW, shell + power, ex-GPU) - proxy, not like-for-like.</t>
        </is>
      </c>
    </row>
    <row r="6">
      <c r="A6" s="1" t="inlineStr">
        <is>
          <t>D5</t>
        </is>
      </c>
      <c r="B6" s="1" t="inlineStr">
        <is>
          <t>D&amp;A useful lives</t>
        </is>
      </c>
      <c r="C6" s="1" t="inlineStr">
        <is>
          <t>Useful-life policy; depreciation yield = annualized depreciation / avg in-service gross PP&amp;E; implied life = 1/yield.</t>
        </is>
      </c>
      <c r="D6" s="1" t="inlineStr">
        <is>
          <t>Nscale 5-6 yrs (midpoint 5.5); yield uses PP&amp;E depreciation only. Lambda/Crusoe n/d.</t>
        </is>
      </c>
    </row>
    <row r="7">
      <c r="A7" s="1" t="inlineStr">
        <is>
          <t>D6</t>
        </is>
      </c>
      <c r="B7" s="1" t="inlineStr">
        <is>
          <t>Backlog / RPO</t>
        </is>
      </c>
      <c r="C7" s="1" t="inlineStr">
        <is>
          <t>ASC 606 RPO; company backlog shown separately.</t>
        </is>
      </c>
      <c r="D7" s="1" t="inlineStr">
        <is>
          <t>TCV is NOT RPO: Nscale RPO $56.4B vs TCV $103.4B; Crusoe TCV $140B+ has no term or schedule.</t>
        </is>
      </c>
    </row>
    <row r="8">
      <c r="A8" s="1" t="inlineStr">
        <is>
          <t>D7</t>
        </is>
      </c>
      <c r="B8" s="1" t="inlineStr">
        <is>
          <t>Customer concentration</t>
        </is>
      </c>
      <c r="C8" s="1" t="inlineStr">
        <is>
          <t>Customers &gt;=10% of revenue.</t>
        </is>
      </c>
      <c r="D8" s="1" t="inlineStr">
        <is>
          <t>Nscale largest only; Lambda press only; Crusoe n/d.</t>
        </is>
      </c>
    </row>
    <row r="9">
      <c r="A9" s="1" t="inlineStr">
        <is>
          <t>D8</t>
        </is>
      </c>
      <c r="B9" s="1" t="inlineStr">
        <is>
          <t>Funding cost</t>
        </is>
      </c>
      <c r="C9" s="1" t="inlineStr">
        <is>
          <t>Principal-weighted effective rate from the debt table.</t>
        </is>
      </c>
      <c r="D9" s="1" t="inlineStr">
        <is>
          <t>Nscale S-1 effective rates; Lambda/Crusoe no debt table -&gt; PX09 marginal facility cost.</t>
        </is>
      </c>
    </row>
    <row r="10">
      <c r="A10" s="1" t="inlineStr">
        <is>
          <t>Gross vs IT MW</t>
        </is>
      </c>
      <c r="B10" s="1" t="inlineStr">
        <is>
          <t>MW basis</t>
        </is>
      </c>
      <c r="C10" s="1" t="inlineStr">
        <is>
          <t>IT MW = critical IT load; gross = utility/total power incl. cooling and overhead.</t>
        </is>
      </c>
      <c r="D10" s="1" t="inlineStr">
        <is>
          <t>Crusoe reports gross; converted at 672/900 = 0.747 (one campus design) -&gt; Estimated.</t>
        </is>
      </c>
    </row>
    <row r="11">
      <c r="A11" s="1" t="inlineStr">
        <is>
          <t>Run-rate / press</t>
        </is>
      </c>
      <c r="B11" s="1" t="inlineStr">
        <is>
          <t>Revenue basis</t>
        </is>
      </c>
      <c r="C11" s="1" t="inlineStr">
        <is>
          <t>Run-rate = latest period annualized; forward = company expectation.</t>
        </is>
      </c>
      <c r="D11" s="1" t="inlineStr">
        <is>
          <t>Press-reported (P) and third-party (E) figures kept separate from filings.</t>
        </is>
      </c>
    </row>
    <row r="12">
      <c r="A12" s="1" t="inlineStr">
        <is>
          <t>PX01</t>
        </is>
      </c>
      <c r="B12" s="1" t="inlineStr">
        <is>
          <t>Revenue run-rate / forward</t>
        </is>
      </c>
      <c r="C12" s="1" t="inlineStr">
        <is>
          <t>Annualized latest period, ARR, or full-year expectation.</t>
        </is>
      </c>
      <c r="D12" s="1" t="inlineStr"/>
    </row>
    <row r="13">
      <c r="A13" s="1" t="inlineStr">
        <is>
          <t>PX02</t>
        </is>
      </c>
      <c r="B13" s="1" t="inlineStr">
        <is>
          <t>Announced / pipeline MW</t>
        </is>
      </c>
      <c r="C13" s="1" t="inlineStr">
        <is>
          <t>Capacity announced or in pipeline beyond contracted.</t>
        </is>
      </c>
      <c r="D13" s="1" t="inlineStr">
        <is>
          <t>Not additive across sources.</t>
        </is>
      </c>
    </row>
    <row r="14">
      <c r="A14" s="1" t="inlineStr">
        <is>
          <t>PX03</t>
        </is>
      </c>
      <c r="B14" s="1" t="inlineStr">
        <is>
          <t>MW basis</t>
        </is>
      </c>
      <c r="C14" s="1" t="inlineStr">
        <is>
          <t>IT vs gross.</t>
        </is>
      </c>
      <c r="D14" s="1" t="inlineStr"/>
    </row>
    <row r="15">
      <c r="A15" s="1" t="inlineStr">
        <is>
          <t>PX04</t>
        </is>
      </c>
      <c r="B15" s="1" t="inlineStr">
        <is>
          <t>GPUs contracted</t>
        </is>
      </c>
      <c r="C15" s="1" t="inlineStr">
        <is>
          <t>Active + contracted GPUs.</t>
        </is>
      </c>
      <c r="D15" s="1" t="inlineStr">
        <is>
          <t>Nscale only.</t>
        </is>
      </c>
    </row>
    <row r="16">
      <c r="A16" s="1" t="inlineStr">
        <is>
          <t>PX05</t>
        </is>
      </c>
      <c r="B16" s="1" t="inlineStr">
        <is>
          <t>Contract life</t>
        </is>
      </c>
      <c r="C16" s="1" t="inlineStr">
        <is>
          <t>Weighted average contract life.</t>
        </is>
      </c>
      <c r="D16" s="1" t="inlineStr">
        <is>
          <t>Nscale only (5.7 yrs; 23% prepaid).</t>
        </is>
      </c>
    </row>
    <row r="17">
      <c r="A17" s="1" t="inlineStr">
        <is>
          <t>PX06-PX08</t>
        </is>
      </c>
      <c r="B17" s="1" t="inlineStr">
        <is>
          <t>Funding raised</t>
        </is>
      </c>
      <c r="C17" s="1" t="inlineStr">
        <is>
          <t>Equity (Form D amount sold where available), valuation, debt commitments.</t>
        </is>
      </c>
      <c r="D17" s="1" t="inlineStr">
        <is>
          <t>Form D amounts can lag headline round sizes.</t>
        </is>
      </c>
    </row>
    <row r="18">
      <c r="A18" s="1" t="inlineStr">
        <is>
          <t>PX09</t>
        </is>
      </c>
      <c r="B18" s="1" t="inlineStr">
        <is>
          <t>Marginal secured debt cost</t>
        </is>
      </c>
      <c r="C18" s="1" t="inlineStr">
        <is>
          <t>Coupon or spread on the latest secured GPU/project facility; all-in = SOFR + spread (+ OID amortized).</t>
        </is>
      </c>
      <c r="D18" s="1" t="inlineStr">
        <is>
          <t>CRWV reference: K28 8.4% (Q2'26).</t>
        </is>
      </c>
    </row>
    <row r="19">
      <c r="A19" s="1" t="inlineStr">
        <is>
          <t>PX10-PX11</t>
        </is>
      </c>
      <c r="B19" s="1" t="inlineStr">
        <is>
          <t>Contract value per MW</t>
        </is>
      </c>
      <c r="C19" s="1" t="inlineStr">
        <is>
          <t>ACV/contracted MW = TCV / term / MW; TCV/MW.</t>
        </is>
      </c>
      <c r="D19" s="1" t="inlineStr">
        <is>
          <t>Nebius ~$20-25M ACV/MW on new deals (crwv_kpis.md).</t>
        </is>
      </c>
    </row>
    <row r="20">
      <c r="A20" s="1" t="inlineStr">
        <is>
          <t>PX12-PX13</t>
        </is>
      </c>
      <c r="B20" s="1" t="inlineStr">
        <is>
          <t>Anchor contracts</t>
        </is>
      </c>
      <c r="C20" s="1" t="inlineStr">
        <is>
          <t>Largest disclosed contracts; implied $/GPU-hr.</t>
        </is>
      </c>
      <c r="D20" s="1" t="inlineStr"/>
    </row>
    <row r="21">
      <c r="A21" s="1" t="inlineStr">
        <is>
          <t>PX14</t>
        </is>
      </c>
      <c r="B21" s="1" t="inlineStr">
        <is>
          <t>Valuation / revenue</t>
        </is>
      </c>
      <c r="C21" s="1" t="inlineStr">
        <is>
          <t>Post-money / forward revenue.</t>
        </is>
      </c>
      <c r="D21" s="1"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4" customWidth="1" min="1" max="1"/>
    <col width="10" customWidth="1" min="2" max="2"/>
    <col width="10" customWidth="1" min="3" max="3"/>
    <col width="100" customWidth="1" min="4" max="4"/>
    <col width="60" customWidth="1" min="5" max="5"/>
  </cols>
  <sheetData>
    <row r="1">
      <c r="A1" s="3" t="inlineStr">
        <is>
          <t>#</t>
        </is>
      </c>
      <c r="B1" s="3" t="inlineStr">
        <is>
          <t>Company</t>
        </is>
      </c>
      <c r="C1" s="3" t="inlineStr">
        <is>
          <t>Type</t>
        </is>
      </c>
      <c r="D1" s="3" t="inlineStr">
        <is>
          <t>Note / gap</t>
        </is>
      </c>
      <c r="E1" s="3" t="inlineStr">
        <is>
          <t>Impact / fix</t>
        </is>
      </c>
    </row>
    <row r="2">
      <c r="A2" t="n">
        <v>1</v>
      </c>
      <c r="B2" s="1" t="inlineStr">
        <is>
          <t>All</t>
        </is>
      </c>
      <c r="C2" s="1" t="inlineStr">
        <is>
          <t>Structural</t>
        </is>
      </c>
      <c r="D2" s="1" t="inlineStr">
        <is>
          <t>No quarterly history: every KPI is a single dated point. K02 and K10-K13 stay n/d until there is an MW time series.</t>
        </is>
      </c>
      <c r="E2" s="1" t="inlineStr">
        <is>
          <t>Not fixable from press.</t>
        </is>
      </c>
    </row>
    <row r="3">
      <c r="A3" t="n">
        <v>2</v>
      </c>
      <c r="B3" s="1" t="inlineStr">
        <is>
          <t>All</t>
        </is>
      </c>
      <c r="C3" s="1" t="inlineStr">
        <is>
          <t>Structural</t>
        </is>
      </c>
      <c r="D3" s="1" t="inlineStr">
        <is>
          <t>Capex per MW (K10-K13) n/d for all three; only stock proxies (Nscale) and project cost (Crusoe Abilene).</t>
        </is>
      </c>
      <c r="E3" s="1" t="inlineStr">
        <is>
          <t>Needs audited MW + capex.</t>
        </is>
      </c>
    </row>
    <row r="4">
      <c r="A4" t="n">
        <v>3</v>
      </c>
      <c r="B4" s="1" t="inlineStr">
        <is>
          <t>Lambda</t>
        </is>
      </c>
      <c r="C4" s="1" t="inlineStr">
        <is>
          <t>Structural</t>
        </is>
      </c>
      <c r="D4" s="1" t="inlineStr">
        <is>
          <t>No S-1/DRS on EDGAR (Form D only). Audited revenue, MW total, GPU count since Feb-2025, backlog/RPO, debt outstanding, D&amp;A policy and concentration are unknowable from public sources.</t>
        </is>
      </c>
      <c r="E4" s="1" t="inlineStr">
        <is>
          <t>Largest structural gap.</t>
        </is>
      </c>
    </row>
    <row r="5">
      <c r="A5" t="n">
        <v>4</v>
      </c>
      <c r="B5" s="1" t="inlineStr">
        <is>
          <t>Crusoe</t>
        </is>
      </c>
      <c r="C5" s="1" t="inlineStr">
        <is>
          <t>Structural</t>
        </is>
      </c>
      <c r="D5" s="1" t="inlineStr">
        <is>
          <t>No financial statements. Revenue is press-only. MW is gross and includes JV/landlord capacity (Abilene GPUs are Oracle/OpenAI's — see C37 / peers/sites/). TCV has no term; no GPU count, concentration, debt balance or useful lives.</t>
        </is>
      </c>
      <c r="E5" s="1" t="inlineStr">
        <is>
          <t>Rev/MW not comparable to cloud peers.</t>
        </is>
      </c>
    </row>
    <row r="6">
      <c r="A6" t="n">
        <v>5</v>
      </c>
      <c r="B6" s="1" t="inlineStr">
        <is>
          <t>Nscale</t>
        </is>
      </c>
      <c r="C6" s="1" t="inlineStr">
        <is>
          <t>Structural</t>
        </is>
      </c>
      <c r="D6" s="1" t="inlineStr">
        <is>
          <t>S-1 defines but does not quantify company-wide active MW. 81 MW = sum of contracted IT MW at the 5 active sites (upper bound). 25k GPUs / 81 MW ≈ 309 GPUs/MW vs ~491 for GB300 → live MW likely lower.</t>
        </is>
      </c>
      <c r="E6" s="1" t="inlineStr">
        <is>
          <t>K01 is a lower bound until S-1/A.</t>
        </is>
      </c>
    </row>
    <row r="7">
      <c r="A7" t="n">
        <v>6</v>
      </c>
      <c r="B7" s="1" t="inlineStr">
        <is>
          <t>Nscale</t>
        </is>
      </c>
      <c r="C7" s="1" t="inlineStr">
        <is>
          <t>Structural</t>
        </is>
      </c>
      <c r="D7" s="1" t="inlineStr">
        <is>
          <t>No public list price (console-only) → K08/K09 n/d.</t>
        </is>
      </c>
      <c r="E7" s="1" t="inlineStr"/>
    </row>
    <row r="8">
      <c r="A8" t="n">
        <v>7</v>
      </c>
      <c r="B8" s="1" t="inlineStr">
        <is>
          <t>Nscale</t>
        </is>
      </c>
      <c r="C8" s="1" t="inlineStr">
        <is>
          <t>Caveat</t>
        </is>
      </c>
      <c r="D8" s="1" t="inlineStr">
        <is>
          <t>Revenue base tiny vs book: H1'26 $140.6M vs RPO $56.4B / TCV $103.4B (active TCV $2.6B = 2.5%). ~86% of TCV is Microsoft (up to $43.8B) + Anthropic (up to $44.6B; financing not committed).</t>
        </is>
      </c>
      <c r="E8" s="1" t="inlineStr">
        <is>
          <t>Treat ACV/MW, TCV/MW as contracted economics.</t>
        </is>
      </c>
    </row>
    <row r="9">
      <c r="A9" t="n">
        <v>8</v>
      </c>
      <c r="B9" s="1" t="inlineStr">
        <is>
          <t>Nscale</t>
        </is>
      </c>
      <c r="C9" s="1" t="inlineStr">
        <is>
          <t>Caveat</t>
        </is>
      </c>
      <c r="D9" s="1" t="inlineStr">
        <is>
          <t>6/30/26 weighted debt cost 18.7% reflects small legacy facilities; Aug-26 GPU facilities at SOFR+2.375% (~6.2% E), revolver SOFR+1.75%.</t>
        </is>
      </c>
      <c r="E9" s="1" t="inlineStr">
        <is>
          <t>Use PX09 for forward cost.</t>
        </is>
      </c>
    </row>
    <row r="10">
      <c r="A10" t="n">
        <v>9</v>
      </c>
      <c r="B10" s="1" t="inlineStr">
        <is>
          <t>Nscale</t>
        </is>
      </c>
      <c r="C10" s="1" t="inlineStr">
        <is>
          <t>Caveat</t>
        </is>
      </c>
      <c r="D10" s="1" t="inlineStr">
        <is>
          <t>Interest expense, net 95.1 (H1'26) includes financing-component interest on prepayments; interest on debt only 12.0.</t>
        </is>
      </c>
      <c r="E10" s="1" t="inlineStr"/>
    </row>
    <row r="11">
      <c r="A11" t="n">
        <v>10</v>
      </c>
      <c r="B11" s="1" t="inlineStr">
        <is>
          <t>Nscale</t>
        </is>
      </c>
      <c r="C11" s="1" t="inlineStr">
        <is>
          <t>Caveat</t>
        </is>
      </c>
      <c r="D11" s="1" t="inlineStr">
        <is>
          <t>Monarch WV (N60-N63): 460 MW contracted / 0 evidenced-active; Grade Yellow for H1'28. Off-grid gas microgrid; air permit R14-0042 still DRAFT; Anthropic financing uncommitted. Do not treat $16.2M ACV/MW (N62) as live capacity. Cite peers/sites/ + this pack for Modeling v0.9a.</t>
        </is>
      </c>
      <c r="E11" s="1" t="inlineStr">
        <is>
          <t>Contract price yes; powered MW no.</t>
        </is>
      </c>
    </row>
    <row r="12">
      <c r="A12" t="n">
        <v>11</v>
      </c>
      <c r="B12" s="1" t="inlineStr">
        <is>
          <t>Lambda</t>
        </is>
      </c>
      <c r="C12" s="1" t="inlineStr">
        <is>
          <t>Caveat</t>
        </is>
      </c>
      <c r="D12" s="1" t="inlineStr">
        <is>
          <t>Bloomberg ~$1B Aug-28 private debt may be the Oct-1 $1.008B IG DDTL; not summed into PX08.</t>
        </is>
      </c>
      <c r="E12" s="1" t="inlineStr"/>
    </row>
    <row r="13">
      <c r="A13" t="n">
        <v>12</v>
      </c>
      <c r="B13" s="1" t="inlineStr">
        <is>
          <t>Lambda</t>
        </is>
      </c>
      <c r="C13" s="1" t="inlineStr">
        <is>
          <t>Caveat</t>
        </is>
      </c>
      <c r="D13" s="1" t="inlineStr">
        <is>
          <t>Kansas City (Project Blitz) site status: peers/sites/ — Active L/B/H 0/12/24, Grade Yellow, no go-live confirmation as of 2026-10-04.</t>
        </is>
      </c>
      <c r="E13" s="1" t="inlineStr"/>
    </row>
    <row r="14">
      <c r="A14" t="n">
        <v>13</v>
      </c>
      <c r="B14" s="1" t="inlineStr">
        <is>
          <t>Crusoe</t>
        </is>
      </c>
      <c r="C14" s="1" t="inlineStr">
        <is>
          <t>Caveat</t>
        </is>
      </c>
      <c r="D14" s="1" t="inlineStr">
        <is>
          <t>Abilene evidenced-active IT MW is in peers/sites/ (and C37 here). Count once under Crusoe; Oracle's own key site is Port Washington WI (0 active).</t>
        </is>
      </c>
      <c r="E14" s="1" t="inlineStr">
        <is>
          <t>Avoid double-counting Stargate.</t>
        </is>
      </c>
    </row>
    <row r="15">
      <c r="A15" t="n">
        <v>14</v>
      </c>
      <c r="B15" s="1" t="inlineStr">
        <is>
          <t>All</t>
        </is>
      </c>
      <c r="C15" s="1" t="inlineStr">
        <is>
          <t>Method</t>
        </is>
      </c>
      <c r="D15" s="1" t="inlineStr">
        <is>
          <t>D rows from press inputs show 'inputs P' and should be read as press quality.</t>
        </is>
      </c>
      <c r="E15" s="1" t="inlineStr"/>
    </row>
    <row r="16">
      <c r="A16" t="n">
        <v>15</v>
      </c>
      <c r="B16" s="1" t="inlineStr">
        <is>
          <t>Nscale</t>
        </is>
      </c>
      <c r="C16" s="1" t="inlineStr">
        <is>
          <t>Watch</t>
        </is>
      </c>
      <c r="D16" s="1" t="inlineStr">
        <is>
          <t>S-1/A with price range; Q3 stub that quantifies active MW; Anthropic financing close; WVDEP final air permit R14-0042; Monarch vertical construction / first roofs on Sentinel-2.</t>
        </is>
      </c>
      <c r="E16" s="1" t="inlineStr">
        <is>
          <t>EDGAR + peers/sites refresh.</t>
        </is>
      </c>
    </row>
    <row r="17">
      <c r="A17" t="n">
        <v>16</v>
      </c>
      <c r="B17" s="1" t="inlineStr">
        <is>
          <t>Nscale</t>
        </is>
      </c>
      <c r="C17" s="1" t="inlineStr">
        <is>
          <t>Watch</t>
        </is>
      </c>
      <c r="D17" s="1" t="inlineStr">
        <is>
          <t>IPO pricing talk (~Oct-15, ~$3B raise, ~$35B val) remains P/unconfirmed; no price range in S-1. EDGAR re-check 2026-10-05: no S-1/A yet.</t>
        </is>
      </c>
      <c r="E17" s="1" t="inlineStr">
        <is>
          <t>NS-EDGAR2</t>
        </is>
      </c>
    </row>
    <row r="18">
      <c r="A18" t="n">
        <v>17</v>
      </c>
      <c r="B18" s="1" t="inlineStr">
        <is>
          <t>Lambda</t>
        </is>
      </c>
      <c r="C18" s="1" t="inlineStr">
        <is>
          <t>Watch</t>
        </is>
      </c>
      <c r="D18" s="1" t="inlineStr">
        <is>
          <t>Public DRS/S-1 (IPO now targeted 2027 per WSJ 10/6); close of the up-to-$4B round at $14.5B pre-money (WSJ talks, not closed; supersedes Bloomberg $3B/$12B+); KC Blitz energization confirmation; debt outstanding balance.</t>
        </is>
      </c>
      <c r="E18" s="1" t="inlineStr">
        <is>
          <t>LM-WSJ4B</t>
        </is>
      </c>
    </row>
    <row r="19">
      <c r="A19" t="n">
        <v>18</v>
      </c>
      <c r="B19" s="1" t="inlineStr">
        <is>
          <t>Crusoe</t>
        </is>
      </c>
      <c r="C19" s="1" t="inlineStr">
        <is>
          <t>Watch</t>
        </is>
      </c>
      <c r="D19" s="1" t="inlineStr">
        <is>
          <t>Final pricing on Iceland GPU DDTL (Octus talk S+475-500); any financial statements or Form D updates; Abilene B7-8 delivery (618 of ~824 MW delivered per Oracle Sep 10; peers/sites YE26 618/721/824).</t>
        </is>
      </c>
      <c r="E19"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2026-10-09T03:13:59Z</dcterms:created>
  <dcterms:modified xmlns:dcterms="http://purl.org/dc/terms/" xmlns:xsi="http://www.w3.org/2001/XMLSchema-instance" xsi:type="dcterms:W3CDTF">2026-10-09T03:13:59Z</dcterms:modified>
</cp:coreProperties>
</file>