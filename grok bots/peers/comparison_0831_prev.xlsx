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ison" sheetId="1" state="visible" r:id="rId3"/>
    <sheet name="README" sheetId="2" state="visible" r:id="rId4"/>
    <sheet name="Ranking" sheetId="3" state="visible" r:id="rId5"/>
    <sheet name="Nebius_Inputs" sheetId="4" state="visible" r:id="rId6"/>
    <sheet name="Contracts_$MWyr" sheetId="5" state="visible" r:id="rId7"/>
    <sheet name="Sites" sheetId="6" state="visible" r:id="rId8"/>
    <sheet name="Chart_Data" sheetId="7" state="visible" r:id="rId9"/>
    <sheet name="Charts" sheetId="8" state="visible" r:id="rId10"/>
    <sheet name="Peer_mem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<sst xmlns="http://schemas.openxmlformats.org/spreadsheetml/2006/main" count="2342" uniqueCount="905">
  <si>
    <t xml:space="preserve">Peer Comparison - Nebius vs CoreWeave, IREN (AI Cloud), Oracle OCI, Nscale, Lambda, Crusoe. Template KPI IDs/definitions (peers/coreweave/crwv_kpis.xlsx 'Definitions'; K41-K45 in peers/peer_kpi_template.py). Latest available period per peer; as-of shown per cell. Nebius cells are formulas on Nebius_Inputs. Private-peer values from peers/private/private_peers_values.json (Summary) with their tags. Built 2026-10-04 ET by peers/build_comparison.py.</t>
  </si>
  <si>
    <t xml:space="preserve">ID</t>
  </si>
  <si>
    <t xml:space="preserve">KPI</t>
  </si>
  <si>
    <t xml:space="preserve">Unit</t>
  </si>
  <si>
    <t xml:space="preserve">Nebius</t>
  </si>
  <si>
    <t xml:space="preserve">Tag</t>
  </si>
  <si>
    <t xml:space="preserve">As of</t>
  </si>
  <si>
    <t xml:space="preserve">CoreWeave</t>
  </si>
  <si>
    <t xml:space="preserve">IREN</t>
  </si>
  <si>
    <t xml:space="preserve">Oracle OCI</t>
  </si>
  <si>
    <t xml:space="preserve">Nscale</t>
  </si>
  <si>
    <t xml:space="preserve">Lambda</t>
  </si>
  <si>
    <t xml:space="preserve">Crusoe</t>
  </si>
  <si>
    <t xml:space="preserve">Peer median (formula; comparable peers)</t>
  </si>
  <si>
    <t xml:space="preserve">Nebius better / worse</t>
  </si>
  <si>
    <t xml:space="preserve">Reason (auto numbers + interpretation)</t>
  </si>
  <si>
    <t xml:space="preserve">Nebius basis note</t>
  </si>
  <si>
    <t xml:space="preserve">Peer basis comment</t>
  </si>
  <si>
    <t xml:space="preserve">K01</t>
  </si>
  <si>
    <t xml:space="preserve">Revenue per active MW - period-end reported MW</t>
  </si>
  <si>
    <t xml:space="preserve">$M/MW-yr</t>
  </si>
  <si>
    <t xml:space="preserve">E</t>
  </si>
  <si>
    <t xml:space="preserve">Jun-26</t>
  </si>
  <si>
    <t xml:space="preserve">Derived</t>
  </si>
  <si>
    <t xml:space="preserve">n/d</t>
  </si>
  <si>
    <t xml:space="preserve">D</t>
  </si>
  <si>
    <t xml:space="preserve">2026-06-30</t>
  </si>
  <si>
    <t xml:space="preserve">D (inputs P)</t>
  </si>
  <si>
    <t xml:space="preserve">2025-06-30</t>
  </si>
  <si>
    <t xml:space="preserve">E (inputs P/R)</t>
  </si>
  <si>
    <t xml:space="preserve">2026-09-17</t>
  </si>
  <si>
    <t xml:space="preserve">Better</t>
  </si>
  <si>
    <t xml:space="preserve">Nebius 13.29 vs peer median 6.87 (range Crusoe 2.00 - Lambda 9.70; n=5); higher revenue density per energized MW (Nebius MW is a Capacity estimate; mixed IT/gross basis)</t>
  </si>
  <si>
    <t xml:space="preserve">Q2'26 AI cloud rev x4 / Jun-26 energized MW (173, Capacity est.)</t>
  </si>
  <si>
    <t xml:space="preserve">Basis differs: CRWV IT-like active MW; IREN 40 MW AI (basis unstated); Oracle no installed MW; Nscale IT MW at 5 active sites (H1'26 x2); Lambda Q2'25 (press MW); Crusoe FY26E rev / ~1 GW GROSS.</t>
  </si>
  <si>
    <t xml:space="preserve">K02</t>
  </si>
  <si>
    <t xml:space="preserve">Revenue per active MW - average MW (2024 uses interpolated MW)</t>
  </si>
  <si>
    <t xml:space="preserve">Estimated</t>
  </si>
  <si>
    <t xml:space="preserve">Sep-25</t>
  </si>
  <si>
    <t xml:space="preserve">Nebius 13.35 vs peer median 9.36 (range CoreWeave 8.24 - IREN 10.48; n=2); same on average MW - the fixed, comparable figure; Blackwell-heavy, mostly new fleet lifts density</t>
  </si>
  <si>
    <t xml:space="preserve">FIXED: average MW (171.5+173)/2, replaces old 13.7 on stale YE25 170 MW</t>
  </si>
  <si>
    <t xml:space="preserve">K02b</t>
  </si>
  <si>
    <t xml:space="preserve">Revenue per BILLING IT MW - average MW (Capacity billing path)</t>
  </si>
  <si>
    <t xml:space="preserve">Nebius billed-IT basis (Capacity) vs CoreWeave active (≈billed); other peers n/d billed MW</t>
  </si>
  <si>
    <t xml:space="preserve">NEW: billed-IT twin of K02 for slide alignment with Street $/billed MW test</t>
  </si>
  <si>
    <t xml:space="preserve">K03</t>
  </si>
  <si>
    <t xml:space="preserve">Revenue per contracted MW</t>
  </si>
  <si>
    <t xml:space="preserve">2026-08-31</t>
  </si>
  <si>
    <t xml:space="preserve">Nebius 0.66 vs peer median 0.33 (range Nscale 0.21 - CoreWeave 2.78; n=3); monetises contracted power faster? Nebius has far more unbuilt contracted MW than CRWV</t>
  </si>
  <si>
    <t xml:space="preserve">&gt;3.5 GW is a lower bound -&gt; value is an upper bound</t>
  </si>
  <si>
    <t xml:space="preserve">K04</t>
  </si>
  <si>
    <t xml:space="preserve">Contracted / active MW (build-out multiple)</t>
  </si>
  <si>
    <t xml:space="preserve">x</t>
  </si>
  <si>
    <t xml:space="preserve">Context</t>
  </si>
  <si>
    <t xml:space="preserve">Nebius 20.23 vs peer median 6.00 (range CoreWeave 2.47 - Nscale 16.91; n=3); build-out multiple: big growth runway but heavy execution/funding need (context, not scored)</t>
  </si>
  <si>
    <t xml:space="preserve">K05</t>
  </si>
  <si>
    <t xml:space="preserve">Adj. EBITDA per active MW (average MW)</t>
  </si>
  <si>
    <t xml:space="preserve">Nebius 6.63 vs peer median -0.04 (range Nscale -4.92 - CoreWeave 4.83; n=2); segment adj. EBITDA per MW well above CRWV-style peers</t>
  </si>
  <si>
    <t xml:space="preserve">AI cloud segment adj. EBITDA</t>
  </si>
  <si>
    <t xml:space="preserve">K06</t>
  </si>
  <si>
    <t xml:space="preserve">Revenue per GPU ($K per GPU-year, avg GPUs)</t>
  </si>
  <si>
    <t xml:space="preserve">$K/GPU-yr</t>
  </si>
  <si>
    <t xml:space="preserve">Nebius 28.73 vs peer median 14.60 (range Nscale 11.25 - Lambda 18.24; n=4); revenue per (modeled) GPU</t>
  </si>
  <si>
    <t xml:space="preserve">modeled GPUs</t>
  </si>
  <si>
    <t xml:space="preserve">IREN latest Q3'25. Lambda/Nscale ESTIMATED from GPU counts.</t>
  </si>
  <si>
    <t xml:space="preserve">K07</t>
  </si>
  <si>
    <t xml:space="preserve">Implied blended realized price ($/GPU-hr)</t>
  </si>
  <si>
    <t xml:space="preserve">$/GPU-hr</t>
  </si>
  <si>
    <t xml:space="preserve">Nebius 3.29 vs peer median 1.66 (range Nscale 1.29 - Lambda 2.09; n=4); realized $/GPU-hr above peers (modeled GPU base; includes non-GPU revenue)</t>
  </si>
  <si>
    <t xml:space="preserve">incl. non-GPU-hour revenue</t>
  </si>
  <si>
    <t xml:space="preserve">Nebius realized $3.29 includes non-GPU-hour revenue and uses modeled GPUs.</t>
  </si>
  <si>
    <t xml:space="preserve">K08</t>
  </si>
  <si>
    <t xml:space="preserve">Fleet-weighted on-demand list price ($/GPU-hr)</t>
  </si>
  <si>
    <t xml:space="preserve">R</t>
  </si>
  <si>
    <t xml:space="preserve">2025-06-16</t>
  </si>
  <si>
    <t xml:space="preserve">2026-10-04</t>
  </si>
  <si>
    <t xml:space="preserve">Nebius 5.57 vs peer median 3.45 (range IREN 2.00 - CoreWeave 9.20; n=4); list-price context</t>
  </si>
  <si>
    <t xml:space="preserve">K09</t>
  </si>
  <si>
    <t xml:space="preserve">Implied utilization (realized $/GPU-hr / weighted list)</t>
  </si>
  <si>
    <t xml:space="preserve">%</t>
  </si>
  <si>
    <t xml:space="preserve">Nebius 59.03 vs peer median 43.94 (range CoreWeave 18.06 - Lambda 69.83; n=2); price-based 'utilization' (mixes discount with use); not physical utilization</t>
  </si>
  <si>
    <t xml:space="preserve">Not like-for-like (see NONCOMP list in README).; Excluded from median: IREN: vs IREN's own $2.00 assumption, not list</t>
  </si>
  <si>
    <t xml:space="preserve">K10</t>
  </si>
  <si>
    <t xml:space="preserve">Cash capex per new active MW (reported MW)</t>
  </si>
  <si>
    <t xml:space="preserve">$M/MW</t>
  </si>
  <si>
    <t xml:space="preserve">n.m.</t>
  </si>
  <si>
    <t xml:space="preserve">May-26 (FQ4 FY26)</t>
  </si>
  <si>
    <t xml:space="preserve">n/a</t>
  </si>
  <si>
    <t xml:space="preserve">Nebius n/d. single-quarter capex/MW not meaningful for Nebius (+1.5 MW)</t>
  </si>
  <si>
    <t xml:space="preserve">MW added in Q2'26 only +1.5 (Capacity est.) -&gt; not meaningful</t>
  </si>
  <si>
    <t xml:space="preserve">K12</t>
  </si>
  <si>
    <t xml:space="preserve">In-service additions per new active MW (CRWV capex definition)</t>
  </si>
  <si>
    <t xml:space="preserve">Dec-25 (FY25)</t>
  </si>
  <si>
    <t xml:space="preserve">In line</t>
  </si>
  <si>
    <t xml:space="preserve">Nebius 19.68 vs peer median 18.70 (range CoreWeave 18.70 - CoreWeave 18.70; n=1); in-service $ per MW added (FY25 basis for Nebius)</t>
  </si>
  <si>
    <t xml:space="preserve">FY25 basis; quarterly n.m.</t>
  </si>
  <si>
    <t xml:space="preserve">K13</t>
  </si>
  <si>
    <t xml:space="preserve">Trailing-4Q cash capex per trailing-4Q new active MW</t>
  </si>
  <si>
    <t xml:space="preserve">Worse</t>
  </si>
  <si>
    <t xml:space="preserve">Nebius 87.05 vs peer median 33.18 (range CoreWeave 19.97 - Oracle OCI 46.39; n=2); capex per MW added is high because capex funds 2027 capacity (not-yet-in-use $7.8B)</t>
  </si>
  <si>
    <t xml:space="preserve">capex funds future (not-yet-in-use) capacity -&gt; inflated</t>
  </si>
  <si>
    <t xml:space="preserve">Oracle FY26 capex / delivered MW (E). Nscale/Lambda/Crusoe n/d.</t>
  </si>
  <si>
    <t xml:space="preserve">K14</t>
  </si>
  <si>
    <t xml:space="preserve">Net PP&amp;E per active MW (EoP)</t>
  </si>
  <si>
    <t xml:space="preserve">2025-05-21</t>
  </si>
  <si>
    <t xml:space="preserve">Nebius 75.41 vs peer median 50.93 (range CoreWeave 31.16 - Nscale 70.71; n=2); net PP&amp;E per active MW inflated by construction-in-progress</t>
  </si>
  <si>
    <t xml:space="preserve">incl. $7.8B not yet in use</t>
  </si>
  <si>
    <t xml:space="preserve">Crusoe 12.5 = Abilene JV shell+power only (excluded from median).; Excluded from median: Crusoe: shell+power only (ex-GPU)</t>
  </si>
  <si>
    <t xml:space="preserve">K15</t>
  </si>
  <si>
    <t xml:space="preserve">Gross in-service PP&amp;E per active MW (EoP)</t>
  </si>
  <si>
    <t xml:space="preserve">Nebius 36.49 vs peer median 23.98 (range Nscale 20.83 - CoreWeave 27.14; n=2); gross in-service PP&amp;E per MW</t>
  </si>
  <si>
    <t xml:space="preserve">K16</t>
  </si>
  <si>
    <t xml:space="preserve">Useful life - technology equipment (GPUs/servers/network)</t>
  </si>
  <si>
    <t xml:space="preserve">years</t>
  </si>
  <si>
    <t xml:space="preserve">Reported</t>
  </si>
  <si>
    <t xml:space="preserve">Nebius 5.00 vs peer median 5.75 (range IREN 5.00 - CoreWeave 6.00; n=4); shorter life = more conservative accounting (Nebius moved 4-&gt;5 yrs in 2026; CRWV/Oracle 6)</t>
  </si>
  <si>
    <t xml:space="preserve">Lives: CRWV 6, Oracle 6, Nscale 5-6, IREN 5, Nebius 5 (from 2026).</t>
  </si>
  <si>
    <t xml:space="preserve">K17</t>
  </si>
  <si>
    <t xml:space="preserve">Depreciation yield (D&amp;A x4 / avg in-service gross PP&amp;E)</t>
  </si>
  <si>
    <t xml:space="preserve">Aug-26 (FQ1 FY27)</t>
  </si>
  <si>
    <t xml:space="preserve">Nebius 17.52 vs peer median 14.91 (range Oracle OCI 13.45 - Nscale 15.67; n=4); higher depreciation yield = more conservative</t>
  </si>
  <si>
    <t xml:space="preserve">group D&amp;A incl. amortization</t>
  </si>
  <si>
    <t xml:space="preserve">IREN incl. mining hardware; Oracle Aug-26 quarter; Nscale H1'26.</t>
  </si>
  <si>
    <t xml:space="preserve">K18</t>
  </si>
  <si>
    <t xml:space="preserve">Implied average depreciable life (1 / yield)</t>
  </si>
  <si>
    <t xml:space="preserve">Nebius 5.71 vs peer median 6.72 (range Nscale 6.38 - Oracle OCI 7.44; n=4); lower implied life = more conservative</t>
  </si>
  <si>
    <t xml:space="preserve">K19</t>
  </si>
  <si>
    <t xml:space="preserve">D&amp;A as % of revenue</t>
  </si>
  <si>
    <t xml:space="preserve">Nebius 45.17 vs peer median 67.89 (range Oracle OCI 12.59 - Nscale 123.76; n=4); D&amp;A burden context</t>
  </si>
  <si>
    <t xml:space="preserve">group D&amp;A / AI cloud revenue</t>
  </si>
  <si>
    <t xml:space="preserve">K20</t>
  </si>
  <si>
    <t xml:space="preserve">RPO (ASC 606, EoP)</t>
  </si>
  <si>
    <t xml:space="preserve">$B</t>
  </si>
  <si>
    <t xml:space="preserve">Nebius 37.49 vs peer median 80.05 (range IREN 5.10 - Oracle OCI 638.00; n=4); absolute size context</t>
  </si>
  <si>
    <t xml:space="preserve">Oracle RPO is company-wide incl. SaaS.</t>
  </si>
  <si>
    <t xml:space="preserve">K21</t>
  </si>
  <si>
    <t xml:space="preserve">Revenue backlog (company metric, EoP)</t>
  </si>
  <si>
    <t xml:space="preserve">Nebius n/d. company backlog metric (context)</t>
  </si>
  <si>
    <t xml:space="preserve">Not disclosed in Nebius filings / not computable on the same definition</t>
  </si>
  <si>
    <t xml:space="preserve">Crusoe/Nscale company TCV metrics (not ASC 606).; Excluded from median: Crusoe: company TCV metric</t>
  </si>
  <si>
    <t xml:space="preserve">K22</t>
  </si>
  <si>
    <t xml:space="preserve">RPO % recognized within 24 months</t>
  </si>
  <si>
    <t xml:space="preserve">2025-12-31</t>
  </si>
  <si>
    <t xml:space="preserve">Nebius 36.00 vs peer median 35.00 (range Nscale 16.00 - IREN 43.10; n=4); share of RPO converting within 24m</t>
  </si>
  <si>
    <t xml:space="preserve">K23</t>
  </si>
  <si>
    <t xml:space="preserve">RPO / annualized quarterly revenue</t>
  </si>
  <si>
    <t xml:space="preserve">Nebius 16.30 vs peer median 14.07 (range Oracle OCI 8.31 - Nscale 200.57; n=4); backlog coverage of current run-rate</t>
  </si>
  <si>
    <t xml:space="preserve">Nscale 201 yrs: tiny H1'26 revenue vs $56.4B RPO (pre-ramp).</t>
  </si>
  <si>
    <t xml:space="preserve">K24</t>
  </si>
  <si>
    <t xml:space="preserve">Largest customer % of revenue</t>
  </si>
  <si>
    <t xml:space="preserve">Nebius 24.00 vs peer median 44.00 (range CoreWeave 36.00 - Nscale 52.00; n=2); lower concentration is better</t>
  </si>
  <si>
    <t xml:space="preserve">Customer C (unnamed)</t>
  </si>
  <si>
    <t xml:space="preserve">Nscale H1'26 largest customer 52%. Lambda: Amazon+Microsoft 50% (K26, press).</t>
  </si>
  <si>
    <t xml:space="preserve">K25</t>
  </si>
  <si>
    <t xml:space="preserve">2nd-largest customer %</t>
  </si>
  <si>
    <t xml:space="preserve">Nebius 21.00 vs peer median 26.00 (range CoreWeave 26.00 - CoreWeave 26.00; n=1); lower is better</t>
  </si>
  <si>
    <t xml:space="preserve">K26</t>
  </si>
  <si>
    <t xml:space="preserve">Top-N &gt;=10% customers combined %</t>
  </si>
  <si>
    <t xml:space="preserve">P</t>
  </si>
  <si>
    <t xml:space="preserve">Nebius 59.00 vs peer median 61.00 (range Lambda 50.00 - CoreWeave 72.00; n=2); lower combined concentration is better</t>
  </si>
  <si>
    <t xml:space="preserve">K27</t>
  </si>
  <si>
    <t xml:space="preserve">Number of customers &gt;=10% of revenue</t>
  </si>
  <si>
    <t xml:space="preserve">#</t>
  </si>
  <si>
    <t xml:space="preserve">Nebius 3.00 vs peer median 1.50 (range Oracle OCI 0.00 - CoreWeave 3.00; n=2); fewer &gt;=10% customers is better</t>
  </si>
  <si>
    <t xml:space="preserve">K28</t>
  </si>
  <si>
    <t xml:space="preserve">Weighted effective cost of debt (principal-weighted, EoP) - all facilities</t>
  </si>
  <si>
    <t xml:space="preserve">Nebius 5.10 vs peer median 4.83 (range IREN 1.85 - CoreWeave 8.41; n=3); cheaper debt (converts-heavy) is better</t>
  </si>
  <si>
    <t xml:space="preserve">Nscale 18.7% on legacy $137M (excluded from median); marginal secured: Nscale ~6.25% E, Lambda 6.78% R, Crusoe ~9.1% E (PX09).; Excluded from median: Nscale: legacy $137M debt; marginal secured ~6.25% E (PX09)</t>
  </si>
  <si>
    <t xml:space="preserve">K29</t>
  </si>
  <si>
    <t xml:space="preserve">  of which DDTL - weighted eff. rate</t>
  </si>
  <si>
    <t xml:space="preserve">2026-10-01</t>
  </si>
  <si>
    <t xml:space="preserve">E (inputs P)</t>
  </si>
  <si>
    <t xml:space="preserve">2026-09-10</t>
  </si>
  <si>
    <t xml:space="preserve">Nebius n/d. facility-level rate (context)</t>
  </si>
  <si>
    <t xml:space="preserve">K34</t>
  </si>
  <si>
    <t xml:space="preserve">  of which Other term loans - weighted eff. rate</t>
  </si>
  <si>
    <t xml:space="preserve">2026-02-20</t>
  </si>
  <si>
    <t xml:space="preserve">K35</t>
  </si>
  <si>
    <t xml:space="preserve">DDTL (secured asset-level) share of principal</t>
  </si>
  <si>
    <t xml:space="preserve">Nebius n/d. structure context</t>
  </si>
  <si>
    <t xml:space="preserve">K36</t>
  </si>
  <si>
    <t xml:space="preserve">Implied cash cost: contractual interest x4 / avg principal</t>
  </si>
  <si>
    <t xml:space="preserve">Nebius 5.61 vs peer median 6.08 (range IREN 1.71 - Nscale 22.19; n=4); lower cash cost of debt is better</t>
  </si>
  <si>
    <t xml:space="preserve">P&amp;L interest (incl. convert accretion) / avg carrying debt</t>
  </si>
  <si>
    <t xml:space="preserve">IREN finance expense incl. amortization; Oracle interest/avg carrying.</t>
  </si>
  <si>
    <t xml:space="preserve">K37</t>
  </si>
  <si>
    <t xml:space="preserve">Company-reported weighted average interest rate</t>
  </si>
  <si>
    <t xml:space="preserve">Nebius n/d. company-reported rate</t>
  </si>
  <si>
    <t xml:space="preserve">K38</t>
  </si>
  <si>
    <t xml:space="preserve">Total debt principal (EoP)</t>
  </si>
  <si>
    <t xml:space="preserve">Nebius 8.55 vs peer median 21.63 (range Nscale 0.14 - Oracle OCI 129.54; n=4); size context</t>
  </si>
  <si>
    <t xml:space="preserve">carrying value (not principal)</t>
  </si>
  <si>
    <t xml:space="preserve">K39</t>
  </si>
  <si>
    <t xml:space="preserve">Debt principal / RPO</t>
  </si>
  <si>
    <t xml:space="preserve">Nebius 0.23 vs peer median 0.27 (range Nscale 0.00 - IREN 1.51; n=4); lower debt per $ of backlog is better</t>
  </si>
  <si>
    <t xml:space="preserve">K40</t>
  </si>
  <si>
    <t xml:space="preserve">Capitalized interest % of contractual interest</t>
  </si>
  <si>
    <t xml:space="preserve">Nebius 25.24 vs peer median 6.67 (range Nscale 0.00 - CoreWeave 13.34; n=2); high capitalized share flatters P&amp;L interest</t>
  </si>
  <si>
    <t xml:space="preserve">K41</t>
  </si>
  <si>
    <t xml:space="preserve">Company-reported GPU utilization (physical)</t>
  </si>
  <si>
    <t xml:space="preserve">Nebius n/d. physical utilization (Oracle only)</t>
  </si>
  <si>
    <t xml:space="preserve">K42</t>
  </si>
  <si>
    <t xml:space="preserve">RPO % recognized within 12 months</t>
  </si>
  <si>
    <t xml:space="preserve">Nebius n/d. n/d for Nebius (24m bucket only)</t>
  </si>
  <si>
    <t xml:space="preserve">K43</t>
  </si>
  <si>
    <t xml:space="preserve">Incremental annualized revenue per incremental MW (YoY)</t>
  </si>
  <si>
    <t xml:space="preserve">Nebius 15.04 vs peer median 6.81 (range CoreWeave 5.29 - Oracle OCI 9.31; n=3); marginal revenue per new MW</t>
  </si>
  <si>
    <t xml:space="preserve">Oracle allocates all incremental OCI revenue to delivered AI MW (E).</t>
  </si>
  <si>
    <t xml:space="preserve">K44</t>
  </si>
  <si>
    <t xml:space="preserve">Annualized revenue / avg gross GPU-compute hardware in service</t>
  </si>
  <si>
    <t xml:space="preserve">Nebius 0.47 vs peer median 0.27 (range IREN 0.20 - CoreWeave 0.34; n=2); asset turn on GPU hardware</t>
  </si>
  <si>
    <t xml:space="preserve">server &amp; network equipment (GPU hardware) basis</t>
  </si>
  <si>
    <t xml:space="preserve">CRWV denominator = technology equipment (broader than GPUs).</t>
  </si>
  <si>
    <t xml:space="preserve">K45</t>
  </si>
  <si>
    <t xml:space="preserve">Segment gross margin (revenue - cost of revenue excl. D&amp;A) / revenue</t>
  </si>
  <si>
    <t xml:space="preserve">Nebius n/d. segment gross margin (n/d for Nebius)</t>
  </si>
  <si>
    <t xml:space="preserve">Colours: blue = Reported, purple = Press-reported (P, new for private peers), black = Derived, orange = Estimated, grey = n/d / n.m.; yellow fill = shown but excluded from the peer median (not same definition). Composite tags such as 'D (inputs P)' are kept verbatim from private_peers.</t>
  </si>
  <si>
    <t xml:space="preserve">Flag rule: Nebius vs MEDIAN of comparable peer values (all 6 peers, latest available period). Better/Worse if &gt; 10% away in the favourable/unfavourable direction, In line otherwise; 'Context' rows are not scored (size, build-out multiple, list price, structure).</t>
  </si>
  <si>
    <t xml:space="preserve">Periods: CRWV/IREN Jun-26; Oracle May-26 (FQ4 FY26) or Aug-26 where May n/d; Nscale H1'26 / Aug-26; Lambda mostly Q2'25 (press, no filings); Crusoe Sep-26 (FY26E revenue, GROSS MW). Mixed vintages: treat Lambda/Crusoe as directional.</t>
  </si>
  <si>
    <t xml:space="preserve">Nebius MW: Capacity &amp; Power base-case energized MW (Estimated, mixed IT/gross). K02 now uses AVERAGE MW (172.25) - the old Comparison used group revenue on YE25 170 MW (13.7). New K02 = 13.35 E.</t>
  </si>
  <si>
    <t xml:space="preserve">Sites: see 'Sites' tab (peers/sites/sites.xlsx + capacity/site_verification.md) for announced vs contracted vs evidenced-active MW.</t>
  </si>
  <si>
    <t xml:space="preserve">Peer comparison workbook (step 5, final) - built 2026-10-04 ET by /workspace/nebius/peers/build_comparison.py</t>
  </si>
  <si>
    <t xml:space="preserve">Tabs: Comparison (7 companies x 40 template KPIs, value/tag/as-of, peer median, Nebius better/worse + reason) | Ranking | Nebius_Inputs (sources; Comparison Nebius cells are live formulas) | Contracts_$MWyr | Sites | Chart_Data + Charts (native Excel) | Peer_memos.</t>
  </si>
  <si>
    <t xml:space="preserve">Tags: R Reported, P Press-reported (new, private peers), D Derived, E Estimated, n/d not disclosed, n.m. not meaningful. Derived tag = weakest input. Private-peer composite tags kept verbatim.</t>
  </si>
  <si>
    <t xml:space="preserve">Nebius rev/MW FIX: old Comparison K01 13.7 = Q2'26 group revenue x4 / YE25 170 MW (stale). Now K01 = AI cloud revenue x4 / Jun-26 energized 173 MW = 13.29 E and K02 = x4 / AVERAGE(171.5, 173) = 13.35 E (Capacity &amp; Power base case incl. plug; identified sites 152-194 at Jun-26). Same definitions as peers' K01/K02.</t>
  </si>
  <si>
    <t xml:space="preserve">Inputs read (not edited): peers/coreweave|iren|oracle/*_kpis.xlsx; peers/private/private_peers_values.json; parts/contract_economics.xlsx (GPU Market agent's contract table - market/ and nebius_market.xlsx hold no contract data); filings/nebius_filings.xlsx + nebius_kpi_history.xlsx; shared/findings_log.xlsx; capacity/nebius_capacity.xlsx + site_list.xlsx + site_verification.md; peers/sites/sites.xlsx + site_verification.md.</t>
  </si>
  <si>
    <t xml:space="preserve">Charts: PNGs in /workspace/nebius/peers/charts/ (peers/build_charts.py reads this workbook's recalculated values).</t>
  </si>
  <si>
    <t xml:space="preserve">Recalc: python3 /workspace/nebius/model/recalc.py peers/comparison.xlsx (LibreOffice) -&gt; copy /tmp/rc/comparison.xlsx back; 0 errors required.</t>
  </si>
  <si>
    <t xml:space="preserve">K02b ADDED 2026-10-05 (Peer KPIs): Revenue per average BILLING IT MW. Nebius uses Capacity billing path (Q1/Q2'26). CoreWeave active≈billed so K02b=K02. Microsoft ACV: quote $11.6 / ~$14.5 / $17.1 (stated / gross-read / GPU-derived) — see Nebius_Inputs NOTE_1417 and peers/price_or_mw.xlsx Nebius_Check.</t>
  </si>
  <si>
    <t xml:space="preserve">Where Nebius is better / worse - ranked by signed gap vs comparable-peer median (positive = favourable to Nebius). Context and n/a rows listed last.</t>
  </si>
  <si>
    <t xml:space="preserve">Rank</t>
  </si>
  <si>
    <t xml:space="preserve">Flag</t>
  </si>
  <si>
    <t xml:space="preserve">Peer median</t>
  </si>
  <si>
    <t xml:space="preserve">Signed gap % (favourable +; vs max(|median|, mean |peer|), computed at build)</t>
  </si>
  <si>
    <t xml:space="preserve">Reason</t>
  </si>
  <si>
    <t xml:space="preserve">Revenue per BILLING IT MW - average MW</t>
  </si>
  <si>
    <t xml:space="preserve">NEW billed-IT twin of K02</t>
  </si>
  <si>
    <t xml:space="preserve">Nebius inputs for the Comparison tab (Q2'26 = quarter ended 30-Jun-2026 unless stated). Comparison Nebius cells are live formulas on column C.</t>
  </si>
  <si>
    <t xml:space="preserve">Item</t>
  </si>
  <si>
    <t xml:space="preserve">Value</t>
  </si>
  <si>
    <t xml:space="preserve">Source (Nebius workspace file / row)</t>
  </si>
  <si>
    <t xml:space="preserve">N01</t>
  </si>
  <si>
    <t xml:space="preserve">AI cloud segment revenue Q2'26</t>
  </si>
  <si>
    <t xml:space="preserve">$M</t>
  </si>
  <si>
    <t xml:space="preserve">filings/nebius_filings.xlsx Quarterly 'Segment revenue - Nebius AI cloud'; 6-K 2026-08-12</t>
  </si>
  <si>
    <t xml:space="preserve">N02</t>
  </si>
  <si>
    <t xml:space="preserve">AI cloud segment revenue Q2'25</t>
  </si>
  <si>
    <t xml:space="preserve">filings/nebius_filings.xlsx Quarterly</t>
  </si>
  <si>
    <t xml:space="preserve">N03</t>
  </si>
  <si>
    <t xml:space="preserve">Group revenue Q2'26 (memo)</t>
  </si>
  <si>
    <t xml:space="preserve">N04</t>
  </si>
  <si>
    <t xml:space="preserve">AI cloud adj. EBITDA Q2'26</t>
  </si>
  <si>
    <t xml:space="preserve">N05</t>
  </si>
  <si>
    <t xml:space="preserve">D&amp;A Q2'26 (group)</t>
  </si>
  <si>
    <t xml:space="preserve">N06</t>
  </si>
  <si>
    <t xml:space="preserve">Cash capex Q3'25</t>
  </si>
  <si>
    <t xml:space="preserve">N07</t>
  </si>
  <si>
    <t xml:space="preserve">Cash capex Q4'25</t>
  </si>
  <si>
    <t xml:space="preserve">N08</t>
  </si>
  <si>
    <t xml:space="preserve">Cash capex Q1'26</t>
  </si>
  <si>
    <t xml:space="preserve">N09</t>
  </si>
  <si>
    <t xml:space="preserve">Cash capex Q2'26</t>
  </si>
  <si>
    <t xml:space="preserve">N10</t>
  </si>
  <si>
    <t xml:space="preserve">PP&amp;E net 30-Jun-26</t>
  </si>
  <si>
    <t xml:space="preserve">N11</t>
  </si>
  <si>
    <t xml:space="preserve">Gross in-service PP&amp;E 31-Mar-26 (gross 7,976.6 - not yet in use 2,427.9)</t>
  </si>
  <si>
    <t xml:space="preserve">filings/nebius_kpi_history.xlsx KPI row 26 (Q1'26 interim FS Note 7)</t>
  </si>
  <si>
    <t xml:space="preserve">N12</t>
  </si>
  <si>
    <t xml:space="preserve">Gross in-service PP&amp;E 30-Jun-26 (gross 14,149.5 - not yet in use 7,836.4)</t>
  </si>
  <si>
    <t xml:space="preserve">filings/nebius_kpi_history.xlsx KPI row 26 (Q2'26 interim FS Note 7)</t>
  </si>
  <si>
    <t xml:space="preserve">N13</t>
  </si>
  <si>
    <t xml:space="preserve">Server &amp; network equipment gross 31-Mar-26</t>
  </si>
  <si>
    <t xml:space="preserve">filings/nebius_kpi_history.xlsx KPI row 23</t>
  </si>
  <si>
    <t xml:space="preserve">N14</t>
  </si>
  <si>
    <t xml:space="preserve">Server &amp; network equipment gross 30-Jun-26</t>
  </si>
  <si>
    <t xml:space="preserve">N15</t>
  </si>
  <si>
    <t xml:space="preserve">Energized MW 30-Jun-25 (Capacity base case)</t>
  </si>
  <si>
    <t xml:space="preserve">MW</t>
  </si>
  <si>
    <t xml:space="preserve">filings/nebius_kpi_history.xlsx KPI row 28 (capacity/nebius_capacity.xlsx Quarterly MW; mixed IT/gross basis)</t>
  </si>
  <si>
    <t xml:space="preserve">N16</t>
  </si>
  <si>
    <t xml:space="preserve">Energized MW 31-Mar-26 (Capacity base case incl. plug)</t>
  </si>
  <si>
    <t xml:space="preserve">filings/nebius_kpi_history.xlsx KPI row 28</t>
  </si>
  <si>
    <t xml:space="preserve">N17</t>
  </si>
  <si>
    <t xml:space="preserve">Energized MW 30-Jun-26 (Capacity base case incl. plug)</t>
  </si>
  <si>
    <t xml:space="preserve">filings/nebius_kpi_history.xlsx KPI row 28 (identified sites low 152 / high 194)</t>
  </si>
  <si>
    <t xml:space="preserve">N18</t>
  </si>
  <si>
    <t xml:space="preserve">Active MW as stated by mgmt, YE25 (memo; old K01 basis)</t>
  </si>
  <si>
    <t xml:space="preserve">filings MW_Disclosures: Q4'25 letter '~170 MW of active power'</t>
  </si>
  <si>
    <t xml:space="preserve">N19</t>
  </si>
  <si>
    <t xml:space="preserve">Contracted power (&gt;3.5 GW, May-26; YE26 target 5 GW)</t>
  </si>
  <si>
    <t xml:space="preserve">filings MW_Disclosures: Q1'26 letter p.6 (lower bound)</t>
  </si>
  <si>
    <t xml:space="preserve">N20</t>
  </si>
  <si>
    <t xml:space="preserve">Average GPUs Q2'26 (modeled)</t>
  </si>
  <si>
    <t xml:space="preserve">GPUs</t>
  </si>
  <si>
    <t xml:space="preserve">filings/nebius_kpi_history.xlsx KPI row 53 (Capacity: MW x GPUs/MW; not a company count)</t>
  </si>
  <si>
    <t xml:space="preserve">N21</t>
  </si>
  <si>
    <t xml:space="preserve">Days in Q2'26</t>
  </si>
  <si>
    <t xml:space="preserve">days</t>
  </si>
  <si>
    <t xml:space="preserve">calendar</t>
  </si>
  <si>
    <t xml:space="preserve">N22</t>
  </si>
  <si>
    <t xml:space="preserve">Fleet-weighted on-demand list price Q2'26 avg</t>
  </si>
  <si>
    <t xml:space="preserve">filings/nebius_kpi_history.xlsx KPI row 50 (GPU Market list prices x Capacity GPU mix)</t>
  </si>
  <si>
    <t xml:space="preserve">N23</t>
  </si>
  <si>
    <t xml:space="preserve">RPO 30-Jun-26</t>
  </si>
  <si>
    <t xml:space="preserve">filings/nebius_filings.xlsx Quarterly; 100% AI cloud</t>
  </si>
  <si>
    <t xml:space="preserve">N24</t>
  </si>
  <si>
    <t xml:space="preserve">RPO % within 24 months</t>
  </si>
  <si>
    <t xml:space="preserve">shared/findings_log.xlsx row 32 (Q2'26 interim FS)</t>
  </si>
  <si>
    <t xml:space="preserve">N25</t>
  </si>
  <si>
    <t xml:space="preserve">Customer C % of Q2'26 revenue</t>
  </si>
  <si>
    <t xml:space="preserve">filings/nebius_filings.xlsx Quarterly concentration; Q2'26 interim FS Note 1 p.F-17</t>
  </si>
  <si>
    <t xml:space="preserve">N26</t>
  </si>
  <si>
    <t xml:space="preserve">Customer D %</t>
  </si>
  <si>
    <t xml:space="preserve">as above</t>
  </si>
  <si>
    <t xml:space="preserve">N27</t>
  </si>
  <si>
    <t xml:space="preserve">Customer E %</t>
  </si>
  <si>
    <t xml:space="preserve">N28</t>
  </si>
  <si>
    <t xml:space="preserve">Customers &gt;=10% of revenue</t>
  </si>
  <si>
    <t xml:space="preserve">N29</t>
  </si>
  <si>
    <t xml:space="preserve">Useful life servers &amp; network (from 1-Jan-26)</t>
  </si>
  <si>
    <t xml:space="preserve">filings D&amp;A_Policy (20-F FY25 p.56/F-15)</t>
  </si>
  <si>
    <t xml:space="preserve">N30</t>
  </si>
  <si>
    <t xml:space="preserve">Weighted effective cost of debt (converts + secured)</t>
  </si>
  <si>
    <t xml:space="preserve">shared/findings_log.xlsx row 51 (GPU Market &amp; Comps)</t>
  </si>
  <si>
    <t xml:space="preserve">N31</t>
  </si>
  <si>
    <t xml:space="preserve">Interest expense Q2'26 (net of capitalized; incl. accretion)</t>
  </si>
  <si>
    <t xml:space="preserve">filings FactBase row 21 (6-K 2026-08-12)</t>
  </si>
  <si>
    <t xml:space="preserve">N32</t>
  </si>
  <si>
    <t xml:space="preserve">Capitalized interest Q2'26</t>
  </si>
  <si>
    <t xml:space="preserve">shared/findings_log.xlsx row 137 / D&amp;A_Policy (Q2FS Note 12)</t>
  </si>
  <si>
    <t xml:space="preserve">N33</t>
  </si>
  <si>
    <t xml:space="preserve">Total debt carrying 31-Mar-26</t>
  </si>
  <si>
    <t xml:space="preserve">N34</t>
  </si>
  <si>
    <t xml:space="preserve">Total debt carrying 30-Jun-26</t>
  </si>
  <si>
    <t xml:space="preserve">filings/nebius_filings.xlsx Quarterly (accreted principal at maturity 10,041.8)</t>
  </si>
  <si>
    <t xml:space="preserve">N35</t>
  </si>
  <si>
    <t xml:space="preserve">Gross in-service PP&amp;E 31-Dec-24</t>
  </si>
  <si>
    <t xml:space="preserve">filings/nebius_kpi_history.xlsx KPI row 26</t>
  </si>
  <si>
    <t xml:space="preserve">N36</t>
  </si>
  <si>
    <t xml:space="preserve">Gross in-service PP&amp;E 31-Dec-25</t>
  </si>
  <si>
    <t xml:space="preserve">N37</t>
  </si>
  <si>
    <t xml:space="preserve">Energized MW 31-Dec-24</t>
  </si>
  <si>
    <t xml:space="preserve">N38</t>
  </si>
  <si>
    <t xml:space="preserve">Energized MW 31-Dec-25</t>
  </si>
  <si>
    <t xml:space="preserve">filings/nebius_kpi_history.xlsx KPI row 28 (ties to mgmt ~170)</t>
  </si>
  <si>
    <t xml:space="preserve">N_BILL_Q1</t>
  </si>
  <si>
    <t xml:space="preserve">Billing IT MW Q1'26 (Capacity row 147)</t>
  </si>
  <si>
    <t xml:space="preserve">capacity/nebius_capacity.xlsx</t>
  </si>
  <si>
    <t xml:space="preserve">N_BILL_Q2</t>
  </si>
  <si>
    <t xml:space="preserve">Billing IT MW Q2'26 (Capacity row 147)</t>
  </si>
  <si>
    <t xml:space="preserve">NOTE_1417</t>
  </si>
  <si>
    <t xml:space="preserve">Microsoft ACV alignment: $11.60 on stated 300 MW | ~$14.5 on Capacity gross→IT (~240) | $17.08 on GPU-derived 203.7 IT MW. Same contract, three readings.</t>
  </si>
  <si>
    <t xml:space="preserve">Hyperscaler / neocloud / AI-lab contract economics: implied $M per MW-yr = TCV / term / MW (8,760 h/yr for $/GPU-hr). 'Reused' rows are the GPU Market agent's entries in parts/contract_economics.xlsx (Deals/Normalized; nothing contract-related exists in market/ or nebius_market.xlsx) - cited, not re-researched; their values shown in cols R-T and checked vs ours in col U. 'New' rows added here with sources. Facility leases at the bottom are NOT compute prices (shell+power only). Never fabricated: n/d where undisclosed.</t>
  </si>
  <si>
    <t xml:space="preserve">Status</t>
  </si>
  <si>
    <t xml:space="preserve">Provider</t>
  </si>
  <si>
    <t xml:space="preserve">Customer</t>
  </si>
  <si>
    <t xml:space="preserve">Category</t>
  </si>
  <si>
    <t xml:space="preserve">Signed</t>
  </si>
  <si>
    <t xml:space="preserve">TCV ($M)</t>
  </si>
  <si>
    <t xml:space="preserve">TCV tag</t>
  </si>
  <si>
    <t xml:space="preserve">Term (yrs)</t>
  </si>
  <si>
    <t xml:space="preserve">MW (as stated)</t>
  </si>
  <si>
    <t xml:space="preserve">MW basis</t>
  </si>
  <si>
    <t xml:space="preserve">IT MW (normalized)</t>
  </si>
  <si>
    <t xml:space="preserve">IT MW method</t>
  </si>
  <si>
    <t xml:space="preserve">Chip</t>
  </si>
  <si>
    <t xml:space="preserve">GPU tag</t>
  </si>
  <si>
    <t xml:space="preserve">TCV / yr ($M)</t>
  </si>
  <si>
    <t xml:space="preserve">Market agent $M/MW-yr (stated MW)</t>
  </si>
  <si>
    <t xml:space="preserve">Market agent $M/IT MW-yr</t>
  </si>
  <si>
    <t xml:space="preserve">Market agent $/GPU-hr</t>
  </si>
  <si>
    <t xml:space="preserve">Check: ours - market ($M/MW-yr)</t>
  </si>
  <si>
    <t xml:space="preserve">$M per MW-yr (stated MW)</t>
  </si>
  <si>
    <t xml:space="preserve">$M per IT MW-yr</t>
  </si>
  <si>
    <t xml:space="preserve">$ per GPU-hr</t>
  </si>
  <si>
    <t xml:space="preserve">Source</t>
  </si>
  <si>
    <t xml:space="preserve">Notes / conflicts</t>
  </si>
  <si>
    <t xml:space="preserve">N1</t>
  </si>
  <si>
    <t xml:space="preserve">Reused</t>
  </si>
  <si>
    <t xml:space="preserve">Microsoft</t>
  </si>
  <si>
    <t xml:space="preserve">Neocloud-hyperscaler</t>
  </si>
  <si>
    <t xml:space="preserve">2025-09-08</t>
  </si>
  <si>
    <t xml:space="preserve">unlabeled (likely gross)</t>
  </si>
  <si>
    <t xml:space="preserve">D: 100k GB300 / 491 per IT MW</t>
  </si>
  <si>
    <t xml:space="preserve">GB300 NVL72 (P)</t>
  </si>
  <si>
    <t xml:space="preserve">P (floor)</t>
  </si>
  <si>
    <t xml:space="preserve">6-K 2025-09-08 (SEC) | parts/contract_economics.xlsx (GPU Market agent) Deals/Normalized N1</t>
  </si>
  <si>
    <t xml:space="preserve">Prepay-adjusted 18.56 / $4.32 (market). Capacity read of 300 MW as gross ~230-250 IT -&gt; 14.5 per IT MW (market Notes_Method).</t>
  </si>
  <si>
    <t xml:space="preserve">N1o</t>
  </si>
  <si>
    <t xml:space="preserve">Microsoft (incl. option)</t>
  </si>
  <si>
    <t xml:space="preserve">R (up to)</t>
  </si>
  <si>
    <t xml:space="preserve">unlabeled</t>
  </si>
  <si>
    <t xml:space="preserve">as N1</t>
  </si>
  <si>
    <t xml:space="preserve">GB300 (P)</t>
  </si>
  <si>
    <t xml:space="preserve">parts/contract_economics.xlsx (GPU Market agent) N1o</t>
  </si>
  <si>
    <t xml:space="preserve">Upside case.</t>
  </si>
  <si>
    <t xml:space="preserve">N2</t>
  </si>
  <si>
    <t xml:space="preserve">Meta #1</t>
  </si>
  <si>
    <t xml:space="preserve">2025-11-01</t>
  </si>
  <si>
    <t xml:space="preserve">not disclosed</t>
  </si>
  <si>
    <t xml:space="preserve">E (LOW): unsourced secondary ~50 MW</t>
  </si>
  <si>
    <t xml:space="preserve">6-K 2025-11-12 | parts/contract_economics.xlsx (GPU Market agent) N2</t>
  </si>
  <si>
    <t xml:space="preserve">IT MW is a low-confidence estimate (market); Nebius filings tie no MW to the contract.</t>
  </si>
  <si>
    <t xml:space="preserve">N3</t>
  </si>
  <si>
    <t xml:space="preserve">Meta #2 (dedicated)</t>
  </si>
  <si>
    <t xml:space="preserve">2026-03-13</t>
  </si>
  <si>
    <t xml:space="preserve">Vera Rubin NVL72</t>
  </si>
  <si>
    <t xml:space="preserve">6-K 2026-03-16 | parts/contract_economics.xlsx (GPU Market agent) N3</t>
  </si>
  <si>
    <t xml:space="preserve">Break-even ~149 IT MW to match Anthropic-Nscale $16.16M (market).</t>
  </si>
  <si>
    <t xml:space="preserve">N4</t>
  </si>
  <si>
    <t xml:space="preserve">Meta #2 backstop (contingent)</t>
  </si>
  <si>
    <t xml:space="preserve">R (up to, contingent)</t>
  </si>
  <si>
    <t xml:space="preserve">6-K 2026-03-16 | parts/contract_economics.xlsx (GPU Market agent) N4</t>
  </si>
  <si>
    <t xml:space="preserve">Contingent; excluded from normalized comps.</t>
  </si>
  <si>
    <t xml:space="preserve">NAGG1</t>
  </si>
  <si>
    <t xml:space="preserve">Reused (KPI)</t>
  </si>
  <si>
    <t xml:space="preserve">4 'landmark' Q2'26 customers (unnamed)</t>
  </si>
  <si>
    <t xml:space="preserve">Neocloud-mixed</t>
  </si>
  <si>
    <t xml:space="preserve">Q2'26</t>
  </si>
  <si>
    <t xml:space="preserve">20-25 (ACV/MW, R)</t>
  </si>
  <si>
    <t xml:space="preserve">Q2'26 letter p.2-4 (filings MW_Disclosures) | parts/contract_economics.xlsx (GPU Market agent) Notes_Method</t>
  </si>
  <si>
    <t xml:space="preserve">Company aggregate: deals averaged &gt;$1B TCV, ACV $20-25M/MW; Q2 deals &gt;$20M/MW vs 2026 base $12M/MW; Q3 short-term &gt;$40M/MW. Basis not stated (Filings: likely IT/active).</t>
  </si>
  <si>
    <t xml:space="preserve">P1</t>
  </si>
  <si>
    <t xml:space="preserve">2025-11-03</t>
  </si>
  <si>
    <t xml:space="preserve">IT</t>
  </si>
  <si>
    <t xml:space="preserve">GB300 NVL72</t>
  </si>
  <si>
    <t xml:space="preserve">E (200 x 491)</t>
  </si>
  <si>
    <t xml:space="preserve">8-K 2025-11-03 | parts/contract_economics.xlsx (GPU Market agent) P1</t>
  </si>
  <si>
    <t xml:space="preserve">Prepay-adjusted 10.28 (market).</t>
  </si>
  <si>
    <t xml:space="preserve">NEW1</t>
  </si>
  <si>
    <t xml:space="preserve">New</t>
  </si>
  <si>
    <t xml:space="preserve">NVIDIA</t>
  </si>
  <si>
    <t xml:space="preserve">Neocloud-chip vendor</t>
  </si>
  <si>
    <t xml:space="preserve">2026-05 (8-K)</t>
  </si>
  <si>
    <t xml:space="preserve">unlabeled (existing Childress halls; air-cooled)</t>
  </si>
  <si>
    <t xml:space="preserve">NVIDIA Blackwell (air-cooled)</t>
  </si>
  <si>
    <t xml:space="preserve">https://iren.gcs-web.com/news-releases/news-release-details/iren-secures-34bn-ai-cloud-contract-nvidia ; peers/iren (FY26 10-K backlog)</t>
  </si>
  <si>
    <t xml:space="preserve">~60 MW of existing Childress capacity; ramp from early 2027 (peers/sites site_verification.md). Below IREN's 'recent 3-yr &gt;$20M/IT MW' claim.</t>
  </si>
  <si>
    <t xml:space="preserve">PAGG</t>
  </si>
  <si>
    <t xml:space="preserve">recent 3-yr contracts (unnamed)</t>
  </si>
  <si>
    <t xml:space="preserve">FY26</t>
  </si>
  <si>
    <t xml:space="preserve">&gt;20 (R)</t>
  </si>
  <si>
    <t xml:space="preserve">parts/contract_economics.xlsx (GPU Market agent) Notes_Method</t>
  </si>
  <si>
    <t xml:space="preserve">Company statement only.</t>
  </si>
  <si>
    <t xml:space="preserve">P2</t>
  </si>
  <si>
    <t xml:space="preserve">Microsoft (all SOWs)</t>
  </si>
  <si>
    <t xml:space="preserve">2025-09..2026-04</t>
  </si>
  <si>
    <t xml:space="preserve">D: 191.6k/491 + 66k/320</t>
  </si>
  <si>
    <t xml:space="preserve">GB300 + Vera Rubin</t>
  </si>
  <si>
    <t xml:space="preserve">R (sum)</t>
  </si>
  <si>
    <t xml:space="preserve">Nscale S-1 2026-09-18 | parts/contract_economics.xlsx (GPU Market agent) P2</t>
  </si>
  <si>
    <t xml:space="preserve">P2a</t>
  </si>
  <si>
    <t xml:space="preserve">Nscale (Aker JV)</t>
  </si>
  <si>
    <t xml:space="preserve">Microsoft - Narvik</t>
  </si>
  <si>
    <t xml:space="preserve">2025-09-17</t>
  </si>
  <si>
    <t xml:space="preserve">D: 52k/491</t>
  </si>
  <si>
    <t xml:space="preserve">GB300</t>
  </si>
  <si>
    <t xml:space="preserve">akernscale.com PR | parts/contract_economics.xlsx (GPU Market agent) P2a</t>
  </si>
  <si>
    <t xml:space="preserve">Within P2.</t>
  </si>
  <si>
    <t xml:space="preserve">P2b</t>
  </si>
  <si>
    <t xml:space="preserve">Microsoft ex-Narvik</t>
  </si>
  <si>
    <t xml:space="preserve">parts/contract_economics.xlsx (GPU Market agent) P2b</t>
  </si>
  <si>
    <t xml:space="preserve">Residual.</t>
  </si>
  <si>
    <t xml:space="preserve">O1</t>
  </si>
  <si>
    <t xml:space="preserve">Anthropic</t>
  </si>
  <si>
    <t xml:space="preserve">Neocloud-AI lab</t>
  </si>
  <si>
    <t xml:space="preserve">2026-08-25</t>
  </si>
  <si>
    <t xml:space="preserve">R (S-1 site #17)</t>
  </si>
  <si>
    <t xml:space="preserve">E (460 x 320)</t>
  </si>
  <si>
    <t xml:space="preserve">Nscale S-1 | parts/contract_economics.xlsx (GPU Market agent) O1</t>
  </si>
  <si>
    <t xml:space="preserve">P3</t>
  </si>
  <si>
    <t xml:space="preserve">'multibillion'</t>
  </si>
  <si>
    <t xml:space="preserve">GB300 NVL72 (partly)</t>
  </si>
  <si>
    <t xml:space="preserve">lambda.ai blog 2025-11-03 | parts/contract_economics.xlsx (GPU Market agent) P3</t>
  </si>
  <si>
    <t xml:space="preserve">No economics public.</t>
  </si>
  <si>
    <t xml:space="preserve">NEW2</t>
  </si>
  <si>
    <t xml:space="preserve">2026-09-01 (press)</t>
  </si>
  <si>
    <t xml:space="preserve">unlabeled (Hut 8 Beacon Point TX)</t>
  </si>
  <si>
    <t xml:space="preserve">WSJ via theenergymag.com (peers/private private_peers.xlsx L21/L12)</t>
  </si>
  <si>
    <t xml:space="preserve">Not confirmed by Lambda; NVIDIA holds the Hut 8 lease (row F6).</t>
  </si>
  <si>
    <t xml:space="preserve">NEW3</t>
  </si>
  <si>
    <t xml:space="preserve">NVIDIA (GPU leaseback, main tranche)</t>
  </si>
  <si>
    <t xml:space="preserve">2025-09-08 (press)</t>
  </si>
  <si>
    <t xml:space="preserve">NVIDIA GPUs (type n/d)</t>
  </si>
  <si>
    <t xml:space="preserve">DCD citing The Information (private_peers L18/L19)</t>
  </si>
  <si>
    <t xml:space="preserve">Total reported $1.5B / ~18k GPUs (incl. +$200M / 8k GPUs) -&gt; $2.38/GPU-hr on the total; private_peers uses the $1.3B/10k tranche = $3.71.</t>
  </si>
  <si>
    <t xml:space="preserve">P4</t>
  </si>
  <si>
    <t xml:space="preserve">2025-09-30</t>
  </si>
  <si>
    <t xml:space="preserve">8-K 2025-09-30 | parts/contract_economics.xlsx (GPU Market agent) P4</t>
  </si>
  <si>
    <t xml:space="preserve">P5</t>
  </si>
  <si>
    <t xml:space="preserve">Meta #2</t>
  </si>
  <si>
    <t xml:space="preserve">2026-04-09</t>
  </si>
  <si>
    <t xml:space="preserve">incl. Vera Rubin</t>
  </si>
  <si>
    <t xml:space="preserve">8-K | parts/contract_economics.xlsx (GPU Market agent) P5</t>
  </si>
  <si>
    <t xml:space="preserve">P6</t>
  </si>
  <si>
    <t xml:space="preserve">OpenAI T1</t>
  </si>
  <si>
    <t xml:space="preserve">2025-03-10</t>
  </si>
  <si>
    <t xml:space="preserve">parts/contract_economics.xlsx (GPU Market agent) P6</t>
  </si>
  <si>
    <t xml:space="preserve">$350M CRWV equity to OpenAI.</t>
  </si>
  <si>
    <t xml:space="preserve">P7</t>
  </si>
  <si>
    <t xml:space="preserve">OpenAI T2</t>
  </si>
  <si>
    <t xml:space="preserve">2025-05-15</t>
  </si>
  <si>
    <t xml:space="preserve">parts/contract_economics.xlsx (GPU Market agent) P7</t>
  </si>
  <si>
    <t xml:space="preserve">P8</t>
  </si>
  <si>
    <t xml:space="preserve">OpenAI T3</t>
  </si>
  <si>
    <t xml:space="preserve">2025-09-25</t>
  </si>
  <si>
    <t xml:space="preserve">parts/contract_economics.xlsx (GPU Market agent) P8</t>
  </si>
  <si>
    <t xml:space="preserve">OpenAI total ~$22.4B.</t>
  </si>
  <si>
    <t xml:space="preserve">NEW4</t>
  </si>
  <si>
    <t xml:space="preserve">Jane Street</t>
  </si>
  <si>
    <t xml:space="preserve">Neocloud-other</t>
  </si>
  <si>
    <t xml:space="preserve">2026-04-15</t>
  </si>
  <si>
    <t xml:space="preserve">Vera Rubin (part)</t>
  </si>
  <si>
    <t xml:space="preserve">https://www.coreweave.com/news/jane-street-signs-6-billion-ai-cloud-agreement-with-coreweave</t>
  </si>
  <si>
    <t xml:space="preserve">Term/MW not disclosed; plus $1B equity investment by Jane Street.</t>
  </si>
  <si>
    <t xml:space="preserve">NEW5</t>
  </si>
  <si>
    <t xml:space="preserve">2026-04-10</t>
  </si>
  <si>
    <t xml:space="preserve">R (no value)</t>
  </si>
  <si>
    <t xml:space="preserve">https://coreweave.com/news/coreweave-announces-multi-year-agreement-with-anthropic</t>
  </si>
  <si>
    <t xml:space="preserve">Multi-year; no value.</t>
  </si>
  <si>
    <t xml:space="preserve">NEW6</t>
  </si>
  <si>
    <t xml:space="preserve">2026-09-04 (press)</t>
  </si>
  <si>
    <t xml:space="preserve">DCD citing Bloomberg (private_peers C17)</t>
  </si>
  <si>
    <t xml:space="preserve">NEW7</t>
  </si>
  <si>
    <t xml:space="preserve">Meta</t>
  </si>
  <si>
    <t xml:space="preserve">2026-06-19 (press)</t>
  </si>
  <si>
    <t xml:space="preserve">unlabeled (Childress TX + Warrenton MO)</t>
  </si>
  <si>
    <t xml:space="preserve">DCD citing Bloomberg (private_peers C14)</t>
  </si>
  <si>
    <t xml:space="preserve">Value/term n/d.</t>
  </si>
  <si>
    <t xml:space="preserve">NEW8</t>
  </si>
  <si>
    <t xml:space="preserve">Microsoft (Abilene 900 MW campus)</t>
  </si>
  <si>
    <t xml:space="preserve">2026-03-27</t>
  </si>
  <si>
    <t xml:space="preserve">gross (2 x 336 MW IT = 672 IT)</t>
  </si>
  <si>
    <t xml:space="preserve">Crusoe PR 2026-03-27 (private_peers C13)</t>
  </si>
  <si>
    <t xml:space="preserve">First building mid-2027; value n/d.</t>
  </si>
  <si>
    <t xml:space="preserve">NEW9</t>
  </si>
  <si>
    <t xml:space="preserve">Crusoe (JV) / Oracle</t>
  </si>
  <si>
    <t xml:space="preserve">Oracle for OpenAI (Abilene Stargate)</t>
  </si>
  <si>
    <t xml:space="preserve">Developer-hyperscaler</t>
  </si>
  <si>
    <t xml:space="preserve">gross (~843 IT per peers/sites)</t>
  </si>
  <si>
    <t xml:space="preserve">GB200 (up to 50k per bldg)</t>
  </si>
  <si>
    <t xml:space="preserve">Crusoe JV PR 2025-05-21 (private_peers C12); peers/sites site_verification.md</t>
  </si>
  <si>
    <t xml:space="preserve">All 8 buildings leased to Oracle; contract value n/d (the $15B is JV project cost, not contract value). Economics flow through O2.</t>
  </si>
  <si>
    <t xml:space="preserve">O2</t>
  </si>
  <si>
    <t xml:space="preserve">Oracle</t>
  </si>
  <si>
    <t xml:space="preserve">OpenAI (Stargate)</t>
  </si>
  <si>
    <t xml:space="preserve">Hyperscaler-AI lab</t>
  </si>
  <si>
    <t xml:space="preserve">2025-07/09 (press)</t>
  </si>
  <si>
    <t xml:space="preserve">P (WSJ)</t>
  </si>
  <si>
    <t xml:space="preserve">E: /1.2 PUE if gross</t>
  </si>
  <si>
    <t xml:space="preserve">Mixed (GB200 etc.)</t>
  </si>
  <si>
    <t xml:space="preserve">WSJ | parts/contract_economics.xlsx (GPU Market agent) O2</t>
  </si>
  <si>
    <t xml:space="preserve">Not named in Oracle filings.</t>
  </si>
  <si>
    <t xml:space="preserve">NEW10</t>
  </si>
  <si>
    <t xml:space="preserve">Hyperscaler-hyperscaler</t>
  </si>
  <si>
    <t xml:space="preserve">2025-10-16 (confirmed)</t>
  </si>
  <si>
    <t xml:space="preserve">P (talks, Bloomberg)</t>
  </si>
  <si>
    <t xml:space="preserve">Bloomberg/Reuters 2025-09-19; CNBC 2025-10-16 (Oracle confirmed Meta among $65B new commitments)</t>
  </si>
  <si>
    <t xml:space="preserve">Value ~ $20B is press (in talks); term 'multi-year'.</t>
  </si>
  <si>
    <t xml:space="preserve">O3</t>
  </si>
  <si>
    <t xml:space="preserve">SpaceX (xAI)</t>
  </si>
  <si>
    <t xml:space="preserve">AI lab-AI lab</t>
  </si>
  <si>
    <t xml:space="preserve">2026 (424B4)</t>
  </si>
  <si>
    <t xml:space="preserve">$1.25B/month</t>
  </si>
  <si>
    <t xml:space="preserve">unspecified NVIDIA</t>
  </si>
  <si>
    <t xml:space="preserve">SpaceX 424B4 | parts/contract_economics.xlsx (GPU Market agent) O3</t>
  </si>
  <si>
    <t xml:space="preserve">90-day termination; $/GPU-hr = 1,250e6/(325k x 730).</t>
  </si>
  <si>
    <t xml:space="preserve">NEW11</t>
  </si>
  <si>
    <t xml:space="preserve">Microsoft (Azure)</t>
  </si>
  <si>
    <t xml:space="preserve">OpenAI</t>
  </si>
  <si>
    <t xml:space="preserve">2025-10-28</t>
  </si>
  <si>
    <t xml:space="preserve">R (incremental commitment)</t>
  </si>
  <si>
    <t xml:space="preserve">https://openai.com/index/next-chapter-of-microsoft-openai-partnership/</t>
  </si>
  <si>
    <t xml:space="preserve">Term not disclosed.</t>
  </si>
  <si>
    <t xml:space="preserve">NEW12</t>
  </si>
  <si>
    <t xml:space="preserve">AWS</t>
  </si>
  <si>
    <t xml:space="preserve">GB200 + GB300</t>
  </si>
  <si>
    <t xml:space="preserve">'hundreds of thousands'</t>
  </si>
  <si>
    <t xml:space="preserve">https://openai.com/index/aws-and-openai-partnership/</t>
  </si>
  <si>
    <t xml:space="preserve">All capacity targeted by end-2026.</t>
  </si>
  <si>
    <t xml:space="preserve">NEW13</t>
  </si>
  <si>
    <t xml:space="preserve">2025-11-18</t>
  </si>
  <si>
    <t xml:space="preserve">n/d (plus up to 1 GW additional)</t>
  </si>
  <si>
    <t xml:space="preserve">Grace Blackwell / Vera Rubin</t>
  </si>
  <si>
    <t xml:space="preserve">https://www.anthropic.com/news/microsoft-nvidia-anthropic-announce-strategic-partnerships</t>
  </si>
  <si>
    <t xml:space="preserve">1 GW is additional capacity, not tied to the $30B -&gt; no $/MW computed.</t>
  </si>
  <si>
    <t xml:space="preserve">NEW14</t>
  </si>
  <si>
    <t xml:space="preserve">Google Cloud</t>
  </si>
  <si>
    <t xml:space="preserve">2025-10-23</t>
  </si>
  <si>
    <t xml:space="preserve">n/d ('tens of billions')</t>
  </si>
  <si>
    <t xml:space="preserve">&gt;1,000 (2026)</t>
  </si>
  <si>
    <t xml:space="preserve">TPU (up to 1M)</t>
  </si>
  <si>
    <t xml:space="preserve">https://www.anthropic.com/news/expanding-our-use-of-google-cloud-tpus-and-services ; Reuters 2025-10-23</t>
  </si>
  <si>
    <t xml:space="preserve">Expanded Apr-2026 (multi-GW from 2027, Google/Broadcom).</t>
  </si>
  <si>
    <t xml:space="preserve">NEW15</t>
  </si>
  <si>
    <t xml:space="preserve">2025-08-21 (press)</t>
  </si>
  <si>
    <t xml:space="preserve">P (&gt;$10B)</t>
  </si>
  <si>
    <t xml:space="preserve">Reuters/CNBC 2025-08-21</t>
  </si>
  <si>
    <t xml:space="preserve">NEW16</t>
  </si>
  <si>
    <t xml:space="preserve">Cerebras</t>
  </si>
  <si>
    <t xml:space="preserve">Chip vendor cloud-AI lab</t>
  </si>
  <si>
    <t xml:space="preserve">2026-01-14</t>
  </si>
  <si>
    <t xml:space="preserve">unlabeled (ramp 250/500/750 by YE26/27/28)</t>
  </si>
  <si>
    <t xml:space="preserve">Cerebras WSE</t>
  </si>
  <si>
    <t xml:space="preserve">Reuters/CNBC 2026-01-14; MRA on SEC (Cerebras filing)</t>
  </si>
  <si>
    <t xml:space="preserve">NAIVE: ramp means average MW &lt;&lt; 750 -&gt; true $/MW-yr higher; lower bound.</t>
  </si>
  <si>
    <t xml:space="preserve">REF</t>
  </si>
  <si>
    <t xml:space="preserve">TeraWulf</t>
  </si>
  <si>
    <t xml:space="preserve">Fluidstack (Google backstop)</t>
  </si>
  <si>
    <t xml:space="preserve">Facility lease</t>
  </si>
  <si>
    <t xml:space="preserve">2025-08-14</t>
  </si>
  <si>
    <t xml:space="preserve">parts/contract_economics.xlsx (GPU Market agent) REF</t>
  </si>
  <si>
    <t xml:space="preserve">Facility only.</t>
  </si>
  <si>
    <t xml:space="preserve">F1</t>
  </si>
  <si>
    <t xml:space="preserve">Cipher Mining</t>
  </si>
  <si>
    <t xml:space="preserve">gross (Davis Polk)</t>
  </si>
  <si>
    <t xml:space="preserve">https://www.sec.gov/Archives/edgar/data/1819989/000181998925000110/nov3_earningspressreleasex.htm</t>
  </si>
  <si>
    <t xml:space="preserve">Turnkey space+power; rent from Aug-2026.</t>
  </si>
  <si>
    <t xml:space="preserve">F2</t>
  </si>
  <si>
    <t xml:space="preserve">Fluidstack (Google backstop $1.4B)</t>
  </si>
  <si>
    <t xml:space="preserve">https://www.globenewswire.com/news-release/2025/09/25/3156107/0/en/cipher-mining-signs-168-mw-10-year-ai-hosting-agreement-with-fluidstack.html</t>
  </si>
  <si>
    <t xml:space="preserve">+39 MW IT add-on Nov-2025 (total ~$3.83B).</t>
  </si>
  <si>
    <t xml:space="preserve">F3</t>
  </si>
  <si>
    <t xml:space="preserve">Hut 8</t>
  </si>
  <si>
    <t xml:space="preserve">Fluidstack (Anthropic; Google backstop)</t>
  </si>
  <si>
    <t xml:space="preserve">2025-12-17</t>
  </si>
  <si>
    <t xml:space="preserve">https://www.prnewswire.com/news-releases/hut-8-signs-15-year-245-mw-ai-data-center-lease-at-river-bend-campus-with-total-contract-value-of-7-0-billion-302644600.html</t>
  </si>
  <si>
    <t xml:space="preserve">Triple-net, 3% escalator.</t>
  </si>
  <si>
    <t xml:space="preserve">F4</t>
  </si>
  <si>
    <t xml:space="preserve">Applied Digital</t>
  </si>
  <si>
    <t xml:space="preserve">CoreWeave (Polaris Forge 1)</t>
  </si>
  <si>
    <t xml:space="preserve">2025-06..08</t>
  </si>
  <si>
    <t xml:space="preserve">https://ir.applieddigital.com/news-events/press-releases/detail/128/applied-digital-finalizes-additional-150mw-lease-with</t>
  </si>
  <si>
    <t xml:space="preserve">3 leases ~15 yrs.</t>
  </si>
  <si>
    <t xml:space="preserve">F5</t>
  </si>
  <si>
    <t xml:space="preserve">Galaxy</t>
  </si>
  <si>
    <t xml:space="preserve">CoreWeave (Helios)</t>
  </si>
  <si>
    <t xml:space="preserve">2025</t>
  </si>
  <si>
    <t xml:space="preserve">D (R: &gt;$1B/yr)</t>
  </si>
  <si>
    <t xml:space="preserve">IT (800 gross)</t>
  </si>
  <si>
    <t xml:space="preserve">https://www.galaxy.com/newsroom/galaxy-completes-phase-i-of-its-helios-data-center-campus</t>
  </si>
  <si>
    <t xml:space="preserve">TCV derived = &gt;$1B/yr x 15 (lower bound).</t>
  </si>
  <si>
    <t xml:space="preserve">F6</t>
  </si>
  <si>
    <t xml:space="preserve">NVIDIA (Beacon Point; for Lambda/Anthropic)</t>
  </si>
  <si>
    <t xml:space="preserve">2026-09 (press)</t>
  </si>
  <si>
    <t xml:space="preserve">theenergymag.com (private_peers L12 note)</t>
  </si>
  <si>
    <t xml:space="preserve">F7</t>
  </si>
  <si>
    <t xml:space="preserve">AIB Data Centers</t>
  </si>
  <si>
    <t xml:space="preserve">Nebius (CLT1)</t>
  </si>
  <si>
    <t xml:space="preserve">Facility lease (Nebius tenant)</t>
  </si>
  <si>
    <t xml:space="preserve">2026-09-30</t>
  </si>
  <si>
    <t xml:space="preserve">https://www.globenewswire.com/news-release/2026/09/30/3371855/0/en/aib-data-centers-signs-contract-with-nebius-for-ai-data-center-capacity.html ; capacity/site_list.xlsx row 23</t>
  </si>
  <si>
    <t xml:space="preserve">Value n/d; Red grade (capacity).</t>
  </si>
  <si>
    <t xml:space="preserve">CONFLICTS / DIFFERENCES vs the GPU Market agent's data (parts/contract_economics.xlsx):</t>
  </si>
  <si>
    <t xml:space="preserve">1) Location: the request pointed to /workspace/nebius/market/ and nebius_market.xlsx; neither holds contract data (price history/scrapers only). The contract table is parts/contract_economics.xlsx - used as the reuse source.</t>
  </si>
  <si>
    <t xml:space="preserve">2) Microsoft-Nebius MW basis: market headline 17.08 $M/IT MW-yr uses 203.7 IT MW derived from &gt;100k GB300 (press floor); on the stated 300 MW it is 11.60; Capacity reads 300 as gross (~230-250 IT) -&gt; ~14.5. Nebius filings tie no MW to the contract. All three shown; no number changed.</t>
  </si>
  <si>
    <t xml:space="preserve">3) Meta-Nebius #1: market computes 11.52 on ~50 MW (Estimated, low confidence, unsourced secondary). Nebius filings (MW_Disclosures) state no MW -&gt; treat as n/d for comparisons.</t>
  </si>
  <si>
    <t xml:space="preserve">4) Lambda-NVIDIA leaseback (new row): reported $1.5B / ~18k GPUs / 4 yrs -&gt; $2.38/GPU-hr overall vs $3.71 on the $1.3B / 10k tranche used in private_peers (PX13). Same source, different slicing.</t>
  </si>
  <si>
    <t xml:space="preserve">5) IREN: company claims recent 3-yr contracts &gt;$20M/IT MW (market) but the NVIDIA contract (new) is ~$11.3M/MW-yr on ~60 MW (unlabeled) and Microsoft $9.7M -&gt; the &gt;$20M deals are not the two named anchors.</t>
  </si>
  <si>
    <t xml:space="preserve">6) Oracle-OpenAI $300B (market O2) is press-only; Oracle filings/peers/oracle do not name it; RPO $638B (May-26) is consistent in scale. Oracle MW basis: ~353 GPUs/MW in peers/oracle implies GROSS, matching market's 16.0 'if gross' variant.</t>
  </si>
  <si>
    <t xml:space="preserve">7) Nscale: market P2 13.35 $M/IT MW-yr (Microsoft) vs private_peers PX10 13.24 (all contracted TCV / 5.7 yrs / 1,370 MW) - consistent (&lt;1%).</t>
  </si>
  <si>
    <t xml:space="preserve">8) Cerebras-OpenAI 4.44 is a naive lower bound (750 MW is the end-2028 ramp level).</t>
  </si>
  <si>
    <t xml:space="preserve">Sites: announced vs contracted vs EVIDENCED-ACTIVE MW (low/base/high), YE26, grade and confidence. Peers: peers/sites/sites.xlsx 'Sites' + peers/sites/site_verification.md (user's parallel workstream; linked, not edited). Nebius: capacity/nebius_capacity.xlsx ('Sites' grades, 'Quarterly MW' Q3'26 = current evidenced energized; YE26 = Q4'26) + capacity/site_verification.md. Same method/grade scale for both (Green/Yellow/Red).</t>
  </si>
  <si>
    <t xml:space="preserve">A. Peer key sites (peers/sites/sites.xlsx)</t>
  </si>
  <si>
    <t xml:space="preserve">Company</t>
  </si>
  <si>
    <t xml:space="preserve">Site</t>
  </si>
  <si>
    <t xml:space="preserve">Announced MW (text)</t>
  </si>
  <si>
    <t xml:space="preserve">Announced MW (numeric, for chart)</t>
  </si>
  <si>
    <t xml:space="preserve">Contracted MW</t>
  </si>
  <si>
    <t xml:space="preserve">Active low</t>
  </si>
  <si>
    <t xml:space="preserve">Active base</t>
  </si>
  <si>
    <t xml:space="preserve">Active high</t>
  </si>
  <si>
    <t xml:space="preserve">YE26 low</t>
  </si>
  <si>
    <t xml:space="preserve">YE26 base</t>
  </si>
  <si>
    <t xml:space="preserve">YE26 high</t>
  </si>
  <si>
    <t xml:space="preserve">Grade</t>
  </si>
  <si>
    <t xml:space="preserve">Confidence</t>
  </si>
  <si>
    <t xml:space="preserve">Evidence / key images</t>
  </si>
  <si>
    <t xml:space="preserve">Denton TX (Core Scientific campus, 8171 Jim Christal Rd)</t>
  </si>
  <si>
    <t xml:space="preserve">IT (critical) MW</t>
  </si>
  <si>
    <t xml:space="preserve">~262 MW IT (394 MW grid) at full build</t>
  </si>
  <si>
    <t xml:space="preserve">~260 MW IT leased to CoreWeave (CORZ Q2-26 deck)</t>
  </si>
  <si>
    <t xml:space="preserve">Green</t>
  </si>
  <si>
    <t xml:space="preserve">High (landlord SEC filings; imagery consistent)</t>
  </si>
  <si>
    <t xml:space="preserve">Landlord-reported billing: Bldgs D-G ~132 MW billing Mar-2026 (8-K Ex99.2 2026-04-21); ~260 MW leased &amp; ~260 MW billing, "substantially complete" (Q2-26 deck 2026-07-28). Low = rounding haircut on "~260". | strips/denton_tx_strip.png; imagery/denton_tx/detail/denton_tx_2023-06-28_crop.png; imagery/denton_tx/detail/denton_tx_2026-09-15_crop.png</t>
  </si>
  <si>
    <t xml:space="preserve">peers/sites/sites.xlsx Sites; site_verification.md</t>
  </si>
  <si>
    <t xml:space="preserve">Childress TX (620 FM 1033)</t>
  </si>
  <si>
    <t xml:space="preserve">IT MW for AI; grid MW for site</t>
  </si>
  <si>
    <t xml:space="preserve">750 MW grid site; Horizons 1-4 = 4 x 50 MW IT liquid-cooled (+H5-6 2027); 60 MW IT air-cooled for NVIDIA contract (from early 2027)</t>
  </si>
  <si>
    <t xml:space="preserve">200 MW IT Microsoft ($9.7B/5 yr) = Horizons 1-4; NVIDIA $3.4B within 60 MW of existing halls (ramp from early 2027)</t>
  </si>
  <si>
    <t xml:space="preserve">Green (H1-2) / Yellow (H3-4 by Q4-26)</t>
  </si>
  <si>
    <t xml:space="preserve">High for 50 MW; Medium for 75-100 MW</t>
  </si>
  <si>
    <t xml:space="preserve">Horizon 1 (50 MW IT) delivered/accepted by Microsoft 2026-08-13 (SEC Ex99.1); Horizon 2 commissioning underway (FY26 results 2026-08-27) =&gt; 50-100 MW IT AI. Legacy bitcoin load (650 MW "operating data centers" Aug-2025) separate and being wound down. | strips/childress_tx_strip.png; imagery/childress_tx/detail/childress_tx_2024-07-30_crop.png; imagery/childress_tx/detail/childress_tx_2026-09-28_crop.png</t>
  </si>
  <si>
    <t xml:space="preserve">Kvandal (Narvik/Bjerkvik) NO - Stargate Norway</t>
  </si>
  <si>
    <t xml:space="preserve">MW (grid allocation / IT not split)</t>
  </si>
  <si>
    <t xml:space="preserve">230 MW grid allocated (Statnett) + up to 290 MW more (paused); HENT KNB4-6 = 100 MW buildings</t>
  </si>
  <si>
    <t xml:space="preserve">S-1: Norway owned sites 100 + 100 MW contracted (not active); Vattenfall PPA phase 1 2027-31</t>
  </si>
  <si>
    <t xml:space="preserve">Yellow (2027 start; NVE/grid risks)</t>
  </si>
  <si>
    <t xml:space="preserve">High that active = 0</t>
  </si>
  <si>
    <t xml:space="preserve">Under construction: groundbreaking 2025-11-19 (NRK); HENT 2026-09-02 completion "during 2027"; Vattenfall PPA operations from 2027; imagery shows first shells only from Jun-2026. | strips/kvandal_no_strip.png; imagery/kvandal_no/detail/kvandal_no_2025-10-04_crop.png; imagery/kvandal_no/detail/kvandal_no_2026-09-11_crop.png</t>
  </si>
  <si>
    <t xml:space="preserve">Abilene TX (Lancium Clean Campus; Stargate - Oracle/OpenAI)</t>
  </si>
  <si>
    <t xml:space="preserve">IT MW</t>
  </si>
  <si>
    <t xml:space="preserve">1.2 GW / 8 buildings (Crusoe JV PR 2025-05-21); Microsoft 900 MW (2 x 336 MW IT) adjacent campus 2027+</t>
  </si>
  <si>
    <t xml:space="preserve">All 8 buildings leased to Oracle (for OpenAI); 600 MW expansion reportedly not proceeding (Mar-2026, secondary)</t>
  </si>
  <si>
    <t xml:space="preserve">Green (B1-4) / Yellow (B5-8 by YE26)</t>
  </si>
  <si>
    <t xml:space="preserve">Medium-High (200 MW company-stated; 421 MW third-party satellite estimate)</t>
  </si>
  <si>
    <t xml:space="preserve">Oracle post 2026-04-22: "In Abilene, 200MW is already operational" (via Epoch). Epoch AI satellite model: Bldgs 1-2 (211 MW IT) operational by 2025-12-24; Bldgs 3-4 -&gt; 421 MW IT est. ~2026-05-23; Bldgs 5-8 roofed Jul-2026, projected 843 MW ~2026-11-01. | strips/abilene_tx_strip.png; imagery/abilene_tx/detail/abilene_tx_2025-04-10_crop.png; imagery/abilene_tx/detail/abilene_tx_2026-09-15_crop.png</t>
  </si>
  <si>
    <t xml:space="preserve">Kansas City MO (Project Blitz, 11155 N Airworld Dr)</t>
  </si>
  <si>
    <t xml:space="preserve">24 MW early 2026; &gt;100 MW potential (Lambda blog 2025-10-28)</t>
  </si>
  <si>
    <t xml:space="preserve">Single customer (unnamed); &gt;10,000 Blackwell Ultra GPUs</t>
  </si>
  <si>
    <t xml:space="preserve">Yellow (no go-live confirmation)</t>
  </si>
  <si>
    <t xml:space="preserve">Low</t>
  </si>
  <si>
    <t xml:space="preserve">No public confirmation of operation. MO DNR letter 2026-04-15: commissioning from 2026-06-01 on 5 x 3 MW rental engines (prime, Jun-Oct) + up to 6 x 3 MW; Evergy full supply late summer 2026. Evergy (KSHB, Jun-2026): enough power "available today" to fully operate. Base = half of 24 MW. | strips/kcairworld_mo_strip.png; imagery/kcairworld_mo/detail/kcairworld_mo_2025-10-20_crop.png; imagery/kcairworld_mo/detail/kcairworld_mo_2026-10-02_crop.png</t>
  </si>
  <si>
    <t xml:space="preserve">Oracle (OCI)</t>
  </si>
  <si>
    <t xml:space="preserve">Port Washington WI (Vantage "Lighthouse"; Stargate)</t>
  </si>
  <si>
    <t xml:space="preserve">IT MW (~902 MW IT of 1.3 GW electrical)</t>
  </si>
  <si>
    <t xml:space="preserve">~1.3 GW electrical / ~902 MW IT, 4 buildings, 672 ac, $15B (Ozaukee Press 2025-10-22)</t>
  </si>
  <si>
    <t xml:space="preserve">Leased to Oracle for OpenAI (Stargate); handover from end-2027</t>
  </si>
  <si>
    <t xml:space="preserve">Yellow/Red (end-2027 handover vs grid timeline)</t>
  </si>
  <si>
    <t xml:space="preserve">No grid power: ATC Ozaukee County interconnection (new Decker substation) construction Dec-2026..Dec-2027; PSC completeness revoked Aug-2026, refiled 2026-09-14/15; Aterio: partial power earliest Oct-2027, base Dec-2027. | strips/portwash_wi_strip.png; imagery/portwash_wi/detail/portwash_wi_2025-10-04_crop.png; imagery/portwash_wi/detail/portwash_wi_2026-09-11_crop.png</t>
  </si>
  <si>
    <t xml:space="preserve">Announced numeric = IT MW where available (Denton 262 IT; Childress AI 4x50 + 60 = 260 IT; Kvandal 230 grid; Abilene ~843 IT of 1.2 GW; Lambda KC 24; Port Washington ~902 IT), read from the text column - Derived.</t>
  </si>
  <si>
    <t xml:space="preserve">B. Nebius sites (capacity/nebius_capacity.xlsx + capacity/site_verification.md)</t>
  </si>
  <si>
    <t xml:space="preserve">Vineland NJ (DataOne)</t>
  </si>
  <si>
    <t xml:space="preserve">Contracted 300 = gross (Estimated); energized rows = IT MW (altdata power-bounded)</t>
  </si>
  <si>
    <t xml:space="preserve">up to 300 MW (Mar 2025); option for 'hundreds of MW' more (Q3'25)</t>
  </si>
  <si>
    <t xml:space="preserve">Yellow/Red</t>
  </si>
  <si>
    <t xml:space="preserve">see site_verification.md (MW tags in nebius_capacity Tags_Sources)</t>
  </si>
  <si>
    <t xml:space="preserve">~107 MW IT ceiling on rented gensets through YE26; Bloom-powered remainder 1H-2H 2027</t>
  </si>
  <si>
    <t xml:space="preserve">capacity/nebius_capacity.xlsx Sites + Quarterly MW (Q3'26/Q4'26)</t>
  </si>
  <si>
    <t xml:space="preserve">Independence MO (Eastgate)</t>
  </si>
  <si>
    <t xml:space="preserve">unknown (likely gross/utility)</t>
  </si>
  <si>
    <t xml:space="preserve">up to 1.2 GW (originally reported 800 MW)</t>
  </si>
  <si>
    <t xml:space="preserve">Phase 1 ~Q3 2027; 600 MW not before 2029</t>
  </si>
  <si>
    <t xml:space="preserve">Butler Twp PA (Highridge)</t>
  </si>
  <si>
    <t xml:space="preserve">unknown (PPL ESA = utility/gross)</t>
  </si>
  <si>
    <t xml:space="preserve">Red</t>
  </si>
  <si>
    <t xml:space="preserve">First MW Q4 2027 at best; base ~Q2 2028-2029 (PPL lines late-27 to early-29; 3-yr build)</t>
  </si>
  <si>
    <t xml:space="preserve">Birmingham AL (BHM01, Oxmoor)</t>
  </si>
  <si>
    <t xml:space="preserve">unknown (300 MW is press figure, not Nebius)</t>
  </si>
  <si>
    <t xml:space="preserve">~300 MW (press-reported; not in Nebius filings)</t>
  </si>
  <si>
    <t xml:space="preserve">Yellow</t>
  </si>
  <si>
    <t xml:space="preserve">115 kV NLT Dec 31 2026; first revenue MW 2027; 230 kV Oct 2027</t>
  </si>
  <si>
    <t xml:space="preserve">Bethune FR (Azur Datacenter, ex-Bridgestone)</t>
  </si>
  <si>
    <t xml:space="preserve">unknown</t>
  </si>
  <si>
    <t xml:space="preserve">240 MW</t>
  </si>
  <si>
    <t xml:space="preserve">Start Q4 2026 (~27 MW initial); 120 MW ~1H27; prefect ICPE decision pending</t>
  </si>
  <si>
    <t xml:space="preserve">Lappeenranta FI (Pajarila / Polarnode)</t>
  </si>
  <si>
    <t xml:space="preserve">up to 310 MW</t>
  </si>
  <si>
    <t xml:space="preserve">First building H1 2027 (Fira); substation spring 2027</t>
  </si>
  <si>
    <t xml:space="preserve">Mantsala FI #1</t>
  </si>
  <si>
    <t xml:space="preserve">unknown; PUE ~1.1 (company)</t>
  </si>
  <si>
    <t xml:space="preserve">75 MW after tripling (Nebius PR Oct 8 2024)</t>
  </si>
  <si>
    <t xml:space="preserve">75 MW built (completed early 2026)</t>
  </si>
  <si>
    <t xml:space="preserve">Mantsala FI #2 (Kapuli)</t>
  </si>
  <si>
    <t xml:space="preserve">unknown (70 MW substation)</t>
  </si>
  <si>
    <t xml:space="preserve">Q4 2027 earliest (substation completes autumn 2027)</t>
  </si>
  <si>
    <t xml:space="preserve">Kansas City MO (Patmos)</t>
  </si>
  <si>
    <t xml:space="preserve">Expandable to 40 MW (~35,000 GPUs)</t>
  </si>
  <si>
    <t xml:space="preserve">Operational; Nebius share of 35 MW facility not disclosed</t>
  </si>
  <si>
    <t xml:space="preserve">Paris (Equinix PA10)</t>
  </si>
  <si>
    <t xml:space="preserve">unknown; MW not disclosed (5 = 3rd-party)</t>
  </si>
  <si>
    <t xml:space="preserve">Operational</t>
  </si>
  <si>
    <t xml:space="preserve">Keflavik IS (Verne)</t>
  </si>
  <si>
    <t xml:space="preserve">10 MW (no expansion disclosed)</t>
  </si>
  <si>
    <t xml:space="preserve">Operational (private region)</t>
  </si>
  <si>
    <t xml:space="preserve">London Longcross (Ark LP01)</t>
  </si>
  <si>
    <t xml:space="preserve">unknown (GPU/MW fit suggests gross)</t>
  </si>
  <si>
    <t xml:space="preserve">Phase 2 +3,000 B300 (7,000 total). Jun 2026: Nebius leases entire existing facility; Ark building new 36 MW LP02 (Nebius share not disclosed)</t>
  </si>
  <si>
    <t xml:space="preserve">19 MW by ~Q4 2026; LP02 share/timing not disclosed</t>
  </si>
  <si>
    <t xml:space="preserve">Harlow UK (Kao Data KLON-02/03)</t>
  </si>
  <si>
    <t xml:space="preserve">22 MW</t>
  </si>
  <si>
    <t xml:space="preserve">KLON-03 completion end-2026; MW early 2027</t>
  </si>
  <si>
    <t xml:space="preserve">UK 3rd new deployment (unnamed)</t>
  </si>
  <si>
    <t xml:space="preserve">Residual of 65 MW UK total (65 − 22 Harlow − Longcross expansion share) — not disclosed</t>
  </si>
  <si>
    <t xml:space="preserve">No evidence found</t>
  </si>
  <si>
    <t xml:space="preserve">Modi'in IL (Mega Or)</t>
  </si>
  <si>
    <t xml:space="preserve">IT (4,000 B200 / 8 MW = 500/MW fits IT model)</t>
  </si>
  <si>
    <t xml:space="preserve">Mega Or said Nebius may double to 8,000 GPUs subject to demand (not Nebius-confirmed)</t>
  </si>
  <si>
    <t xml:space="preserve">Masmiyya IL (Mega DC)</t>
  </si>
  <si>
    <t xml:space="preserve">22 MW (site could reach 64 MW; Nebius share n/d)</t>
  </si>
  <si>
    <t xml:space="preserve">Delivery not confirmed as of Oct 4 2026; Q4 2026-Q1 2027</t>
  </si>
  <si>
    <t xml:space="preserve">Beit Shemesh IL (Mega DC)</t>
  </si>
  <si>
    <t xml:space="preserve">58 MW (site could reach ~222 MW; Nebius share n/d)</t>
  </si>
  <si>
    <t xml:space="preserve">Staged Q4 2026 - Q3 2027</t>
  </si>
  <si>
    <t xml:space="preserve">Madrid-Getafe ES (Merlin Edged)</t>
  </si>
  <si>
    <t xml:space="preserve">18 MW</t>
  </si>
  <si>
    <t xml:space="preserve">Phase 1 live; 18 MW by Q4 2026-Q1 2027</t>
  </si>
  <si>
    <t xml:space="preserve">Tallinn EE (Greenergy Huuru)</t>
  </si>
  <si>
    <t xml:space="preserve">22 MW (facility total 31.5 MW)</t>
  </si>
  <si>
    <t xml:space="preserve">Q4 2026-Q2 2027; Estonian govt security review discussed at Cabinet (Aug 2026)</t>
  </si>
  <si>
    <t xml:space="preserve">Minnesota colo (us-north1, Woodbury)</t>
  </si>
  <si>
    <t xml:space="preserve">Region live in docs (B300); MW not disclosed -&gt; in plug</t>
  </si>
  <si>
    <t xml:space="preserve">Oklahoma colo (unnamed)</t>
  </si>
  <si>
    <t xml:space="preserve">No region in docs; no landlord/MW -&gt; in plug</t>
  </si>
  <si>
    <t xml:space="preserve">France 2nd colo (unnamed; possibly eu-west2)</t>
  </si>
  <si>
    <t xml:space="preserve">eu-west2 (France, B300) live in docs - mapping is inference; MW n/d -&gt; in plug</t>
  </si>
  <si>
    <t xml:space="preserve">AIB CLT1 (South Carolina)</t>
  </si>
  <si>
    <t xml:space="preserve">IT (50 MW critical IT on 65 MW utility ESA)</t>
  </si>
  <si>
    <t xml:space="preserve">50 MW critical IT (65 MW utility ESA)</t>
  </si>
  <si>
    <t xml:space="preserve">Hall 1 ~Q3-Q4 2027; permits only submitted; project financing not arranged</t>
  </si>
  <si>
    <t xml:space="preserve">Nebius identified-site total (formula)</t>
  </si>
  <si>
    <t xml:space="preserve">Capacity check: Q3'26 identified 182/207.5/233; YE26 185/304.5/424 (site_verification.md). Company base incl. plug 207.5 (Q3'26); mgmt guide 800 MW-1 GW CONNECTED YE26.</t>
  </si>
  <si>
    <t xml:space="preserve">Nebius 'Announced MW' column = site_list.xlsx 'Announced MW - full build-out' text; numeric column = contracted MW (capacity Sites tab), basis mostly gross/unknown.</t>
  </si>
  <si>
    <t xml:space="preserve">Nebius active = Capacity &amp; Power 'Energized MW' low/base/high for Q3'26 (current, as of Oct-4 evidence); YE26 = Q4'26. Peers active = evidence-supported energized and in service as of 2026-10-04.</t>
  </si>
  <si>
    <t xml:space="preserve">Read-across: only CoreWeave Denton and Crusoe Abilene show hundreds of MW evidenced-active on grid; Nebius's largest site (Vineland) is Yellow/Red on unpermitted gensets; Nscale Kvandal and Oracle Port Washington are 0 active - like most new Nebius sites.</t>
  </si>
  <si>
    <t xml:space="preserve">Chart data (live formulas to Comparison / Contracts_$MWyr / Sites). Blank = n/d. PNG versions: peers/charts/*.png (peers/build_charts.py).</t>
  </si>
  <si>
    <t xml:space="preserve">Revenue per active MW ($M/MW-yr)</t>
  </si>
  <si>
    <t xml:space="preserve">K01 Revenue per active MW - period-end repor</t>
  </si>
  <si>
    <t xml:space="preserve">K02 Revenue per active MW - average MW (2024</t>
  </si>
  <si>
    <t xml:space="preserve">Realized $/GPU-hr vs list</t>
  </si>
  <si>
    <t xml:space="preserve">K07 Implied blended realized price ($/GPU-hr</t>
  </si>
  <si>
    <t xml:space="preserve">K08 Fleet-weighted on-demand list price ($/G</t>
  </si>
  <si>
    <t xml:space="preserve">Capex / PP&amp;E per MW ($M/MW)</t>
  </si>
  <si>
    <t xml:space="preserve">K13 Trailing-4Q cash capex per trailing-4Q n</t>
  </si>
  <si>
    <t xml:space="preserve">K14 Net PP&amp;E per active MW (EoP)</t>
  </si>
  <si>
    <t xml:space="preserve">K15 Gross in-service PP&amp;E per active MW (EoP</t>
  </si>
  <si>
    <t xml:space="preserve">Cost of debt (%)</t>
  </si>
  <si>
    <t xml:space="preserve">K28 Weighted effective cost of debt (princip</t>
  </si>
  <si>
    <t xml:space="preserve">K36 Implied cash cost: contractual interest </t>
  </si>
  <si>
    <t xml:space="preserve">Customer concentration (%)</t>
  </si>
  <si>
    <t xml:space="preserve">K24 Largest customer % of revenue</t>
  </si>
  <si>
    <t xml:space="preserve">K26 Top-N &gt;=10% customers combined %</t>
  </si>
  <si>
    <t xml:space="preserve">RPO / annualized revenue (years)</t>
  </si>
  <si>
    <t xml:space="preserve">K23 RPO / annualized quarterly revenue</t>
  </si>
  <si>
    <t xml:space="preserve">Depreciation yield (%) and useful life (yrs)</t>
  </si>
  <si>
    <t xml:space="preserve">K17 Depreciation yield (D&amp;A x4 / avg in-serv</t>
  </si>
  <si>
    <t xml:space="preserve">K16 Useful life - technology equipment (GPUs</t>
  </si>
  <si>
    <t xml:space="preserve">Active vs contracted MW (latest; mixed IT/gross)</t>
  </si>
  <si>
    <t xml:space="preserve">Active / energized MW</t>
  </si>
  <si>
    <t xml:space="preserve">Basis/tags: Nebius 173 E (Capacity) / &gt;3.5 GW R; CRWV 1,500 / 3,700 R; IREN 40 AI MW R / 260 D (Microsoft 200 IT + NVIDIA ~60); Oracle 1,200 = cumulative AI MW delivered since Jun-25 (E, May-26) / '&gt;10 GW secured' (call, R lower bound); Nscale 81 D / 1,370 R IT; Lambda 47 P / n/d (memo: Anthropic ~350 MW P); Crusoe 1,000 / 6,000 R GROSS.</t>
  </si>
  <si>
    <t xml:space="preserve">Contracts: $M per MW-yr (IT MW where available, else stated MW)</t>
  </si>
  <si>
    <t xml:space="preserve">N1 Nebius - Microsoft</t>
  </si>
  <si>
    <t xml:space="preserve">N2 Nebius - Meta #1</t>
  </si>
  <si>
    <t xml:space="preserve">P1 IREN - Microsoft</t>
  </si>
  <si>
    <t xml:space="preserve">NEW1 IREN - NVIDIA</t>
  </si>
  <si>
    <t xml:space="preserve">P2 Nscale - Microsoft (all SOWs)</t>
  </si>
  <si>
    <t xml:space="preserve">P2a Nscale (Aker JV) - Microsoft - Narvik</t>
  </si>
  <si>
    <t xml:space="preserve">O1 Nscale - Anthropic</t>
  </si>
  <si>
    <t xml:space="preserve">NEW2 Lambda - Anthropic</t>
  </si>
  <si>
    <t xml:space="preserve">O2 Oracle - OpenAI (Stargate)</t>
  </si>
  <si>
    <t xml:space="preserve">NEW16 Cerebras - OpenAI</t>
  </si>
  <si>
    <t xml:space="preserve">REF TeraWulf - Fluidstack (Google backstop)</t>
  </si>
  <si>
    <t xml:space="preserve">F1 Cipher Mining - AWS</t>
  </si>
  <si>
    <t xml:space="preserve">F2 Cipher Mining - Fluidstack (Google backs</t>
  </si>
  <si>
    <t xml:space="preserve">F3 Hut 8 - Fluidstack (Anthropic; Google ba</t>
  </si>
  <si>
    <t xml:space="preserve">F4 Applied Digital - CoreWeave (Polaris For</t>
  </si>
  <si>
    <t xml:space="preserve">F5 Galaxy - CoreWeave (Helios)</t>
  </si>
  <si>
    <t xml:space="preserve">F6 Hut 8 - NVIDIA (Beacon Point; for Lambda</t>
  </si>
  <si>
    <t xml:space="preserve">Sites: evidenced-active (base) vs announced/contracted MW</t>
  </si>
  <si>
    <t xml:space="preserve">Announced / contracted</t>
  </si>
  <si>
    <t xml:space="preserve">CoreWeave: Denton TX</t>
  </si>
  <si>
    <t xml:space="preserve">IREN: Childress TX</t>
  </si>
  <si>
    <t xml:space="preserve">Nscale: Kvandal</t>
  </si>
  <si>
    <t xml:space="preserve">Crusoe: Abilene TX</t>
  </si>
  <si>
    <t xml:space="preserve">Lambda: Kansas City MO</t>
  </si>
  <si>
    <t xml:space="preserve">Oracle: Port Washington WI</t>
  </si>
  <si>
    <t xml:space="preserve">Nebius: Vineland NJ</t>
  </si>
  <si>
    <t xml:space="preserve">Nebius: Independence MO</t>
  </si>
  <si>
    <t xml:space="preserve">Nebius: Bethune FR</t>
  </si>
  <si>
    <t xml:space="preserve">Nebius: Mantsala FI #1</t>
  </si>
  <si>
    <t xml:space="preserve">Nebius: Kansas City MO</t>
  </si>
  <si>
    <t xml:space="preserve">Nebius: London Longcross</t>
  </si>
  <si>
    <t xml:space="preserve">Native Excel charts (linked to Chart_Data). PNG versions with notes: /workspace/nebius/peers/charts/.</t>
  </si>
  <si>
    <t xml:space="preserve">Peer-specific memo KPIs (M-rows; not template-standard) - full quarterly history</t>
  </si>
  <si>
    <t xml:space="preserve">Memo KPI</t>
  </si>
  <si>
    <t xml:space="preserve">Q4'23*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</si>
  <si>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</si>
  <si>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</si>
  <si>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</si>
  <si>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</si>
  <si>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</si>
  <si>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</si>
  <si>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</si>
  <si>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</si>
  <si>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</si>
  <si>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M01</t>
  </si>
  <si>
    <t xml:space="preserve">AI Cloud share of total revenue</t>
  </si>
  <si>
    <t xml:space="preserve">M02</t>
  </si>
  <si>
    <t xml:space="preserve">Bitcoin mining revenue per mining MW (annualized)</t>
  </si>
  <si>
    <t xml:space="preserve">M03</t>
  </si>
  <si>
    <t xml:space="preserve">AI MW share of operating data-center MW</t>
  </si>
  <si>
    <t xml:space="preserve">M04</t>
  </si>
  <si>
    <t xml:space="preserve">Installed hashrate</t>
  </si>
  <si>
    <t xml:space="preserve">EH/s</t>
  </si>
  <si>
    <t xml:space="preserve">M05</t>
  </si>
  <si>
    <t xml:space="preserve">Net PP&amp;E per total operating DC MW (company-wide)</t>
  </si>
  <si>
    <t xml:space="preserve">M06</t>
  </si>
  <si>
    <t xml:space="preserve">Owned GPU hardware (gross) per AI MW</t>
  </si>
  <si>
    <t xml:space="preserve">M07</t>
  </si>
  <si>
    <t xml:space="preserve">Revenue per GPU on period-end est. GPUs ($K/GPU-yr) - Q2'26 bridge</t>
  </si>
  <si>
    <t xml:space="preserve">M08</t>
  </si>
  <si>
    <t xml:space="preserve">Company Adj. EBITDA margin</t>
  </si>
  <si>
    <t xml:space="preserve">M09</t>
  </si>
  <si>
    <t xml:space="preserve">Secured grid power / operating DC MW</t>
  </si>
  <si>
    <t xml:space="preserve">Q3'26†</t>
  </si>
  <si>
    <t xml:space="preserve">OCI share of total revenue</t>
  </si>
  <si>
    <t xml:space="preserve">OCI revenue growth YoY</t>
  </si>
  <si>
    <t xml:space="preserve">Company capex / total revenue</t>
  </si>
  <si>
    <t xml:space="preserve">GPUs per delivered MW (FQ1 FY27)</t>
  </si>
  <si>
    <t xml:space="preserve">GPUs/MW</t>
  </si>
  <si>
    <t xml:space="preserve">Annual depreciation yield (trailing-4Q depreciation / avg in-service gross PP&amp;E, FY)</t>
  </si>
  <si>
    <t xml:space="preserve">Trailing-4Q OCI-attributed capex per $ of incremental annualized OCI revenue</t>
  </si>
  <si>
    <t xml:space="preserve">Cumulative AI MW delivered since Jun-25</t>
  </si>
  <si>
    <t xml:space="preserve">Not-yet-commenced DC lease commitments</t>
  </si>
  <si>
    <t xml:space="preserve">RPO increase QoQ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</si>
</sst>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C659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color rgb="FF7030A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4BACC6"/>
      <rgbColor rgb="FF9BBB59"/>
      <rgbColor rgb="FFFFCC00"/>
      <rgbColor rgb="FFFF9900"/>
      <rgbColor rgb="FFC65911"/>
      <rgbColor rgb="FF8064A2"/>
      <rgbColor rgb="FF878787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per active MW ($M/MW-yr)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Chart_Data!A4</c:f>
              <c:strCache>
                <c:ptCount val="1"/>
                <c:pt idx="0">
                  <c:v>K01 Revenue per active MW - period-end repor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Chart_Data!$B$4:$H$4</c:f>
              <c:numCache>
                <c:formatCode>0.00</c:formatCode>
                <c:ptCount val="7"/>
                <c:pt idx="0">
                  <c:v>13.2924855491329</c:v>
                </c:pt>
                <c:pt idx="1">
                  <c:v>6.86666666666667</c:v>
                </c:pt>
                <c:pt idx="2">
                  <c:v>7.0515</c:v>
                </c:pt>
                <c:pt idx="4">
                  <c:v>3.47160493827161</c:v>
                </c:pt>
                <c:pt idx="5">
                  <c:v>9.70212765957447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Chart_Data!A5</c:f>
              <c:strCache>
                <c:ptCount val="1"/>
                <c:pt idx="0">
                  <c:v>K02 Revenue per active MW - average MW (2024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Chart_Data!$B$5:$H$5</c:f>
              <c:numCache>
                <c:formatCode>0.00</c:formatCode>
                <c:ptCount val="7"/>
                <c:pt idx="0">
                  <c:v>13.3503628447025</c:v>
                </c:pt>
                <c:pt idx="1">
                  <c:v>8.24</c:v>
                </c:pt>
                <c:pt idx="2">
                  <c:v>10.476822</c:v>
                </c:pt>
              </c:numCache>
            </c:numRef>
          </c:val>
        </c:ser>
        <c:gapWidth val="150"/>
        <c:overlap val="0"/>
        <c:axId val="36808518"/>
        <c:axId val="66572324"/>
      </c:barChart>
      <c:catAx>
        <c:axId val="368085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572324"/>
        <c:crosses val="autoZero"/>
        <c:auto val="1"/>
        <c:lblAlgn val="ctr"/>
        <c:lblOffset val="100"/>
        <c:noMultiLvlLbl val="0"/>
      </c:catAx>
      <c:valAx>
        <c:axId val="66572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808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Realized $/GPU-hr vs list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Chart_Data!A8</c:f>
              <c:strCache>
                <c:ptCount val="1"/>
                <c:pt idx="0">
                  <c:v>K07 Implied blended realized price ($/GPU-hr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Chart_Data!$B$7:$H$7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Chart_Data!$B$8:$H$8</c:f>
              <c:numCache>
                <c:formatCode>0.00</c:formatCode>
                <c:ptCount val="7"/>
                <c:pt idx="0">
                  <c:v>28.727942783972</c:v>
                </c:pt>
                <c:pt idx="1">
                  <c:v>14.5066336159545</c:v>
                </c:pt>
                <c:pt idx="2">
                  <c:v>14.694</c:v>
                </c:pt>
                <c:pt idx="4">
                  <c:v>11.248</c:v>
                </c:pt>
                <c:pt idx="5">
                  <c:v>18.24</c:v>
                </c:pt>
              </c:numCache>
            </c:numRef>
          </c:val>
        </c:ser>
        <c:ser>
          <c:idx val="1"/>
          <c:order val="1"/>
          <c:tx>
            <c:strRef>
              <c:f>Chart_Data!A9</c:f>
              <c:strCache>
                <c:ptCount val="1"/>
                <c:pt idx="0">
                  <c:v>K08 Fleet-weighted on-demand list price ($/G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Chart_Data!$B$7:$H$7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Chart_Data!$B$9:$H$9</c:f>
              <c:numCache>
                <c:formatCode>0.00</c:formatCode>
                <c:ptCount val="7"/>
                <c:pt idx="0">
                  <c:v>3.28845498900779</c:v>
                </c:pt>
                <c:pt idx="1">
                  <c:v>1.66055787728417</c:v>
                </c:pt>
                <c:pt idx="2">
                  <c:v>1.66372282608696</c:v>
                </c:pt>
                <c:pt idx="4">
                  <c:v>1.29465930018416</c:v>
                </c:pt>
                <c:pt idx="5">
                  <c:v>2.08791208791209</c:v>
                </c:pt>
              </c:numCache>
            </c:numRef>
          </c:val>
        </c:ser>
        <c:gapWidth val="150"/>
        <c:overlap val="0"/>
        <c:axId val="47650798"/>
        <c:axId val="63790168"/>
      </c:barChart>
      <c:catAx>
        <c:axId val="476507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90168"/>
        <c:crosses val="autoZero"/>
        <c:auto val="1"/>
        <c:lblAlgn val="ctr"/>
        <c:lblOffset val="100"/>
        <c:noMultiLvlLbl val="0"/>
      </c:catAx>
      <c:valAx>
        <c:axId val="63790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650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Capex / PP&amp;E per MW ($M/MW)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Chart_Data!A12</c:f>
              <c:strCache>
                <c:ptCount val="1"/>
                <c:pt idx="0">
                  <c:v>K13 Trailing-4Q cash capex per trailing-4Q 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Chart_Data!$B$11:$H$11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Chart_Data!$B$12:$H$12</c:f>
              <c:numCache>
                <c:formatCode>0.00</c:formatCode>
                <c:ptCount val="7"/>
                <c:pt idx="0">
                  <c:v>19.6806896551724</c:v>
                </c:pt>
                <c:pt idx="1">
                  <c:v>18.704</c:v>
                </c:pt>
              </c:numCache>
            </c:numRef>
          </c:val>
        </c:ser>
        <c:ser>
          <c:idx val="1"/>
          <c:order val="1"/>
          <c:tx>
            <c:strRef>
              <c:f>Chart_Data!A13</c:f>
              <c:strCache>
                <c:ptCount val="1"/>
                <c:pt idx="0">
                  <c:v>K14 Net PP&amp;E per active MW (EoP)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Chart_Data!$B$11:$H$11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Chart_Data!$B$13:$H$13</c:f>
              <c:numCache>
                <c:formatCode>0.00</c:formatCode>
                <c:ptCount val="7"/>
                <c:pt idx="0">
                  <c:v>87.0453125</c:v>
                </c:pt>
                <c:pt idx="1">
                  <c:v>19.9666019417476</c:v>
                </c:pt>
                <c:pt idx="3">
                  <c:v>46.3858333333333</c:v>
                </c:pt>
              </c:numCache>
            </c:numRef>
          </c:val>
        </c:ser>
        <c:ser>
          <c:idx val="2"/>
          <c:order val="2"/>
          <c:tx>
            <c:strRef>
              <c:f>Chart_Data!A14</c:f>
              <c:strCache>
                <c:ptCount val="1"/>
                <c:pt idx="0">
                  <c:v>K15 Gross in-service PP&amp;E per active MW (EoP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Chart_Data!$B$11:$H$11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Chart_Data!$B$14:$H$14</c:f>
              <c:numCache>
                <c:formatCode>0.00</c:formatCode>
                <c:ptCount val="7"/>
                <c:pt idx="0">
                  <c:v>75.4057803468208</c:v>
                </c:pt>
                <c:pt idx="1">
                  <c:v>31.1573333333333</c:v>
                </c:pt>
                <c:pt idx="4">
                  <c:v>70.7098765432099</c:v>
                </c:pt>
                <c:pt idx="6">
                  <c:v>12.5</c:v>
                </c:pt>
              </c:numCache>
            </c:numRef>
          </c:val>
        </c:ser>
        <c:gapWidth val="150"/>
        <c:overlap val="0"/>
        <c:axId val="93290053"/>
        <c:axId val="45908756"/>
      </c:barChart>
      <c:catAx>
        <c:axId val="932900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908756"/>
        <c:crosses val="autoZero"/>
        <c:auto val="1"/>
        <c:lblAlgn val="ctr"/>
        <c:lblOffset val="100"/>
        <c:noMultiLvlLbl val="0"/>
      </c:catAx>
      <c:valAx>
        <c:axId val="45908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900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Cost of debt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Chart_Data!A17</c:f>
              <c:strCache>
                <c:ptCount val="1"/>
                <c:pt idx="0">
                  <c:v>K28 Weighted effective cost of debt (princip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Chart_Data!$B$16:$H$16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Chart_Data!$B$17:$H$17</c:f>
              <c:numCache>
                <c:formatCode>0.00</c:formatCode>
                <c:ptCount val="7"/>
                <c:pt idx="0">
                  <c:v>3</c:v>
                </c:pt>
                <c:pt idx="1">
                  <c:v>3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Chart_Data!A18</c:f>
              <c:strCache>
                <c:ptCount val="1"/>
                <c:pt idx="0">
                  <c:v>K36 Implied cash cost: contractual interest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Chart_Data!$B$16:$H$16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Chart_Data!$B$18:$H$18</c:f>
              <c:numCache>
                <c:formatCode>0.00</c:formatCode>
                <c:ptCount val="7"/>
                <c:pt idx="1">
                  <c:v>38.3758544063458</c:v>
                </c:pt>
                <c:pt idx="2">
                  <c:v>5.35970428967112</c:v>
                </c:pt>
                <c:pt idx="3">
                  <c:v>0</c:v>
                </c:pt>
                <c:pt idx="4">
                  <c:v>35.080058224163</c:v>
                </c:pt>
              </c:numCache>
            </c:numRef>
          </c:val>
        </c:ser>
        <c:gapWidth val="150"/>
        <c:overlap val="0"/>
        <c:axId val="33558935"/>
        <c:axId val="44682216"/>
      </c:barChart>
      <c:catAx>
        <c:axId val="335589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682216"/>
        <c:crosses val="autoZero"/>
        <c:auto val="1"/>
        <c:lblAlgn val="ctr"/>
        <c:lblOffset val="100"/>
        <c:noMultiLvlLbl val="0"/>
      </c:catAx>
      <c:valAx>
        <c:axId val="44682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558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Customer concentration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Chart_Data!A21</c:f>
              <c:strCache>
                <c:ptCount val="1"/>
                <c:pt idx="0">
                  <c:v>K24 Largest customer % of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Chart_Data!$B$20:$H$20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Chart_Data!$B$21:$H$21</c:f>
              <c:numCache>
                <c:formatCode>0.00</c:formatCode>
                <c:ptCount val="7"/>
                <c:pt idx="0">
                  <c:v>16.3030961906419</c:v>
                </c:pt>
                <c:pt idx="1">
                  <c:v>10.0679611650485</c:v>
                </c:pt>
                <c:pt idx="2">
                  <c:v>18.0812593065305</c:v>
                </c:pt>
                <c:pt idx="3">
                  <c:v>8.31422018348624</c:v>
                </c:pt>
                <c:pt idx="4">
                  <c:v>200.568990042674</c:v>
                </c:pt>
              </c:numCache>
            </c:numRef>
          </c:val>
        </c:ser>
        <c:ser>
          <c:idx val="1"/>
          <c:order val="1"/>
          <c:tx>
            <c:strRef>
              <c:f>Chart_Data!A22</c:f>
              <c:strCache>
                <c:ptCount val="1"/>
                <c:pt idx="0">
                  <c:v>K26 Top-N &gt;=10% customers combined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Chart_Data!$B$20:$H$20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Chart_Data!$B$22:$H$22</c:f>
              <c:numCache>
                <c:formatCode>0.00</c:formatCode>
                <c:ptCount val="7"/>
                <c:pt idx="0">
                  <c:v>21</c:v>
                </c:pt>
                <c:pt idx="1">
                  <c:v>26</c:v>
                </c:pt>
              </c:numCache>
            </c:numRef>
          </c:val>
        </c:ser>
        <c:gapWidth val="150"/>
        <c:overlap val="0"/>
        <c:axId val="24877310"/>
        <c:axId val="47413942"/>
      </c:barChart>
      <c:catAx>
        <c:axId val="248773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413942"/>
        <c:crosses val="autoZero"/>
        <c:auto val="1"/>
        <c:lblAlgn val="ctr"/>
        <c:lblOffset val="100"/>
        <c:noMultiLvlLbl val="0"/>
      </c:catAx>
      <c:valAx>
        <c:axId val="47413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8773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RPO / annualized revenue (years)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Chart_Data!A25</c:f>
              <c:strCache>
                <c:ptCount val="1"/>
                <c:pt idx="0">
                  <c:v>K23 RPO / annualized quarterly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Chart_Data!$B$24:$H$24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Chart_Data!$B$25:$H$25</c:f>
              <c:numCache>
                <c:formatCode>0.00</c:formatCode>
                <c:ptCount val="7"/>
                <c:pt idx="0">
                  <c:v>36</c:v>
                </c:pt>
                <c:pt idx="1">
                  <c:v>41</c:v>
                </c:pt>
                <c:pt idx="2">
                  <c:v>43.1</c:v>
                </c:pt>
                <c:pt idx="3">
                  <c:v>29</c:v>
                </c:pt>
                <c:pt idx="4">
                  <c:v>16</c:v>
                </c:pt>
              </c:numCache>
            </c:numRef>
          </c:val>
        </c:ser>
        <c:gapWidth val="150"/>
        <c:overlap val="0"/>
        <c:axId val="28947582"/>
        <c:axId val="39289679"/>
      </c:barChart>
      <c:catAx>
        <c:axId val="289475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289679"/>
        <c:crosses val="autoZero"/>
        <c:auto val="1"/>
        <c:lblAlgn val="ctr"/>
        <c:lblOffset val="100"/>
        <c:noMultiLvlLbl val="0"/>
      </c:catAx>
      <c:valAx>
        <c:axId val="39289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9475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Depreciation yield (%) and useful life (yrs)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Chart_Data!A28</c:f>
              <c:strCache>
                <c:ptCount val="1"/>
                <c:pt idx="0">
                  <c:v>K17 Depreciation yield (D&amp;A x4 / avg in-serv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Chart_Data!$B$27:$H$27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Chart_Data!$B$28:$H$28</c:f>
              <c:numCache>
                <c:formatCode>0.00</c:formatCode>
                <c:ptCount val="7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</c:numCache>
            </c:numRef>
          </c:val>
        </c:ser>
        <c:ser>
          <c:idx val="1"/>
          <c:order val="1"/>
          <c:tx>
            <c:strRef>
              <c:f>Chart_Data!A29</c:f>
              <c:strCache>
                <c:ptCount val="1"/>
                <c:pt idx="0">
                  <c:v>K16 Useful life - technology equipment (GPUs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Chart_Data!$B$27:$H$27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Chart_Data!$B$29:$H$29</c:f>
              <c:numCache>
                <c:formatCode>0.00</c:formatCode>
                <c:ptCount val="7"/>
                <c:pt idx="0">
                  <c:v>36.4919075144509</c:v>
                </c:pt>
                <c:pt idx="1">
                  <c:v>27.136</c:v>
                </c:pt>
                <c:pt idx="4">
                  <c:v>20.8259259259259</c:v>
                </c:pt>
              </c:numCache>
            </c:numRef>
          </c:val>
        </c:ser>
        <c:gapWidth val="150"/>
        <c:overlap val="0"/>
        <c:axId val="43036126"/>
        <c:axId val="73136357"/>
      </c:barChart>
      <c:catAx>
        <c:axId val="430361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36357"/>
        <c:crosses val="autoZero"/>
        <c:auto val="1"/>
        <c:lblAlgn val="ctr"/>
        <c:lblOffset val="100"/>
        <c:noMultiLvlLbl val="0"/>
      </c:catAx>
      <c:valAx>
        <c:axId val="73136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0361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Active vs contracted MW (log scale in PNG)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Chart_Data!A32</c:f>
              <c:strCache>
                <c:ptCount val="1"/>
                <c:pt idx="0">
                  <c:v>Active / energized MW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Chart_Data!$B$31:$H$31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Chart_Data!$B$32:$H$32</c:f>
              <c:numCache>
                <c:formatCode>General</c:formatCode>
                <c:ptCount val="7"/>
                <c:pt idx="0">
                  <c:v>173</c:v>
                </c:pt>
                <c:pt idx="1">
                  <c:v>1500</c:v>
                </c:pt>
                <c:pt idx="2">
                  <c:v>40</c:v>
                </c:pt>
                <c:pt idx="3">
                  <c:v>1200</c:v>
                </c:pt>
                <c:pt idx="4">
                  <c:v>81</c:v>
                </c:pt>
                <c:pt idx="5">
                  <c:v>47</c:v>
                </c:pt>
                <c:pt idx="6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Chart_Data!A33</c:f>
              <c:strCache>
                <c:ptCount val="1"/>
                <c:pt idx="0">
                  <c:v>Contracted MW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Chart_Data!$B$31:$H$31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Chart_Data!$B$33:$H$33</c:f>
              <c:numCache>
                <c:formatCode>General</c:formatCode>
                <c:ptCount val="7"/>
                <c:pt idx="0">
                  <c:v>3500</c:v>
                </c:pt>
                <c:pt idx="1">
                  <c:v>3700</c:v>
                </c:pt>
                <c:pt idx="2">
                  <c:v>260</c:v>
                </c:pt>
                <c:pt idx="3">
                  <c:v>10000</c:v>
                </c:pt>
                <c:pt idx="4">
                  <c:v>1370</c:v>
                </c:pt>
                <c:pt idx="6">
                  <c:v>6000</c:v>
                </c:pt>
              </c:numCache>
            </c:numRef>
          </c:val>
        </c:ser>
        <c:gapWidth val="150"/>
        <c:overlap val="0"/>
        <c:axId val="8817009"/>
        <c:axId val="46844231"/>
      </c:barChart>
      <c:catAx>
        <c:axId val="88170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844231"/>
        <c:crosses val="autoZero"/>
        <c:auto val="1"/>
        <c:lblAlgn val="ctr"/>
        <c:lblOffset val="100"/>
        <c:noMultiLvlLbl val="0"/>
      </c:catAx>
      <c:valAx>
        <c:axId val="46844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17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Implied $M per MW-yr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Chart_Data!B36</c:f>
              <c:strCache>
                <c:ptCount val="1"/>
                <c:pt idx="0">
                  <c:v>$M/MW-yr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Chart_Data!$A$37:$A$53</c:f>
              <c:strCache>
                <c:ptCount val="17"/>
                <c:pt idx="0">
                  <c:v>N1 Nebius - Microsoft</c:v>
                </c:pt>
                <c:pt idx="1">
                  <c:v>N2 Nebius - Meta #1</c:v>
                </c:pt>
                <c:pt idx="2">
                  <c:v>P1 IREN - Microsoft</c:v>
                </c:pt>
                <c:pt idx="3">
                  <c:v>NEW1 IREN - NVIDIA</c:v>
                </c:pt>
                <c:pt idx="4">
                  <c:v>P2 Nscale - Microsoft (all SOWs)</c:v>
                </c:pt>
                <c:pt idx="5">
                  <c:v>P2a Nscale (Aker JV) - Microsoft - Narvik</c:v>
                </c:pt>
                <c:pt idx="6">
                  <c:v>O1 Nscale - Anthropic</c:v>
                </c:pt>
                <c:pt idx="7">
                  <c:v>NEW2 Lambda - Anthropic</c:v>
                </c:pt>
                <c:pt idx="8">
                  <c:v>O2 Oracle - OpenAI (Stargate)</c:v>
                </c:pt>
                <c:pt idx="9">
                  <c:v>NEW16 Cerebras - OpenAI</c:v>
                </c:pt>
                <c:pt idx="10">
                  <c:v>REF TeraWulf - Fluidstack (Google backstop)</c:v>
                </c:pt>
                <c:pt idx="11">
                  <c:v>F1 Cipher Mining - AWS</c:v>
                </c:pt>
                <c:pt idx="12">
                  <c:v>F2 Cipher Mining - Fluidstack (Google backs</c:v>
                </c:pt>
                <c:pt idx="13">
                  <c:v>F3 Hut 8 - Fluidstack (Anthropic; Google ba</c:v>
                </c:pt>
                <c:pt idx="14">
                  <c:v>F4 Applied Digital - CoreWeave (Polaris For</c:v>
                </c:pt>
                <c:pt idx="15">
                  <c:v>F5 Galaxy - CoreWeave (Helios)</c:v>
                </c:pt>
                <c:pt idx="16">
                  <c:v>F6 Hut 8 - NVIDIA (Beacon Point; for Lambda</c:v>
                </c:pt>
              </c:strCache>
            </c:strRef>
          </c:cat>
          <c:val>
            <c:numRef>
              <c:f>Chart_Data!$B$37:$B$53</c:f>
              <c:numCache>
                <c:formatCode>0.00</c:formatCode>
                <c:ptCount val="17"/>
                <c:pt idx="0">
                  <c:v>17.0798267752104</c:v>
                </c:pt>
                <c:pt idx="1">
                  <c:v>11.5228</c:v>
                </c:pt>
                <c:pt idx="2">
                  <c:v>9.7</c:v>
                </c:pt>
                <c:pt idx="3">
                  <c:v>11.3333333333333</c:v>
                </c:pt>
                <c:pt idx="4">
                  <c:v>13.3511877527543</c:v>
                </c:pt>
                <c:pt idx="5">
                  <c:v>11.7084962136234</c:v>
                </c:pt>
                <c:pt idx="6">
                  <c:v>16.1594202898551</c:v>
                </c:pt>
                <c:pt idx="7">
                  <c:v>16.6666666666667</c:v>
                </c:pt>
                <c:pt idx="8">
                  <c:v>16</c:v>
                </c:pt>
                <c:pt idx="9">
                  <c:v>4.44444444444445</c:v>
                </c:pt>
                <c:pt idx="10">
                  <c:v>1.85</c:v>
                </c:pt>
                <c:pt idx="11">
                  <c:v>1.22222222222222</c:v>
                </c:pt>
                <c:pt idx="12">
                  <c:v>1.78571428571429</c:v>
                </c:pt>
                <c:pt idx="13">
                  <c:v>1.9047619047619</c:v>
                </c:pt>
                <c:pt idx="14">
                  <c:v>1.83333333333333</c:v>
                </c:pt>
                <c:pt idx="15">
                  <c:v>1.90114068441065</c:v>
                </c:pt>
                <c:pt idx="16">
                  <c:v>1.85606060606061</c:v>
                </c:pt>
              </c:numCache>
            </c:numRef>
          </c:val>
        </c:ser>
        <c:gapWidth val="150"/>
        <c:overlap val="0"/>
        <c:axId val="20638587"/>
        <c:axId val="45131632"/>
      </c:barChart>
      <c:catAx>
        <c:axId val="206385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131632"/>
        <c:crosses val="autoZero"/>
        <c:auto val="1"/>
        <c:lblAlgn val="ctr"/>
        <c:lblOffset val="100"/>
        <c:noMultiLvlLbl val="0"/>
      </c:catAx>
      <c:valAx>
        <c:axId val="45131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638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Sites: evidenced-active vs announced MW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Chart_Data!B55</c:f>
              <c:strCache>
                <c:ptCount val="1"/>
                <c:pt idx="0">
                  <c:v>Active 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Chart_Data!$A$56:$A$67</c:f>
              <c:strCache>
                <c:ptCount val="12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Nebius: Vineland NJ</c:v>
                </c:pt>
                <c:pt idx="7">
                  <c:v>Nebius: Independence MO</c:v>
                </c:pt>
                <c:pt idx="8">
                  <c:v>Nebius: Bethune FR</c:v>
                </c:pt>
                <c:pt idx="9">
                  <c:v>Nebius: Mantsala FI #1</c:v>
                </c:pt>
                <c:pt idx="10">
                  <c:v>Nebius: Kansas City MO</c:v>
                </c:pt>
                <c:pt idx="11">
                  <c:v>Nebius: London Longcross</c:v>
                </c:pt>
              </c:strCache>
            </c:strRef>
          </c:cat>
          <c:val>
            <c:numRef>
              <c:f>Chart_Data!$B$56:$B$67</c:f>
              <c:numCache>
                <c:formatCode>General</c:formatCode>
                <c:ptCount val="12"/>
                <c:pt idx="0">
                  <c:v>250</c:v>
                </c:pt>
                <c:pt idx="1">
                  <c:v>50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0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75</c:v>
                </c:pt>
                <c:pt idx="10">
                  <c:v>5</c:v>
                </c:pt>
                <c:pt idx="11">
                  <c:v>16</c:v>
                </c:pt>
              </c:numCache>
            </c:numRef>
          </c:val>
        </c:ser>
        <c:ser>
          <c:idx val="1"/>
          <c:order val="1"/>
          <c:tx>
            <c:strRef>
              <c:f>Chart_Data!C55</c:f>
              <c:strCache>
                <c:ptCount val="1"/>
                <c:pt idx="0">
                  <c:v>Active 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Chart_Data!$A$56:$A$67</c:f>
              <c:strCache>
                <c:ptCount val="12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Nebius: Vineland NJ</c:v>
                </c:pt>
                <c:pt idx="7">
                  <c:v>Nebius: Independence MO</c:v>
                </c:pt>
                <c:pt idx="8">
                  <c:v>Nebius: Bethune FR</c:v>
                </c:pt>
                <c:pt idx="9">
                  <c:v>Nebius: Mantsala FI #1</c:v>
                </c:pt>
                <c:pt idx="10">
                  <c:v>Nebius: Kansas City MO</c:v>
                </c:pt>
                <c:pt idx="11">
                  <c:v>Nebius: London Longcross</c:v>
                </c:pt>
              </c:strCache>
            </c:strRef>
          </c:cat>
          <c:val>
            <c:numRef>
              <c:f>Chart_Data!$C$56:$C$67</c:f>
              <c:numCache>
                <c:formatCode>General</c:formatCode>
                <c:ptCount val="12"/>
                <c:pt idx="0">
                  <c:v>260</c:v>
                </c:pt>
                <c:pt idx="1">
                  <c:v>75</c:v>
                </c:pt>
                <c:pt idx="2">
                  <c:v>0</c:v>
                </c:pt>
                <c:pt idx="3">
                  <c:v>421</c:v>
                </c:pt>
                <c:pt idx="4">
                  <c:v>12</c:v>
                </c:pt>
                <c:pt idx="5">
                  <c:v>0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75</c:v>
                </c:pt>
                <c:pt idx="10">
                  <c:v>20</c:v>
                </c:pt>
                <c:pt idx="11">
                  <c:v>16</c:v>
                </c:pt>
              </c:numCache>
            </c:numRef>
          </c:val>
        </c:ser>
        <c:ser>
          <c:idx val="2"/>
          <c:order val="2"/>
          <c:tx>
            <c:strRef>
              <c:f>Chart_Data!D55</c:f>
              <c:strCache>
                <c:ptCount val="1"/>
                <c:pt idx="0">
                  <c:v>Active 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Chart_Data!$A$56:$A$67</c:f>
              <c:strCache>
                <c:ptCount val="12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Nebius: Vineland NJ</c:v>
                </c:pt>
                <c:pt idx="7">
                  <c:v>Nebius: Independence MO</c:v>
                </c:pt>
                <c:pt idx="8">
                  <c:v>Nebius: Bethune FR</c:v>
                </c:pt>
                <c:pt idx="9">
                  <c:v>Nebius: Mantsala FI #1</c:v>
                </c:pt>
                <c:pt idx="10">
                  <c:v>Nebius: Kansas City MO</c:v>
                </c:pt>
                <c:pt idx="11">
                  <c:v>Nebius: London Longcross</c:v>
                </c:pt>
              </c:strCache>
            </c:strRef>
          </c:cat>
          <c:val>
            <c:numRef>
              <c:f>Chart_Data!$D$56:$D$67</c:f>
              <c:numCache>
                <c:formatCode>General</c:formatCode>
                <c:ptCount val="12"/>
                <c:pt idx="0">
                  <c:v>262</c:v>
                </c:pt>
                <c:pt idx="1">
                  <c:v>100</c:v>
                </c:pt>
                <c:pt idx="2">
                  <c:v>0</c:v>
                </c:pt>
                <c:pt idx="3">
                  <c:v>421</c:v>
                </c:pt>
                <c:pt idx="4">
                  <c:v>24</c:v>
                </c:pt>
                <c:pt idx="5">
                  <c:v>0</c:v>
                </c:pt>
                <c:pt idx="6">
                  <c:v>75</c:v>
                </c:pt>
                <c:pt idx="7">
                  <c:v>0</c:v>
                </c:pt>
                <c:pt idx="8">
                  <c:v>0</c:v>
                </c:pt>
                <c:pt idx="9">
                  <c:v>75</c:v>
                </c:pt>
                <c:pt idx="10">
                  <c:v>35</c:v>
                </c:pt>
                <c:pt idx="11">
                  <c:v>16</c:v>
                </c:pt>
              </c:numCache>
            </c:numRef>
          </c:val>
        </c:ser>
        <c:ser>
          <c:idx val="3"/>
          <c:order val="3"/>
          <c:tx>
            <c:strRef>
              <c:f>Chart_Data!E55</c:f>
              <c:strCache>
                <c:ptCount val="1"/>
                <c:pt idx="0">
                  <c:v>Announced / contracted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Chart_Data!$A$56:$A$67</c:f>
              <c:strCache>
                <c:ptCount val="12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Nebius: Vineland NJ</c:v>
                </c:pt>
                <c:pt idx="7">
                  <c:v>Nebius: Independence MO</c:v>
                </c:pt>
                <c:pt idx="8">
                  <c:v>Nebius: Bethune FR</c:v>
                </c:pt>
                <c:pt idx="9">
                  <c:v>Nebius: Mantsala FI #1</c:v>
                </c:pt>
                <c:pt idx="10">
                  <c:v>Nebius: Kansas City MO</c:v>
                </c:pt>
                <c:pt idx="11">
                  <c:v>Nebius: London Longcross</c:v>
                </c:pt>
              </c:strCache>
            </c:strRef>
          </c:cat>
          <c:val>
            <c:numRef>
              <c:f>Chart_Data!$E$56:$E$67</c:f>
              <c:numCache>
                <c:formatCode>General</c:formatCode>
                <c:ptCount val="12"/>
                <c:pt idx="0">
                  <c:v>262</c:v>
                </c:pt>
                <c:pt idx="1">
                  <c:v>260</c:v>
                </c:pt>
                <c:pt idx="2">
                  <c:v>230</c:v>
                </c:pt>
                <c:pt idx="3">
                  <c:v>843</c:v>
                </c:pt>
                <c:pt idx="4">
                  <c:v>24</c:v>
                </c:pt>
                <c:pt idx="5">
                  <c:v>902</c:v>
                </c:pt>
                <c:pt idx="6">
                  <c:v>300</c:v>
                </c:pt>
                <c:pt idx="7">
                  <c:v>1200</c:v>
                </c:pt>
                <c:pt idx="8">
                  <c:v>240</c:v>
                </c:pt>
                <c:pt idx="9">
                  <c:v>75</c:v>
                </c:pt>
                <c:pt idx="10">
                  <c:v>40</c:v>
                </c:pt>
                <c:pt idx="11">
                  <c:v>19</c:v>
                </c:pt>
              </c:numCache>
            </c:numRef>
          </c:val>
        </c:ser>
        <c:ser>
          <c:idx val="4"/>
          <c:order val="4"/>
          <c:tx>
            <c:strRef>
              <c:f>Chart_Data!F55</c:f>
              <c:strCache>
                <c:ptCount val="1"/>
                <c:pt idx="0">
                  <c:v>YE26 base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Chart_Data!$A$56:$A$67</c:f>
              <c:strCache>
                <c:ptCount val="12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Nebius: Vineland NJ</c:v>
                </c:pt>
                <c:pt idx="7">
                  <c:v>Nebius: Independence MO</c:v>
                </c:pt>
                <c:pt idx="8">
                  <c:v>Nebius: Bethune FR</c:v>
                </c:pt>
                <c:pt idx="9">
                  <c:v>Nebius: Mantsala FI #1</c:v>
                </c:pt>
                <c:pt idx="10">
                  <c:v>Nebius: Kansas City MO</c:v>
                </c:pt>
                <c:pt idx="11">
                  <c:v>Nebius: London Longcross</c:v>
                </c:pt>
              </c:strCache>
            </c:strRef>
          </c:cat>
          <c:val>
            <c:numRef>
              <c:f>Chart_Data!$F$56:$F$67</c:f>
              <c:numCache>
                <c:formatCode>General</c:formatCode>
                <c:ptCount val="12"/>
                <c:pt idx="0">
                  <c:v>262</c:v>
                </c:pt>
                <c:pt idx="1">
                  <c:v>150</c:v>
                </c:pt>
                <c:pt idx="2">
                  <c:v>0</c:v>
                </c:pt>
                <c:pt idx="3">
                  <c:v>632</c:v>
                </c:pt>
                <c:pt idx="4">
                  <c:v>24</c:v>
                </c:pt>
                <c:pt idx="5">
                  <c:v>0</c:v>
                </c:pt>
                <c:pt idx="6">
                  <c:v>81.8</c:v>
                </c:pt>
                <c:pt idx="7">
                  <c:v>0</c:v>
                </c:pt>
                <c:pt idx="8">
                  <c:v>30</c:v>
                </c:pt>
                <c:pt idx="9">
                  <c:v>75</c:v>
                </c:pt>
                <c:pt idx="10">
                  <c:v>20</c:v>
                </c:pt>
                <c:pt idx="11">
                  <c:v>17.5</c:v>
                </c:pt>
              </c:numCache>
            </c:numRef>
          </c:val>
        </c:ser>
        <c:gapWidth val="150"/>
        <c:overlap val="0"/>
        <c:axId val="51549487"/>
        <c:axId val="89483610"/>
      </c:barChart>
      <c:catAx>
        <c:axId val="515494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483610"/>
        <c:crosses val="autoZero"/>
        <c:auto val="1"/>
        <c:lblAlgn val="ctr"/>
        <c:lblOffset val="100"/>
        <c:noMultiLvlLbl val="0"/>
      </c:catAx>
      <c:valAx>
        <c:axId val="89483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549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255240</xdr:colOff>
      <xdr:row>17</xdr:row>
      <xdr:rowOff>21240</xdr:rowOff>
    </xdr:to>
    <xdr:graphicFrame>
      <xdr:nvGraphicFramePr>
        <xdr:cNvPr id="0" name="Chart 1"/>
        <xdr:cNvGraphicFramePr/>
      </xdr:nvGraphicFramePr>
      <xdr:xfrm>
        <a:off x="0" y="38088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255240</xdr:colOff>
      <xdr:row>17</xdr:row>
      <xdr:rowOff>21240</xdr:rowOff>
    </xdr:to>
    <xdr:graphicFrame>
      <xdr:nvGraphicFramePr>
        <xdr:cNvPr id="1" name="Chart 2"/>
        <xdr:cNvGraphicFramePr/>
      </xdr:nvGraphicFramePr>
      <xdr:xfrm>
        <a:off x="6114960" y="38088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255240</xdr:colOff>
      <xdr:row>34</xdr:row>
      <xdr:rowOff>21240</xdr:rowOff>
    </xdr:to>
    <xdr:graphicFrame>
      <xdr:nvGraphicFramePr>
        <xdr:cNvPr id="2" name="Chart 3"/>
        <xdr:cNvGraphicFramePr/>
      </xdr:nvGraphicFramePr>
      <xdr:xfrm>
        <a:off x="0" y="361944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19</xdr:col>
      <xdr:colOff>255240</xdr:colOff>
      <xdr:row>34</xdr:row>
      <xdr:rowOff>21240</xdr:rowOff>
    </xdr:to>
    <xdr:graphicFrame>
      <xdr:nvGraphicFramePr>
        <xdr:cNvPr id="3" name="Chart 4"/>
        <xdr:cNvGraphicFramePr/>
      </xdr:nvGraphicFramePr>
      <xdr:xfrm>
        <a:off x="6114960" y="361944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255240</xdr:colOff>
      <xdr:row>51</xdr:row>
      <xdr:rowOff>21240</xdr:rowOff>
    </xdr:to>
    <xdr:graphicFrame>
      <xdr:nvGraphicFramePr>
        <xdr:cNvPr id="4" name="Chart 5"/>
        <xdr:cNvGraphicFramePr/>
      </xdr:nvGraphicFramePr>
      <xdr:xfrm>
        <a:off x="0" y="685800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255240</xdr:colOff>
      <xdr:row>51</xdr:row>
      <xdr:rowOff>21240</xdr:rowOff>
    </xdr:to>
    <xdr:graphicFrame>
      <xdr:nvGraphicFramePr>
        <xdr:cNvPr id="5" name="Chart 6"/>
        <xdr:cNvGraphicFramePr/>
      </xdr:nvGraphicFramePr>
      <xdr:xfrm>
        <a:off x="6114960" y="685800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255240</xdr:colOff>
      <xdr:row>68</xdr:row>
      <xdr:rowOff>21600</xdr:rowOff>
    </xdr:to>
    <xdr:graphicFrame>
      <xdr:nvGraphicFramePr>
        <xdr:cNvPr id="6" name="Chart 7"/>
        <xdr:cNvGraphicFramePr/>
      </xdr:nvGraphicFramePr>
      <xdr:xfrm>
        <a:off x="0" y="1009656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53</xdr:row>
      <xdr:rowOff>0</xdr:rowOff>
    </xdr:from>
    <xdr:to>
      <xdr:col>19</xdr:col>
      <xdr:colOff>255240</xdr:colOff>
      <xdr:row>68</xdr:row>
      <xdr:rowOff>21600</xdr:rowOff>
    </xdr:to>
    <xdr:graphicFrame>
      <xdr:nvGraphicFramePr>
        <xdr:cNvPr id="7" name="Chart 8"/>
        <xdr:cNvGraphicFramePr/>
      </xdr:nvGraphicFramePr>
      <xdr:xfrm>
        <a:off x="6114960" y="1009656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70</xdr:row>
      <xdr:rowOff>0</xdr:rowOff>
    </xdr:from>
    <xdr:to>
      <xdr:col>9</xdr:col>
      <xdr:colOff>255240</xdr:colOff>
      <xdr:row>85</xdr:row>
      <xdr:rowOff>21600</xdr:rowOff>
    </xdr:to>
    <xdr:graphicFrame>
      <xdr:nvGraphicFramePr>
        <xdr:cNvPr id="8" name="Chart 9"/>
        <xdr:cNvGraphicFramePr/>
      </xdr:nvGraphicFramePr>
      <xdr:xfrm>
        <a:off x="0" y="1333512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70</xdr:row>
      <xdr:rowOff>0</xdr:rowOff>
    </xdr:from>
    <xdr:to>
      <xdr:col>19</xdr:col>
      <xdr:colOff>255240</xdr:colOff>
      <xdr:row>85</xdr:row>
      <xdr:rowOff>21600</xdr:rowOff>
    </xdr:to>
    <xdr:graphicFrame>
      <xdr:nvGraphicFramePr>
        <xdr:cNvPr id="9" name="Chart 10"/>
        <xdr:cNvGraphicFramePr/>
      </xdr:nvGraphicFramePr>
      <xdr:xfrm>
        <a:off x="6114960" y="1333512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4" min="3" style="1" width="9"/>
    <col collapsed="false" customWidth="true" hidden="false" outlineLevel="0" max="5" min="5" style="1" width="5"/>
    <col collapsed="false" customWidth="true" hidden="false" outlineLevel="0" max="7" min="6" style="1" width="9"/>
    <col collapsed="false" customWidth="true" hidden="false" outlineLevel="0" max="8" min="8" style="1" width="6"/>
    <col collapsed="false" customWidth="true" hidden="false" outlineLevel="0" max="10" min="9" style="1" width="9"/>
    <col collapsed="false" customWidth="true" hidden="false" outlineLevel="0" max="11" min="11" style="1" width="6"/>
    <col collapsed="false" customWidth="true" hidden="false" outlineLevel="0" max="13" min="12" style="1" width="9"/>
    <col collapsed="false" customWidth="true" hidden="false" outlineLevel="0" max="14" min="14" style="1" width="6"/>
    <col collapsed="false" customWidth="true" hidden="false" outlineLevel="0" max="16" min="15" style="1" width="9"/>
    <col collapsed="false" customWidth="true" hidden="false" outlineLevel="0" max="17" min="17" style="1" width="6"/>
    <col collapsed="false" customWidth="true" hidden="false" outlineLevel="0" max="19" min="18" style="1" width="9"/>
    <col collapsed="false" customWidth="true" hidden="false" outlineLevel="0" max="20" min="20" style="1" width="6"/>
    <col collapsed="false" customWidth="true" hidden="false" outlineLevel="0" max="22" min="21" style="1" width="9"/>
    <col collapsed="false" customWidth="true" hidden="false" outlineLevel="0" max="23" min="23" style="1" width="6"/>
    <col collapsed="false" customWidth="true" hidden="false" outlineLevel="0" max="24" min="24" style="1" width="9"/>
    <col collapsed="false" customWidth="true" hidden="false" outlineLevel="0" max="25" min="25" style="1" width="10"/>
    <col collapsed="false" customWidth="true" hidden="false" outlineLevel="0" max="26" min="26" style="1" width="9"/>
    <col collapsed="false" customWidth="true" hidden="false" outlineLevel="0" max="27" min="27" style="1" width="70"/>
    <col collapsed="false" customWidth="true" hidden="false" outlineLevel="0" max="28" min="28" style="1" width="40"/>
    <col collapsed="false" customWidth="true" hidden="false" outlineLevel="0" max="29" min="29" style="1" width="60"/>
  </cols>
  <sheetData>
    <row r="1" customFormat="false" ht="4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customFormat="false" ht="31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5</v>
      </c>
      <c r="I3" s="3" t="s">
        <v>6</v>
      </c>
      <c r="J3" s="3" t="s">
        <v>8</v>
      </c>
      <c r="K3" s="3" t="s">
        <v>5</v>
      </c>
      <c r="L3" s="3" t="s">
        <v>6</v>
      </c>
      <c r="M3" s="3" t="s">
        <v>9</v>
      </c>
      <c r="N3" s="3" t="s">
        <v>5</v>
      </c>
      <c r="O3" s="3" t="s">
        <v>6</v>
      </c>
      <c r="P3" s="3" t="s">
        <v>10</v>
      </c>
      <c r="Q3" s="3" t="s">
        <v>5</v>
      </c>
      <c r="R3" s="3" t="s">
        <v>6</v>
      </c>
      <c r="S3" s="3" t="s">
        <v>11</v>
      </c>
      <c r="T3" s="3" t="s">
        <v>5</v>
      </c>
      <c r="U3" s="3" t="s">
        <v>6</v>
      </c>
      <c r="V3" s="3" t="s">
        <v>12</v>
      </c>
      <c r="W3" s="3" t="s">
        <v>5</v>
      </c>
      <c r="X3" s="3" t="s">
        <v>6</v>
      </c>
      <c r="Y3" s="3" t="s">
        <v>13</v>
      </c>
      <c r="Z3" s="3" t="s">
        <v>14</v>
      </c>
      <c r="AA3" s="3" t="s">
        <v>15</v>
      </c>
      <c r="AB3" s="3" t="s">
        <v>16</v>
      </c>
      <c r="AC3" s="3" t="s">
        <v>17</v>
      </c>
    </row>
    <row r="4" customFormat="false" ht="54.75" hidden="false" customHeight="true" outlineLevel="0" collapsed="false">
      <c r="A4" s="1" t="s">
        <v>18</v>
      </c>
      <c r="B4" s="1" t="s">
        <v>19</v>
      </c>
      <c r="C4" s="1" t="s">
        <v>20</v>
      </c>
      <c r="D4" s="4" t="n">
        <f aca="false">Nebius_Inputs!$C$4*4/Nebius_Inputs!$C$20</f>
        <v>13.2924855491329</v>
      </c>
      <c r="E4" s="5" t="s">
        <v>21</v>
      </c>
      <c r="F4" s="5" t="s">
        <v>22</v>
      </c>
      <c r="G4" s="6" t="n">
        <v>6.86666666666667</v>
      </c>
      <c r="H4" s="5" t="s">
        <v>23</v>
      </c>
      <c r="I4" s="5" t="s">
        <v>22</v>
      </c>
      <c r="J4" s="6" t="n">
        <v>7.0515</v>
      </c>
      <c r="K4" s="5" t="s">
        <v>23</v>
      </c>
      <c r="L4" s="5" t="s">
        <v>22</v>
      </c>
      <c r="M4" s="7" t="s">
        <v>24</v>
      </c>
      <c r="N4" s="5" t="s">
        <v>24</v>
      </c>
      <c r="O4" s="5"/>
      <c r="P4" s="6" t="n">
        <v>3.47160493827161</v>
      </c>
      <c r="Q4" s="5" t="s">
        <v>25</v>
      </c>
      <c r="R4" s="5" t="s">
        <v>26</v>
      </c>
      <c r="S4" s="6" t="n">
        <v>9.70212765957447</v>
      </c>
      <c r="T4" s="5" t="s">
        <v>27</v>
      </c>
      <c r="U4" s="5" t="s">
        <v>28</v>
      </c>
      <c r="V4" s="4" t="n">
        <v>2</v>
      </c>
      <c r="W4" s="5" t="s">
        <v>29</v>
      </c>
      <c r="X4" s="5" t="s">
        <v>30</v>
      </c>
      <c r="Y4" s="8" t="n">
        <f aca="false">MEDIAN(G4,J4,P4,S4,V4)</f>
        <v>6.86666666666667</v>
      </c>
      <c r="Z4" s="9" t="s">
        <v>31</v>
      </c>
      <c r="AA4" s="10" t="s">
        <v>32</v>
      </c>
      <c r="AB4" s="10" t="s">
        <v>33</v>
      </c>
      <c r="AC4" s="10" t="s">
        <v>34</v>
      </c>
    </row>
    <row r="5" customFormat="false" ht="41.25" hidden="false" customHeight="true" outlineLevel="0" collapsed="false">
      <c r="A5" s="1" t="s">
        <v>35</v>
      </c>
      <c r="B5" s="1" t="s">
        <v>36</v>
      </c>
      <c r="C5" s="1" t="s">
        <v>20</v>
      </c>
      <c r="D5" s="4" t="n">
        <f aca="false">Nebius_Inputs!$C$4*4/AVERAGE(Nebius_Inputs!$C$19,Nebius_Inputs!$C$20)</f>
        <v>13.3503628447025</v>
      </c>
      <c r="E5" s="5" t="s">
        <v>21</v>
      </c>
      <c r="F5" s="5" t="s">
        <v>22</v>
      </c>
      <c r="G5" s="6" t="n">
        <v>8.24</v>
      </c>
      <c r="H5" s="5" t="s">
        <v>23</v>
      </c>
      <c r="I5" s="5" t="s">
        <v>22</v>
      </c>
      <c r="J5" s="4" t="n">
        <v>10.476822</v>
      </c>
      <c r="K5" s="5" t="s">
        <v>37</v>
      </c>
      <c r="L5" s="5" t="s">
        <v>38</v>
      </c>
      <c r="M5" s="7" t="s">
        <v>24</v>
      </c>
      <c r="N5" s="5" t="s">
        <v>24</v>
      </c>
      <c r="O5" s="5"/>
      <c r="P5" s="7" t="s">
        <v>24</v>
      </c>
      <c r="Q5" s="5" t="s">
        <v>24</v>
      </c>
      <c r="R5" s="5"/>
      <c r="S5" s="7" t="s">
        <v>24</v>
      </c>
      <c r="T5" s="5" t="s">
        <v>24</v>
      </c>
      <c r="U5" s="5"/>
      <c r="V5" s="7" t="s">
        <v>24</v>
      </c>
      <c r="W5" s="5" t="s">
        <v>24</v>
      </c>
      <c r="X5" s="5"/>
      <c r="Y5" s="8" t="n">
        <f aca="false">MEDIAN(G5,J5)</f>
        <v>9.358411</v>
      </c>
      <c r="Z5" s="9" t="s">
        <v>31</v>
      </c>
      <c r="AA5" s="10" t="s">
        <v>39</v>
      </c>
      <c r="AB5" s="10" t="s">
        <v>40</v>
      </c>
      <c r="AC5" s="10"/>
    </row>
    <row r="6" customFormat="false" ht="41.25" hidden="false" customHeight="true" outlineLevel="0" collapsed="false">
      <c r="A6" s="1" t="s">
        <v>41</v>
      </c>
      <c r="B6" s="1" t="s">
        <v>42</v>
      </c>
      <c r="C6" s="1" t="s">
        <v>20</v>
      </c>
      <c r="D6" s="1" t="n">
        <f aca="false">Nebius_Inputs!$C$4*4/AVERAGE(Nebius_Inputs!$C$42,Nebius_Inputs!$C$43)</f>
        <v>13.0555240149881</v>
      </c>
      <c r="E6" s="1" t="s">
        <v>21</v>
      </c>
      <c r="F6" s="1" t="s">
        <v>22</v>
      </c>
      <c r="G6" s="8" t="n">
        <f aca="false">G5</f>
        <v>8.24</v>
      </c>
      <c r="H6" s="1" t="s">
        <v>23</v>
      </c>
      <c r="I6" s="1" t="s">
        <v>22</v>
      </c>
      <c r="J6" s="1" t="s">
        <v>24</v>
      </c>
      <c r="K6" s="1" t="s">
        <v>24</v>
      </c>
      <c r="M6" s="1" t="s">
        <v>24</v>
      </c>
      <c r="N6" s="1" t="s">
        <v>24</v>
      </c>
      <c r="P6" s="1" t="s">
        <v>24</v>
      </c>
      <c r="Q6" s="1" t="s">
        <v>24</v>
      </c>
      <c r="S6" s="1" t="s">
        <v>24</v>
      </c>
      <c r="T6" s="1" t="s">
        <v>24</v>
      </c>
      <c r="V6" s="1" t="s">
        <v>24</v>
      </c>
      <c r="W6" s="1" t="s">
        <v>24</v>
      </c>
      <c r="Y6" s="8" t="n">
        <f aca="false">G6</f>
        <v>8.24</v>
      </c>
      <c r="Z6" s="1" t="s">
        <v>31</v>
      </c>
      <c r="AA6" s="1" t="s">
        <v>43</v>
      </c>
      <c r="AB6" s="1" t="s">
        <v>44</v>
      </c>
    </row>
    <row r="7" customFormat="false" ht="41.25" hidden="false" customHeight="true" outlineLevel="0" collapsed="false">
      <c r="A7" s="1" t="s">
        <v>45</v>
      </c>
      <c r="B7" s="1" t="s">
        <v>46</v>
      </c>
      <c r="C7" s="1" t="s">
        <v>20</v>
      </c>
      <c r="D7" s="6" t="n">
        <f aca="false">Nebius_Inputs!$C$4*4/Nebius_Inputs!$C$22</f>
        <v>0.657028571428571</v>
      </c>
      <c r="E7" s="5" t="s">
        <v>25</v>
      </c>
      <c r="F7" s="5" t="s">
        <v>22</v>
      </c>
      <c r="G7" s="6" t="n">
        <v>2.78378378378378</v>
      </c>
      <c r="H7" s="5" t="s">
        <v>23</v>
      </c>
      <c r="I7" s="5" t="s">
        <v>22</v>
      </c>
      <c r="J7" s="7" t="s">
        <v>24</v>
      </c>
      <c r="K7" s="5" t="s">
        <v>24</v>
      </c>
      <c r="L7" s="5"/>
      <c r="M7" s="7" t="s">
        <v>24</v>
      </c>
      <c r="N7" s="5" t="s">
        <v>24</v>
      </c>
      <c r="O7" s="5"/>
      <c r="P7" s="6" t="n">
        <v>0.205255474452555</v>
      </c>
      <c r="Q7" s="5" t="s">
        <v>25</v>
      </c>
      <c r="R7" s="5" t="s">
        <v>47</v>
      </c>
      <c r="S7" s="7" t="s">
        <v>24</v>
      </c>
      <c r="T7" s="5" t="s">
        <v>24</v>
      </c>
      <c r="U7" s="5"/>
      <c r="V7" s="4" t="n">
        <v>0.333333333333333</v>
      </c>
      <c r="W7" s="5" t="s">
        <v>29</v>
      </c>
      <c r="X7" s="5" t="s">
        <v>30</v>
      </c>
      <c r="Y7" s="8" t="n">
        <f aca="false">MEDIAN(G7,P7,V7)</f>
        <v>0.333333333333333</v>
      </c>
      <c r="Z7" s="9" t="s">
        <v>31</v>
      </c>
      <c r="AA7" s="10" t="s">
        <v>48</v>
      </c>
      <c r="AB7" s="10" t="s">
        <v>49</v>
      </c>
      <c r="AC7" s="10"/>
    </row>
    <row r="8" customFormat="false" ht="27.75" hidden="false" customHeight="true" outlineLevel="0" collapsed="false">
      <c r="A8" s="1" t="s">
        <v>50</v>
      </c>
      <c r="B8" s="1" t="s">
        <v>51</v>
      </c>
      <c r="C8" s="1" t="s">
        <v>52</v>
      </c>
      <c r="D8" s="4" t="n">
        <f aca="false">Nebius_Inputs!$C$22/Nebius_Inputs!$C$20</f>
        <v>20.2312138728324</v>
      </c>
      <c r="E8" s="5" t="s">
        <v>21</v>
      </c>
      <c r="F8" s="5" t="s">
        <v>22</v>
      </c>
      <c r="G8" s="6" t="n">
        <v>2.46666666666667</v>
      </c>
      <c r="H8" s="5" t="s">
        <v>23</v>
      </c>
      <c r="I8" s="5" t="s">
        <v>22</v>
      </c>
      <c r="J8" s="7" t="s">
        <v>24</v>
      </c>
      <c r="K8" s="5" t="s">
        <v>24</v>
      </c>
      <c r="L8" s="5"/>
      <c r="M8" s="7" t="s">
        <v>24</v>
      </c>
      <c r="N8" s="5" t="s">
        <v>24</v>
      </c>
      <c r="O8" s="5"/>
      <c r="P8" s="6" t="n">
        <v>16.9135802469136</v>
      </c>
      <c r="Q8" s="5" t="s">
        <v>25</v>
      </c>
      <c r="R8" s="5" t="s">
        <v>47</v>
      </c>
      <c r="S8" s="7" t="s">
        <v>24</v>
      </c>
      <c r="T8" s="5" t="s">
        <v>24</v>
      </c>
      <c r="U8" s="5"/>
      <c r="V8" s="6" t="n">
        <v>6</v>
      </c>
      <c r="W8" s="5" t="s">
        <v>25</v>
      </c>
      <c r="X8" s="5" t="s">
        <v>30</v>
      </c>
      <c r="Y8" s="8" t="n">
        <f aca="false">MEDIAN(G8,P8,V8)</f>
        <v>6</v>
      </c>
      <c r="Z8" s="11" t="s">
        <v>53</v>
      </c>
      <c r="AA8" s="10" t="s">
        <v>54</v>
      </c>
      <c r="AB8" s="10"/>
      <c r="AC8" s="10"/>
    </row>
    <row r="9" customFormat="false" ht="27.75" hidden="false" customHeight="true" outlineLevel="0" collapsed="false">
      <c r="A9" s="1" t="s">
        <v>55</v>
      </c>
      <c r="B9" s="1" t="s">
        <v>56</v>
      </c>
      <c r="C9" s="1" t="s">
        <v>20</v>
      </c>
      <c r="D9" s="4" t="n">
        <f aca="false">Nebius_Inputs!$C$7*4/AVERAGE(Nebius_Inputs!$C$19,Nebius_Inputs!$C$20)</f>
        <v>6.63454281567489</v>
      </c>
      <c r="E9" s="5" t="s">
        <v>21</v>
      </c>
      <c r="F9" s="5" t="s">
        <v>22</v>
      </c>
      <c r="G9" s="6" t="n">
        <v>4.832</v>
      </c>
      <c r="H9" s="5" t="s">
        <v>23</v>
      </c>
      <c r="I9" s="5" t="s">
        <v>22</v>
      </c>
      <c r="J9" s="7" t="s">
        <v>24</v>
      </c>
      <c r="K9" s="5" t="s">
        <v>24</v>
      </c>
      <c r="L9" s="5"/>
      <c r="M9" s="7" t="s">
        <v>24</v>
      </c>
      <c r="N9" s="5" t="s">
        <v>24</v>
      </c>
      <c r="O9" s="5"/>
      <c r="P9" s="6" t="n">
        <v>-4.91851851851852</v>
      </c>
      <c r="Q9" s="5" t="s">
        <v>25</v>
      </c>
      <c r="R9" s="5" t="s">
        <v>26</v>
      </c>
      <c r="S9" s="7" t="s">
        <v>24</v>
      </c>
      <c r="T9" s="5" t="s">
        <v>24</v>
      </c>
      <c r="U9" s="5"/>
      <c r="V9" s="7" t="s">
        <v>24</v>
      </c>
      <c r="W9" s="5" t="s">
        <v>24</v>
      </c>
      <c r="X9" s="5"/>
      <c r="Y9" s="8" t="n">
        <f aca="false">MEDIAN(G9,P9)</f>
        <v>-0.0432592592592602</v>
      </c>
      <c r="Z9" s="9" t="s">
        <v>31</v>
      </c>
      <c r="AA9" s="10" t="s">
        <v>57</v>
      </c>
      <c r="AB9" s="10" t="s">
        <v>58</v>
      </c>
      <c r="AC9" s="10"/>
    </row>
    <row r="10" customFormat="false" ht="27.75" hidden="false" customHeight="true" outlineLevel="0" collapsed="false">
      <c r="A10" s="1" t="s">
        <v>59</v>
      </c>
      <c r="B10" s="1" t="s">
        <v>60</v>
      </c>
      <c r="C10" s="1" t="s">
        <v>61</v>
      </c>
      <c r="D10" s="4" t="n">
        <f aca="false">Nebius_Inputs!$C$4*4000/Nebius_Inputs!$C$23</f>
        <v>28.727942783972</v>
      </c>
      <c r="E10" s="5" t="s">
        <v>21</v>
      </c>
      <c r="F10" s="5" t="s">
        <v>22</v>
      </c>
      <c r="G10" s="4" t="n">
        <v>14.5066336159545</v>
      </c>
      <c r="H10" s="5" t="s">
        <v>37</v>
      </c>
      <c r="I10" s="5" t="s">
        <v>22</v>
      </c>
      <c r="J10" s="6" t="n">
        <v>14.694</v>
      </c>
      <c r="K10" s="5" t="s">
        <v>23</v>
      </c>
      <c r="L10" s="5" t="s">
        <v>38</v>
      </c>
      <c r="M10" s="7" t="s">
        <v>24</v>
      </c>
      <c r="N10" s="5" t="s">
        <v>24</v>
      </c>
      <c r="O10" s="5"/>
      <c r="P10" s="4" t="n">
        <v>11.248</v>
      </c>
      <c r="Q10" s="5" t="s">
        <v>21</v>
      </c>
      <c r="R10" s="5" t="s">
        <v>26</v>
      </c>
      <c r="S10" s="4" t="n">
        <v>18.24</v>
      </c>
      <c r="T10" s="5" t="s">
        <v>29</v>
      </c>
      <c r="U10" s="5" t="s">
        <v>28</v>
      </c>
      <c r="V10" s="7" t="s">
        <v>24</v>
      </c>
      <c r="W10" s="5" t="s">
        <v>24</v>
      </c>
      <c r="X10" s="5"/>
      <c r="Y10" s="8" t="n">
        <f aca="false">MEDIAN(G10,J10,P10,S10)</f>
        <v>14.6003168079773</v>
      </c>
      <c r="Z10" s="9" t="s">
        <v>31</v>
      </c>
      <c r="AA10" s="10" t="s">
        <v>62</v>
      </c>
      <c r="AB10" s="10" t="s">
        <v>63</v>
      </c>
      <c r="AC10" s="10" t="s">
        <v>64</v>
      </c>
    </row>
    <row r="11" customFormat="false" ht="27.75" hidden="false" customHeight="true" outlineLevel="0" collapsed="false">
      <c r="A11" s="1" t="s">
        <v>65</v>
      </c>
      <c r="B11" s="1" t="s">
        <v>66</v>
      </c>
      <c r="C11" s="1" t="s">
        <v>67</v>
      </c>
      <c r="D11" s="4" t="n">
        <f aca="false">Nebius_Inputs!$C$4*1000000/(Nebius_Inputs!$C$23*Nebius_Inputs!$C$24*24)</f>
        <v>3.28845498900779</v>
      </c>
      <c r="E11" s="5" t="s">
        <v>21</v>
      </c>
      <c r="F11" s="5" t="s">
        <v>22</v>
      </c>
      <c r="G11" s="4" t="n">
        <v>1.66055787728417</v>
      </c>
      <c r="H11" s="5" t="s">
        <v>37</v>
      </c>
      <c r="I11" s="5" t="s">
        <v>22</v>
      </c>
      <c r="J11" s="6" t="n">
        <v>1.66372282608696</v>
      </c>
      <c r="K11" s="5" t="s">
        <v>23</v>
      </c>
      <c r="L11" s="5" t="s">
        <v>38</v>
      </c>
      <c r="M11" s="7" t="s">
        <v>24</v>
      </c>
      <c r="N11" s="5" t="s">
        <v>24</v>
      </c>
      <c r="O11" s="5"/>
      <c r="P11" s="4" t="n">
        <v>1.29465930018416</v>
      </c>
      <c r="Q11" s="5" t="s">
        <v>21</v>
      </c>
      <c r="R11" s="5" t="s">
        <v>26</v>
      </c>
      <c r="S11" s="4" t="n">
        <v>2.08791208791209</v>
      </c>
      <c r="T11" s="5" t="s">
        <v>29</v>
      </c>
      <c r="U11" s="5" t="s">
        <v>28</v>
      </c>
      <c r="V11" s="7" t="s">
        <v>24</v>
      </c>
      <c r="W11" s="5" t="s">
        <v>24</v>
      </c>
      <c r="X11" s="5"/>
      <c r="Y11" s="8" t="n">
        <f aca="false">MEDIAN(G11,J11,P11,S11)</f>
        <v>1.66214035168557</v>
      </c>
      <c r="Z11" s="9" t="s">
        <v>31</v>
      </c>
      <c r="AA11" s="10" t="s">
        <v>68</v>
      </c>
      <c r="AB11" s="10" t="s">
        <v>69</v>
      </c>
      <c r="AC11" s="10" t="s">
        <v>70</v>
      </c>
    </row>
    <row r="12" customFormat="false" ht="27.75" hidden="false" customHeight="true" outlineLevel="0" collapsed="false">
      <c r="A12" s="1" t="s">
        <v>71</v>
      </c>
      <c r="B12" s="1" t="s">
        <v>72</v>
      </c>
      <c r="C12" s="1" t="s">
        <v>67</v>
      </c>
      <c r="D12" s="4" t="n">
        <f aca="false">Nebius_Inputs!$C$25</f>
        <v>5.57109509716143</v>
      </c>
      <c r="E12" s="5" t="s">
        <v>21</v>
      </c>
      <c r="F12" s="5" t="s">
        <v>22</v>
      </c>
      <c r="G12" s="4" t="n">
        <v>9.19561823792884</v>
      </c>
      <c r="H12" s="5" t="s">
        <v>37</v>
      </c>
      <c r="I12" s="5" t="s">
        <v>22</v>
      </c>
      <c r="J12" s="4" t="n">
        <v>2</v>
      </c>
      <c r="K12" s="5" t="s">
        <v>37</v>
      </c>
      <c r="L12" s="5" t="s">
        <v>38</v>
      </c>
      <c r="M12" s="7" t="s">
        <v>24</v>
      </c>
      <c r="N12" s="5" t="s">
        <v>24</v>
      </c>
      <c r="O12" s="5"/>
      <c r="P12" s="7" t="s">
        <v>24</v>
      </c>
      <c r="Q12" s="5" t="s">
        <v>24</v>
      </c>
      <c r="R12" s="5"/>
      <c r="S12" s="12" t="n">
        <v>2.99</v>
      </c>
      <c r="T12" s="5" t="s">
        <v>73</v>
      </c>
      <c r="U12" s="5" t="s">
        <v>74</v>
      </c>
      <c r="V12" s="12" t="n">
        <v>3.9</v>
      </c>
      <c r="W12" s="5" t="s">
        <v>73</v>
      </c>
      <c r="X12" s="5" t="s">
        <v>75</v>
      </c>
      <c r="Y12" s="8" t="n">
        <f aca="false">MEDIAN(G12,J12,S12,V12)</f>
        <v>3.445</v>
      </c>
      <c r="Z12" s="11" t="s">
        <v>53</v>
      </c>
      <c r="AA12" s="10" t="s">
        <v>76</v>
      </c>
      <c r="AB12" s="10"/>
      <c r="AC12" s="10"/>
    </row>
    <row r="13" customFormat="false" ht="27.75" hidden="false" customHeight="true" outlineLevel="0" collapsed="false">
      <c r="A13" s="1" t="s">
        <v>77</v>
      </c>
      <c r="B13" s="1" t="s">
        <v>78</v>
      </c>
      <c r="C13" s="1" t="s">
        <v>79</v>
      </c>
      <c r="D13" s="4" t="n">
        <f aca="false">Nebius_Inputs!$C$4*1000000/(Nebius_Inputs!$C$23*Nebius_Inputs!$C$24*24)/Nebius_Inputs!$C$25*100</f>
        <v>59.0270841128401</v>
      </c>
      <c r="E13" s="5" t="s">
        <v>21</v>
      </c>
      <c r="F13" s="5" t="s">
        <v>22</v>
      </c>
      <c r="G13" s="4" t="n">
        <v>18.0581428493293</v>
      </c>
      <c r="H13" s="5" t="s">
        <v>37</v>
      </c>
      <c r="I13" s="5" t="s">
        <v>22</v>
      </c>
      <c r="J13" s="13" t="n">
        <v>83.1861413043478</v>
      </c>
      <c r="K13" s="5" t="s">
        <v>37</v>
      </c>
      <c r="L13" s="5" t="s">
        <v>38</v>
      </c>
      <c r="M13" s="7" t="s">
        <v>24</v>
      </c>
      <c r="N13" s="5" t="s">
        <v>24</v>
      </c>
      <c r="O13" s="5"/>
      <c r="P13" s="7" t="s">
        <v>24</v>
      </c>
      <c r="Q13" s="5" t="s">
        <v>24</v>
      </c>
      <c r="R13" s="5"/>
      <c r="S13" s="4" t="n">
        <v>69.8298357161233</v>
      </c>
      <c r="T13" s="5" t="s">
        <v>29</v>
      </c>
      <c r="U13" s="5" t="s">
        <v>28</v>
      </c>
      <c r="V13" s="7" t="s">
        <v>24</v>
      </c>
      <c r="W13" s="5" t="s">
        <v>24</v>
      </c>
      <c r="X13" s="5"/>
      <c r="Y13" s="8" t="n">
        <f aca="false">MEDIAN(G13,S13)</f>
        <v>43.9439892827263</v>
      </c>
      <c r="Z13" s="9" t="s">
        <v>31</v>
      </c>
      <c r="AA13" s="10" t="s">
        <v>80</v>
      </c>
      <c r="AB13" s="10"/>
      <c r="AC13" s="10" t="s">
        <v>81</v>
      </c>
    </row>
    <row r="14" customFormat="false" ht="27.75" hidden="false" customHeight="true" outlineLevel="0" collapsed="false">
      <c r="A14" s="1" t="s">
        <v>82</v>
      </c>
      <c r="B14" s="1" t="s">
        <v>83</v>
      </c>
      <c r="C14" s="1" t="s">
        <v>84</v>
      </c>
      <c r="D14" s="7" t="s">
        <v>85</v>
      </c>
      <c r="E14" s="5" t="s">
        <v>85</v>
      </c>
      <c r="F14" s="5" t="s">
        <v>22</v>
      </c>
      <c r="G14" s="6" t="n">
        <v>12.844</v>
      </c>
      <c r="H14" s="5" t="s">
        <v>23</v>
      </c>
      <c r="I14" s="5" t="s">
        <v>22</v>
      </c>
      <c r="J14" s="7" t="s">
        <v>24</v>
      </c>
      <c r="K14" s="5" t="s">
        <v>24</v>
      </c>
      <c r="L14" s="5"/>
      <c r="M14" s="4" t="n">
        <v>56.8724137931035</v>
      </c>
      <c r="N14" s="5" t="s">
        <v>37</v>
      </c>
      <c r="O14" s="5" t="s">
        <v>86</v>
      </c>
      <c r="P14" s="7" t="s">
        <v>24</v>
      </c>
      <c r="Q14" s="5" t="s">
        <v>24</v>
      </c>
      <c r="R14" s="5"/>
      <c r="S14" s="7" t="s">
        <v>24</v>
      </c>
      <c r="T14" s="5" t="s">
        <v>24</v>
      </c>
      <c r="U14" s="5"/>
      <c r="V14" s="7" t="s">
        <v>24</v>
      </c>
      <c r="W14" s="5" t="s">
        <v>24</v>
      </c>
      <c r="X14" s="5"/>
      <c r="Y14" s="8" t="n">
        <f aca="false">MEDIAN(G14,M14)</f>
        <v>34.8582068965518</v>
      </c>
      <c r="Z14" s="11" t="s">
        <v>87</v>
      </c>
      <c r="AA14" s="10" t="s">
        <v>88</v>
      </c>
      <c r="AB14" s="10" t="s">
        <v>89</v>
      </c>
      <c r="AC14" s="10"/>
    </row>
    <row r="15" customFormat="false" ht="41.25" hidden="false" customHeight="true" outlineLevel="0" collapsed="false">
      <c r="A15" s="1" t="s">
        <v>90</v>
      </c>
      <c r="B15" s="1" t="s">
        <v>91</v>
      </c>
      <c r="C15" s="1" t="s">
        <v>84</v>
      </c>
      <c r="D15" s="4" t="n">
        <f aca="false">(Nebius_Inputs!$C$39-Nebius_Inputs!$C$38)/(Nebius_Inputs!$C$41-Nebius_Inputs!$C$40)</f>
        <v>19.6806896551724</v>
      </c>
      <c r="E15" s="5" t="s">
        <v>21</v>
      </c>
      <c r="F15" s="5" t="s">
        <v>92</v>
      </c>
      <c r="G15" s="6" t="n">
        <v>18.704</v>
      </c>
      <c r="H15" s="5" t="s">
        <v>23</v>
      </c>
      <c r="I15" s="5" t="s">
        <v>22</v>
      </c>
      <c r="J15" s="7" t="s">
        <v>24</v>
      </c>
      <c r="K15" s="5" t="s">
        <v>24</v>
      </c>
      <c r="L15" s="5"/>
      <c r="M15" s="7" t="s">
        <v>24</v>
      </c>
      <c r="N15" s="5" t="s">
        <v>24</v>
      </c>
      <c r="O15" s="5"/>
      <c r="P15" s="7" t="s">
        <v>24</v>
      </c>
      <c r="Q15" s="5" t="s">
        <v>24</v>
      </c>
      <c r="R15" s="5"/>
      <c r="S15" s="7" t="s">
        <v>24</v>
      </c>
      <c r="T15" s="5" t="s">
        <v>24</v>
      </c>
      <c r="U15" s="5"/>
      <c r="V15" s="7" t="s">
        <v>24</v>
      </c>
      <c r="W15" s="5" t="s">
        <v>24</v>
      </c>
      <c r="X15" s="5"/>
      <c r="Y15" s="8" t="n">
        <f aca="false">MEDIAN(G15)</f>
        <v>18.704</v>
      </c>
      <c r="Z15" s="14" t="s">
        <v>93</v>
      </c>
      <c r="AA15" s="10" t="s">
        <v>94</v>
      </c>
      <c r="AB15" s="10" t="s">
        <v>95</v>
      </c>
      <c r="AC15" s="10"/>
    </row>
    <row r="16" customFormat="false" ht="27.75" hidden="false" customHeight="true" outlineLevel="0" collapsed="false">
      <c r="A16" s="1" t="s">
        <v>96</v>
      </c>
      <c r="B16" s="1" t="s">
        <v>97</v>
      </c>
      <c r="C16" s="1" t="s">
        <v>84</v>
      </c>
      <c r="D16" s="4" t="n">
        <f aca="false">SUM(Nebius_Inputs!$C$9,Nebius_Inputs!$C$10,Nebius_Inputs!$C$11,Nebius_Inputs!$C$12)/(Nebius_Inputs!$C$20-Nebius_Inputs!$C$18)</f>
        <v>87.0453125</v>
      </c>
      <c r="E16" s="5" t="s">
        <v>21</v>
      </c>
      <c r="F16" s="5" t="s">
        <v>22</v>
      </c>
      <c r="G16" s="6" t="n">
        <v>19.9666019417476</v>
      </c>
      <c r="H16" s="5" t="s">
        <v>23</v>
      </c>
      <c r="I16" s="5" t="s">
        <v>22</v>
      </c>
      <c r="J16" s="7" t="s">
        <v>24</v>
      </c>
      <c r="K16" s="5" t="s">
        <v>24</v>
      </c>
      <c r="L16" s="5"/>
      <c r="M16" s="4" t="n">
        <v>46.3858333333333</v>
      </c>
      <c r="N16" s="5" t="s">
        <v>37</v>
      </c>
      <c r="O16" s="5" t="s">
        <v>86</v>
      </c>
      <c r="P16" s="7" t="s">
        <v>24</v>
      </c>
      <c r="Q16" s="5" t="s">
        <v>24</v>
      </c>
      <c r="R16" s="5"/>
      <c r="S16" s="7" t="s">
        <v>24</v>
      </c>
      <c r="T16" s="5" t="s">
        <v>24</v>
      </c>
      <c r="U16" s="5"/>
      <c r="V16" s="7" t="s">
        <v>24</v>
      </c>
      <c r="W16" s="5" t="s">
        <v>24</v>
      </c>
      <c r="X16" s="5"/>
      <c r="Y16" s="8" t="n">
        <f aca="false">MEDIAN(G16,M16)</f>
        <v>33.1762176375405</v>
      </c>
      <c r="Z16" s="15" t="s">
        <v>98</v>
      </c>
      <c r="AA16" s="10" t="s">
        <v>99</v>
      </c>
      <c r="AB16" s="10" t="s">
        <v>100</v>
      </c>
      <c r="AC16" s="10" t="s">
        <v>101</v>
      </c>
    </row>
    <row r="17" customFormat="false" ht="27.75" hidden="false" customHeight="true" outlineLevel="0" collapsed="false">
      <c r="A17" s="1" t="s">
        <v>102</v>
      </c>
      <c r="B17" s="1" t="s">
        <v>103</v>
      </c>
      <c r="C17" s="1" t="s">
        <v>84</v>
      </c>
      <c r="D17" s="4" t="n">
        <f aca="false">Nebius_Inputs!$C$13/Nebius_Inputs!$C$20</f>
        <v>75.4057803468208</v>
      </c>
      <c r="E17" s="5" t="s">
        <v>21</v>
      </c>
      <c r="F17" s="5" t="s">
        <v>22</v>
      </c>
      <c r="G17" s="6" t="n">
        <v>31.1573333333333</v>
      </c>
      <c r="H17" s="5" t="s">
        <v>23</v>
      </c>
      <c r="I17" s="5" t="s">
        <v>22</v>
      </c>
      <c r="J17" s="7" t="s">
        <v>24</v>
      </c>
      <c r="K17" s="5" t="s">
        <v>24</v>
      </c>
      <c r="L17" s="5"/>
      <c r="M17" s="7" t="s">
        <v>24</v>
      </c>
      <c r="N17" s="5" t="s">
        <v>24</v>
      </c>
      <c r="O17" s="5"/>
      <c r="P17" s="6" t="n">
        <v>70.7098765432099</v>
      </c>
      <c r="Q17" s="5" t="s">
        <v>25</v>
      </c>
      <c r="R17" s="5" t="s">
        <v>26</v>
      </c>
      <c r="S17" s="7" t="s">
        <v>24</v>
      </c>
      <c r="T17" s="5" t="s">
        <v>24</v>
      </c>
      <c r="U17" s="5"/>
      <c r="V17" s="16" t="n">
        <v>12.5</v>
      </c>
      <c r="W17" s="5" t="s">
        <v>25</v>
      </c>
      <c r="X17" s="5" t="s">
        <v>104</v>
      </c>
      <c r="Y17" s="8" t="n">
        <f aca="false">MEDIAN(G17,P17)</f>
        <v>50.9336049382716</v>
      </c>
      <c r="Z17" s="15" t="s">
        <v>98</v>
      </c>
      <c r="AA17" s="10" t="s">
        <v>105</v>
      </c>
      <c r="AB17" s="10" t="s">
        <v>106</v>
      </c>
      <c r="AC17" s="10" t="s">
        <v>107</v>
      </c>
    </row>
    <row r="18" customFormat="false" ht="41.25" hidden="false" customHeight="true" outlineLevel="0" collapsed="false">
      <c r="A18" s="1" t="s">
        <v>108</v>
      </c>
      <c r="B18" s="1" t="s">
        <v>109</v>
      </c>
      <c r="C18" s="1" t="s">
        <v>84</v>
      </c>
      <c r="D18" s="4" t="n">
        <f aca="false">Nebius_Inputs!$C$15/Nebius_Inputs!$C$20</f>
        <v>36.4919075144509</v>
      </c>
      <c r="E18" s="5" t="s">
        <v>21</v>
      </c>
      <c r="F18" s="5" t="s">
        <v>22</v>
      </c>
      <c r="G18" s="6" t="n">
        <v>27.136</v>
      </c>
      <c r="H18" s="5" t="s">
        <v>23</v>
      </c>
      <c r="I18" s="5" t="s">
        <v>22</v>
      </c>
      <c r="J18" s="7" t="s">
        <v>24</v>
      </c>
      <c r="K18" s="5" t="s">
        <v>24</v>
      </c>
      <c r="L18" s="5"/>
      <c r="M18" s="7" t="s">
        <v>24</v>
      </c>
      <c r="N18" s="5" t="s">
        <v>24</v>
      </c>
      <c r="O18" s="5"/>
      <c r="P18" s="6" t="n">
        <v>20.8259259259259</v>
      </c>
      <c r="Q18" s="5" t="s">
        <v>25</v>
      </c>
      <c r="R18" s="5" t="s">
        <v>26</v>
      </c>
      <c r="S18" s="7" t="s">
        <v>24</v>
      </c>
      <c r="T18" s="5" t="s">
        <v>24</v>
      </c>
      <c r="U18" s="5"/>
      <c r="V18" s="7" t="s">
        <v>24</v>
      </c>
      <c r="W18" s="5" t="s">
        <v>24</v>
      </c>
      <c r="X18" s="5"/>
      <c r="Y18" s="8" t="n">
        <f aca="false">MEDIAN(G18,P18)</f>
        <v>23.980962962963</v>
      </c>
      <c r="Z18" s="15" t="s">
        <v>98</v>
      </c>
      <c r="AA18" s="10" t="s">
        <v>110</v>
      </c>
      <c r="AB18" s="10"/>
      <c r="AC18" s="10"/>
    </row>
    <row r="19" customFormat="false" ht="27.75" hidden="false" customHeight="true" outlineLevel="0" collapsed="false">
      <c r="A19" s="1" t="s">
        <v>111</v>
      </c>
      <c r="B19" s="1" t="s">
        <v>112</v>
      </c>
      <c r="C19" s="1" t="s">
        <v>113</v>
      </c>
      <c r="D19" s="12" t="n">
        <f aca="false">Nebius_Inputs!$C$32</f>
        <v>5</v>
      </c>
      <c r="E19" s="5" t="s">
        <v>73</v>
      </c>
      <c r="F19" s="5" t="s">
        <v>22</v>
      </c>
      <c r="G19" s="12" t="n">
        <v>6</v>
      </c>
      <c r="H19" s="5" t="s">
        <v>114</v>
      </c>
      <c r="I19" s="5" t="s">
        <v>22</v>
      </c>
      <c r="J19" s="12" t="n">
        <v>5</v>
      </c>
      <c r="K19" s="5" t="s">
        <v>114</v>
      </c>
      <c r="L19" s="5" t="s">
        <v>22</v>
      </c>
      <c r="M19" s="12" t="n">
        <v>6</v>
      </c>
      <c r="N19" s="5" t="s">
        <v>114</v>
      </c>
      <c r="O19" s="5" t="s">
        <v>86</v>
      </c>
      <c r="P19" s="12" t="n">
        <v>5.5</v>
      </c>
      <c r="Q19" s="5" t="s">
        <v>73</v>
      </c>
      <c r="R19" s="5" t="s">
        <v>26</v>
      </c>
      <c r="S19" s="7" t="s">
        <v>24</v>
      </c>
      <c r="T19" s="5" t="s">
        <v>24</v>
      </c>
      <c r="U19" s="5"/>
      <c r="V19" s="7" t="s">
        <v>24</v>
      </c>
      <c r="W19" s="5" t="s">
        <v>24</v>
      </c>
      <c r="X19" s="5"/>
      <c r="Y19" s="8" t="n">
        <f aca="false">MEDIAN(G19,J19,M19,P19)</f>
        <v>5.75</v>
      </c>
      <c r="Z19" s="9" t="s">
        <v>31</v>
      </c>
      <c r="AA19" s="10" t="s">
        <v>115</v>
      </c>
      <c r="AB19" s="10"/>
      <c r="AC19" s="10" t="s">
        <v>116</v>
      </c>
    </row>
    <row r="20" customFormat="false" ht="27.75" hidden="false" customHeight="true" outlineLevel="0" collapsed="false">
      <c r="A20" s="1" t="s">
        <v>117</v>
      </c>
      <c r="B20" s="1" t="s">
        <v>118</v>
      </c>
      <c r="C20" s="1" t="s">
        <v>79</v>
      </c>
      <c r="D20" s="6" t="n">
        <f aca="false">Nebius_Inputs!$C$8*4/AVERAGE(Nebius_Inputs!$C$14,Nebius_Inputs!$C$15)*100</f>
        <v>17.5150483063279</v>
      </c>
      <c r="E20" s="5" t="s">
        <v>25</v>
      </c>
      <c r="F20" s="5" t="s">
        <v>22</v>
      </c>
      <c r="G20" s="6" t="n">
        <v>15.4657488619962</v>
      </c>
      <c r="H20" s="5" t="s">
        <v>23</v>
      </c>
      <c r="I20" s="5" t="s">
        <v>22</v>
      </c>
      <c r="J20" s="6" t="n">
        <v>14.3513593886696</v>
      </c>
      <c r="K20" s="5" t="s">
        <v>23</v>
      </c>
      <c r="L20" s="5" t="s">
        <v>22</v>
      </c>
      <c r="M20" s="6" t="n">
        <v>13.4492457172079</v>
      </c>
      <c r="N20" s="5" t="s">
        <v>23</v>
      </c>
      <c r="O20" s="5" t="s">
        <v>119</v>
      </c>
      <c r="P20" s="6" t="n">
        <v>15.6708911687789</v>
      </c>
      <c r="Q20" s="5" t="s">
        <v>25</v>
      </c>
      <c r="R20" s="5" t="s">
        <v>26</v>
      </c>
      <c r="S20" s="7" t="s">
        <v>24</v>
      </c>
      <c r="T20" s="5" t="s">
        <v>24</v>
      </c>
      <c r="U20" s="5"/>
      <c r="V20" s="7" t="s">
        <v>24</v>
      </c>
      <c r="W20" s="5" t="s">
        <v>24</v>
      </c>
      <c r="X20" s="5"/>
      <c r="Y20" s="8" t="n">
        <f aca="false">MEDIAN(G20,J20,M20,P20)</f>
        <v>14.9085541253329</v>
      </c>
      <c r="Z20" s="9" t="s">
        <v>31</v>
      </c>
      <c r="AA20" s="10" t="s">
        <v>120</v>
      </c>
      <c r="AB20" s="10" t="s">
        <v>121</v>
      </c>
      <c r="AC20" s="10" t="s">
        <v>122</v>
      </c>
    </row>
    <row r="21" customFormat="false" ht="27.75" hidden="false" customHeight="true" outlineLevel="0" collapsed="false">
      <c r="A21" s="1" t="s">
        <v>123</v>
      </c>
      <c r="B21" s="1" t="s">
        <v>124</v>
      </c>
      <c r="C21" s="1" t="s">
        <v>113</v>
      </c>
      <c r="D21" s="6" t="n">
        <f aca="false">100/(Nebius_Inputs!$C$8*4/AVERAGE(Nebius_Inputs!$C$14,Nebius_Inputs!$C$15)*100)</f>
        <v>5.70937620331151</v>
      </c>
      <c r="E21" s="5" t="s">
        <v>25</v>
      </c>
      <c r="F21" s="5" t="s">
        <v>22</v>
      </c>
      <c r="G21" s="6" t="n">
        <v>6.46590093323762</v>
      </c>
      <c r="H21" s="5" t="s">
        <v>23</v>
      </c>
      <c r="I21" s="5" t="s">
        <v>22</v>
      </c>
      <c r="J21" s="6" t="n">
        <v>6.96798103174462</v>
      </c>
      <c r="K21" s="5" t="s">
        <v>23</v>
      </c>
      <c r="L21" s="5" t="s">
        <v>22</v>
      </c>
      <c r="M21" s="6" t="n">
        <v>7.43536121673004</v>
      </c>
      <c r="N21" s="5" t="s">
        <v>23</v>
      </c>
      <c r="O21" s="5" t="s">
        <v>119</v>
      </c>
      <c r="P21" s="6" t="n">
        <v>6.38125802310655</v>
      </c>
      <c r="Q21" s="5" t="s">
        <v>25</v>
      </c>
      <c r="R21" s="5" t="s">
        <v>26</v>
      </c>
      <c r="S21" s="7" t="s">
        <v>24</v>
      </c>
      <c r="T21" s="5" t="s">
        <v>24</v>
      </c>
      <c r="U21" s="5"/>
      <c r="V21" s="7" t="s">
        <v>24</v>
      </c>
      <c r="W21" s="5" t="s">
        <v>24</v>
      </c>
      <c r="X21" s="5"/>
      <c r="Y21" s="8" t="n">
        <f aca="false">MEDIAN(G21,J21,M21,P21)</f>
        <v>6.71694098249112</v>
      </c>
      <c r="Z21" s="9" t="s">
        <v>31</v>
      </c>
      <c r="AA21" s="10" t="s">
        <v>125</v>
      </c>
      <c r="AB21" s="10"/>
      <c r="AC21" s="10"/>
    </row>
    <row r="22" customFormat="false" ht="27.75" hidden="false" customHeight="true" outlineLevel="0" collapsed="false">
      <c r="A22" s="1" t="s">
        <v>126</v>
      </c>
      <c r="B22" s="1" t="s">
        <v>127</v>
      </c>
      <c r="C22" s="1" t="s">
        <v>79</v>
      </c>
      <c r="D22" s="6" t="n">
        <f aca="false">Nebius_Inputs!$C$8/Nebius_Inputs!$C$4*100</f>
        <v>45.1730735780136</v>
      </c>
      <c r="E22" s="5" t="s">
        <v>25</v>
      </c>
      <c r="F22" s="5" t="s">
        <v>22</v>
      </c>
      <c r="G22" s="6" t="n">
        <v>54.0970873786408</v>
      </c>
      <c r="H22" s="5" t="s">
        <v>23</v>
      </c>
      <c r="I22" s="5" t="s">
        <v>22</v>
      </c>
      <c r="J22" s="6" t="n">
        <v>81.6775368919658</v>
      </c>
      <c r="K22" s="5" t="s">
        <v>23</v>
      </c>
      <c r="L22" s="5" t="s">
        <v>22</v>
      </c>
      <c r="M22" s="6" t="n">
        <v>12.5886155129274</v>
      </c>
      <c r="N22" s="5" t="s">
        <v>23</v>
      </c>
      <c r="O22" s="5" t="s">
        <v>86</v>
      </c>
      <c r="P22" s="6" t="n">
        <v>123.75533428165</v>
      </c>
      <c r="Q22" s="5" t="s">
        <v>25</v>
      </c>
      <c r="R22" s="5" t="s">
        <v>26</v>
      </c>
      <c r="S22" s="7" t="s">
        <v>24</v>
      </c>
      <c r="T22" s="5" t="s">
        <v>24</v>
      </c>
      <c r="U22" s="5"/>
      <c r="V22" s="7" t="s">
        <v>24</v>
      </c>
      <c r="W22" s="5" t="s">
        <v>24</v>
      </c>
      <c r="X22" s="5"/>
      <c r="Y22" s="8" t="n">
        <f aca="false">MEDIAN(G22,J22,M22,P22)</f>
        <v>67.8873121353033</v>
      </c>
      <c r="Z22" s="11" t="s">
        <v>53</v>
      </c>
      <c r="AA22" s="10" t="s">
        <v>128</v>
      </c>
      <c r="AB22" s="10" t="s">
        <v>129</v>
      </c>
      <c r="AC22" s="10"/>
    </row>
    <row r="23" customFormat="false" ht="27.75" hidden="false" customHeight="true" outlineLevel="0" collapsed="false">
      <c r="A23" s="1" t="s">
        <v>130</v>
      </c>
      <c r="B23" s="1" t="s">
        <v>131</v>
      </c>
      <c r="C23" s="1" t="s">
        <v>132</v>
      </c>
      <c r="D23" s="12" t="n">
        <f aca="false">Nebius_Inputs!$C$26/1000</f>
        <v>37.4906</v>
      </c>
      <c r="E23" s="5" t="s">
        <v>73</v>
      </c>
      <c r="F23" s="5" t="s">
        <v>22</v>
      </c>
      <c r="G23" s="12" t="n">
        <v>103.7</v>
      </c>
      <c r="H23" s="5" t="s">
        <v>114</v>
      </c>
      <c r="I23" s="5" t="s">
        <v>22</v>
      </c>
      <c r="J23" s="12" t="n">
        <v>5.1</v>
      </c>
      <c r="K23" s="5" t="s">
        <v>114</v>
      </c>
      <c r="L23" s="5" t="s">
        <v>22</v>
      </c>
      <c r="M23" s="12" t="n">
        <v>638</v>
      </c>
      <c r="N23" s="5" t="s">
        <v>114</v>
      </c>
      <c r="O23" s="5" t="s">
        <v>86</v>
      </c>
      <c r="P23" s="12" t="n">
        <v>56.4</v>
      </c>
      <c r="Q23" s="5" t="s">
        <v>73</v>
      </c>
      <c r="R23" s="5" t="s">
        <v>26</v>
      </c>
      <c r="S23" s="7" t="s">
        <v>24</v>
      </c>
      <c r="T23" s="5" t="s">
        <v>24</v>
      </c>
      <c r="U23" s="5"/>
      <c r="V23" s="7" t="s">
        <v>24</v>
      </c>
      <c r="W23" s="5" t="s">
        <v>24</v>
      </c>
      <c r="X23" s="5"/>
      <c r="Y23" s="8" t="n">
        <f aca="false">MEDIAN(G23,J23,M23,P23)</f>
        <v>80.05</v>
      </c>
      <c r="Z23" s="11" t="s">
        <v>53</v>
      </c>
      <c r="AA23" s="10" t="s">
        <v>133</v>
      </c>
      <c r="AB23" s="10"/>
      <c r="AC23" s="10" t="s">
        <v>134</v>
      </c>
    </row>
    <row r="24" customFormat="false" ht="27.75" hidden="false" customHeight="true" outlineLevel="0" collapsed="false">
      <c r="A24" s="1" t="s">
        <v>135</v>
      </c>
      <c r="B24" s="1" t="s">
        <v>136</v>
      </c>
      <c r="C24" s="1" t="s">
        <v>132</v>
      </c>
      <c r="D24" s="5" t="s">
        <v>24</v>
      </c>
      <c r="E24" s="5" t="s">
        <v>24</v>
      </c>
      <c r="G24" s="12" t="n">
        <v>104.2</v>
      </c>
      <c r="H24" s="5" t="s">
        <v>114</v>
      </c>
      <c r="I24" s="5" t="s">
        <v>22</v>
      </c>
      <c r="J24" s="12" t="n">
        <v>16.6</v>
      </c>
      <c r="K24" s="5" t="s">
        <v>114</v>
      </c>
      <c r="L24" s="5" t="s">
        <v>22</v>
      </c>
      <c r="M24" s="7" t="s">
        <v>24</v>
      </c>
      <c r="N24" s="5" t="s">
        <v>24</v>
      </c>
      <c r="O24" s="5"/>
      <c r="P24" s="12" t="n">
        <v>103.4</v>
      </c>
      <c r="Q24" s="5" t="s">
        <v>73</v>
      </c>
      <c r="R24" s="5" t="s">
        <v>47</v>
      </c>
      <c r="S24" s="7" t="s">
        <v>24</v>
      </c>
      <c r="T24" s="5" t="s">
        <v>24</v>
      </c>
      <c r="U24" s="5"/>
      <c r="V24" s="17" t="n">
        <v>140</v>
      </c>
      <c r="W24" s="5" t="s">
        <v>73</v>
      </c>
      <c r="X24" s="5" t="s">
        <v>30</v>
      </c>
      <c r="Y24" s="8" t="n">
        <f aca="false">MEDIAN(G24,J24,P24)</f>
        <v>103.4</v>
      </c>
      <c r="Z24" s="11" t="s">
        <v>87</v>
      </c>
      <c r="AA24" s="10" t="s">
        <v>137</v>
      </c>
      <c r="AB24" s="10" t="s">
        <v>138</v>
      </c>
      <c r="AC24" s="10" t="s">
        <v>139</v>
      </c>
    </row>
    <row r="25" customFormat="false" ht="27.75" hidden="false" customHeight="true" outlineLevel="0" collapsed="false">
      <c r="A25" s="1" t="s">
        <v>140</v>
      </c>
      <c r="B25" s="1" t="s">
        <v>141</v>
      </c>
      <c r="C25" s="1" t="s">
        <v>79</v>
      </c>
      <c r="D25" s="12" t="n">
        <f aca="false">Nebius_Inputs!$C$27</f>
        <v>36</v>
      </c>
      <c r="E25" s="5" t="s">
        <v>73</v>
      </c>
      <c r="F25" s="5" t="s">
        <v>22</v>
      </c>
      <c r="G25" s="12" t="n">
        <v>41</v>
      </c>
      <c r="H25" s="5" t="s">
        <v>114</v>
      </c>
      <c r="I25" s="5" t="s">
        <v>22</v>
      </c>
      <c r="J25" s="6" t="n">
        <v>43.1</v>
      </c>
      <c r="K25" s="5" t="s">
        <v>23</v>
      </c>
      <c r="L25" s="5" t="s">
        <v>22</v>
      </c>
      <c r="M25" s="4" t="n">
        <v>29</v>
      </c>
      <c r="N25" s="5" t="s">
        <v>37</v>
      </c>
      <c r="O25" s="5" t="s">
        <v>86</v>
      </c>
      <c r="P25" s="12" t="n">
        <v>16</v>
      </c>
      <c r="Q25" s="5" t="s">
        <v>73</v>
      </c>
      <c r="R25" s="5" t="s">
        <v>142</v>
      </c>
      <c r="S25" s="7" t="s">
        <v>24</v>
      </c>
      <c r="T25" s="5" t="s">
        <v>24</v>
      </c>
      <c r="U25" s="5"/>
      <c r="V25" s="7" t="s">
        <v>24</v>
      </c>
      <c r="W25" s="5" t="s">
        <v>24</v>
      </c>
      <c r="X25" s="5"/>
      <c r="Y25" s="8" t="n">
        <f aca="false">MEDIAN(G25,J25,M25,P25)</f>
        <v>35</v>
      </c>
      <c r="Z25" s="14" t="s">
        <v>93</v>
      </c>
      <c r="AA25" s="10" t="s">
        <v>143</v>
      </c>
      <c r="AB25" s="10"/>
      <c r="AC25" s="10"/>
    </row>
    <row r="26" customFormat="false" ht="27.75" hidden="false" customHeight="true" outlineLevel="0" collapsed="false">
      <c r="A26" s="1" t="s">
        <v>144</v>
      </c>
      <c r="B26" s="1" t="s">
        <v>145</v>
      </c>
      <c r="C26" s="1" t="s">
        <v>113</v>
      </c>
      <c r="D26" s="6" t="n">
        <f aca="false">Nebius_Inputs!$C$26/(Nebius_Inputs!$C$4*4)</f>
        <v>16.3030961906419</v>
      </c>
      <c r="E26" s="5" t="s">
        <v>25</v>
      </c>
      <c r="F26" s="5" t="s">
        <v>22</v>
      </c>
      <c r="G26" s="6" t="n">
        <v>10.0679611650485</v>
      </c>
      <c r="H26" s="5" t="s">
        <v>23</v>
      </c>
      <c r="I26" s="5" t="s">
        <v>22</v>
      </c>
      <c r="J26" s="6" t="n">
        <v>18.0812593065305</v>
      </c>
      <c r="K26" s="5" t="s">
        <v>23</v>
      </c>
      <c r="L26" s="5" t="s">
        <v>22</v>
      </c>
      <c r="M26" s="6" t="n">
        <v>8.31422018348624</v>
      </c>
      <c r="N26" s="5" t="s">
        <v>23</v>
      </c>
      <c r="O26" s="5" t="s">
        <v>86</v>
      </c>
      <c r="P26" s="6" t="n">
        <v>200.568990042674</v>
      </c>
      <c r="Q26" s="5" t="s">
        <v>25</v>
      </c>
      <c r="R26" s="5" t="s">
        <v>26</v>
      </c>
      <c r="S26" s="7" t="s">
        <v>24</v>
      </c>
      <c r="T26" s="5" t="s">
        <v>24</v>
      </c>
      <c r="U26" s="5"/>
      <c r="V26" s="7" t="s">
        <v>24</v>
      </c>
      <c r="W26" s="5" t="s">
        <v>24</v>
      </c>
      <c r="X26" s="5"/>
      <c r="Y26" s="8" t="n">
        <f aca="false">MEDIAN(G26,J26,M26,P26)</f>
        <v>14.0746102357895</v>
      </c>
      <c r="Z26" s="14" t="s">
        <v>93</v>
      </c>
      <c r="AA26" s="10" t="s">
        <v>146</v>
      </c>
      <c r="AB26" s="10"/>
      <c r="AC26" s="10" t="s">
        <v>147</v>
      </c>
    </row>
    <row r="27" customFormat="false" ht="27.75" hidden="false" customHeight="true" outlineLevel="0" collapsed="false">
      <c r="A27" s="1" t="s">
        <v>148</v>
      </c>
      <c r="B27" s="1" t="s">
        <v>149</v>
      </c>
      <c r="C27" s="1" t="s">
        <v>79</v>
      </c>
      <c r="D27" s="12" t="n">
        <f aca="false">Nebius_Inputs!$C$28</f>
        <v>24</v>
      </c>
      <c r="E27" s="5" t="s">
        <v>73</v>
      </c>
      <c r="F27" s="5" t="s">
        <v>22</v>
      </c>
      <c r="G27" s="12" t="n">
        <v>36</v>
      </c>
      <c r="H27" s="5" t="s">
        <v>114</v>
      </c>
      <c r="I27" s="5" t="s">
        <v>22</v>
      </c>
      <c r="J27" s="7" t="s">
        <v>24</v>
      </c>
      <c r="K27" s="5" t="s">
        <v>24</v>
      </c>
      <c r="L27" s="5"/>
      <c r="M27" s="7" t="s">
        <v>24</v>
      </c>
      <c r="N27" s="5" t="s">
        <v>24</v>
      </c>
      <c r="O27" s="5"/>
      <c r="P27" s="12" t="n">
        <v>52</v>
      </c>
      <c r="Q27" s="5" t="s">
        <v>73</v>
      </c>
      <c r="R27" s="5" t="s">
        <v>26</v>
      </c>
      <c r="S27" s="7" t="s">
        <v>24</v>
      </c>
      <c r="T27" s="5" t="s">
        <v>24</v>
      </c>
      <c r="U27" s="5"/>
      <c r="V27" s="7" t="s">
        <v>24</v>
      </c>
      <c r="W27" s="5" t="s">
        <v>24</v>
      </c>
      <c r="X27" s="5"/>
      <c r="Y27" s="8" t="n">
        <f aca="false">MEDIAN(G27,P27)</f>
        <v>44</v>
      </c>
      <c r="Z27" s="9" t="s">
        <v>31</v>
      </c>
      <c r="AA27" s="10" t="s">
        <v>150</v>
      </c>
      <c r="AB27" s="10" t="s">
        <v>151</v>
      </c>
      <c r="AC27" s="10" t="s">
        <v>152</v>
      </c>
    </row>
    <row r="28" customFormat="false" ht="27.75" hidden="false" customHeight="true" outlineLevel="0" collapsed="false">
      <c r="A28" s="1" t="s">
        <v>153</v>
      </c>
      <c r="B28" s="1" t="s">
        <v>154</v>
      </c>
      <c r="C28" s="1" t="s">
        <v>79</v>
      </c>
      <c r="D28" s="12" t="n">
        <f aca="false">Nebius_Inputs!$C$29</f>
        <v>21</v>
      </c>
      <c r="E28" s="5" t="s">
        <v>73</v>
      </c>
      <c r="F28" s="5" t="s">
        <v>22</v>
      </c>
      <c r="G28" s="12" t="n">
        <v>26</v>
      </c>
      <c r="H28" s="5" t="s">
        <v>114</v>
      </c>
      <c r="I28" s="5" t="s">
        <v>22</v>
      </c>
      <c r="J28" s="7" t="s">
        <v>24</v>
      </c>
      <c r="K28" s="5" t="s">
        <v>24</v>
      </c>
      <c r="L28" s="5"/>
      <c r="M28" s="7" t="s">
        <v>24</v>
      </c>
      <c r="N28" s="5" t="s">
        <v>24</v>
      </c>
      <c r="O28" s="5"/>
      <c r="P28" s="7" t="s">
        <v>24</v>
      </c>
      <c r="Q28" s="5" t="s">
        <v>24</v>
      </c>
      <c r="R28" s="5"/>
      <c r="S28" s="7" t="s">
        <v>24</v>
      </c>
      <c r="T28" s="5" t="s">
        <v>24</v>
      </c>
      <c r="U28" s="5"/>
      <c r="V28" s="7" t="s">
        <v>24</v>
      </c>
      <c r="W28" s="5" t="s">
        <v>24</v>
      </c>
      <c r="X28" s="5"/>
      <c r="Y28" s="8" t="n">
        <f aca="false">MEDIAN(G28)</f>
        <v>26</v>
      </c>
      <c r="Z28" s="9" t="s">
        <v>31</v>
      </c>
      <c r="AA28" s="10" t="s">
        <v>155</v>
      </c>
      <c r="AB28" s="10"/>
      <c r="AC28" s="10"/>
    </row>
    <row r="29" customFormat="false" ht="27.75" hidden="false" customHeight="true" outlineLevel="0" collapsed="false">
      <c r="A29" s="1" t="s">
        <v>156</v>
      </c>
      <c r="B29" s="1" t="s">
        <v>157</v>
      </c>
      <c r="C29" s="1" t="s">
        <v>79</v>
      </c>
      <c r="D29" s="12" t="n">
        <f aca="false">Nebius_Inputs!$C$28+Nebius_Inputs!$C$29+Nebius_Inputs!$C$30</f>
        <v>59</v>
      </c>
      <c r="E29" s="5" t="s">
        <v>73</v>
      </c>
      <c r="F29" s="5" t="s">
        <v>22</v>
      </c>
      <c r="G29" s="12" t="n">
        <v>72</v>
      </c>
      <c r="H29" s="5" t="s">
        <v>114</v>
      </c>
      <c r="I29" s="5" t="s">
        <v>22</v>
      </c>
      <c r="J29" s="7" t="s">
        <v>24</v>
      </c>
      <c r="K29" s="5" t="s">
        <v>24</v>
      </c>
      <c r="L29" s="5"/>
      <c r="M29" s="7" t="s">
        <v>24</v>
      </c>
      <c r="N29" s="5" t="s">
        <v>24</v>
      </c>
      <c r="O29" s="5"/>
      <c r="P29" s="7" t="s">
        <v>24</v>
      </c>
      <c r="Q29" s="5" t="s">
        <v>24</v>
      </c>
      <c r="R29" s="5"/>
      <c r="S29" s="18" t="n">
        <v>50</v>
      </c>
      <c r="T29" s="5" t="s">
        <v>158</v>
      </c>
      <c r="U29" s="5" t="s">
        <v>28</v>
      </c>
      <c r="V29" s="7" t="s">
        <v>24</v>
      </c>
      <c r="W29" s="5" t="s">
        <v>24</v>
      </c>
      <c r="X29" s="5"/>
      <c r="Y29" s="8" t="n">
        <f aca="false">MEDIAN(G29,S29)</f>
        <v>61</v>
      </c>
      <c r="Z29" s="14" t="s">
        <v>93</v>
      </c>
      <c r="AA29" s="10" t="s">
        <v>159</v>
      </c>
      <c r="AB29" s="10"/>
      <c r="AC29" s="10"/>
    </row>
    <row r="30" customFormat="false" ht="54.75" hidden="false" customHeight="true" outlineLevel="0" collapsed="false">
      <c r="A30" s="1" t="s">
        <v>160</v>
      </c>
      <c r="B30" s="1" t="s">
        <v>161</v>
      </c>
      <c r="C30" s="1" t="s">
        <v>162</v>
      </c>
      <c r="D30" s="12" t="n">
        <f aca="false">Nebius_Inputs!$C$31</f>
        <v>3</v>
      </c>
      <c r="E30" s="5" t="s">
        <v>73</v>
      </c>
      <c r="F30" s="5" t="s">
        <v>22</v>
      </c>
      <c r="G30" s="12" t="n">
        <v>3</v>
      </c>
      <c r="H30" s="5" t="s">
        <v>114</v>
      </c>
      <c r="I30" s="5" t="s">
        <v>22</v>
      </c>
      <c r="J30" s="7" t="s">
        <v>24</v>
      </c>
      <c r="K30" s="5" t="s">
        <v>24</v>
      </c>
      <c r="L30" s="5"/>
      <c r="M30" s="12" t="n">
        <v>0</v>
      </c>
      <c r="N30" s="5" t="s">
        <v>114</v>
      </c>
      <c r="O30" s="5" t="s">
        <v>86</v>
      </c>
      <c r="P30" s="7" t="s">
        <v>24</v>
      </c>
      <c r="Q30" s="5" t="s">
        <v>24</v>
      </c>
      <c r="R30" s="5"/>
      <c r="S30" s="7" t="s">
        <v>24</v>
      </c>
      <c r="T30" s="5" t="s">
        <v>24</v>
      </c>
      <c r="U30" s="5"/>
      <c r="V30" s="7" t="s">
        <v>24</v>
      </c>
      <c r="W30" s="5" t="s">
        <v>24</v>
      </c>
      <c r="X30" s="5"/>
      <c r="Y30" s="8" t="n">
        <f aca="false">MEDIAN(G30,M30)</f>
        <v>1.5</v>
      </c>
      <c r="Z30" s="15" t="s">
        <v>98</v>
      </c>
      <c r="AA30" s="10" t="s">
        <v>163</v>
      </c>
      <c r="AB30" s="10"/>
      <c r="AC30" s="10"/>
    </row>
    <row r="31" customFormat="false" ht="27.75" hidden="false" customHeight="true" outlineLevel="0" collapsed="false">
      <c r="A31" s="1" t="s">
        <v>164</v>
      </c>
      <c r="B31" s="1" t="s">
        <v>165</v>
      </c>
      <c r="C31" s="1" t="s">
        <v>79</v>
      </c>
      <c r="D31" s="6" t="n">
        <f aca="false">Nebius_Inputs!$C$33</f>
        <v>5.1</v>
      </c>
      <c r="E31" s="5" t="s">
        <v>25</v>
      </c>
      <c r="F31" s="5" t="s">
        <v>22</v>
      </c>
      <c r="G31" s="6" t="n">
        <v>8.4134342212596</v>
      </c>
      <c r="H31" s="5" t="s">
        <v>23</v>
      </c>
      <c r="I31" s="5" t="s">
        <v>22</v>
      </c>
      <c r="J31" s="6" t="n">
        <v>1.85234367978236</v>
      </c>
      <c r="K31" s="5" t="s">
        <v>23</v>
      </c>
      <c r="L31" s="5" t="s">
        <v>22</v>
      </c>
      <c r="M31" s="6" t="n">
        <v>4.82820053034088</v>
      </c>
      <c r="N31" s="5" t="s">
        <v>23</v>
      </c>
      <c r="O31" s="5" t="s">
        <v>86</v>
      </c>
      <c r="P31" s="16" t="n">
        <v>18.7268413391558</v>
      </c>
      <c r="Q31" s="5" t="s">
        <v>25</v>
      </c>
      <c r="R31" s="5" t="s">
        <v>26</v>
      </c>
      <c r="S31" s="7" t="s">
        <v>24</v>
      </c>
      <c r="T31" s="5" t="s">
        <v>24</v>
      </c>
      <c r="U31" s="5"/>
      <c r="V31" s="7" t="s">
        <v>24</v>
      </c>
      <c r="W31" s="5" t="s">
        <v>24</v>
      </c>
      <c r="X31" s="5"/>
      <c r="Y31" s="8" t="n">
        <f aca="false">MEDIAN(G31,J31,M31)</f>
        <v>4.82820053034088</v>
      </c>
      <c r="Z31" s="14" t="s">
        <v>93</v>
      </c>
      <c r="AA31" s="10" t="s">
        <v>166</v>
      </c>
      <c r="AB31" s="10"/>
      <c r="AC31" s="10" t="s">
        <v>167</v>
      </c>
    </row>
    <row r="32" customFormat="false" ht="27.75" hidden="false" customHeight="true" outlineLevel="0" collapsed="false">
      <c r="A32" s="1" t="s">
        <v>168</v>
      </c>
      <c r="B32" s="1" t="s">
        <v>169</v>
      </c>
      <c r="C32" s="1" t="s">
        <v>79</v>
      </c>
      <c r="D32" s="5" t="s">
        <v>24</v>
      </c>
      <c r="E32" s="5" t="s">
        <v>24</v>
      </c>
      <c r="G32" s="6" t="n">
        <v>9.62346991130983</v>
      </c>
      <c r="H32" s="5" t="s">
        <v>23</v>
      </c>
      <c r="I32" s="5" t="s">
        <v>22</v>
      </c>
      <c r="J32" s="6" t="n">
        <v>7.12</v>
      </c>
      <c r="K32" s="5" t="s">
        <v>23</v>
      </c>
      <c r="L32" s="5" t="s">
        <v>22</v>
      </c>
      <c r="M32" s="7" t="s">
        <v>24</v>
      </c>
      <c r="N32" s="5" t="s">
        <v>24</v>
      </c>
      <c r="O32" s="5"/>
      <c r="P32" s="12" t="n">
        <v>11.3</v>
      </c>
      <c r="Q32" s="5" t="s">
        <v>73</v>
      </c>
      <c r="R32" s="5" t="s">
        <v>26</v>
      </c>
      <c r="S32" s="12" t="n">
        <v>6.78</v>
      </c>
      <c r="T32" s="5" t="s">
        <v>73</v>
      </c>
      <c r="U32" s="5" t="s">
        <v>170</v>
      </c>
      <c r="V32" s="4" t="n">
        <v>9.10214285714286</v>
      </c>
      <c r="W32" s="5" t="s">
        <v>171</v>
      </c>
      <c r="X32" s="5" t="s">
        <v>172</v>
      </c>
      <c r="Y32" s="8" t="n">
        <f aca="false">MEDIAN(G32,J32,P32,S32,V32)</f>
        <v>9.10214285714286</v>
      </c>
      <c r="Z32" s="11" t="s">
        <v>87</v>
      </c>
      <c r="AA32" s="10" t="s">
        <v>173</v>
      </c>
      <c r="AB32" s="10" t="s">
        <v>138</v>
      </c>
      <c r="AC32" s="10"/>
    </row>
    <row r="33" customFormat="false" ht="27.75" hidden="false" customHeight="true" outlineLevel="0" collapsed="false">
      <c r="A33" s="1" t="s">
        <v>174</v>
      </c>
      <c r="B33" s="1" t="s">
        <v>175</v>
      </c>
      <c r="C33" s="1" t="s">
        <v>79</v>
      </c>
      <c r="D33" s="5" t="s">
        <v>24</v>
      </c>
      <c r="E33" s="5" t="s">
        <v>24</v>
      </c>
      <c r="G33" s="6" t="n">
        <v>12</v>
      </c>
      <c r="H33" s="5" t="s">
        <v>23</v>
      </c>
      <c r="I33" s="5" t="s">
        <v>22</v>
      </c>
      <c r="J33" s="7" t="s">
        <v>24</v>
      </c>
      <c r="K33" s="5" t="s">
        <v>24</v>
      </c>
      <c r="L33" s="5"/>
      <c r="M33" s="6" t="n">
        <v>5.29</v>
      </c>
      <c r="N33" s="5" t="s">
        <v>23</v>
      </c>
      <c r="O33" s="5" t="s">
        <v>86</v>
      </c>
      <c r="P33" s="12" t="n">
        <v>22.74</v>
      </c>
      <c r="Q33" s="5" t="s">
        <v>73</v>
      </c>
      <c r="R33" s="5" t="s">
        <v>26</v>
      </c>
      <c r="S33" s="7" t="s">
        <v>24</v>
      </c>
      <c r="T33" s="5" t="s">
        <v>24</v>
      </c>
      <c r="U33" s="5"/>
      <c r="V33" s="18" t="n">
        <v>6</v>
      </c>
      <c r="W33" s="5" t="s">
        <v>158</v>
      </c>
      <c r="X33" s="5" t="s">
        <v>176</v>
      </c>
      <c r="Y33" s="8" t="n">
        <f aca="false">MEDIAN(G33,M33,P33,V33)</f>
        <v>9</v>
      </c>
      <c r="Z33" s="11" t="s">
        <v>87</v>
      </c>
      <c r="AA33" s="10" t="s">
        <v>173</v>
      </c>
      <c r="AB33" s="10" t="s">
        <v>138</v>
      </c>
      <c r="AC33" s="10"/>
    </row>
    <row r="34" customFormat="false" ht="27.75" hidden="false" customHeight="true" outlineLevel="0" collapsed="false">
      <c r="A34" s="1" t="s">
        <v>177</v>
      </c>
      <c r="B34" s="1" t="s">
        <v>178</v>
      </c>
      <c r="C34" s="1" t="s">
        <v>79</v>
      </c>
      <c r="D34" s="5" t="s">
        <v>24</v>
      </c>
      <c r="E34" s="5" t="s">
        <v>24</v>
      </c>
      <c r="G34" s="6" t="n">
        <v>38.3758544063458</v>
      </c>
      <c r="H34" s="5" t="s">
        <v>23</v>
      </c>
      <c r="I34" s="5" t="s">
        <v>22</v>
      </c>
      <c r="J34" s="6" t="n">
        <v>5.35970428967112</v>
      </c>
      <c r="K34" s="5" t="s">
        <v>23</v>
      </c>
      <c r="L34" s="5" t="s">
        <v>22</v>
      </c>
      <c r="M34" s="6" t="n">
        <v>0</v>
      </c>
      <c r="N34" s="5" t="s">
        <v>23</v>
      </c>
      <c r="O34" s="5" t="s">
        <v>86</v>
      </c>
      <c r="P34" s="6" t="n">
        <v>35.080058224163</v>
      </c>
      <c r="Q34" s="5" t="s">
        <v>25</v>
      </c>
      <c r="R34" s="5" t="s">
        <v>26</v>
      </c>
      <c r="S34" s="7" t="s">
        <v>24</v>
      </c>
      <c r="T34" s="5" t="s">
        <v>24</v>
      </c>
      <c r="U34" s="5"/>
      <c r="V34" s="7" t="s">
        <v>24</v>
      </c>
      <c r="W34" s="5" t="s">
        <v>24</v>
      </c>
      <c r="X34" s="5"/>
      <c r="Y34" s="8" t="n">
        <f aca="false">MEDIAN(G34,J34,M34,P34)</f>
        <v>20.2198812569171</v>
      </c>
      <c r="Z34" s="11" t="s">
        <v>87</v>
      </c>
      <c r="AA34" s="10" t="s">
        <v>179</v>
      </c>
      <c r="AB34" s="10" t="s">
        <v>138</v>
      </c>
      <c r="AC34" s="10"/>
    </row>
    <row r="35" customFormat="false" ht="27.75" hidden="false" customHeight="true" outlineLevel="0" collapsed="false">
      <c r="A35" s="1" t="s">
        <v>180</v>
      </c>
      <c r="B35" s="1" t="s">
        <v>181</v>
      </c>
      <c r="C35" s="1" t="s">
        <v>79</v>
      </c>
      <c r="D35" s="6" t="n">
        <f aca="false">Nebius_Inputs!$C$34*4/AVERAGE(Nebius_Inputs!$C$36,Nebius_Inputs!$C$37)*100</f>
        <v>5.60599196286207</v>
      </c>
      <c r="E35" s="5" t="s">
        <v>25</v>
      </c>
      <c r="F35" s="5" t="s">
        <v>22</v>
      </c>
      <c r="G35" s="6" t="n">
        <v>7.80230642504119</v>
      </c>
      <c r="H35" s="5" t="s">
        <v>23</v>
      </c>
      <c r="I35" s="5" t="s">
        <v>22</v>
      </c>
      <c r="J35" s="6" t="n">
        <v>1.70921362271062</v>
      </c>
      <c r="K35" s="5" t="s">
        <v>23</v>
      </c>
      <c r="L35" s="5" t="s">
        <v>22</v>
      </c>
      <c r="M35" s="6" t="n">
        <v>4.35516721812937</v>
      </c>
      <c r="N35" s="5" t="s">
        <v>23</v>
      </c>
      <c r="O35" s="5" t="s">
        <v>86</v>
      </c>
      <c r="P35" s="6" t="n">
        <v>22.1914008321775</v>
      </c>
      <c r="Q35" s="5" t="s">
        <v>25</v>
      </c>
      <c r="R35" s="5" t="s">
        <v>26</v>
      </c>
      <c r="S35" s="7" t="s">
        <v>24</v>
      </c>
      <c r="T35" s="5" t="s">
        <v>24</v>
      </c>
      <c r="U35" s="5"/>
      <c r="V35" s="7" t="s">
        <v>24</v>
      </c>
      <c r="W35" s="5" t="s">
        <v>24</v>
      </c>
      <c r="X35" s="5"/>
      <c r="Y35" s="8" t="n">
        <f aca="false">MEDIAN(G35,J35,M35,P35)</f>
        <v>6.07873682158528</v>
      </c>
      <c r="Z35" s="14" t="s">
        <v>93</v>
      </c>
      <c r="AA35" s="10" t="s">
        <v>182</v>
      </c>
      <c r="AB35" s="10" t="s">
        <v>183</v>
      </c>
      <c r="AC35" s="10" t="s">
        <v>184</v>
      </c>
    </row>
    <row r="36" customFormat="false" ht="27.75" hidden="false" customHeight="true" outlineLevel="0" collapsed="false">
      <c r="A36" s="1" t="s">
        <v>185</v>
      </c>
      <c r="B36" s="1" t="s">
        <v>186</v>
      </c>
      <c r="C36" s="1" t="s">
        <v>79</v>
      </c>
      <c r="D36" s="5" t="s">
        <v>24</v>
      </c>
      <c r="E36" s="5" t="s">
        <v>24</v>
      </c>
      <c r="G36" s="12" t="n">
        <v>8.3</v>
      </c>
      <c r="H36" s="5" t="s">
        <v>114</v>
      </c>
      <c r="I36" s="5" t="s">
        <v>22</v>
      </c>
      <c r="J36" s="7" t="s">
        <v>24</v>
      </c>
      <c r="K36" s="5" t="s">
        <v>24</v>
      </c>
      <c r="L36" s="5"/>
      <c r="M36" s="7" t="s">
        <v>24</v>
      </c>
      <c r="N36" s="5" t="s">
        <v>24</v>
      </c>
      <c r="O36" s="5"/>
      <c r="P36" s="7" t="s">
        <v>24</v>
      </c>
      <c r="Q36" s="5" t="s">
        <v>24</v>
      </c>
      <c r="R36" s="5"/>
      <c r="S36" s="7" t="s">
        <v>24</v>
      </c>
      <c r="T36" s="5" t="s">
        <v>24</v>
      </c>
      <c r="U36" s="5"/>
      <c r="V36" s="7" t="s">
        <v>24</v>
      </c>
      <c r="W36" s="5" t="s">
        <v>24</v>
      </c>
      <c r="X36" s="5"/>
      <c r="Y36" s="8" t="n">
        <f aca="false">MEDIAN(G36)</f>
        <v>8.3</v>
      </c>
      <c r="Z36" s="11" t="s">
        <v>87</v>
      </c>
      <c r="AA36" s="10" t="s">
        <v>187</v>
      </c>
      <c r="AB36" s="10" t="s">
        <v>138</v>
      </c>
      <c r="AC36" s="10"/>
    </row>
    <row r="37" customFormat="false" ht="27.75" hidden="false" customHeight="true" outlineLevel="0" collapsed="false">
      <c r="A37" s="1" t="s">
        <v>188</v>
      </c>
      <c r="B37" s="1" t="s">
        <v>189</v>
      </c>
      <c r="C37" s="1" t="s">
        <v>132</v>
      </c>
      <c r="D37" s="12" t="n">
        <f aca="false">Nebius_Inputs!$C$37/1000</f>
        <v>8.5457</v>
      </c>
      <c r="E37" s="5" t="s">
        <v>73</v>
      </c>
      <c r="F37" s="5" t="s">
        <v>22</v>
      </c>
      <c r="G37" s="12" t="n">
        <v>35.551</v>
      </c>
      <c r="H37" s="5" t="s">
        <v>114</v>
      </c>
      <c r="I37" s="5" t="s">
        <v>22</v>
      </c>
      <c r="J37" s="12" t="n">
        <v>7.705649</v>
      </c>
      <c r="K37" s="5" t="s">
        <v>114</v>
      </c>
      <c r="L37" s="5" t="s">
        <v>22</v>
      </c>
      <c r="M37" s="12" t="n">
        <v>129.541</v>
      </c>
      <c r="N37" s="5" t="s">
        <v>114</v>
      </c>
      <c r="O37" s="5" t="s">
        <v>86</v>
      </c>
      <c r="P37" s="6" t="n">
        <v>0.1374</v>
      </c>
      <c r="Q37" s="5" t="s">
        <v>25</v>
      </c>
      <c r="R37" s="5" t="s">
        <v>26</v>
      </c>
      <c r="S37" s="7" t="s">
        <v>24</v>
      </c>
      <c r="T37" s="5" t="s">
        <v>24</v>
      </c>
      <c r="U37" s="5"/>
      <c r="V37" s="7" t="s">
        <v>24</v>
      </c>
      <c r="W37" s="5" t="s">
        <v>24</v>
      </c>
      <c r="X37" s="5"/>
      <c r="Y37" s="8" t="n">
        <f aca="false">MEDIAN(G37,J37,M37,P37)</f>
        <v>21.6283245</v>
      </c>
      <c r="Z37" s="11" t="s">
        <v>53</v>
      </c>
      <c r="AA37" s="10" t="s">
        <v>190</v>
      </c>
      <c r="AB37" s="10" t="s">
        <v>191</v>
      </c>
      <c r="AC37" s="10"/>
    </row>
    <row r="38" customFormat="false" ht="27.75" hidden="false" customHeight="true" outlineLevel="0" collapsed="false">
      <c r="A38" s="1" t="s">
        <v>192</v>
      </c>
      <c r="B38" s="1" t="s">
        <v>193</v>
      </c>
      <c r="C38" s="1" t="s">
        <v>52</v>
      </c>
      <c r="D38" s="6" t="n">
        <f aca="false">Nebius_Inputs!$C$37/Nebius_Inputs!$C$26</f>
        <v>0.227942470912709</v>
      </c>
      <c r="E38" s="5" t="s">
        <v>25</v>
      </c>
      <c r="F38" s="5" t="s">
        <v>22</v>
      </c>
      <c r="G38" s="6" t="n">
        <v>0.342825458052073</v>
      </c>
      <c r="H38" s="5" t="s">
        <v>23</v>
      </c>
      <c r="I38" s="5" t="s">
        <v>22</v>
      </c>
      <c r="J38" s="6" t="n">
        <v>1.51091156862745</v>
      </c>
      <c r="K38" s="5" t="s">
        <v>23</v>
      </c>
      <c r="L38" s="5" t="s">
        <v>22</v>
      </c>
      <c r="M38" s="6" t="n">
        <v>0.203042319749216</v>
      </c>
      <c r="N38" s="5" t="s">
        <v>23</v>
      </c>
      <c r="O38" s="5" t="s">
        <v>86</v>
      </c>
      <c r="P38" s="6" t="n">
        <v>0.00243617021276596</v>
      </c>
      <c r="Q38" s="5" t="s">
        <v>25</v>
      </c>
      <c r="R38" s="5" t="s">
        <v>26</v>
      </c>
      <c r="S38" s="7" t="s">
        <v>24</v>
      </c>
      <c r="T38" s="5" t="s">
        <v>24</v>
      </c>
      <c r="U38" s="5"/>
      <c r="V38" s="7" t="s">
        <v>24</v>
      </c>
      <c r="W38" s="5" t="s">
        <v>24</v>
      </c>
      <c r="X38" s="5"/>
      <c r="Y38" s="8" t="n">
        <f aca="false">MEDIAN(G38,J38,M38,P38)</f>
        <v>0.272933888900645</v>
      </c>
      <c r="Z38" s="14" t="s">
        <v>93</v>
      </c>
      <c r="AA38" s="10" t="s">
        <v>194</v>
      </c>
      <c r="AB38" s="10"/>
      <c r="AC38" s="10"/>
    </row>
    <row r="39" customFormat="false" ht="27.75" hidden="false" customHeight="true" outlineLevel="0" collapsed="false">
      <c r="A39" s="1" t="s">
        <v>195</v>
      </c>
      <c r="B39" s="1" t="s">
        <v>196</v>
      </c>
      <c r="C39" s="1" t="s">
        <v>79</v>
      </c>
      <c r="D39" s="6" t="n">
        <f aca="false">Nebius_Inputs!$C$35/(Nebius_Inputs!$C$34+Nebius_Inputs!$C$35)*100</f>
        <v>25.2354048964218</v>
      </c>
      <c r="E39" s="5" t="s">
        <v>25</v>
      </c>
      <c r="F39" s="5" t="s">
        <v>22</v>
      </c>
      <c r="G39" s="12" t="n">
        <v>13.3445945945946</v>
      </c>
      <c r="H39" s="5" t="s">
        <v>114</v>
      </c>
      <c r="I39" s="5" t="s">
        <v>22</v>
      </c>
      <c r="J39" s="7" t="s">
        <v>24</v>
      </c>
      <c r="K39" s="5" t="s">
        <v>24</v>
      </c>
      <c r="L39" s="5"/>
      <c r="M39" s="7" t="s">
        <v>24</v>
      </c>
      <c r="N39" s="5" t="s">
        <v>24</v>
      </c>
      <c r="O39" s="5"/>
      <c r="P39" s="6" t="n">
        <v>0</v>
      </c>
      <c r="Q39" s="5" t="s">
        <v>25</v>
      </c>
      <c r="R39" s="5" t="s">
        <v>26</v>
      </c>
      <c r="S39" s="7" t="s">
        <v>24</v>
      </c>
      <c r="T39" s="5" t="s">
        <v>24</v>
      </c>
      <c r="U39" s="5"/>
      <c r="V39" s="7" t="s">
        <v>24</v>
      </c>
      <c r="W39" s="5" t="s">
        <v>24</v>
      </c>
      <c r="X39" s="5"/>
      <c r="Y39" s="8" t="n">
        <f aca="false">MEDIAN(G39,P39)</f>
        <v>6.6722972972973</v>
      </c>
      <c r="Z39" s="15" t="s">
        <v>98</v>
      </c>
      <c r="AA39" s="10" t="s">
        <v>197</v>
      </c>
      <c r="AB39" s="10"/>
      <c r="AC39" s="10"/>
    </row>
    <row r="40" customFormat="false" ht="27.75" hidden="false" customHeight="true" outlineLevel="0" collapsed="false">
      <c r="A40" s="1" t="s">
        <v>198</v>
      </c>
      <c r="B40" s="1" t="s">
        <v>199</v>
      </c>
      <c r="C40" s="1" t="s">
        <v>79</v>
      </c>
      <c r="D40" s="5" t="s">
        <v>24</v>
      </c>
      <c r="E40" s="5" t="s">
        <v>24</v>
      </c>
      <c r="G40" s="7" t="s">
        <v>24</v>
      </c>
      <c r="H40" s="5" t="s">
        <v>24</v>
      </c>
      <c r="I40" s="5"/>
      <c r="J40" s="7" t="s">
        <v>24</v>
      </c>
      <c r="K40" s="5" t="s">
        <v>24</v>
      </c>
      <c r="L40" s="5"/>
      <c r="M40" s="12" t="n">
        <v>97.5</v>
      </c>
      <c r="N40" s="5" t="s">
        <v>114</v>
      </c>
      <c r="O40" s="5" t="s">
        <v>86</v>
      </c>
      <c r="P40" s="7" t="s">
        <v>24</v>
      </c>
      <c r="Q40" s="5" t="s">
        <v>24</v>
      </c>
      <c r="R40" s="5"/>
      <c r="S40" s="7" t="s">
        <v>24</v>
      </c>
      <c r="T40" s="5" t="s">
        <v>24</v>
      </c>
      <c r="U40" s="5"/>
      <c r="V40" s="7" t="s">
        <v>24</v>
      </c>
      <c r="W40" s="5" t="s">
        <v>24</v>
      </c>
      <c r="X40" s="5"/>
      <c r="Y40" s="8" t="n">
        <f aca="false">MEDIAN(M40)</f>
        <v>97.5</v>
      </c>
      <c r="Z40" s="11" t="s">
        <v>87</v>
      </c>
      <c r="AA40" s="10" t="s">
        <v>200</v>
      </c>
      <c r="AB40" s="10" t="s">
        <v>138</v>
      </c>
      <c r="AC40" s="10"/>
    </row>
    <row r="41" customFormat="false" ht="27.75" hidden="false" customHeight="true" outlineLevel="0" collapsed="false">
      <c r="A41" s="1" t="s">
        <v>201</v>
      </c>
      <c r="B41" s="1" t="s">
        <v>202</v>
      </c>
      <c r="C41" s="1" t="s">
        <v>79</v>
      </c>
      <c r="D41" s="5" t="s">
        <v>24</v>
      </c>
      <c r="E41" s="5" t="s">
        <v>24</v>
      </c>
      <c r="G41" s="7" t="s">
        <v>24</v>
      </c>
      <c r="H41" s="5" t="s">
        <v>24</v>
      </c>
      <c r="I41" s="5"/>
      <c r="J41" s="6" t="n">
        <v>17.6</v>
      </c>
      <c r="K41" s="5" t="s">
        <v>23</v>
      </c>
      <c r="L41" s="5" t="s">
        <v>22</v>
      </c>
      <c r="M41" s="12" t="n">
        <v>12</v>
      </c>
      <c r="N41" s="5" t="s">
        <v>114</v>
      </c>
      <c r="O41" s="5" t="s">
        <v>86</v>
      </c>
      <c r="P41" s="7" t="s">
        <v>24</v>
      </c>
      <c r="Q41" s="5" t="s">
        <v>24</v>
      </c>
      <c r="R41" s="5"/>
      <c r="S41" s="7" t="s">
        <v>24</v>
      </c>
      <c r="T41" s="5" t="s">
        <v>24</v>
      </c>
      <c r="U41" s="5"/>
      <c r="V41" s="7" t="s">
        <v>24</v>
      </c>
      <c r="W41" s="5" t="s">
        <v>24</v>
      </c>
      <c r="X41" s="5"/>
      <c r="Y41" s="8" t="n">
        <f aca="false">MEDIAN(J41,M41)</f>
        <v>14.8</v>
      </c>
      <c r="Z41" s="11" t="s">
        <v>87</v>
      </c>
      <c r="AA41" s="10" t="s">
        <v>203</v>
      </c>
      <c r="AB41" s="10" t="s">
        <v>138</v>
      </c>
      <c r="AC41" s="10"/>
    </row>
    <row r="42" customFormat="false" ht="27.75" hidden="false" customHeight="true" outlineLevel="0" collapsed="false">
      <c r="A42" s="1" t="s">
        <v>204</v>
      </c>
      <c r="B42" s="1" t="s">
        <v>205</v>
      </c>
      <c r="C42" s="1" t="s">
        <v>20</v>
      </c>
      <c r="D42" s="4" t="n">
        <f aca="false">(Nebius_Inputs!$C$4-Nebius_Inputs!$C$5)*4/(Nebius_Inputs!$C$20-Nebius_Inputs!$C$18)</f>
        <v>15.0375</v>
      </c>
      <c r="E42" s="5" t="s">
        <v>21</v>
      </c>
      <c r="F42" s="5" t="s">
        <v>22</v>
      </c>
      <c r="G42" s="6" t="n">
        <v>5.29014368932039</v>
      </c>
      <c r="H42" s="5" t="s">
        <v>25</v>
      </c>
      <c r="I42" s="5" t="s">
        <v>22</v>
      </c>
      <c r="J42" s="4" t="n">
        <v>6.80880180315552</v>
      </c>
      <c r="K42" s="5" t="s">
        <v>37</v>
      </c>
      <c r="L42" s="5" t="s">
        <v>22</v>
      </c>
      <c r="M42" s="4" t="n">
        <v>9.30666666666667</v>
      </c>
      <c r="N42" s="5" t="s">
        <v>37</v>
      </c>
      <c r="O42" s="5" t="s">
        <v>86</v>
      </c>
      <c r="P42" s="7" t="s">
        <v>24</v>
      </c>
      <c r="Q42" s="5" t="s">
        <v>24</v>
      </c>
      <c r="R42" s="5"/>
      <c r="S42" s="7" t="s">
        <v>24</v>
      </c>
      <c r="T42" s="5" t="s">
        <v>24</v>
      </c>
      <c r="U42" s="5"/>
      <c r="V42" s="7" t="s">
        <v>24</v>
      </c>
      <c r="W42" s="5" t="s">
        <v>24</v>
      </c>
      <c r="X42" s="5"/>
      <c r="Y42" s="8" t="n">
        <f aca="false">MEDIAN(G42,J42,M42)</f>
        <v>6.80880180315552</v>
      </c>
      <c r="Z42" s="9" t="s">
        <v>31</v>
      </c>
      <c r="AA42" s="10" t="s">
        <v>206</v>
      </c>
      <c r="AB42" s="10"/>
      <c r="AC42" s="10" t="s">
        <v>207</v>
      </c>
    </row>
    <row r="43" customFormat="false" ht="27.75" hidden="false" customHeight="true" outlineLevel="0" collapsed="false">
      <c r="A43" s="1" t="s">
        <v>208</v>
      </c>
      <c r="B43" s="1" t="s">
        <v>209</v>
      </c>
      <c r="C43" s="1" t="s">
        <v>52</v>
      </c>
      <c r="D43" s="6" t="n">
        <f aca="false">Nebius_Inputs!$C$4*4/AVERAGE(Nebius_Inputs!$C$16,Nebius_Inputs!$C$17)</f>
        <v>0.465016581735825</v>
      </c>
      <c r="E43" s="5" t="s">
        <v>25</v>
      </c>
      <c r="F43" s="5" t="s">
        <v>22</v>
      </c>
      <c r="G43" s="6" t="n">
        <v>0.340777502067825</v>
      </c>
      <c r="H43" s="5" t="s">
        <v>25</v>
      </c>
      <c r="I43" s="5" t="s">
        <v>22</v>
      </c>
      <c r="J43" s="6" t="n">
        <v>0.198201040615192</v>
      </c>
      <c r="K43" s="5" t="s">
        <v>23</v>
      </c>
      <c r="L43" s="5" t="s">
        <v>22</v>
      </c>
      <c r="M43" s="7" t="s">
        <v>24</v>
      </c>
      <c r="N43" s="5" t="s">
        <v>24</v>
      </c>
      <c r="O43" s="5"/>
      <c r="P43" s="7" t="s">
        <v>24</v>
      </c>
      <c r="Q43" s="5" t="s">
        <v>24</v>
      </c>
      <c r="R43" s="5"/>
      <c r="S43" s="7" t="s">
        <v>24</v>
      </c>
      <c r="T43" s="5" t="s">
        <v>24</v>
      </c>
      <c r="U43" s="5"/>
      <c r="V43" s="7" t="s">
        <v>24</v>
      </c>
      <c r="W43" s="5" t="s">
        <v>24</v>
      </c>
      <c r="X43" s="5"/>
      <c r="Y43" s="8" t="n">
        <f aca="false">MEDIAN(G43,J43)</f>
        <v>0.269489271341508</v>
      </c>
      <c r="Z43" s="9" t="s">
        <v>31</v>
      </c>
      <c r="AA43" s="10" t="s">
        <v>210</v>
      </c>
      <c r="AB43" s="10" t="s">
        <v>211</v>
      </c>
      <c r="AC43" s="10" t="s">
        <v>212</v>
      </c>
    </row>
    <row r="44" customFormat="false" ht="27.75" hidden="false" customHeight="true" outlineLevel="0" collapsed="false">
      <c r="A44" s="1" t="s">
        <v>213</v>
      </c>
      <c r="B44" s="1" t="s">
        <v>214</v>
      </c>
      <c r="C44" s="1" t="s">
        <v>79</v>
      </c>
      <c r="D44" s="5" t="s">
        <v>24</v>
      </c>
      <c r="E44" s="5" t="s">
        <v>24</v>
      </c>
      <c r="G44" s="7" t="s">
        <v>24</v>
      </c>
      <c r="H44" s="5" t="s">
        <v>24</v>
      </c>
      <c r="I44" s="5"/>
      <c r="J44" s="6" t="n">
        <v>86.9361128837836</v>
      </c>
      <c r="K44" s="5" t="s">
        <v>23</v>
      </c>
      <c r="L44" s="5" t="s">
        <v>22</v>
      </c>
      <c r="M44" s="7" t="s">
        <v>24</v>
      </c>
      <c r="N44" s="5" t="s">
        <v>24</v>
      </c>
      <c r="O44" s="5"/>
      <c r="P44" s="7" t="s">
        <v>24</v>
      </c>
      <c r="Q44" s="5" t="s">
        <v>24</v>
      </c>
      <c r="R44" s="5"/>
      <c r="S44" s="7" t="s">
        <v>24</v>
      </c>
      <c r="T44" s="5" t="s">
        <v>24</v>
      </c>
      <c r="U44" s="5"/>
      <c r="V44" s="7" t="s">
        <v>24</v>
      </c>
      <c r="W44" s="5" t="s">
        <v>24</v>
      </c>
      <c r="X44" s="5"/>
      <c r="Y44" s="8" t="n">
        <f aca="false">MEDIAN(J44)</f>
        <v>86.9361128837836</v>
      </c>
      <c r="Z44" s="11" t="s">
        <v>87</v>
      </c>
      <c r="AA44" s="10" t="s">
        <v>215</v>
      </c>
      <c r="AB44" s="10" t="s">
        <v>138</v>
      </c>
      <c r="AC44" s="10"/>
    </row>
    <row r="45" customFormat="false" ht="30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customFormat="false" ht="30" hidden="false" customHeight="true" outlineLevel="0" collapsed="false">
      <c r="A46" s="2" t="s">
        <v>216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customFormat="false" ht="30" hidden="false" customHeight="true" outlineLevel="0" collapsed="false">
      <c r="A47" s="2" t="s">
        <v>217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customFormat="false" ht="30" hidden="false" customHeight="true" outlineLevel="0" collapsed="false">
      <c r="A48" s="2" t="s">
        <v>218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customFormat="false" ht="30" hidden="false" customHeight="true" outlineLevel="0" collapsed="false">
      <c r="A49" s="2" t="s">
        <v>219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customFormat="false" ht="377.25" hidden="false" customHeight="true" outlineLevel="0" collapsed="false">
      <c r="A50" s="10" t="s">
        <v>220</v>
      </c>
    </row>
  </sheetData>
  <mergeCells count="6">
    <mergeCell ref="A1:AC1"/>
    <mergeCell ref="A45:AC45"/>
    <mergeCell ref="A46:AC46"/>
    <mergeCell ref="A47:AC47"/>
    <mergeCell ref="A48:AC48"/>
    <mergeCell ref="A49:A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0"/>
  </cols>
  <sheetData>
    <row r="1" customFormat="false" ht="15" hidden="false" customHeight="true" outlineLevel="0" collapsed="false">
      <c r="A1" s="20" t="s">
        <v>221</v>
      </c>
    </row>
    <row r="2" customFormat="false" ht="27.75" hidden="false" customHeight="true" outlineLevel="0" collapsed="false">
      <c r="A2" s="10" t="s">
        <v>222</v>
      </c>
    </row>
    <row r="3" customFormat="false" ht="27.75" hidden="false" customHeight="true" outlineLevel="0" collapsed="false">
      <c r="A3" s="10" t="s">
        <v>223</v>
      </c>
    </row>
    <row r="4" customFormat="false" ht="27.75" hidden="false" customHeight="true" outlineLevel="0" collapsed="false">
      <c r="A4" s="10" t="s">
        <v>224</v>
      </c>
    </row>
    <row r="5" customFormat="false" ht="41.25" hidden="false" customHeight="true" outlineLevel="0" collapsed="false">
      <c r="A5" s="10" t="s">
        <v>225</v>
      </c>
    </row>
    <row r="6" customFormat="false" ht="15" hidden="false" customHeight="true" outlineLevel="0" collapsed="false">
      <c r="A6" s="10" t="s">
        <v>226</v>
      </c>
    </row>
    <row r="7" customFormat="false" ht="15" hidden="false" customHeight="true" outlineLevel="0" collapsed="false">
      <c r="A7" s="10" t="s">
        <v>227</v>
      </c>
    </row>
    <row r="9" customFormat="false" ht="27.75" hidden="false" customHeight="true" outlineLevel="0" collapsed="false">
      <c r="A9" s="10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5"/>
    <col collapsed="false" customWidth="true" hidden="false" outlineLevel="0" max="3" min="3" style="1" width="48"/>
    <col collapsed="false" customWidth="true" hidden="false" outlineLevel="0" max="5" min="4" style="1" width="9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10"/>
  </cols>
  <sheetData>
    <row r="1" customFormat="false" ht="15" hidden="false" customHeight="true" outlineLevel="0" collapsed="false">
      <c r="A1" s="21" t="s">
        <v>229</v>
      </c>
    </row>
    <row r="2" customFormat="false" ht="15" hidden="false" customHeight="false" outlineLevel="0" collapsed="false"/>
    <row r="3" customFormat="false" ht="15" hidden="false" customHeight="true" outlineLevel="0" collapsed="false">
      <c r="A3" s="22" t="s">
        <v>230</v>
      </c>
      <c r="B3" s="22" t="s">
        <v>1</v>
      </c>
      <c r="C3" s="22" t="s">
        <v>2</v>
      </c>
      <c r="D3" s="22" t="s">
        <v>231</v>
      </c>
      <c r="E3" s="22" t="s">
        <v>4</v>
      </c>
      <c r="F3" s="22" t="s">
        <v>232</v>
      </c>
      <c r="G3" s="22" t="s">
        <v>233</v>
      </c>
      <c r="H3" s="22" t="s">
        <v>234</v>
      </c>
    </row>
    <row r="4" customFormat="false" ht="27.75" hidden="false" customHeight="true" outlineLevel="0" collapsed="false">
      <c r="A4" s="1" t="n">
        <v>1</v>
      </c>
      <c r="B4" s="1" t="s">
        <v>55</v>
      </c>
      <c r="C4" s="1" t="s">
        <v>56</v>
      </c>
      <c r="D4" s="23" t="str">
        <f aca="false">Comparison!Z9</f>
        <v>Better</v>
      </c>
      <c r="E4" s="24" t="n">
        <f aca="false">Comparison!D9</f>
        <v>6.63454281567489</v>
      </c>
      <c r="F4" s="24" t="n">
        <f aca="false">Comparison!Y9</f>
        <v>-0.0432592592592602</v>
      </c>
      <c r="G4" s="24" t="n">
        <v>137</v>
      </c>
      <c r="H4" s="10" t="s">
        <v>57</v>
      </c>
    </row>
    <row r="5" customFormat="false" ht="15" hidden="false" customHeight="true" outlineLevel="0" collapsed="false">
      <c r="A5" s="1" t="n">
        <v>2</v>
      </c>
      <c r="B5" s="1" t="s">
        <v>204</v>
      </c>
      <c r="C5" s="1" t="s">
        <v>205</v>
      </c>
      <c r="D5" s="23" t="str">
        <f aca="false">Comparison!Z42</f>
        <v>Better</v>
      </c>
      <c r="E5" s="24" t="n">
        <f aca="false">Comparison!D42</f>
        <v>15.0375</v>
      </c>
      <c r="F5" s="24" t="n">
        <f aca="false">Comparison!Y42</f>
        <v>6.80880180315552</v>
      </c>
      <c r="G5" s="24" t="n">
        <v>115.3</v>
      </c>
      <c r="H5" s="10" t="s">
        <v>206</v>
      </c>
    </row>
    <row r="6" customFormat="false" ht="27.75" hidden="false" customHeight="true" outlineLevel="0" collapsed="false">
      <c r="A6" s="1" t="n">
        <v>3</v>
      </c>
      <c r="B6" s="1" t="s">
        <v>65</v>
      </c>
      <c r="C6" s="1" t="s">
        <v>66</v>
      </c>
      <c r="D6" s="23" t="str">
        <f aca="false">Comparison!Z11</f>
        <v>Better</v>
      </c>
      <c r="E6" s="24" t="n">
        <f aca="false">Comparison!D11</f>
        <v>3.28845498900779</v>
      </c>
      <c r="F6" s="24" t="n">
        <f aca="false">Comparison!Y11</f>
        <v>1.66214035168557</v>
      </c>
      <c r="G6" s="24" t="n">
        <v>97</v>
      </c>
      <c r="H6" s="10" t="s">
        <v>68</v>
      </c>
    </row>
    <row r="7" customFormat="false" ht="15" hidden="false" customHeight="true" outlineLevel="0" collapsed="false">
      <c r="A7" s="1" t="n">
        <v>4</v>
      </c>
      <c r="B7" s="1" t="s">
        <v>59</v>
      </c>
      <c r="C7" s="1" t="s">
        <v>60</v>
      </c>
      <c r="D7" s="23" t="str">
        <f aca="false">Comparison!Z10</f>
        <v>Better</v>
      </c>
      <c r="E7" s="24" t="n">
        <f aca="false">Comparison!D10</f>
        <v>28.727942783972</v>
      </c>
      <c r="F7" s="24" t="n">
        <f aca="false">Comparison!Y10</f>
        <v>14.6003168079773</v>
      </c>
      <c r="G7" s="24" t="n">
        <v>96.3</v>
      </c>
      <c r="H7" s="10" t="s">
        <v>62</v>
      </c>
    </row>
    <row r="8" customFormat="false" ht="27.75" hidden="false" customHeight="true" outlineLevel="0" collapsed="false">
      <c r="A8" s="1" t="n">
        <v>5</v>
      </c>
      <c r="B8" s="1" t="s">
        <v>18</v>
      </c>
      <c r="C8" s="1" t="s">
        <v>19</v>
      </c>
      <c r="D8" s="23" t="str">
        <f aca="false">Comparison!Z4</f>
        <v>Better</v>
      </c>
      <c r="E8" s="24" t="n">
        <f aca="false">Comparison!D4</f>
        <v>13.2924855491329</v>
      </c>
      <c r="F8" s="24" t="n">
        <f aca="false">Comparison!Y4</f>
        <v>6.86666666666667</v>
      </c>
      <c r="G8" s="24" t="n">
        <v>93.6</v>
      </c>
      <c r="H8" s="10" t="s">
        <v>32</v>
      </c>
    </row>
    <row r="9" customFormat="false" ht="15" hidden="false" customHeight="true" outlineLevel="0" collapsed="false">
      <c r="A9" s="1" t="n">
        <v>6</v>
      </c>
      <c r="B9" s="1" t="s">
        <v>208</v>
      </c>
      <c r="C9" s="1" t="s">
        <v>209</v>
      </c>
      <c r="D9" s="23" t="str">
        <f aca="false">Comparison!Z43</f>
        <v>Better</v>
      </c>
      <c r="E9" s="24" t="n">
        <f aca="false">Comparison!D43</f>
        <v>0.465016581735825</v>
      </c>
      <c r="F9" s="24" t="n">
        <f aca="false">Comparison!Y43</f>
        <v>0.269489271341508</v>
      </c>
      <c r="G9" s="24" t="n">
        <v>72.6</v>
      </c>
      <c r="H9" s="10" t="s">
        <v>210</v>
      </c>
    </row>
    <row r="10" customFormat="false" ht="15" hidden="false" customHeight="true" outlineLevel="0" collapsed="false">
      <c r="A10" s="1" t="n">
        <v>7</v>
      </c>
      <c r="B10" s="1" t="s">
        <v>148</v>
      </c>
      <c r="C10" s="1" t="s">
        <v>149</v>
      </c>
      <c r="D10" s="23" t="str">
        <f aca="false">Comparison!Z27</f>
        <v>Better</v>
      </c>
      <c r="E10" s="24" t="n">
        <f aca="false">Comparison!D27</f>
        <v>24</v>
      </c>
      <c r="F10" s="24" t="n">
        <f aca="false">Comparison!Y27</f>
        <v>44</v>
      </c>
      <c r="G10" s="24" t="n">
        <v>45.5</v>
      </c>
      <c r="H10" s="10" t="s">
        <v>150</v>
      </c>
    </row>
    <row r="11" customFormat="false" ht="27.75" hidden="false" customHeight="true" outlineLevel="0" collapsed="false">
      <c r="A11" s="1" t="n">
        <v>8</v>
      </c>
      <c r="B11" s="1" t="s">
        <v>35</v>
      </c>
      <c r="C11" s="1" t="s">
        <v>36</v>
      </c>
      <c r="D11" s="23" t="str">
        <f aca="false">Comparison!Z5</f>
        <v>Better</v>
      </c>
      <c r="E11" s="24" t="n">
        <f aca="false">Comparison!D5</f>
        <v>13.3503628447025</v>
      </c>
      <c r="F11" s="24" t="n">
        <f aca="false">Comparison!Y5</f>
        <v>9.358411</v>
      </c>
      <c r="G11" s="24" t="n">
        <v>42.7</v>
      </c>
      <c r="H11" s="10" t="s">
        <v>39</v>
      </c>
    </row>
    <row r="12" customFormat="false" ht="27.75" hidden="false" customHeight="true" outlineLevel="0" collapsed="false">
      <c r="A12" s="1" t="n">
        <v>9</v>
      </c>
      <c r="B12" s="1" t="s">
        <v>77</v>
      </c>
      <c r="C12" s="1" t="s">
        <v>78</v>
      </c>
      <c r="D12" s="23" t="str">
        <f aca="false">Comparison!Z13</f>
        <v>Better</v>
      </c>
      <c r="E12" s="24" t="n">
        <f aca="false">Comparison!D13</f>
        <v>59.0270841128401</v>
      </c>
      <c r="F12" s="24" t="n">
        <f aca="false">Comparison!Y13</f>
        <v>43.9439892827263</v>
      </c>
      <c r="G12" s="24" t="n">
        <v>34.3</v>
      </c>
      <c r="H12" s="10" t="s">
        <v>80</v>
      </c>
    </row>
    <row r="13" customFormat="false" ht="27.75" hidden="false" customHeight="true" outlineLevel="0" collapsed="false">
      <c r="A13" s="1" t="n">
        <v>10</v>
      </c>
      <c r="B13" s="1" t="s">
        <v>45</v>
      </c>
      <c r="C13" s="1" t="s">
        <v>46</v>
      </c>
      <c r="D13" s="23" t="str">
        <f aca="false">Comparison!Z7</f>
        <v>Better</v>
      </c>
      <c r="E13" s="24" t="n">
        <f aca="false">Comparison!D7</f>
        <v>0.657028571428571</v>
      </c>
      <c r="F13" s="24" t="n">
        <f aca="false">Comparison!Y7</f>
        <v>0.333333333333333</v>
      </c>
      <c r="G13" s="24" t="n">
        <v>29.2</v>
      </c>
      <c r="H13" s="10" t="s">
        <v>48</v>
      </c>
    </row>
    <row r="14" customFormat="false" ht="15" hidden="false" customHeight="true" outlineLevel="0" collapsed="false">
      <c r="A14" s="1" t="n">
        <v>11</v>
      </c>
      <c r="B14" s="1" t="s">
        <v>153</v>
      </c>
      <c r="C14" s="1" t="s">
        <v>154</v>
      </c>
      <c r="D14" s="23" t="str">
        <f aca="false">Comparison!Z28</f>
        <v>Better</v>
      </c>
      <c r="E14" s="24" t="n">
        <f aca="false">Comparison!D28</f>
        <v>21</v>
      </c>
      <c r="F14" s="24" t="n">
        <f aca="false">Comparison!Y28</f>
        <v>26</v>
      </c>
      <c r="G14" s="24" t="n">
        <v>19.2</v>
      </c>
      <c r="H14" s="10" t="s">
        <v>155</v>
      </c>
    </row>
    <row r="15" customFormat="false" ht="15" hidden="false" customHeight="true" outlineLevel="0" collapsed="false">
      <c r="A15" s="1" t="n">
        <v>12</v>
      </c>
      <c r="B15" s="1" t="s">
        <v>117</v>
      </c>
      <c r="C15" s="1" t="s">
        <v>118</v>
      </c>
      <c r="D15" s="23" t="str">
        <f aca="false">Comparison!Z20</f>
        <v>Better</v>
      </c>
      <c r="E15" s="24" t="n">
        <f aca="false">Comparison!D20</f>
        <v>17.5150483063279</v>
      </c>
      <c r="F15" s="24" t="n">
        <f aca="false">Comparison!Y20</f>
        <v>14.9085541253329</v>
      </c>
      <c r="G15" s="24" t="n">
        <v>17.5</v>
      </c>
      <c r="H15" s="10" t="s">
        <v>120</v>
      </c>
    </row>
    <row r="16" customFormat="false" ht="15" hidden="false" customHeight="true" outlineLevel="0" collapsed="false">
      <c r="A16" s="1" t="n">
        <v>13</v>
      </c>
      <c r="B16" s="1" t="s">
        <v>123</v>
      </c>
      <c r="C16" s="1" t="s">
        <v>124</v>
      </c>
      <c r="D16" s="23" t="str">
        <f aca="false">Comparison!Z21</f>
        <v>Better</v>
      </c>
      <c r="E16" s="24" t="n">
        <f aca="false">Comparison!D21</f>
        <v>5.70937620331151</v>
      </c>
      <c r="F16" s="24" t="n">
        <f aca="false">Comparison!Y21</f>
        <v>6.71694098249112</v>
      </c>
      <c r="G16" s="24" t="n">
        <v>14.8</v>
      </c>
      <c r="H16" s="10" t="s">
        <v>125</v>
      </c>
    </row>
    <row r="17" customFormat="false" ht="27.75" hidden="false" customHeight="true" outlineLevel="0" collapsed="false">
      <c r="A17" s="1" t="n">
        <v>14</v>
      </c>
      <c r="B17" s="1" t="s">
        <v>111</v>
      </c>
      <c r="C17" s="1" t="s">
        <v>112</v>
      </c>
      <c r="D17" s="23" t="str">
        <f aca="false">Comparison!Z19</f>
        <v>Better</v>
      </c>
      <c r="E17" s="24" t="n">
        <f aca="false">Comparison!D19</f>
        <v>5</v>
      </c>
      <c r="F17" s="24" t="n">
        <f aca="false">Comparison!Y19</f>
        <v>5.75</v>
      </c>
      <c r="G17" s="24" t="n">
        <v>13</v>
      </c>
      <c r="H17" s="10" t="s">
        <v>115</v>
      </c>
    </row>
    <row r="18" customFormat="false" ht="15" hidden="false" customHeight="true" outlineLevel="0" collapsed="false">
      <c r="A18" s="1" t="n">
        <v>15</v>
      </c>
      <c r="B18" s="1" t="s">
        <v>192</v>
      </c>
      <c r="C18" s="1" t="s">
        <v>193</v>
      </c>
      <c r="D18" s="25" t="str">
        <f aca="false">Comparison!Z38</f>
        <v>In line</v>
      </c>
      <c r="E18" s="24" t="n">
        <f aca="false">Comparison!D38</f>
        <v>0.227942470912709</v>
      </c>
      <c r="F18" s="24" t="n">
        <f aca="false">Comparison!Y38</f>
        <v>0.272933888900645</v>
      </c>
      <c r="G18" s="24" t="n">
        <v>8.7</v>
      </c>
      <c r="H18" s="10" t="s">
        <v>194</v>
      </c>
    </row>
    <row r="19" customFormat="false" ht="15" hidden="false" customHeight="true" outlineLevel="0" collapsed="false">
      <c r="A19" s="1" t="n">
        <v>16</v>
      </c>
      <c r="B19" s="1" t="s">
        <v>180</v>
      </c>
      <c r="C19" s="1" t="s">
        <v>181</v>
      </c>
      <c r="D19" s="25" t="str">
        <f aca="false">Comparison!Z35</f>
        <v>In line</v>
      </c>
      <c r="E19" s="24" t="n">
        <f aca="false">Comparison!D35</f>
        <v>5.60599196286207</v>
      </c>
      <c r="F19" s="24" t="n">
        <f aca="false">Comparison!Y35</f>
        <v>6.07873682158528</v>
      </c>
      <c r="G19" s="24" t="n">
        <v>5.2</v>
      </c>
      <c r="H19" s="10" t="s">
        <v>182</v>
      </c>
    </row>
    <row r="20" customFormat="false" ht="15" hidden="false" customHeight="true" outlineLevel="0" collapsed="false">
      <c r="A20" s="1" t="n">
        <v>17</v>
      </c>
      <c r="B20" s="1" t="s">
        <v>144</v>
      </c>
      <c r="C20" s="1" t="s">
        <v>145</v>
      </c>
      <c r="D20" s="25" t="str">
        <f aca="false">Comparison!Z26</f>
        <v>In line</v>
      </c>
      <c r="E20" s="24" t="n">
        <f aca="false">Comparison!D26</f>
        <v>16.3030961906419</v>
      </c>
      <c r="F20" s="24" t="n">
        <f aca="false">Comparison!Y26</f>
        <v>14.0746102357895</v>
      </c>
      <c r="G20" s="24" t="n">
        <v>3.8</v>
      </c>
      <c r="H20" s="10" t="s">
        <v>146</v>
      </c>
    </row>
    <row r="21" customFormat="false" ht="15" hidden="false" customHeight="true" outlineLevel="0" collapsed="false">
      <c r="A21" s="1" t="n">
        <v>18</v>
      </c>
      <c r="B21" s="1" t="s">
        <v>156</v>
      </c>
      <c r="C21" s="1" t="s">
        <v>157</v>
      </c>
      <c r="D21" s="25" t="str">
        <f aca="false">Comparison!Z29</f>
        <v>In line</v>
      </c>
      <c r="E21" s="24" t="n">
        <f aca="false">Comparison!D29</f>
        <v>59</v>
      </c>
      <c r="F21" s="24" t="n">
        <f aca="false">Comparison!Y29</f>
        <v>61</v>
      </c>
      <c r="G21" s="24" t="n">
        <v>3.3</v>
      </c>
      <c r="H21" s="10" t="s">
        <v>159</v>
      </c>
    </row>
    <row r="22" customFormat="false" ht="15" hidden="false" customHeight="true" outlineLevel="0" collapsed="false">
      <c r="A22" s="1" t="n">
        <v>19</v>
      </c>
      <c r="B22" s="1" t="s">
        <v>140</v>
      </c>
      <c r="C22" s="1" t="s">
        <v>141</v>
      </c>
      <c r="D22" s="25" t="str">
        <f aca="false">Comparison!Z25</f>
        <v>In line</v>
      </c>
      <c r="E22" s="24" t="n">
        <f aca="false">Comparison!D25</f>
        <v>36</v>
      </c>
      <c r="F22" s="24" t="n">
        <f aca="false">Comparison!Y25</f>
        <v>35</v>
      </c>
      <c r="G22" s="24" t="n">
        <v>2.9</v>
      </c>
      <c r="H22" s="10" t="s">
        <v>143</v>
      </c>
    </row>
    <row r="23" customFormat="false" ht="27.75" hidden="false" customHeight="true" outlineLevel="0" collapsed="false">
      <c r="A23" s="1" t="n">
        <v>20</v>
      </c>
      <c r="B23" s="1" t="s">
        <v>90</v>
      </c>
      <c r="C23" s="1" t="s">
        <v>91</v>
      </c>
      <c r="D23" s="25" t="str">
        <f aca="false">Comparison!Z15</f>
        <v>In line</v>
      </c>
      <c r="E23" s="24" t="n">
        <f aca="false">Comparison!D15</f>
        <v>19.6806896551724</v>
      </c>
      <c r="F23" s="24" t="n">
        <f aca="false">Comparison!Y15</f>
        <v>18.704</v>
      </c>
      <c r="G23" s="24" t="n">
        <v>-5.2</v>
      </c>
      <c r="H23" s="10" t="s">
        <v>94</v>
      </c>
    </row>
    <row r="24" customFormat="false" ht="15" hidden="false" customHeight="true" outlineLevel="0" collapsed="false">
      <c r="A24" s="1" t="n">
        <v>21</v>
      </c>
      <c r="B24" s="1" t="s">
        <v>164</v>
      </c>
      <c r="C24" s="1" t="s">
        <v>165</v>
      </c>
      <c r="D24" s="25" t="str">
        <f aca="false">Comparison!Z31</f>
        <v>In line</v>
      </c>
      <c r="E24" s="24" t="n">
        <f aca="false">Comparison!D31</f>
        <v>5.1</v>
      </c>
      <c r="F24" s="24" t="n">
        <f aca="false">Comparison!Y31</f>
        <v>4.82820053034088</v>
      </c>
      <c r="G24" s="24" t="n">
        <v>-5.4</v>
      </c>
      <c r="H24" s="10" t="s">
        <v>166</v>
      </c>
    </row>
    <row r="25" customFormat="false" ht="27.75" hidden="false" customHeight="true" outlineLevel="0" collapsed="false">
      <c r="A25" s="1" t="n">
        <v>22</v>
      </c>
      <c r="B25" s="1" t="s">
        <v>102</v>
      </c>
      <c r="C25" s="1" t="s">
        <v>103</v>
      </c>
      <c r="D25" s="26" t="str">
        <f aca="false">Comparison!Z17</f>
        <v>Worse</v>
      </c>
      <c r="E25" s="24" t="n">
        <f aca="false">Comparison!D17</f>
        <v>75.4057803468208</v>
      </c>
      <c r="F25" s="24" t="n">
        <f aca="false">Comparison!Y17</f>
        <v>50.9336049382716</v>
      </c>
      <c r="G25" s="24" t="n">
        <v>-48</v>
      </c>
      <c r="H25" s="10" t="s">
        <v>105</v>
      </c>
    </row>
    <row r="26" customFormat="false" ht="15" hidden="false" customHeight="true" outlineLevel="0" collapsed="false">
      <c r="A26" s="1" t="n">
        <v>23</v>
      </c>
      <c r="B26" s="1" t="s">
        <v>108</v>
      </c>
      <c r="C26" s="1" t="s">
        <v>109</v>
      </c>
      <c r="D26" s="26" t="str">
        <f aca="false">Comparison!Z18</f>
        <v>Worse</v>
      </c>
      <c r="E26" s="24" t="n">
        <f aca="false">Comparison!D18</f>
        <v>36.4919075144509</v>
      </c>
      <c r="F26" s="24" t="n">
        <f aca="false">Comparison!Y18</f>
        <v>23.980962962963</v>
      </c>
      <c r="G26" s="24" t="n">
        <v>-52.2</v>
      </c>
      <c r="H26" s="10" t="s">
        <v>110</v>
      </c>
    </row>
    <row r="27" customFormat="false" ht="15" hidden="false" customHeight="true" outlineLevel="0" collapsed="false">
      <c r="A27" s="1" t="n">
        <v>24</v>
      </c>
      <c r="B27" s="1" t="s">
        <v>160</v>
      </c>
      <c r="C27" s="1" t="s">
        <v>161</v>
      </c>
      <c r="D27" s="26" t="str">
        <f aca="false">Comparison!Z30</f>
        <v>Worse</v>
      </c>
      <c r="E27" s="24" t="n">
        <f aca="false">Comparison!D30</f>
        <v>3</v>
      </c>
      <c r="F27" s="24" t="n">
        <f aca="false">Comparison!Y30</f>
        <v>1.5</v>
      </c>
      <c r="G27" s="24" t="n">
        <v>-100</v>
      </c>
      <c r="H27" s="10" t="s">
        <v>163</v>
      </c>
    </row>
    <row r="28" customFormat="false" ht="27.75" hidden="false" customHeight="true" outlineLevel="0" collapsed="false">
      <c r="A28" s="1" t="n">
        <v>25</v>
      </c>
      <c r="B28" s="1" t="s">
        <v>96</v>
      </c>
      <c r="C28" s="1" t="s">
        <v>97</v>
      </c>
      <c r="D28" s="26" t="str">
        <f aca="false">Comparison!Z16</f>
        <v>Worse</v>
      </c>
      <c r="E28" s="24" t="n">
        <f aca="false">Comparison!D16</f>
        <v>87.0453125</v>
      </c>
      <c r="F28" s="24" t="n">
        <f aca="false">Comparison!Y16</f>
        <v>33.1762176375405</v>
      </c>
      <c r="G28" s="24" t="n">
        <v>-162.4</v>
      </c>
      <c r="H28" s="10" t="s">
        <v>99</v>
      </c>
    </row>
    <row r="29" customFormat="false" ht="15" hidden="false" customHeight="true" outlineLevel="0" collapsed="false">
      <c r="A29" s="1" t="n">
        <v>26</v>
      </c>
      <c r="B29" s="1" t="s">
        <v>195</v>
      </c>
      <c r="C29" s="1" t="s">
        <v>196</v>
      </c>
      <c r="D29" s="26" t="str">
        <f aca="false">Comparison!Z39</f>
        <v>Worse</v>
      </c>
      <c r="E29" s="24" t="n">
        <f aca="false">Comparison!D39</f>
        <v>25.2354048964218</v>
      </c>
      <c r="F29" s="24" t="n">
        <f aca="false">Comparison!Y39</f>
        <v>6.6722972972973</v>
      </c>
      <c r="G29" s="24" t="n">
        <v>-278.2</v>
      </c>
      <c r="H29" s="10" t="s">
        <v>197</v>
      </c>
    </row>
    <row r="30" customFormat="false" ht="27.75" hidden="false" customHeight="true" outlineLevel="0" collapsed="false">
      <c r="B30" s="1" t="s">
        <v>50</v>
      </c>
      <c r="C30" s="1" t="s">
        <v>51</v>
      </c>
      <c r="D30" s="27" t="str">
        <f aca="false">Comparison!Z8</f>
        <v>Context</v>
      </c>
      <c r="E30" s="24" t="n">
        <f aca="false">Comparison!D8</f>
        <v>20.2312138728324</v>
      </c>
      <c r="F30" s="24" t="n">
        <f aca="false">Comparison!Y8</f>
        <v>6</v>
      </c>
      <c r="G30" s="24"/>
      <c r="H30" s="10" t="s">
        <v>54</v>
      </c>
    </row>
    <row r="31" customFormat="false" ht="15" hidden="false" customHeight="true" outlineLevel="0" collapsed="false">
      <c r="B31" s="1" t="s">
        <v>71</v>
      </c>
      <c r="C31" s="1" t="s">
        <v>72</v>
      </c>
      <c r="D31" s="27" t="str">
        <f aca="false">Comparison!Z12</f>
        <v>Context</v>
      </c>
      <c r="E31" s="24" t="n">
        <f aca="false">Comparison!D12</f>
        <v>5.57109509716143</v>
      </c>
      <c r="F31" s="24" t="n">
        <f aca="false">Comparison!Y12</f>
        <v>3.445</v>
      </c>
      <c r="G31" s="24"/>
      <c r="H31" s="10" t="s">
        <v>76</v>
      </c>
    </row>
    <row r="32" customFormat="false" ht="15" hidden="false" customHeight="true" outlineLevel="0" collapsed="false">
      <c r="B32" s="1" t="s">
        <v>82</v>
      </c>
      <c r="C32" s="1" t="s">
        <v>83</v>
      </c>
      <c r="D32" s="27" t="str">
        <f aca="false">Comparison!Z14</f>
        <v>n/a</v>
      </c>
      <c r="E32" s="24" t="str">
        <f aca="false">Comparison!D14</f>
        <v>n.m.</v>
      </c>
      <c r="F32" s="24" t="n">
        <f aca="false">Comparison!Y14</f>
        <v>34.8582068965518</v>
      </c>
      <c r="G32" s="24"/>
      <c r="H32" s="10" t="s">
        <v>88</v>
      </c>
    </row>
    <row r="33" customFormat="false" ht="15" hidden="false" customHeight="true" outlineLevel="0" collapsed="false">
      <c r="B33" s="1" t="s">
        <v>126</v>
      </c>
      <c r="C33" s="1" t="s">
        <v>127</v>
      </c>
      <c r="D33" s="27" t="str">
        <f aca="false">Comparison!Z22</f>
        <v>Context</v>
      </c>
      <c r="E33" s="24" t="n">
        <f aca="false">Comparison!D22</f>
        <v>45.1730735780136</v>
      </c>
      <c r="F33" s="24" t="n">
        <f aca="false">Comparison!Y22</f>
        <v>67.8873121353033</v>
      </c>
      <c r="G33" s="24"/>
      <c r="H33" s="10" t="s">
        <v>128</v>
      </c>
    </row>
    <row r="34" customFormat="false" ht="15" hidden="false" customHeight="true" outlineLevel="0" collapsed="false">
      <c r="B34" s="1" t="s">
        <v>130</v>
      </c>
      <c r="C34" s="1" t="s">
        <v>131</v>
      </c>
      <c r="D34" s="27" t="str">
        <f aca="false">Comparison!Z23</f>
        <v>Context</v>
      </c>
      <c r="E34" s="24" t="n">
        <f aca="false">Comparison!D23</f>
        <v>37.4906</v>
      </c>
      <c r="F34" s="24" t="n">
        <f aca="false">Comparison!Y23</f>
        <v>80.05</v>
      </c>
      <c r="G34" s="24"/>
      <c r="H34" s="10" t="s">
        <v>133</v>
      </c>
    </row>
    <row r="35" customFormat="false" ht="15" hidden="false" customHeight="true" outlineLevel="0" collapsed="false">
      <c r="B35" s="1" t="s">
        <v>135</v>
      </c>
      <c r="C35" s="1" t="s">
        <v>136</v>
      </c>
      <c r="D35" s="27" t="str">
        <f aca="false">Comparison!Z24</f>
        <v>n/a</v>
      </c>
      <c r="E35" s="24" t="str">
        <f aca="false">Comparison!D24</f>
        <v>n/d</v>
      </c>
      <c r="F35" s="24" t="n">
        <f aca="false">Comparison!Y24</f>
        <v>103.4</v>
      </c>
      <c r="G35" s="24"/>
      <c r="H35" s="10" t="s">
        <v>137</v>
      </c>
    </row>
    <row r="36" customFormat="false" ht="15" hidden="false" customHeight="true" outlineLevel="0" collapsed="false">
      <c r="B36" s="1" t="s">
        <v>168</v>
      </c>
      <c r="C36" s="1" t="s">
        <v>169</v>
      </c>
      <c r="D36" s="27" t="str">
        <f aca="false">Comparison!Z32</f>
        <v>n/a</v>
      </c>
      <c r="E36" s="24" t="str">
        <f aca="false">Comparison!D32</f>
        <v>n/d</v>
      </c>
      <c r="F36" s="24" t="n">
        <f aca="false">Comparison!Y32</f>
        <v>9.10214285714286</v>
      </c>
      <c r="G36" s="24"/>
      <c r="H36" s="10" t="s">
        <v>173</v>
      </c>
    </row>
    <row r="37" customFormat="false" ht="15" hidden="false" customHeight="true" outlineLevel="0" collapsed="false">
      <c r="B37" s="1" t="s">
        <v>174</v>
      </c>
      <c r="C37" s="1" t="s">
        <v>175</v>
      </c>
      <c r="D37" s="27" t="str">
        <f aca="false">Comparison!Z33</f>
        <v>n/a</v>
      </c>
      <c r="E37" s="24" t="str">
        <f aca="false">Comparison!D33</f>
        <v>n/d</v>
      </c>
      <c r="F37" s="24" t="n">
        <f aca="false">Comparison!Y33</f>
        <v>9</v>
      </c>
      <c r="G37" s="24"/>
      <c r="H37" s="10" t="s">
        <v>173</v>
      </c>
    </row>
    <row r="38" customFormat="false" ht="15" hidden="false" customHeight="true" outlineLevel="0" collapsed="false">
      <c r="B38" s="1" t="s">
        <v>177</v>
      </c>
      <c r="C38" s="1" t="s">
        <v>178</v>
      </c>
      <c r="D38" s="27" t="str">
        <f aca="false">Comparison!Z34</f>
        <v>n/a</v>
      </c>
      <c r="E38" s="24" t="str">
        <f aca="false">Comparison!D34</f>
        <v>n/d</v>
      </c>
      <c r="F38" s="24" t="n">
        <f aca="false">Comparison!Y34</f>
        <v>20.2198812569171</v>
      </c>
      <c r="G38" s="24"/>
      <c r="H38" s="10" t="s">
        <v>179</v>
      </c>
    </row>
    <row r="39" customFormat="false" ht="15" hidden="false" customHeight="true" outlineLevel="0" collapsed="false">
      <c r="B39" s="1" t="s">
        <v>185</v>
      </c>
      <c r="C39" s="1" t="s">
        <v>186</v>
      </c>
      <c r="D39" s="27" t="str">
        <f aca="false">Comparison!Z36</f>
        <v>n/a</v>
      </c>
      <c r="E39" s="24" t="str">
        <f aca="false">Comparison!D36</f>
        <v>n/d</v>
      </c>
      <c r="F39" s="24" t="n">
        <f aca="false">Comparison!Y36</f>
        <v>8.3</v>
      </c>
      <c r="G39" s="24"/>
      <c r="H39" s="10" t="s">
        <v>187</v>
      </c>
    </row>
    <row r="40" customFormat="false" ht="15" hidden="false" customHeight="true" outlineLevel="0" collapsed="false">
      <c r="B40" s="1" t="s">
        <v>188</v>
      </c>
      <c r="C40" s="1" t="s">
        <v>189</v>
      </c>
      <c r="D40" s="27" t="str">
        <f aca="false">Comparison!Z37</f>
        <v>Context</v>
      </c>
      <c r="E40" s="24" t="n">
        <f aca="false">Comparison!D37</f>
        <v>8.5457</v>
      </c>
      <c r="F40" s="24" t="n">
        <f aca="false">Comparison!Y37</f>
        <v>21.6283245</v>
      </c>
      <c r="G40" s="24"/>
      <c r="H40" s="10" t="s">
        <v>190</v>
      </c>
    </row>
    <row r="41" customFormat="false" ht="15" hidden="false" customHeight="true" outlineLevel="0" collapsed="false">
      <c r="B41" s="1" t="s">
        <v>198</v>
      </c>
      <c r="C41" s="1" t="s">
        <v>199</v>
      </c>
      <c r="D41" s="27" t="str">
        <f aca="false">Comparison!Z40</f>
        <v>n/a</v>
      </c>
      <c r="E41" s="24" t="str">
        <f aca="false">Comparison!D40</f>
        <v>n/d</v>
      </c>
      <c r="F41" s="24" t="n">
        <f aca="false">Comparison!Y40</f>
        <v>97.5</v>
      </c>
      <c r="G41" s="24"/>
      <c r="H41" s="10" t="s">
        <v>200</v>
      </c>
    </row>
    <row r="42" customFormat="false" ht="15" hidden="false" customHeight="true" outlineLevel="0" collapsed="false">
      <c r="B42" s="1" t="s">
        <v>201</v>
      </c>
      <c r="C42" s="1" t="s">
        <v>202</v>
      </c>
      <c r="D42" s="27" t="str">
        <f aca="false">Comparison!Z41</f>
        <v>n/a</v>
      </c>
      <c r="E42" s="24" t="str">
        <f aca="false">Comparison!D41</f>
        <v>n/d</v>
      </c>
      <c r="F42" s="24" t="n">
        <f aca="false">Comparison!Y41</f>
        <v>14.8</v>
      </c>
      <c r="G42" s="24"/>
      <c r="H42" s="10" t="s">
        <v>203</v>
      </c>
    </row>
    <row r="43" customFormat="false" ht="15" hidden="false" customHeight="true" outlineLevel="0" collapsed="false">
      <c r="B43" s="1" t="s">
        <v>213</v>
      </c>
      <c r="C43" s="1" t="s">
        <v>214</v>
      </c>
      <c r="D43" s="27" t="str">
        <f aca="false">Comparison!Z44</f>
        <v>n/a</v>
      </c>
      <c r="E43" s="24" t="str">
        <f aca="false">Comparison!D44</f>
        <v>n/d</v>
      </c>
      <c r="F43" s="24" t="n">
        <f aca="false">Comparison!Y44</f>
        <v>86.9361128837836</v>
      </c>
      <c r="G43" s="24"/>
      <c r="H43" s="10" t="s">
        <v>215</v>
      </c>
    </row>
    <row r="44" customFormat="false" ht="15" hidden="false" customHeight="false" outlineLevel="0" collapsed="false">
      <c r="A44" s="1" t="n">
        <v>43</v>
      </c>
      <c r="B44" s="1" t="s">
        <v>41</v>
      </c>
      <c r="C44" s="1" t="s">
        <v>235</v>
      </c>
      <c r="D44" s="1" t="str">
        <f aca="false">Comparison!Z6</f>
        <v>Better</v>
      </c>
      <c r="E44" s="1" t="n">
        <f aca="false">Comparison!D6</f>
        <v>13.0555240149881</v>
      </c>
      <c r="F44" s="8" t="n">
        <f aca="false">Comparison!Y6</f>
        <v>8.24</v>
      </c>
      <c r="H44" s="1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2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6"/>
    <col collapsed="false" customWidth="true" hidden="false" outlineLevel="0" max="6" min="6" style="1" width="90"/>
  </cols>
  <sheetData>
    <row r="1" customFormat="false" ht="15" hidden="false" customHeight="true" outlineLevel="0" collapsed="false">
      <c r="A1" s="21" t="s">
        <v>237</v>
      </c>
    </row>
    <row r="3" customFormat="false" ht="15" hidden="false" customHeight="true" outlineLevel="0" collapsed="false">
      <c r="A3" s="22" t="s">
        <v>1</v>
      </c>
      <c r="B3" s="22" t="s">
        <v>238</v>
      </c>
      <c r="C3" s="22" t="s">
        <v>239</v>
      </c>
      <c r="D3" s="22" t="s">
        <v>3</v>
      </c>
      <c r="E3" s="22" t="s">
        <v>5</v>
      </c>
      <c r="F3" s="22" t="s">
        <v>240</v>
      </c>
    </row>
    <row r="4" customFormat="false" ht="15" hidden="false" customHeight="true" outlineLevel="0" collapsed="false">
      <c r="A4" s="1" t="s">
        <v>241</v>
      </c>
      <c r="B4" s="1" t="s">
        <v>242</v>
      </c>
      <c r="C4" s="28" t="n">
        <v>574.9</v>
      </c>
      <c r="D4" s="1" t="s">
        <v>243</v>
      </c>
      <c r="E4" s="1" t="s">
        <v>73</v>
      </c>
      <c r="F4" s="1" t="s">
        <v>244</v>
      </c>
    </row>
    <row r="5" customFormat="false" ht="15" hidden="false" customHeight="true" outlineLevel="0" collapsed="false">
      <c r="A5" s="1" t="s">
        <v>245</v>
      </c>
      <c r="B5" s="1" t="s">
        <v>246</v>
      </c>
      <c r="C5" s="28" t="n">
        <v>93.7</v>
      </c>
      <c r="D5" s="1" t="s">
        <v>243</v>
      </c>
      <c r="E5" s="1" t="s">
        <v>73</v>
      </c>
      <c r="F5" s="1" t="s">
        <v>247</v>
      </c>
    </row>
    <row r="6" customFormat="false" ht="15" hidden="false" customHeight="true" outlineLevel="0" collapsed="false">
      <c r="A6" s="1" t="s">
        <v>248</v>
      </c>
      <c r="B6" s="1" t="s">
        <v>249</v>
      </c>
      <c r="C6" s="28" t="n">
        <v>582.3</v>
      </c>
      <c r="D6" s="1" t="s">
        <v>243</v>
      </c>
      <c r="E6" s="1" t="s">
        <v>73</v>
      </c>
      <c r="F6" s="1" t="s">
        <v>247</v>
      </c>
    </row>
    <row r="7" customFormat="false" ht="15" hidden="false" customHeight="true" outlineLevel="0" collapsed="false">
      <c r="A7" s="1" t="s">
        <v>250</v>
      </c>
      <c r="B7" s="1" t="s">
        <v>251</v>
      </c>
      <c r="C7" s="28" t="n">
        <v>285.7</v>
      </c>
      <c r="D7" s="1" t="s">
        <v>243</v>
      </c>
      <c r="E7" s="1" t="s">
        <v>73</v>
      </c>
      <c r="F7" s="1" t="s">
        <v>247</v>
      </c>
    </row>
    <row r="8" customFormat="false" ht="15" hidden="false" customHeight="true" outlineLevel="0" collapsed="false">
      <c r="A8" s="1" t="s">
        <v>252</v>
      </c>
      <c r="B8" s="1" t="s">
        <v>253</v>
      </c>
      <c r="C8" s="28" t="n">
        <v>259.7</v>
      </c>
      <c r="D8" s="1" t="s">
        <v>243</v>
      </c>
      <c r="E8" s="1" t="s">
        <v>73</v>
      </c>
      <c r="F8" s="1" t="s">
        <v>247</v>
      </c>
    </row>
    <row r="9" customFormat="false" ht="15" hidden="false" customHeight="true" outlineLevel="0" collapsed="false">
      <c r="A9" s="1" t="s">
        <v>254</v>
      </c>
      <c r="B9" s="1" t="s">
        <v>255</v>
      </c>
      <c r="C9" s="28" t="n">
        <v>955.5</v>
      </c>
      <c r="D9" s="1" t="s">
        <v>243</v>
      </c>
      <c r="E9" s="1" t="s">
        <v>73</v>
      </c>
      <c r="F9" s="1" t="s">
        <v>247</v>
      </c>
    </row>
    <row r="10" customFormat="false" ht="15" hidden="false" customHeight="true" outlineLevel="0" collapsed="false">
      <c r="A10" s="1" t="s">
        <v>256</v>
      </c>
      <c r="B10" s="1" t="s">
        <v>257</v>
      </c>
      <c r="C10" s="28" t="n">
        <v>2056</v>
      </c>
      <c r="D10" s="1" t="s">
        <v>243</v>
      </c>
      <c r="E10" s="1" t="s">
        <v>73</v>
      </c>
      <c r="F10" s="1" t="s">
        <v>247</v>
      </c>
    </row>
    <row r="11" customFormat="false" ht="15" hidden="false" customHeight="true" outlineLevel="0" collapsed="false">
      <c r="A11" s="1" t="s">
        <v>258</v>
      </c>
      <c r="B11" s="1" t="s">
        <v>259</v>
      </c>
      <c r="C11" s="28" t="n">
        <v>2472.9</v>
      </c>
      <c r="D11" s="1" t="s">
        <v>243</v>
      </c>
      <c r="E11" s="1" t="s">
        <v>73</v>
      </c>
      <c r="F11" s="1" t="s">
        <v>247</v>
      </c>
    </row>
    <row r="12" customFormat="false" ht="15" hidden="false" customHeight="true" outlineLevel="0" collapsed="false">
      <c r="A12" s="1" t="s">
        <v>260</v>
      </c>
      <c r="B12" s="1" t="s">
        <v>261</v>
      </c>
      <c r="C12" s="28" t="n">
        <v>5657.4</v>
      </c>
      <c r="D12" s="1" t="s">
        <v>243</v>
      </c>
      <c r="E12" s="1" t="s">
        <v>73</v>
      </c>
      <c r="F12" s="1" t="s">
        <v>247</v>
      </c>
    </row>
    <row r="13" customFormat="false" ht="15" hidden="false" customHeight="true" outlineLevel="0" collapsed="false">
      <c r="A13" s="1" t="s">
        <v>262</v>
      </c>
      <c r="B13" s="1" t="s">
        <v>263</v>
      </c>
      <c r="C13" s="28" t="n">
        <v>13045.2</v>
      </c>
      <c r="D13" s="1" t="s">
        <v>243</v>
      </c>
      <c r="E13" s="1" t="s">
        <v>73</v>
      </c>
      <c r="F13" s="1" t="s">
        <v>247</v>
      </c>
    </row>
    <row r="14" customFormat="false" ht="15" hidden="false" customHeight="true" outlineLevel="0" collapsed="false">
      <c r="A14" s="1" t="s">
        <v>264</v>
      </c>
      <c r="B14" s="1" t="s">
        <v>265</v>
      </c>
      <c r="C14" s="29" t="n">
        <v>5548.7</v>
      </c>
      <c r="D14" s="1" t="s">
        <v>243</v>
      </c>
      <c r="E14" s="1" t="s">
        <v>25</v>
      </c>
      <c r="F14" s="1" t="s">
        <v>266</v>
      </c>
    </row>
    <row r="15" customFormat="false" ht="15" hidden="false" customHeight="true" outlineLevel="0" collapsed="false">
      <c r="A15" s="1" t="s">
        <v>267</v>
      </c>
      <c r="B15" s="1" t="s">
        <v>268</v>
      </c>
      <c r="C15" s="29" t="n">
        <v>6313.1</v>
      </c>
      <c r="D15" s="1" t="s">
        <v>243</v>
      </c>
      <c r="E15" s="1" t="s">
        <v>25</v>
      </c>
      <c r="F15" s="1" t="s">
        <v>269</v>
      </c>
    </row>
    <row r="16" customFormat="false" ht="15" hidden="false" customHeight="true" outlineLevel="0" collapsed="false">
      <c r="A16" s="1" t="s">
        <v>270</v>
      </c>
      <c r="B16" s="1" t="s">
        <v>271</v>
      </c>
      <c r="C16" s="28" t="n">
        <v>4692.7</v>
      </c>
      <c r="D16" s="1" t="s">
        <v>243</v>
      </c>
      <c r="E16" s="1" t="s">
        <v>73</v>
      </c>
      <c r="F16" s="1" t="s">
        <v>272</v>
      </c>
    </row>
    <row r="17" customFormat="false" ht="15" hidden="false" customHeight="true" outlineLevel="0" collapsed="false">
      <c r="A17" s="1" t="s">
        <v>273</v>
      </c>
      <c r="B17" s="1" t="s">
        <v>274</v>
      </c>
      <c r="C17" s="28" t="n">
        <v>5197.7</v>
      </c>
      <c r="D17" s="1" t="s">
        <v>243</v>
      </c>
      <c r="E17" s="1" t="s">
        <v>73</v>
      </c>
      <c r="F17" s="1" t="s">
        <v>272</v>
      </c>
    </row>
    <row r="18" customFormat="false" ht="15" hidden="false" customHeight="true" outlineLevel="0" collapsed="false">
      <c r="A18" s="1" t="s">
        <v>275</v>
      </c>
      <c r="B18" s="1" t="s">
        <v>276</v>
      </c>
      <c r="C18" s="30" t="n">
        <v>45</v>
      </c>
      <c r="D18" s="1" t="s">
        <v>277</v>
      </c>
      <c r="E18" s="1" t="s">
        <v>21</v>
      </c>
      <c r="F18" s="1" t="s">
        <v>278</v>
      </c>
    </row>
    <row r="19" customFormat="false" ht="15" hidden="false" customHeight="true" outlineLevel="0" collapsed="false">
      <c r="A19" s="1" t="s">
        <v>279</v>
      </c>
      <c r="B19" s="1" t="s">
        <v>280</v>
      </c>
      <c r="C19" s="30" t="n">
        <v>171.5</v>
      </c>
      <c r="D19" s="1" t="s">
        <v>277</v>
      </c>
      <c r="E19" s="1" t="s">
        <v>21</v>
      </c>
      <c r="F19" s="1" t="s">
        <v>281</v>
      </c>
    </row>
    <row r="20" customFormat="false" ht="15" hidden="false" customHeight="true" outlineLevel="0" collapsed="false">
      <c r="A20" s="1" t="s">
        <v>282</v>
      </c>
      <c r="B20" s="1" t="s">
        <v>283</v>
      </c>
      <c r="C20" s="30" t="n">
        <v>173</v>
      </c>
      <c r="D20" s="1" t="s">
        <v>277</v>
      </c>
      <c r="E20" s="1" t="s">
        <v>21</v>
      </c>
      <c r="F20" s="1" t="s">
        <v>284</v>
      </c>
    </row>
    <row r="21" customFormat="false" ht="15" hidden="false" customHeight="true" outlineLevel="0" collapsed="false">
      <c r="A21" s="1" t="s">
        <v>285</v>
      </c>
      <c r="B21" s="1" t="s">
        <v>286</v>
      </c>
      <c r="C21" s="28" t="n">
        <v>170</v>
      </c>
      <c r="D21" s="1" t="s">
        <v>277</v>
      </c>
      <c r="E21" s="1" t="s">
        <v>73</v>
      </c>
      <c r="F21" s="1" t="s">
        <v>287</v>
      </c>
    </row>
    <row r="22" customFormat="false" ht="15" hidden="false" customHeight="true" outlineLevel="0" collapsed="false">
      <c r="A22" s="1" t="s">
        <v>288</v>
      </c>
      <c r="B22" s="1" t="s">
        <v>289</v>
      </c>
      <c r="C22" s="28" t="n">
        <v>3500</v>
      </c>
      <c r="D22" s="1" t="s">
        <v>277</v>
      </c>
      <c r="E22" s="1" t="s">
        <v>73</v>
      </c>
      <c r="F22" s="1" t="s">
        <v>290</v>
      </c>
    </row>
    <row r="23" customFormat="false" ht="15" hidden="false" customHeight="true" outlineLevel="0" collapsed="false">
      <c r="A23" s="1" t="s">
        <v>291</v>
      </c>
      <c r="B23" s="1" t="s">
        <v>292</v>
      </c>
      <c r="C23" s="30" t="n">
        <v>80047.5</v>
      </c>
      <c r="D23" s="1" t="s">
        <v>293</v>
      </c>
      <c r="E23" s="1" t="s">
        <v>21</v>
      </c>
      <c r="F23" s="1" t="s">
        <v>294</v>
      </c>
    </row>
    <row r="24" customFormat="false" ht="15" hidden="false" customHeight="true" outlineLevel="0" collapsed="false">
      <c r="A24" s="1" t="s">
        <v>295</v>
      </c>
      <c r="B24" s="1" t="s">
        <v>296</v>
      </c>
      <c r="C24" s="28" t="n">
        <v>91</v>
      </c>
      <c r="D24" s="1" t="s">
        <v>297</v>
      </c>
      <c r="E24" s="1" t="s">
        <v>73</v>
      </c>
      <c r="F24" s="1" t="s">
        <v>298</v>
      </c>
    </row>
    <row r="25" customFormat="false" ht="15" hidden="false" customHeight="true" outlineLevel="0" collapsed="false">
      <c r="A25" s="1" t="s">
        <v>299</v>
      </c>
      <c r="B25" s="1" t="s">
        <v>300</v>
      </c>
      <c r="C25" s="30" t="n">
        <v>5.57109509716143</v>
      </c>
      <c r="D25" s="1" t="s">
        <v>67</v>
      </c>
      <c r="E25" s="1" t="s">
        <v>21</v>
      </c>
      <c r="F25" s="1" t="s">
        <v>301</v>
      </c>
    </row>
    <row r="26" customFormat="false" ht="15" hidden="false" customHeight="true" outlineLevel="0" collapsed="false">
      <c r="A26" s="1" t="s">
        <v>302</v>
      </c>
      <c r="B26" s="1" t="s">
        <v>303</v>
      </c>
      <c r="C26" s="28" t="n">
        <v>37490.6</v>
      </c>
      <c r="D26" s="1" t="s">
        <v>243</v>
      </c>
      <c r="E26" s="1" t="s">
        <v>73</v>
      </c>
      <c r="F26" s="1" t="s">
        <v>304</v>
      </c>
    </row>
    <row r="27" customFormat="false" ht="15" hidden="false" customHeight="true" outlineLevel="0" collapsed="false">
      <c r="A27" s="1" t="s">
        <v>305</v>
      </c>
      <c r="B27" s="1" t="s">
        <v>306</v>
      </c>
      <c r="C27" s="28" t="n">
        <v>36</v>
      </c>
      <c r="D27" s="1" t="s">
        <v>79</v>
      </c>
      <c r="E27" s="1" t="s">
        <v>73</v>
      </c>
      <c r="F27" s="1" t="s">
        <v>307</v>
      </c>
    </row>
    <row r="28" customFormat="false" ht="15" hidden="false" customHeight="true" outlineLevel="0" collapsed="false">
      <c r="A28" s="1" t="s">
        <v>308</v>
      </c>
      <c r="B28" s="1" t="s">
        <v>309</v>
      </c>
      <c r="C28" s="28" t="n">
        <v>24</v>
      </c>
      <c r="D28" s="1" t="s">
        <v>79</v>
      </c>
      <c r="E28" s="1" t="s">
        <v>73</v>
      </c>
      <c r="F28" s="1" t="s">
        <v>310</v>
      </c>
    </row>
    <row r="29" customFormat="false" ht="15" hidden="false" customHeight="true" outlineLevel="0" collapsed="false">
      <c r="A29" s="1" t="s">
        <v>311</v>
      </c>
      <c r="B29" s="1" t="s">
        <v>312</v>
      </c>
      <c r="C29" s="28" t="n">
        <v>21</v>
      </c>
      <c r="D29" s="1" t="s">
        <v>79</v>
      </c>
      <c r="E29" s="1" t="s">
        <v>73</v>
      </c>
      <c r="F29" s="1" t="s">
        <v>313</v>
      </c>
    </row>
    <row r="30" customFormat="false" ht="15" hidden="false" customHeight="true" outlineLevel="0" collapsed="false">
      <c r="A30" s="1" t="s">
        <v>314</v>
      </c>
      <c r="B30" s="1" t="s">
        <v>315</v>
      </c>
      <c r="C30" s="28" t="n">
        <v>14</v>
      </c>
      <c r="D30" s="1" t="s">
        <v>79</v>
      </c>
      <c r="E30" s="1" t="s">
        <v>73</v>
      </c>
      <c r="F30" s="1" t="s">
        <v>313</v>
      </c>
    </row>
    <row r="31" customFormat="false" ht="15" hidden="false" customHeight="true" outlineLevel="0" collapsed="false">
      <c r="A31" s="1" t="s">
        <v>316</v>
      </c>
      <c r="B31" s="1" t="s">
        <v>317</v>
      </c>
      <c r="C31" s="28" t="n">
        <v>3</v>
      </c>
      <c r="D31" s="1" t="s">
        <v>162</v>
      </c>
      <c r="E31" s="1" t="s">
        <v>73</v>
      </c>
      <c r="F31" s="1" t="s">
        <v>313</v>
      </c>
    </row>
    <row r="32" customFormat="false" ht="15" hidden="false" customHeight="true" outlineLevel="0" collapsed="false">
      <c r="A32" s="1" t="s">
        <v>318</v>
      </c>
      <c r="B32" s="1" t="s">
        <v>319</v>
      </c>
      <c r="C32" s="28" t="n">
        <v>5</v>
      </c>
      <c r="D32" s="1" t="s">
        <v>113</v>
      </c>
      <c r="E32" s="1" t="s">
        <v>73</v>
      </c>
      <c r="F32" s="1" t="s">
        <v>320</v>
      </c>
    </row>
    <row r="33" customFormat="false" ht="15" hidden="false" customHeight="true" outlineLevel="0" collapsed="false">
      <c r="A33" s="1" t="s">
        <v>321</v>
      </c>
      <c r="B33" s="1" t="s">
        <v>322</v>
      </c>
      <c r="C33" s="29" t="n">
        <v>5.1</v>
      </c>
      <c r="D33" s="1" t="s">
        <v>79</v>
      </c>
      <c r="E33" s="1" t="s">
        <v>25</v>
      </c>
      <c r="F33" s="1" t="s">
        <v>323</v>
      </c>
    </row>
    <row r="34" customFormat="false" ht="15" hidden="false" customHeight="true" outlineLevel="0" collapsed="false">
      <c r="A34" s="1" t="s">
        <v>324</v>
      </c>
      <c r="B34" s="1" t="s">
        <v>325</v>
      </c>
      <c r="C34" s="28" t="n">
        <v>119.1</v>
      </c>
      <c r="D34" s="1" t="s">
        <v>243</v>
      </c>
      <c r="E34" s="1" t="s">
        <v>73</v>
      </c>
      <c r="F34" s="1" t="s">
        <v>326</v>
      </c>
    </row>
    <row r="35" customFormat="false" ht="15" hidden="false" customHeight="true" outlineLevel="0" collapsed="false">
      <c r="A35" s="1" t="s">
        <v>327</v>
      </c>
      <c r="B35" s="1" t="s">
        <v>328</v>
      </c>
      <c r="C35" s="28" t="n">
        <v>40.2</v>
      </c>
      <c r="D35" s="1" t="s">
        <v>243</v>
      </c>
      <c r="E35" s="1" t="s">
        <v>73</v>
      </c>
      <c r="F35" s="1" t="s">
        <v>329</v>
      </c>
    </row>
    <row r="36" customFormat="false" ht="15" hidden="false" customHeight="true" outlineLevel="0" collapsed="false">
      <c r="A36" s="1" t="s">
        <v>330</v>
      </c>
      <c r="B36" s="1" t="s">
        <v>331</v>
      </c>
      <c r="C36" s="28" t="n">
        <v>8450.4</v>
      </c>
      <c r="D36" s="1" t="s">
        <v>243</v>
      </c>
      <c r="E36" s="1" t="s">
        <v>73</v>
      </c>
      <c r="F36" s="1" t="s">
        <v>247</v>
      </c>
    </row>
    <row r="37" customFormat="false" ht="15" hidden="false" customHeight="true" outlineLevel="0" collapsed="false">
      <c r="A37" s="1" t="s">
        <v>332</v>
      </c>
      <c r="B37" s="1" t="s">
        <v>333</v>
      </c>
      <c r="C37" s="28" t="n">
        <v>8545.7</v>
      </c>
      <c r="D37" s="1" t="s">
        <v>243</v>
      </c>
      <c r="E37" s="1" t="s">
        <v>73</v>
      </c>
      <c r="F37" s="1" t="s">
        <v>334</v>
      </c>
    </row>
    <row r="38" customFormat="false" ht="15" hidden="false" customHeight="true" outlineLevel="0" collapsed="false">
      <c r="A38" s="1" t="s">
        <v>335</v>
      </c>
      <c r="B38" s="1" t="s">
        <v>336</v>
      </c>
      <c r="C38" s="29" t="n">
        <v>919.2</v>
      </c>
      <c r="D38" s="1" t="s">
        <v>243</v>
      </c>
      <c r="E38" s="1" t="s">
        <v>25</v>
      </c>
      <c r="F38" s="1" t="s">
        <v>337</v>
      </c>
    </row>
    <row r="39" customFormat="false" ht="15" hidden="false" customHeight="true" outlineLevel="0" collapsed="false">
      <c r="A39" s="1" t="s">
        <v>338</v>
      </c>
      <c r="B39" s="1" t="s">
        <v>339</v>
      </c>
      <c r="C39" s="29" t="n">
        <v>3772.9</v>
      </c>
      <c r="D39" s="1" t="s">
        <v>243</v>
      </c>
      <c r="E39" s="1" t="s">
        <v>25</v>
      </c>
      <c r="F39" s="1" t="s">
        <v>337</v>
      </c>
    </row>
    <row r="40" customFormat="false" ht="15" hidden="false" customHeight="true" outlineLevel="0" collapsed="false">
      <c r="A40" s="1" t="s">
        <v>340</v>
      </c>
      <c r="B40" s="1" t="s">
        <v>341</v>
      </c>
      <c r="C40" s="30" t="n">
        <v>25</v>
      </c>
      <c r="D40" s="1" t="s">
        <v>277</v>
      </c>
      <c r="E40" s="1" t="s">
        <v>21</v>
      </c>
      <c r="F40" s="1" t="s">
        <v>281</v>
      </c>
    </row>
    <row r="41" customFormat="false" ht="15" hidden="false" customHeight="true" outlineLevel="0" collapsed="false">
      <c r="A41" s="1" t="s">
        <v>342</v>
      </c>
      <c r="B41" s="1" t="s">
        <v>343</v>
      </c>
      <c r="C41" s="30" t="n">
        <v>170</v>
      </c>
      <c r="D41" s="1" t="s">
        <v>277</v>
      </c>
      <c r="E41" s="1" t="s">
        <v>21</v>
      </c>
      <c r="F41" s="1" t="s">
        <v>344</v>
      </c>
    </row>
    <row r="42" customFormat="false" ht="15" hidden="false" customHeight="true" outlineLevel="0" collapsed="false">
      <c r="A42" s="1" t="s">
        <v>345</v>
      </c>
      <c r="B42" s="1" t="s">
        <v>346</v>
      </c>
      <c r="C42" s="28" t="n">
        <v>165.46</v>
      </c>
      <c r="D42" s="1" t="s">
        <v>21</v>
      </c>
      <c r="E42" s="1" t="s">
        <v>347</v>
      </c>
    </row>
    <row r="43" customFormat="false" ht="15" hidden="false" customHeight="true" outlineLevel="0" collapsed="false">
      <c r="A43" s="1" t="s">
        <v>348</v>
      </c>
      <c r="B43" s="1" t="s">
        <v>349</v>
      </c>
      <c r="C43" s="28" t="n">
        <v>186.82</v>
      </c>
      <c r="D43" s="1" t="s">
        <v>21</v>
      </c>
      <c r="E43" s="1" t="s">
        <v>347</v>
      </c>
    </row>
    <row r="44" customFormat="false" ht="41.25" hidden="false" customHeight="true" outlineLevel="0" collapsed="false">
      <c r="A44" s="1" t="s">
        <v>350</v>
      </c>
      <c r="B44" s="10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7"/>
    <col collapsed="false" customWidth="true" hidden="false" outlineLevel="0" max="10" min="10" style="1" width="9"/>
    <col collapsed="false" customWidth="true" hidden="false" outlineLevel="0" max="11" min="11" style="1" width="18"/>
    <col collapsed="false" customWidth="true" hidden="false" outlineLevel="0" max="12" min="12" style="1" width="9"/>
    <col collapsed="false" customWidth="true" hidden="false" outlineLevel="0" max="13" min="13" style="1" width="18"/>
    <col collapsed="false" customWidth="true" hidden="false" outlineLevel="0" max="14" min="14" style="1" width="16"/>
    <col collapsed="false" customWidth="true" hidden="false" outlineLevel="0" max="15" min="15" style="1" width="9"/>
    <col collapsed="false" customWidth="true" hidden="false" outlineLevel="0" max="16" min="16" style="1" width="10"/>
    <col collapsed="false" customWidth="true" hidden="false" outlineLevel="0" max="17" min="17" style="1" width="9"/>
    <col collapsed="false" customWidth="true" hidden="false" outlineLevel="0" max="19" min="18" style="1" width="10"/>
    <col collapsed="false" customWidth="true" hidden="false" outlineLevel="0" max="20" min="20" style="1" width="9"/>
    <col collapsed="false" customWidth="true" hidden="false" outlineLevel="0" max="23" min="21" style="1" width="10"/>
    <col collapsed="false" customWidth="true" hidden="false" outlineLevel="0" max="24" min="24" style="1" width="9"/>
    <col collapsed="false" customWidth="true" hidden="false" outlineLevel="0" max="25" min="25" style="1" width="50"/>
    <col collapsed="false" customWidth="true" hidden="false" outlineLevel="0" max="26" min="26" style="1" width="60"/>
  </cols>
  <sheetData>
    <row r="1" customFormat="false" ht="60" hidden="false" customHeight="true" outlineLevel="0" collapsed="false">
      <c r="A1" s="2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customFormat="false" ht="45" hidden="false" customHeight="true" outlineLevel="0" collapsed="false">
      <c r="A3" s="3" t="s">
        <v>1</v>
      </c>
      <c r="B3" s="3" t="s">
        <v>353</v>
      </c>
      <c r="C3" s="3" t="s">
        <v>354</v>
      </c>
      <c r="D3" s="3" t="s">
        <v>355</v>
      </c>
      <c r="E3" s="3" t="s">
        <v>356</v>
      </c>
      <c r="F3" s="3" t="s">
        <v>357</v>
      </c>
      <c r="G3" s="3" t="s">
        <v>358</v>
      </c>
      <c r="H3" s="3" t="s">
        <v>359</v>
      </c>
      <c r="I3" s="3" t="s">
        <v>360</v>
      </c>
      <c r="J3" s="3" t="s">
        <v>361</v>
      </c>
      <c r="K3" s="3" t="s">
        <v>362</v>
      </c>
      <c r="L3" s="3" t="s">
        <v>363</v>
      </c>
      <c r="M3" s="3" t="s">
        <v>364</v>
      </c>
      <c r="N3" s="3" t="s">
        <v>365</v>
      </c>
      <c r="O3" s="3" t="s">
        <v>293</v>
      </c>
      <c r="P3" s="3" t="s">
        <v>366</v>
      </c>
      <c r="Q3" s="3" t="s">
        <v>367</v>
      </c>
      <c r="R3" s="3" t="s">
        <v>368</v>
      </c>
      <c r="S3" s="3" t="s">
        <v>369</v>
      </c>
      <c r="T3" s="3" t="s">
        <v>370</v>
      </c>
      <c r="U3" s="3" t="s">
        <v>371</v>
      </c>
      <c r="V3" s="3" t="s">
        <v>372</v>
      </c>
      <c r="W3" s="3" t="s">
        <v>373</v>
      </c>
      <c r="X3" s="3" t="s">
        <v>374</v>
      </c>
      <c r="Y3" s="3" t="s">
        <v>375</v>
      </c>
      <c r="Z3" s="3" t="s">
        <v>376</v>
      </c>
    </row>
    <row r="4" customFormat="false" ht="27.75" hidden="false" customHeight="true" outlineLevel="0" collapsed="false">
      <c r="A4" s="1" t="s">
        <v>377</v>
      </c>
      <c r="B4" s="27" t="s">
        <v>378</v>
      </c>
      <c r="C4" s="1" t="s">
        <v>4</v>
      </c>
      <c r="D4" s="1" t="s">
        <v>379</v>
      </c>
      <c r="E4" s="1" t="s">
        <v>380</v>
      </c>
      <c r="F4" s="1" t="s">
        <v>381</v>
      </c>
      <c r="G4" s="28" t="n">
        <v>17392.9</v>
      </c>
      <c r="H4" s="1" t="s">
        <v>73</v>
      </c>
      <c r="I4" s="1" t="n">
        <v>5</v>
      </c>
      <c r="J4" s="1" t="n">
        <v>300</v>
      </c>
      <c r="K4" s="1" t="s">
        <v>382</v>
      </c>
      <c r="L4" s="1" t="n">
        <v>203.666</v>
      </c>
      <c r="M4" s="1" t="s">
        <v>383</v>
      </c>
      <c r="N4" s="1" t="s">
        <v>384</v>
      </c>
      <c r="O4" s="1" t="n">
        <v>100000</v>
      </c>
      <c r="P4" s="1" t="s">
        <v>385</v>
      </c>
      <c r="Q4" s="8" t="n">
        <f aca="false">IF(AND(ISNUMBER(G4),ISNUMBER(I4)),G4/I4,"n/d")</f>
        <v>3478.58</v>
      </c>
      <c r="R4" s="8" t="n">
        <v>11.595</v>
      </c>
      <c r="S4" s="8" t="n">
        <v>17.08</v>
      </c>
      <c r="T4" s="8" t="n">
        <v>3.971</v>
      </c>
      <c r="U4" s="8" t="n">
        <f aca="false">IF(AND(ISNUMBER(S4),ISNUMBER(W4)),ROUND(W4-S4,2),IF(AND(ISNUMBER(R4),ISNUMBER(V4)),ROUND(V4-R4,2),""))</f>
        <v>-0</v>
      </c>
      <c r="V4" s="8" t="n">
        <f aca="false">IF(AND(ISNUMBER(Q4),ISNUMBER(J4)),Q4/J4,"n/d")</f>
        <v>11.5952666666667</v>
      </c>
      <c r="W4" s="8" t="n">
        <f aca="false">IF(AND(ISNUMBER(Q4),ISNUMBER(L4)),Q4/L4,"n/d")</f>
        <v>17.0798267752104</v>
      </c>
      <c r="X4" s="8" t="n">
        <f aca="false">IF(AND(ISNUMBER(G4),ISNUMBER(I4),ISNUMBER(O4)),G4*1000000/(O4*I4*8760),"n/d")</f>
        <v>3.97098173515982</v>
      </c>
      <c r="Y4" s="1" t="s">
        <v>386</v>
      </c>
      <c r="Z4" s="10" t="s">
        <v>387</v>
      </c>
    </row>
    <row r="5" customFormat="false" ht="15" hidden="false" customHeight="true" outlineLevel="0" collapsed="false">
      <c r="A5" s="1" t="s">
        <v>388</v>
      </c>
      <c r="B5" s="27" t="s">
        <v>378</v>
      </c>
      <c r="C5" s="1" t="s">
        <v>4</v>
      </c>
      <c r="D5" s="1" t="s">
        <v>389</v>
      </c>
      <c r="E5" s="1" t="s">
        <v>380</v>
      </c>
      <c r="F5" s="1" t="s">
        <v>381</v>
      </c>
      <c r="G5" s="28" t="n">
        <v>19400</v>
      </c>
      <c r="H5" s="1" t="s">
        <v>390</v>
      </c>
      <c r="I5" s="1" t="n">
        <v>5</v>
      </c>
      <c r="J5" s="1" t="n">
        <v>300</v>
      </c>
      <c r="K5" s="1" t="s">
        <v>391</v>
      </c>
      <c r="L5" s="1" t="n">
        <v>203.666</v>
      </c>
      <c r="M5" s="1" t="s">
        <v>392</v>
      </c>
      <c r="N5" s="1" t="s">
        <v>393</v>
      </c>
      <c r="O5" s="1" t="n">
        <v>100000</v>
      </c>
      <c r="P5" s="1" t="s">
        <v>385</v>
      </c>
      <c r="Q5" s="8" t="n">
        <f aca="false">IF(AND(ISNUMBER(G5),ISNUMBER(I5)),G5/I5,"n/d")</f>
        <v>3880</v>
      </c>
      <c r="R5" s="8" t="n">
        <v>12.933</v>
      </c>
      <c r="S5" s="8" t="n">
        <v>19.051</v>
      </c>
      <c r="T5" s="8" t="n">
        <v>4.429</v>
      </c>
      <c r="U5" s="8" t="n">
        <f aca="false">IF(AND(ISNUMBER(S5),ISNUMBER(W5)),ROUND(W5-S5,2),IF(AND(ISNUMBER(R5),ISNUMBER(V5)),ROUND(V5-R5,2),""))</f>
        <v>-0</v>
      </c>
      <c r="V5" s="8" t="n">
        <f aca="false">IF(AND(ISNUMBER(Q5),ISNUMBER(J5)),Q5/J5,"n/d")</f>
        <v>12.9333333333333</v>
      </c>
      <c r="W5" s="8" t="n">
        <f aca="false">IF(AND(ISNUMBER(Q5),ISNUMBER(L5)),Q5/L5,"n/d")</f>
        <v>19.0507988569521</v>
      </c>
      <c r="X5" s="8" t="n">
        <f aca="false">IF(AND(ISNUMBER(G5),ISNUMBER(I5),ISNUMBER(O5)),G5*1000000/(O5*I5*8760),"n/d")</f>
        <v>4.42922374429224</v>
      </c>
      <c r="Y5" s="1" t="s">
        <v>394</v>
      </c>
      <c r="Z5" s="10" t="s">
        <v>395</v>
      </c>
    </row>
    <row r="6" customFormat="false" ht="27.75" hidden="false" customHeight="true" outlineLevel="0" collapsed="false">
      <c r="A6" s="1" t="s">
        <v>396</v>
      </c>
      <c r="B6" s="27" t="s">
        <v>378</v>
      </c>
      <c r="C6" s="1" t="s">
        <v>4</v>
      </c>
      <c r="D6" s="1" t="s">
        <v>397</v>
      </c>
      <c r="E6" s="1" t="s">
        <v>380</v>
      </c>
      <c r="F6" s="1" t="s">
        <v>398</v>
      </c>
      <c r="G6" s="28" t="n">
        <v>2880.7</v>
      </c>
      <c r="H6" s="1" t="s">
        <v>73</v>
      </c>
      <c r="I6" s="1" t="n">
        <v>5</v>
      </c>
      <c r="J6" s="1" t="s">
        <v>24</v>
      </c>
      <c r="K6" s="1" t="s">
        <v>399</v>
      </c>
      <c r="L6" s="1" t="n">
        <v>50</v>
      </c>
      <c r="M6" s="1" t="s">
        <v>400</v>
      </c>
      <c r="N6" s="1" t="s">
        <v>24</v>
      </c>
      <c r="Q6" s="8" t="n">
        <f aca="false">IF(AND(ISNUMBER(G6),ISNUMBER(I6)),G6/I6,"n/d")</f>
        <v>576.14</v>
      </c>
      <c r="R6" s="8"/>
      <c r="S6" s="8" t="n">
        <v>11.523</v>
      </c>
      <c r="T6" s="8"/>
      <c r="U6" s="8" t="n">
        <f aca="false">IF(AND(ISNUMBER(S6),ISNUMBER(W6)),ROUND(W6-S6,2),IF(AND(ISNUMBER(R6),ISNUMBER(V6)),ROUND(V6-R6,2),""))</f>
        <v>-0</v>
      </c>
      <c r="V6" s="8" t="str">
        <f aca="false">IF(AND(ISNUMBER(Q6),ISNUMBER(J6)),Q6/J6,"n/d")</f>
        <v>n/d</v>
      </c>
      <c r="W6" s="8" t="n">
        <f aca="false">IF(AND(ISNUMBER(Q6),ISNUMBER(L6)),Q6/L6,"n/d")</f>
        <v>11.5228</v>
      </c>
      <c r="X6" s="8" t="str">
        <f aca="false">IF(AND(ISNUMBER(G6),ISNUMBER(I6),ISNUMBER(O6)),G6*1000000/(O6*I6*8760),"n/d")</f>
        <v>n/d</v>
      </c>
      <c r="Y6" s="1" t="s">
        <v>401</v>
      </c>
      <c r="Z6" s="10" t="s">
        <v>402</v>
      </c>
    </row>
    <row r="7" customFormat="false" ht="27.75" hidden="false" customHeight="true" outlineLevel="0" collapsed="false">
      <c r="A7" s="1" t="s">
        <v>403</v>
      </c>
      <c r="B7" s="27" t="s">
        <v>378</v>
      </c>
      <c r="C7" s="1" t="s">
        <v>4</v>
      </c>
      <c r="D7" s="1" t="s">
        <v>404</v>
      </c>
      <c r="E7" s="1" t="s">
        <v>380</v>
      </c>
      <c r="F7" s="1" t="s">
        <v>405</v>
      </c>
      <c r="G7" s="28" t="n">
        <v>12000</v>
      </c>
      <c r="H7" s="1" t="s">
        <v>73</v>
      </c>
      <c r="I7" s="1" t="n">
        <v>5</v>
      </c>
      <c r="J7" s="1" t="s">
        <v>24</v>
      </c>
      <c r="K7" s="1" t="s">
        <v>399</v>
      </c>
      <c r="N7" s="1" t="s">
        <v>406</v>
      </c>
      <c r="Q7" s="8" t="n">
        <f aca="false">IF(AND(ISNUMBER(G7),ISNUMBER(I7)),G7/I7,"n/d")</f>
        <v>2400</v>
      </c>
      <c r="R7" s="8"/>
      <c r="S7" s="8"/>
      <c r="T7" s="8"/>
      <c r="U7" s="8" t="str">
        <f aca="false">IF(AND(ISNUMBER(S7),ISNUMBER(W7)),ROUND(W7-S7,2),IF(AND(ISNUMBER(R7),ISNUMBER(V7)),ROUND(V7-R7,2),""))</f>
        <v/>
      </c>
      <c r="V7" s="8" t="str">
        <f aca="false">IF(AND(ISNUMBER(Q7),ISNUMBER(J7)),Q7/J7,"n/d")</f>
        <v>n/d</v>
      </c>
      <c r="W7" s="8" t="str">
        <f aca="false">IF(AND(ISNUMBER(Q7),ISNUMBER(L7)),Q7/L7,"n/d")</f>
        <v>n/d</v>
      </c>
      <c r="X7" s="8" t="str">
        <f aca="false">IF(AND(ISNUMBER(G7),ISNUMBER(I7),ISNUMBER(O7)),G7*1000000/(O7*I7*8760),"n/d")</f>
        <v>n/d</v>
      </c>
      <c r="Y7" s="1" t="s">
        <v>407</v>
      </c>
      <c r="Z7" s="10" t="s">
        <v>408</v>
      </c>
    </row>
    <row r="8" customFormat="false" ht="15" hidden="false" customHeight="true" outlineLevel="0" collapsed="false">
      <c r="A8" s="1" t="s">
        <v>409</v>
      </c>
      <c r="B8" s="27" t="s">
        <v>378</v>
      </c>
      <c r="C8" s="1" t="s">
        <v>4</v>
      </c>
      <c r="D8" s="1" t="s">
        <v>410</v>
      </c>
      <c r="E8" s="1" t="s">
        <v>380</v>
      </c>
      <c r="F8" s="1" t="s">
        <v>405</v>
      </c>
      <c r="G8" s="28" t="n">
        <v>15000</v>
      </c>
      <c r="H8" s="1" t="s">
        <v>411</v>
      </c>
      <c r="I8" s="1" t="n">
        <v>5</v>
      </c>
      <c r="J8" s="1" t="s">
        <v>24</v>
      </c>
      <c r="N8" s="1" t="s">
        <v>24</v>
      </c>
      <c r="Q8" s="8" t="n">
        <f aca="false">IF(AND(ISNUMBER(G8),ISNUMBER(I8)),G8/I8,"n/d")</f>
        <v>3000</v>
      </c>
      <c r="R8" s="8"/>
      <c r="S8" s="8"/>
      <c r="T8" s="8"/>
      <c r="U8" s="8" t="str">
        <f aca="false">IF(AND(ISNUMBER(S8),ISNUMBER(W8)),ROUND(W8-S8,2),IF(AND(ISNUMBER(R8),ISNUMBER(V8)),ROUND(V8-R8,2),""))</f>
        <v/>
      </c>
      <c r="V8" s="8" t="str">
        <f aca="false">IF(AND(ISNUMBER(Q8),ISNUMBER(J8)),Q8/J8,"n/d")</f>
        <v>n/d</v>
      </c>
      <c r="W8" s="8" t="str">
        <f aca="false">IF(AND(ISNUMBER(Q8),ISNUMBER(L8)),Q8/L8,"n/d")</f>
        <v>n/d</v>
      </c>
      <c r="X8" s="8" t="str">
        <f aca="false">IF(AND(ISNUMBER(G8),ISNUMBER(I8),ISNUMBER(O8)),G8*1000000/(O8*I8*8760),"n/d")</f>
        <v>n/d</v>
      </c>
      <c r="Y8" s="1" t="s">
        <v>412</v>
      </c>
      <c r="Z8" s="10" t="s">
        <v>413</v>
      </c>
    </row>
    <row r="9" customFormat="false" ht="41.25" hidden="false" customHeight="true" outlineLevel="0" collapsed="false">
      <c r="A9" s="1" t="s">
        <v>414</v>
      </c>
      <c r="B9" s="27" t="s">
        <v>415</v>
      </c>
      <c r="C9" s="1" t="s">
        <v>4</v>
      </c>
      <c r="D9" s="1" t="s">
        <v>416</v>
      </c>
      <c r="E9" s="1" t="s">
        <v>417</v>
      </c>
      <c r="F9" s="1" t="s">
        <v>418</v>
      </c>
      <c r="G9" s="5" t="s">
        <v>24</v>
      </c>
      <c r="J9" s="1" t="s">
        <v>24</v>
      </c>
      <c r="N9" s="1" t="s">
        <v>24</v>
      </c>
      <c r="Q9" s="8" t="str">
        <f aca="false">IF(AND(ISNUMBER(G9),ISNUMBER(I9)),G9/I9,"n/d")</f>
        <v>n/d</v>
      </c>
      <c r="R9" s="8" t="s">
        <v>419</v>
      </c>
      <c r="S9" s="8"/>
      <c r="T9" s="8"/>
      <c r="U9" s="8" t="str">
        <f aca="false">IF(AND(ISNUMBER(S9),ISNUMBER(W9)),ROUND(W9-S9,2),IF(AND(ISNUMBER(R9),ISNUMBER(V9)),ROUND(V9-R9,2),""))</f>
        <v/>
      </c>
      <c r="V9" s="8" t="str">
        <f aca="false">IF(AND(ISNUMBER(Q9),ISNUMBER(J9)),Q9/J9,"n/d")</f>
        <v>n/d</v>
      </c>
      <c r="W9" s="8" t="str">
        <f aca="false">IF(AND(ISNUMBER(Q9),ISNUMBER(L9)),Q9/L9,"n/d")</f>
        <v>n/d</v>
      </c>
      <c r="X9" s="8" t="str">
        <f aca="false">IF(AND(ISNUMBER(G9),ISNUMBER(I9),ISNUMBER(O9)),G9*1000000/(O9*I9*8760),"n/d")</f>
        <v>n/d</v>
      </c>
      <c r="Y9" s="1" t="s">
        <v>420</v>
      </c>
      <c r="Z9" s="10" t="s">
        <v>421</v>
      </c>
    </row>
    <row r="10" customFormat="false" ht="15" hidden="false" customHeight="true" outlineLevel="0" collapsed="false">
      <c r="A10" s="1" t="s">
        <v>422</v>
      </c>
      <c r="B10" s="27" t="s">
        <v>378</v>
      </c>
      <c r="C10" s="1" t="s">
        <v>8</v>
      </c>
      <c r="D10" s="1" t="s">
        <v>379</v>
      </c>
      <c r="E10" s="1" t="s">
        <v>380</v>
      </c>
      <c r="F10" s="1" t="s">
        <v>423</v>
      </c>
      <c r="G10" s="28" t="n">
        <v>9700</v>
      </c>
      <c r="H10" s="1" t="s">
        <v>73</v>
      </c>
      <c r="I10" s="1" t="n">
        <v>5</v>
      </c>
      <c r="J10" s="1" t="n">
        <v>200</v>
      </c>
      <c r="K10" s="1" t="s">
        <v>424</v>
      </c>
      <c r="L10" s="1" t="n">
        <v>200</v>
      </c>
      <c r="M10" s="1" t="s">
        <v>73</v>
      </c>
      <c r="N10" s="1" t="s">
        <v>425</v>
      </c>
      <c r="O10" s="1" t="n">
        <v>98200</v>
      </c>
      <c r="P10" s="1" t="s">
        <v>426</v>
      </c>
      <c r="Q10" s="8" t="n">
        <f aca="false">IF(AND(ISNUMBER(G10),ISNUMBER(I10)),G10/I10,"n/d")</f>
        <v>1940</v>
      </c>
      <c r="R10" s="8" t="n">
        <v>9.7</v>
      </c>
      <c r="S10" s="8" t="n">
        <v>9.7</v>
      </c>
      <c r="T10" s="8" t="n">
        <v>2.255</v>
      </c>
      <c r="U10" s="8" t="n">
        <f aca="false">IF(AND(ISNUMBER(S10),ISNUMBER(W10)),ROUND(W10-S10,2),IF(AND(ISNUMBER(R10),ISNUMBER(V10)),ROUND(V10-R10,2),""))</f>
        <v>0</v>
      </c>
      <c r="V10" s="8" t="n">
        <f aca="false">IF(AND(ISNUMBER(Q10),ISNUMBER(J10)),Q10/J10,"n/d")</f>
        <v>9.7</v>
      </c>
      <c r="W10" s="8" t="n">
        <f aca="false">IF(AND(ISNUMBER(Q10),ISNUMBER(L10)),Q10/L10,"n/d")</f>
        <v>9.7</v>
      </c>
      <c r="X10" s="8" t="n">
        <f aca="false">IF(AND(ISNUMBER(G10),ISNUMBER(I10),ISNUMBER(O10)),G10*1000000/(O10*I10*8760),"n/d")</f>
        <v>2.25520557245022</v>
      </c>
      <c r="Y10" s="1" t="s">
        <v>427</v>
      </c>
      <c r="Z10" s="10" t="s">
        <v>428</v>
      </c>
    </row>
    <row r="11" customFormat="false" ht="41.25" hidden="false" customHeight="true" outlineLevel="0" collapsed="false">
      <c r="A11" s="1" t="s">
        <v>429</v>
      </c>
      <c r="B11" s="23" t="s">
        <v>430</v>
      </c>
      <c r="C11" s="1" t="s">
        <v>8</v>
      </c>
      <c r="D11" s="1" t="s">
        <v>431</v>
      </c>
      <c r="E11" s="1" t="s">
        <v>432</v>
      </c>
      <c r="F11" s="1" t="s">
        <v>433</v>
      </c>
      <c r="G11" s="28" t="n">
        <v>3400</v>
      </c>
      <c r="H11" s="1" t="s">
        <v>73</v>
      </c>
      <c r="I11" s="1" t="n">
        <v>5</v>
      </c>
      <c r="J11" s="1" t="n">
        <v>60</v>
      </c>
      <c r="K11" s="1" t="s">
        <v>434</v>
      </c>
      <c r="N11" s="1" t="s">
        <v>435</v>
      </c>
      <c r="P11" s="1" t="s">
        <v>24</v>
      </c>
      <c r="Q11" s="8" t="n">
        <f aca="false">IF(AND(ISNUMBER(G11),ISNUMBER(I11)),G11/I11,"n/d")</f>
        <v>680</v>
      </c>
      <c r="R11" s="8"/>
      <c r="S11" s="8"/>
      <c r="T11" s="8"/>
      <c r="U11" s="8" t="str">
        <f aca="false">IF(AND(ISNUMBER(S11),ISNUMBER(W11)),ROUND(W11-S11,2),IF(AND(ISNUMBER(R11),ISNUMBER(V11)),ROUND(V11-R11,2),""))</f>
        <v/>
      </c>
      <c r="V11" s="8" t="n">
        <f aca="false">IF(AND(ISNUMBER(Q11),ISNUMBER(J11)),Q11/J11,"n/d")</f>
        <v>11.3333333333333</v>
      </c>
      <c r="W11" s="8" t="str">
        <f aca="false">IF(AND(ISNUMBER(Q11),ISNUMBER(L11)),Q11/L11,"n/d")</f>
        <v>n/d</v>
      </c>
      <c r="X11" s="8" t="str">
        <f aca="false">IF(AND(ISNUMBER(G11),ISNUMBER(I11),ISNUMBER(O11)),G11*1000000/(O11*I11*8760),"n/d")</f>
        <v>n/d</v>
      </c>
      <c r="Y11" s="1" t="s">
        <v>436</v>
      </c>
      <c r="Z11" s="10" t="s">
        <v>437</v>
      </c>
    </row>
    <row r="12" customFormat="false" ht="15" hidden="false" customHeight="true" outlineLevel="0" collapsed="false">
      <c r="A12" s="1" t="s">
        <v>438</v>
      </c>
      <c r="B12" s="27" t="s">
        <v>415</v>
      </c>
      <c r="C12" s="1" t="s">
        <v>8</v>
      </c>
      <c r="D12" s="1" t="s">
        <v>439</v>
      </c>
      <c r="E12" s="1" t="s">
        <v>417</v>
      </c>
      <c r="F12" s="1" t="s">
        <v>440</v>
      </c>
      <c r="G12" s="5" t="s">
        <v>24</v>
      </c>
      <c r="I12" s="1" t="n">
        <v>3</v>
      </c>
      <c r="J12" s="1" t="s">
        <v>24</v>
      </c>
      <c r="K12" s="1" t="s">
        <v>424</v>
      </c>
      <c r="N12" s="1" t="s">
        <v>24</v>
      </c>
      <c r="Q12" s="8" t="str">
        <f aca="false">IF(AND(ISNUMBER(G12),ISNUMBER(I12)),G12/I12,"n/d")</f>
        <v>n/d</v>
      </c>
      <c r="R12" s="8" t="s">
        <v>441</v>
      </c>
      <c r="S12" s="8"/>
      <c r="T12" s="8"/>
      <c r="U12" s="8" t="str">
        <f aca="false">IF(AND(ISNUMBER(S12),ISNUMBER(W12)),ROUND(W12-S12,2),IF(AND(ISNUMBER(R12),ISNUMBER(V12)),ROUND(V12-R12,2),""))</f>
        <v/>
      </c>
      <c r="V12" s="8" t="str">
        <f aca="false">IF(AND(ISNUMBER(Q12),ISNUMBER(J12)),Q12/J12,"n/d")</f>
        <v>n/d</v>
      </c>
      <c r="W12" s="8" t="str">
        <f aca="false">IF(AND(ISNUMBER(Q12),ISNUMBER(L12)),Q12/L12,"n/d")</f>
        <v>n/d</v>
      </c>
      <c r="X12" s="8" t="str">
        <f aca="false">IF(AND(ISNUMBER(G12),ISNUMBER(I12),ISNUMBER(O12)),G12*1000000/(O12*I12*8760),"n/d")</f>
        <v>n/d</v>
      </c>
      <c r="Y12" s="1" t="s">
        <v>442</v>
      </c>
      <c r="Z12" s="10" t="s">
        <v>443</v>
      </c>
    </row>
    <row r="13" customFormat="false" ht="15" hidden="false" customHeight="true" outlineLevel="0" collapsed="false">
      <c r="A13" s="1" t="s">
        <v>444</v>
      </c>
      <c r="B13" s="27" t="s">
        <v>378</v>
      </c>
      <c r="C13" s="1" t="s">
        <v>10</v>
      </c>
      <c r="D13" s="1" t="s">
        <v>445</v>
      </c>
      <c r="E13" s="1" t="s">
        <v>380</v>
      </c>
      <c r="F13" s="1" t="s">
        <v>446</v>
      </c>
      <c r="G13" s="28" t="n">
        <v>43800</v>
      </c>
      <c r="H13" s="1" t="s">
        <v>390</v>
      </c>
      <c r="I13" s="1" t="n">
        <v>5.5</v>
      </c>
      <c r="J13" s="1" t="s">
        <v>87</v>
      </c>
      <c r="L13" s="1" t="n">
        <v>596.474</v>
      </c>
      <c r="M13" s="1" t="s">
        <v>447</v>
      </c>
      <c r="N13" s="1" t="s">
        <v>448</v>
      </c>
      <c r="O13" s="1" t="n">
        <v>257600</v>
      </c>
      <c r="P13" s="1" t="s">
        <v>449</v>
      </c>
      <c r="Q13" s="8" t="n">
        <f aca="false">IF(AND(ISNUMBER(G13),ISNUMBER(I13)),G13/I13,"n/d")</f>
        <v>7963.63636363636</v>
      </c>
      <c r="R13" s="8"/>
      <c r="S13" s="8" t="n">
        <v>13.351</v>
      </c>
      <c r="T13" s="8" t="n">
        <v>3.529</v>
      </c>
      <c r="U13" s="8" t="n">
        <f aca="false">IF(AND(ISNUMBER(S13),ISNUMBER(W13)),ROUND(W13-S13,2),IF(AND(ISNUMBER(R13),ISNUMBER(V13)),ROUND(V13-R13,2),""))</f>
        <v>0</v>
      </c>
      <c r="V13" s="8" t="str">
        <f aca="false">IF(AND(ISNUMBER(Q13),ISNUMBER(J13)),Q13/J13,"n/d")</f>
        <v>n/d</v>
      </c>
      <c r="W13" s="8" t="n">
        <f aca="false">IF(AND(ISNUMBER(Q13),ISNUMBER(L13)),Q13/L13,"n/d")</f>
        <v>13.3511877527543</v>
      </c>
      <c r="X13" s="8" t="n">
        <f aca="false">IF(AND(ISNUMBER(G13),ISNUMBER(I13),ISNUMBER(O13)),G13*1000000/(O13*I13*8760),"n/d")</f>
        <v>3.52907961603614</v>
      </c>
      <c r="Y13" s="1" t="s">
        <v>450</v>
      </c>
      <c r="Z13" s="10"/>
    </row>
    <row r="14" customFormat="false" ht="15" hidden="false" customHeight="true" outlineLevel="0" collapsed="false">
      <c r="A14" s="1" t="s">
        <v>451</v>
      </c>
      <c r="B14" s="27" t="s">
        <v>378</v>
      </c>
      <c r="C14" s="1" t="s">
        <v>452</v>
      </c>
      <c r="D14" s="1" t="s">
        <v>453</v>
      </c>
      <c r="E14" s="1" t="s">
        <v>380</v>
      </c>
      <c r="F14" s="1" t="s">
        <v>454</v>
      </c>
      <c r="G14" s="28" t="n">
        <v>6200</v>
      </c>
      <c r="H14" s="1" t="s">
        <v>73</v>
      </c>
      <c r="I14" s="1" t="n">
        <v>5</v>
      </c>
      <c r="J14" s="1" t="s">
        <v>87</v>
      </c>
      <c r="L14" s="1" t="n">
        <v>105.906</v>
      </c>
      <c r="M14" s="1" t="s">
        <v>455</v>
      </c>
      <c r="N14" s="1" t="s">
        <v>456</v>
      </c>
      <c r="O14" s="1" t="n">
        <v>52000</v>
      </c>
      <c r="P14" s="1" t="s">
        <v>73</v>
      </c>
      <c r="Q14" s="8" t="n">
        <f aca="false">IF(AND(ISNUMBER(G14),ISNUMBER(I14)),G14/I14,"n/d")</f>
        <v>1240</v>
      </c>
      <c r="R14" s="8"/>
      <c r="S14" s="8" t="n">
        <v>11.708</v>
      </c>
      <c r="T14" s="8" t="n">
        <v>2.722</v>
      </c>
      <c r="U14" s="8" t="n">
        <f aca="false">IF(AND(ISNUMBER(S14),ISNUMBER(W14)),ROUND(W14-S14,2),IF(AND(ISNUMBER(R14),ISNUMBER(V14)),ROUND(V14-R14,2),""))</f>
        <v>0</v>
      </c>
      <c r="V14" s="8" t="str">
        <f aca="false">IF(AND(ISNUMBER(Q14),ISNUMBER(J14)),Q14/J14,"n/d")</f>
        <v>n/d</v>
      </c>
      <c r="W14" s="8" t="n">
        <f aca="false">IF(AND(ISNUMBER(Q14),ISNUMBER(L14)),Q14/L14,"n/d")</f>
        <v>11.7084962136234</v>
      </c>
      <c r="X14" s="8" t="n">
        <f aca="false">IF(AND(ISNUMBER(G14),ISNUMBER(I14),ISNUMBER(O14)),G14*1000000/(O14*I14*8760),"n/d")</f>
        <v>2.72216368106779</v>
      </c>
      <c r="Y14" s="1" t="s">
        <v>457</v>
      </c>
      <c r="Z14" s="10" t="s">
        <v>458</v>
      </c>
    </row>
    <row r="15" customFormat="false" ht="15" hidden="false" customHeight="true" outlineLevel="0" collapsed="false">
      <c r="A15" s="1" t="s">
        <v>459</v>
      </c>
      <c r="B15" s="27" t="s">
        <v>378</v>
      </c>
      <c r="C15" s="1" t="s">
        <v>10</v>
      </c>
      <c r="D15" s="1" t="s">
        <v>460</v>
      </c>
      <c r="E15" s="1" t="s">
        <v>380</v>
      </c>
      <c r="G15" s="29" t="n">
        <v>37600</v>
      </c>
      <c r="H15" s="1" t="s">
        <v>25</v>
      </c>
      <c r="I15" s="1" t="n">
        <v>5.5</v>
      </c>
      <c r="J15" s="1" t="s">
        <v>87</v>
      </c>
      <c r="L15" s="1" t="n">
        <v>490.568</v>
      </c>
      <c r="M15" s="1" t="s">
        <v>25</v>
      </c>
      <c r="N15" s="1" t="s">
        <v>448</v>
      </c>
      <c r="O15" s="1" t="n">
        <v>205600</v>
      </c>
      <c r="P15" s="1" t="s">
        <v>449</v>
      </c>
      <c r="Q15" s="8" t="n">
        <f aca="false">IF(AND(ISNUMBER(G15),ISNUMBER(I15)),G15/I15,"n/d")</f>
        <v>6836.36363636364</v>
      </c>
      <c r="R15" s="8"/>
      <c r="S15" s="8" t="n">
        <v>13.936</v>
      </c>
      <c r="T15" s="8" t="n">
        <v>3.796</v>
      </c>
      <c r="U15" s="8" t="n">
        <f aca="false">IF(AND(ISNUMBER(S15),ISNUMBER(W15)),ROUND(W15-S15,2),IF(AND(ISNUMBER(R15),ISNUMBER(V15)),ROUND(V15-R15,2),""))</f>
        <v>-0</v>
      </c>
      <c r="V15" s="8" t="str">
        <f aca="false">IF(AND(ISNUMBER(Q15),ISNUMBER(J15)),Q15/J15,"n/d")</f>
        <v>n/d</v>
      </c>
      <c r="W15" s="8" t="n">
        <f aca="false">IF(AND(ISNUMBER(Q15),ISNUMBER(L15)),Q15/L15,"n/d")</f>
        <v>13.93560859323</v>
      </c>
      <c r="X15" s="8" t="n">
        <f aca="false">IF(AND(ISNUMBER(G15),ISNUMBER(I15),ISNUMBER(O15)),G15*1000000/(O15*I15*8760),"n/d")</f>
        <v>3.79575295624547</v>
      </c>
      <c r="Y15" s="1" t="s">
        <v>461</v>
      </c>
      <c r="Z15" s="10" t="s">
        <v>462</v>
      </c>
    </row>
    <row r="16" customFormat="false" ht="15" hidden="false" customHeight="true" outlineLevel="0" collapsed="false">
      <c r="A16" s="1" t="s">
        <v>463</v>
      </c>
      <c r="B16" s="27" t="s">
        <v>378</v>
      </c>
      <c r="C16" s="1" t="s">
        <v>10</v>
      </c>
      <c r="D16" s="1" t="s">
        <v>464</v>
      </c>
      <c r="E16" s="1" t="s">
        <v>465</v>
      </c>
      <c r="F16" s="1" t="s">
        <v>466</v>
      </c>
      <c r="G16" s="28" t="n">
        <v>44600</v>
      </c>
      <c r="H16" s="1" t="s">
        <v>390</v>
      </c>
      <c r="I16" s="1" t="n">
        <v>6</v>
      </c>
      <c r="J16" s="1" t="n">
        <v>460</v>
      </c>
      <c r="K16" s="1" t="s">
        <v>424</v>
      </c>
      <c r="L16" s="1" t="n">
        <v>460</v>
      </c>
      <c r="M16" s="1" t="s">
        <v>467</v>
      </c>
      <c r="N16" s="1" t="s">
        <v>406</v>
      </c>
      <c r="O16" s="1" t="n">
        <v>147200</v>
      </c>
      <c r="P16" s="1" t="s">
        <v>468</v>
      </c>
      <c r="Q16" s="8" t="n">
        <f aca="false">IF(AND(ISNUMBER(G16),ISNUMBER(I16)),G16/I16,"n/d")</f>
        <v>7433.33333333333</v>
      </c>
      <c r="R16" s="8" t="n">
        <v>16.159</v>
      </c>
      <c r="S16" s="8" t="n">
        <v>16.159</v>
      </c>
      <c r="T16" s="8" t="n">
        <v>5.765</v>
      </c>
      <c r="U16" s="8" t="n">
        <f aca="false">IF(AND(ISNUMBER(S16),ISNUMBER(W16)),ROUND(W16-S16,2),IF(AND(ISNUMBER(R16),ISNUMBER(V16)),ROUND(V16-R16,2),""))</f>
        <v>0</v>
      </c>
      <c r="V16" s="8" t="n">
        <f aca="false">IF(AND(ISNUMBER(Q16),ISNUMBER(J16)),Q16/J16,"n/d")</f>
        <v>16.1594202898551</v>
      </c>
      <c r="W16" s="8" t="n">
        <f aca="false">IF(AND(ISNUMBER(Q16),ISNUMBER(L16)),Q16/L16,"n/d")</f>
        <v>16.1594202898551</v>
      </c>
      <c r="X16" s="8" t="n">
        <f aca="false">IF(AND(ISNUMBER(G16),ISNUMBER(I16),ISNUMBER(O16)),G16*1000000/(O16*I16*8760),"n/d")</f>
        <v>5.7646333796572</v>
      </c>
      <c r="Y16" s="1" t="s">
        <v>469</v>
      </c>
      <c r="Z16" s="10"/>
    </row>
    <row r="17" customFormat="false" ht="15" hidden="false" customHeight="true" outlineLevel="0" collapsed="false">
      <c r="A17" s="1" t="s">
        <v>470</v>
      </c>
      <c r="B17" s="27" t="s">
        <v>378</v>
      </c>
      <c r="C17" s="1" t="s">
        <v>11</v>
      </c>
      <c r="D17" s="1" t="s">
        <v>379</v>
      </c>
      <c r="E17" s="1" t="s">
        <v>380</v>
      </c>
      <c r="F17" s="1" t="s">
        <v>423</v>
      </c>
      <c r="G17" s="5" t="s">
        <v>24</v>
      </c>
      <c r="H17" s="1" t="s">
        <v>471</v>
      </c>
      <c r="J17" s="1" t="s">
        <v>24</v>
      </c>
      <c r="N17" s="1" t="s">
        <v>472</v>
      </c>
      <c r="Q17" s="8" t="str">
        <f aca="false">IF(AND(ISNUMBER(G17),ISNUMBER(I17)),G17/I17,"n/d")</f>
        <v>n/d</v>
      </c>
      <c r="R17" s="8"/>
      <c r="S17" s="8"/>
      <c r="T17" s="8"/>
      <c r="U17" s="8" t="str">
        <f aca="false">IF(AND(ISNUMBER(S17),ISNUMBER(W17)),ROUND(W17-S17,2),IF(AND(ISNUMBER(R17),ISNUMBER(V17)),ROUND(V17-R17,2),""))</f>
        <v/>
      </c>
      <c r="V17" s="8" t="str">
        <f aca="false">IF(AND(ISNUMBER(Q17),ISNUMBER(J17)),Q17/J17,"n/d")</f>
        <v>n/d</v>
      </c>
      <c r="W17" s="8" t="str">
        <f aca="false">IF(AND(ISNUMBER(Q17),ISNUMBER(L17)),Q17/L17,"n/d")</f>
        <v>n/d</v>
      </c>
      <c r="X17" s="8" t="str">
        <f aca="false">IF(AND(ISNUMBER(G17),ISNUMBER(I17),ISNUMBER(O17)),G17*1000000/(O17*I17*8760),"n/d")</f>
        <v>n/d</v>
      </c>
      <c r="Y17" s="1" t="s">
        <v>473</v>
      </c>
      <c r="Z17" s="10" t="s">
        <v>474</v>
      </c>
    </row>
    <row r="18" customFormat="false" ht="15" hidden="false" customHeight="true" outlineLevel="0" collapsed="false">
      <c r="A18" s="1" t="s">
        <v>475</v>
      </c>
      <c r="B18" s="23" t="s">
        <v>430</v>
      </c>
      <c r="C18" s="1" t="s">
        <v>11</v>
      </c>
      <c r="D18" s="1" t="s">
        <v>464</v>
      </c>
      <c r="E18" s="1" t="s">
        <v>465</v>
      </c>
      <c r="F18" s="1" t="s">
        <v>476</v>
      </c>
      <c r="G18" s="31" t="n">
        <v>35000</v>
      </c>
      <c r="H18" s="1" t="s">
        <v>158</v>
      </c>
      <c r="I18" s="1" t="n">
        <v>6</v>
      </c>
      <c r="J18" s="1" t="n">
        <v>350</v>
      </c>
      <c r="K18" s="1" t="s">
        <v>477</v>
      </c>
      <c r="N18" s="1" t="s">
        <v>24</v>
      </c>
      <c r="Q18" s="8" t="n">
        <f aca="false">IF(AND(ISNUMBER(G18),ISNUMBER(I18)),G18/I18,"n/d")</f>
        <v>5833.33333333333</v>
      </c>
      <c r="R18" s="8"/>
      <c r="S18" s="8"/>
      <c r="T18" s="8"/>
      <c r="U18" s="8" t="str">
        <f aca="false">IF(AND(ISNUMBER(S18),ISNUMBER(W18)),ROUND(W18-S18,2),IF(AND(ISNUMBER(R18),ISNUMBER(V18)),ROUND(V18-R18,2),""))</f>
        <v/>
      </c>
      <c r="V18" s="8" t="n">
        <f aca="false">IF(AND(ISNUMBER(Q18),ISNUMBER(J18)),Q18/J18,"n/d")</f>
        <v>16.6666666666667</v>
      </c>
      <c r="W18" s="8" t="str">
        <f aca="false">IF(AND(ISNUMBER(Q18),ISNUMBER(L18)),Q18/L18,"n/d")</f>
        <v>n/d</v>
      </c>
      <c r="X18" s="8" t="str">
        <f aca="false">IF(AND(ISNUMBER(G18),ISNUMBER(I18),ISNUMBER(O18)),G18*1000000/(O18*I18*8760),"n/d")</f>
        <v>n/d</v>
      </c>
      <c r="Y18" s="1" t="s">
        <v>478</v>
      </c>
      <c r="Z18" s="10" t="s">
        <v>479</v>
      </c>
    </row>
    <row r="19" customFormat="false" ht="41.25" hidden="false" customHeight="true" outlineLevel="0" collapsed="false">
      <c r="A19" s="1" t="s">
        <v>480</v>
      </c>
      <c r="B19" s="23" t="s">
        <v>430</v>
      </c>
      <c r="C19" s="1" t="s">
        <v>11</v>
      </c>
      <c r="D19" s="1" t="s">
        <v>481</v>
      </c>
      <c r="E19" s="1" t="s">
        <v>432</v>
      </c>
      <c r="F19" s="1" t="s">
        <v>482</v>
      </c>
      <c r="G19" s="31" t="n">
        <v>1300</v>
      </c>
      <c r="H19" s="1" t="s">
        <v>158</v>
      </c>
      <c r="I19" s="1" t="n">
        <v>4</v>
      </c>
      <c r="J19" s="1" t="s">
        <v>24</v>
      </c>
      <c r="N19" s="1" t="s">
        <v>483</v>
      </c>
      <c r="O19" s="1" t="n">
        <v>10000</v>
      </c>
      <c r="P19" s="1" t="s">
        <v>158</v>
      </c>
      <c r="Q19" s="8" t="n">
        <f aca="false">IF(AND(ISNUMBER(G19),ISNUMBER(I19)),G19/I19,"n/d")</f>
        <v>325</v>
      </c>
      <c r="R19" s="8"/>
      <c r="S19" s="8"/>
      <c r="T19" s="8"/>
      <c r="U19" s="8" t="str">
        <f aca="false">IF(AND(ISNUMBER(S19),ISNUMBER(W19)),ROUND(W19-S19,2),IF(AND(ISNUMBER(R19),ISNUMBER(V19)),ROUND(V19-R19,2),""))</f>
        <v/>
      </c>
      <c r="V19" s="8" t="str">
        <f aca="false">IF(AND(ISNUMBER(Q19),ISNUMBER(J19)),Q19/J19,"n/d")</f>
        <v>n/d</v>
      </c>
      <c r="W19" s="8" t="str">
        <f aca="false">IF(AND(ISNUMBER(Q19),ISNUMBER(L19)),Q19/L19,"n/d")</f>
        <v>n/d</v>
      </c>
      <c r="X19" s="8" t="n">
        <f aca="false">IF(AND(ISNUMBER(G19),ISNUMBER(I19),ISNUMBER(O19)),G19*1000000/(O19*I19*8760),"n/d")</f>
        <v>3.71004566210046</v>
      </c>
      <c r="Y19" s="1" t="s">
        <v>484</v>
      </c>
      <c r="Z19" s="10" t="s">
        <v>485</v>
      </c>
    </row>
    <row r="20" customFormat="false" ht="15" hidden="false" customHeight="true" outlineLevel="0" collapsed="false">
      <c r="A20" s="1" t="s">
        <v>486</v>
      </c>
      <c r="B20" s="27" t="s">
        <v>378</v>
      </c>
      <c r="C20" s="1" t="s">
        <v>7</v>
      </c>
      <c r="D20" s="1" t="s">
        <v>397</v>
      </c>
      <c r="E20" s="1" t="s">
        <v>380</v>
      </c>
      <c r="F20" s="1" t="s">
        <v>487</v>
      </c>
      <c r="G20" s="28" t="n">
        <v>14200</v>
      </c>
      <c r="H20" s="1" t="s">
        <v>390</v>
      </c>
      <c r="I20" s="1" t="n">
        <v>6.22</v>
      </c>
      <c r="J20" s="1" t="s">
        <v>24</v>
      </c>
      <c r="N20" s="1" t="s">
        <v>393</v>
      </c>
      <c r="Q20" s="8" t="n">
        <f aca="false">IF(AND(ISNUMBER(G20),ISNUMBER(I20)),G20/I20,"n/d")</f>
        <v>2282.95819935691</v>
      </c>
      <c r="R20" s="8"/>
      <c r="S20" s="8"/>
      <c r="T20" s="8"/>
      <c r="U20" s="8" t="str">
        <f aca="false">IF(AND(ISNUMBER(S20),ISNUMBER(W20)),ROUND(W20-S20,2),IF(AND(ISNUMBER(R20),ISNUMBER(V20)),ROUND(V20-R20,2),""))</f>
        <v/>
      </c>
      <c r="V20" s="8" t="str">
        <f aca="false">IF(AND(ISNUMBER(Q20),ISNUMBER(J20)),Q20/J20,"n/d")</f>
        <v>n/d</v>
      </c>
      <c r="W20" s="8" t="str">
        <f aca="false">IF(AND(ISNUMBER(Q20),ISNUMBER(L20)),Q20/L20,"n/d")</f>
        <v>n/d</v>
      </c>
      <c r="X20" s="8" t="str">
        <f aca="false">IF(AND(ISNUMBER(G20),ISNUMBER(I20),ISNUMBER(O20)),G20*1000000/(O20*I20*8760),"n/d")</f>
        <v>n/d</v>
      </c>
      <c r="Y20" s="1" t="s">
        <v>488</v>
      </c>
      <c r="Z20" s="10"/>
    </row>
    <row r="21" customFormat="false" ht="15" hidden="false" customHeight="true" outlineLevel="0" collapsed="false">
      <c r="A21" s="1" t="s">
        <v>489</v>
      </c>
      <c r="B21" s="27" t="s">
        <v>378</v>
      </c>
      <c r="C21" s="1" t="s">
        <v>7</v>
      </c>
      <c r="D21" s="1" t="s">
        <v>490</v>
      </c>
      <c r="E21" s="1" t="s">
        <v>380</v>
      </c>
      <c r="F21" s="1" t="s">
        <v>491</v>
      </c>
      <c r="G21" s="28" t="n">
        <v>21000</v>
      </c>
      <c r="H21" s="1" t="s">
        <v>390</v>
      </c>
      <c r="I21" s="1" t="n">
        <v>6.73</v>
      </c>
      <c r="J21" s="1" t="s">
        <v>24</v>
      </c>
      <c r="N21" s="1" t="s">
        <v>492</v>
      </c>
      <c r="Q21" s="8" t="n">
        <f aca="false">IF(AND(ISNUMBER(G21),ISNUMBER(I21)),G21/I21,"n/d")</f>
        <v>3120.35661218425</v>
      </c>
      <c r="R21" s="8"/>
      <c r="S21" s="8"/>
      <c r="T21" s="8"/>
      <c r="U21" s="8" t="str">
        <f aca="false">IF(AND(ISNUMBER(S21),ISNUMBER(W21)),ROUND(W21-S21,2),IF(AND(ISNUMBER(R21),ISNUMBER(V21)),ROUND(V21-R21,2),""))</f>
        <v/>
      </c>
      <c r="V21" s="8" t="str">
        <f aca="false">IF(AND(ISNUMBER(Q21),ISNUMBER(J21)),Q21/J21,"n/d")</f>
        <v>n/d</v>
      </c>
      <c r="W21" s="8" t="str">
        <f aca="false">IF(AND(ISNUMBER(Q21),ISNUMBER(L21)),Q21/L21,"n/d")</f>
        <v>n/d</v>
      </c>
      <c r="X21" s="8" t="str">
        <f aca="false">IF(AND(ISNUMBER(G21),ISNUMBER(I21),ISNUMBER(O21)),G21*1000000/(O21*I21*8760),"n/d")</f>
        <v>n/d</v>
      </c>
      <c r="Y21" s="1" t="s">
        <v>493</v>
      </c>
      <c r="Z21" s="10"/>
    </row>
    <row r="22" customFormat="false" ht="15" hidden="false" customHeight="true" outlineLevel="0" collapsed="false">
      <c r="A22" s="1" t="s">
        <v>494</v>
      </c>
      <c r="B22" s="27" t="s">
        <v>378</v>
      </c>
      <c r="C22" s="1" t="s">
        <v>7</v>
      </c>
      <c r="D22" s="1" t="s">
        <v>495</v>
      </c>
      <c r="E22" s="1" t="s">
        <v>465</v>
      </c>
      <c r="F22" s="1" t="s">
        <v>496</v>
      </c>
      <c r="G22" s="28" t="n">
        <v>11900</v>
      </c>
      <c r="H22" s="1" t="s">
        <v>390</v>
      </c>
      <c r="I22" s="1" t="n">
        <v>5</v>
      </c>
      <c r="J22" s="1" t="s">
        <v>24</v>
      </c>
      <c r="N22" s="1" t="s">
        <v>24</v>
      </c>
      <c r="Q22" s="8" t="n">
        <f aca="false">IF(AND(ISNUMBER(G22),ISNUMBER(I22)),G22/I22,"n/d")</f>
        <v>2380</v>
      </c>
      <c r="R22" s="8"/>
      <c r="S22" s="8"/>
      <c r="T22" s="8"/>
      <c r="U22" s="8" t="str">
        <f aca="false">IF(AND(ISNUMBER(S22),ISNUMBER(W22)),ROUND(W22-S22,2),IF(AND(ISNUMBER(R22),ISNUMBER(V22)),ROUND(V22-R22,2),""))</f>
        <v/>
      </c>
      <c r="V22" s="8" t="str">
        <f aca="false">IF(AND(ISNUMBER(Q22),ISNUMBER(J22)),Q22/J22,"n/d")</f>
        <v>n/d</v>
      </c>
      <c r="W22" s="8" t="str">
        <f aca="false">IF(AND(ISNUMBER(Q22),ISNUMBER(L22)),Q22/L22,"n/d")</f>
        <v>n/d</v>
      </c>
      <c r="X22" s="8" t="str">
        <f aca="false">IF(AND(ISNUMBER(G22),ISNUMBER(I22),ISNUMBER(O22)),G22*1000000/(O22*I22*8760),"n/d")</f>
        <v>n/d</v>
      </c>
      <c r="Y22" s="1" t="s">
        <v>497</v>
      </c>
      <c r="Z22" s="10" t="s">
        <v>498</v>
      </c>
    </row>
    <row r="23" customFormat="false" ht="15" hidden="false" customHeight="true" outlineLevel="0" collapsed="false">
      <c r="A23" s="1" t="s">
        <v>499</v>
      </c>
      <c r="B23" s="27" t="s">
        <v>378</v>
      </c>
      <c r="C23" s="1" t="s">
        <v>7</v>
      </c>
      <c r="D23" s="1" t="s">
        <v>500</v>
      </c>
      <c r="E23" s="1" t="s">
        <v>465</v>
      </c>
      <c r="F23" s="1" t="s">
        <v>501</v>
      </c>
      <c r="G23" s="28" t="n">
        <v>4000</v>
      </c>
      <c r="H23" s="1" t="s">
        <v>390</v>
      </c>
      <c r="I23" s="1" t="n">
        <v>3.9</v>
      </c>
      <c r="J23" s="1" t="s">
        <v>24</v>
      </c>
      <c r="N23" s="1" t="s">
        <v>24</v>
      </c>
      <c r="Q23" s="8" t="n">
        <f aca="false">IF(AND(ISNUMBER(G23),ISNUMBER(I23)),G23/I23,"n/d")</f>
        <v>1025.64102564103</v>
      </c>
      <c r="R23" s="8"/>
      <c r="S23" s="8"/>
      <c r="T23" s="8"/>
      <c r="U23" s="8" t="str">
        <f aca="false">IF(AND(ISNUMBER(S23),ISNUMBER(W23)),ROUND(W23-S23,2),IF(AND(ISNUMBER(R23),ISNUMBER(V23)),ROUND(V23-R23,2),""))</f>
        <v/>
      </c>
      <c r="V23" s="8" t="str">
        <f aca="false">IF(AND(ISNUMBER(Q23),ISNUMBER(J23)),Q23/J23,"n/d")</f>
        <v>n/d</v>
      </c>
      <c r="W23" s="8" t="str">
        <f aca="false">IF(AND(ISNUMBER(Q23),ISNUMBER(L23)),Q23/L23,"n/d")</f>
        <v>n/d</v>
      </c>
      <c r="X23" s="8" t="str">
        <f aca="false">IF(AND(ISNUMBER(G23),ISNUMBER(I23),ISNUMBER(O23)),G23*1000000/(O23*I23*8760),"n/d")</f>
        <v>n/d</v>
      </c>
      <c r="Y23" s="1" t="s">
        <v>502</v>
      </c>
      <c r="Z23" s="10"/>
    </row>
    <row r="24" customFormat="false" ht="15" hidden="false" customHeight="true" outlineLevel="0" collapsed="false">
      <c r="A24" s="1" t="s">
        <v>503</v>
      </c>
      <c r="B24" s="27" t="s">
        <v>378</v>
      </c>
      <c r="C24" s="1" t="s">
        <v>7</v>
      </c>
      <c r="D24" s="1" t="s">
        <v>504</v>
      </c>
      <c r="E24" s="1" t="s">
        <v>465</v>
      </c>
      <c r="F24" s="1" t="s">
        <v>505</v>
      </c>
      <c r="G24" s="28" t="n">
        <v>6500</v>
      </c>
      <c r="H24" s="1" t="s">
        <v>390</v>
      </c>
      <c r="I24" s="1" t="n">
        <v>5.68</v>
      </c>
      <c r="J24" s="1" t="s">
        <v>24</v>
      </c>
      <c r="N24" s="1" t="s">
        <v>24</v>
      </c>
      <c r="Q24" s="8" t="n">
        <f aca="false">IF(AND(ISNUMBER(G24),ISNUMBER(I24)),G24/I24,"n/d")</f>
        <v>1144.3661971831</v>
      </c>
      <c r="R24" s="8"/>
      <c r="S24" s="8"/>
      <c r="T24" s="8"/>
      <c r="U24" s="8" t="str">
        <f aca="false">IF(AND(ISNUMBER(S24),ISNUMBER(W24)),ROUND(W24-S24,2),IF(AND(ISNUMBER(R24),ISNUMBER(V24)),ROUND(V24-R24,2),""))</f>
        <v/>
      </c>
      <c r="V24" s="8" t="str">
        <f aca="false">IF(AND(ISNUMBER(Q24),ISNUMBER(J24)),Q24/J24,"n/d")</f>
        <v>n/d</v>
      </c>
      <c r="W24" s="8" t="str">
        <f aca="false">IF(AND(ISNUMBER(Q24),ISNUMBER(L24)),Q24/L24,"n/d")</f>
        <v>n/d</v>
      </c>
      <c r="X24" s="8" t="str">
        <f aca="false">IF(AND(ISNUMBER(G24),ISNUMBER(I24),ISNUMBER(O24)),G24*1000000/(O24*I24*8760),"n/d")</f>
        <v>n/d</v>
      </c>
      <c r="Y24" s="1" t="s">
        <v>506</v>
      </c>
      <c r="Z24" s="10" t="s">
        <v>507</v>
      </c>
    </row>
    <row r="25" customFormat="false" ht="15" hidden="false" customHeight="true" outlineLevel="0" collapsed="false">
      <c r="A25" s="1" t="s">
        <v>508</v>
      </c>
      <c r="B25" s="23" t="s">
        <v>430</v>
      </c>
      <c r="C25" s="1" t="s">
        <v>7</v>
      </c>
      <c r="D25" s="1" t="s">
        <v>509</v>
      </c>
      <c r="E25" s="1" t="s">
        <v>510</v>
      </c>
      <c r="F25" s="1" t="s">
        <v>511</v>
      </c>
      <c r="G25" s="28" t="n">
        <v>6000</v>
      </c>
      <c r="H25" s="1" t="s">
        <v>73</v>
      </c>
      <c r="J25" s="1" t="s">
        <v>24</v>
      </c>
      <c r="N25" s="1" t="s">
        <v>512</v>
      </c>
      <c r="Q25" s="8" t="str">
        <f aca="false">IF(AND(ISNUMBER(G25),ISNUMBER(I25)),G25/I25,"n/d")</f>
        <v>n/d</v>
      </c>
      <c r="R25" s="8"/>
      <c r="S25" s="8"/>
      <c r="T25" s="8"/>
      <c r="U25" s="8" t="str">
        <f aca="false">IF(AND(ISNUMBER(S25),ISNUMBER(W25)),ROUND(W25-S25,2),IF(AND(ISNUMBER(R25),ISNUMBER(V25)),ROUND(V25-R25,2),""))</f>
        <v/>
      </c>
      <c r="V25" s="8" t="str">
        <f aca="false">IF(AND(ISNUMBER(Q25),ISNUMBER(J25)),Q25/J25,"n/d")</f>
        <v>n/d</v>
      </c>
      <c r="W25" s="8" t="str">
        <f aca="false">IF(AND(ISNUMBER(Q25),ISNUMBER(L25)),Q25/L25,"n/d")</f>
        <v>n/d</v>
      </c>
      <c r="X25" s="8" t="str">
        <f aca="false">IF(AND(ISNUMBER(G25),ISNUMBER(I25),ISNUMBER(O25)),G25*1000000/(O25*I25*8760),"n/d")</f>
        <v>n/d</v>
      </c>
      <c r="Y25" s="1" t="s">
        <v>513</v>
      </c>
      <c r="Z25" s="10" t="s">
        <v>514</v>
      </c>
    </row>
    <row r="26" customFormat="false" ht="15" hidden="false" customHeight="true" outlineLevel="0" collapsed="false">
      <c r="A26" s="1" t="s">
        <v>515</v>
      </c>
      <c r="B26" s="23" t="s">
        <v>430</v>
      </c>
      <c r="C26" s="1" t="s">
        <v>7</v>
      </c>
      <c r="D26" s="1" t="s">
        <v>464</v>
      </c>
      <c r="E26" s="1" t="s">
        <v>465</v>
      </c>
      <c r="F26" s="1" t="s">
        <v>516</v>
      </c>
      <c r="G26" s="28" t="s">
        <v>24</v>
      </c>
      <c r="H26" s="1" t="s">
        <v>517</v>
      </c>
      <c r="J26" s="1" t="s">
        <v>24</v>
      </c>
      <c r="N26" s="1" t="s">
        <v>24</v>
      </c>
      <c r="Q26" s="8" t="str">
        <f aca="false">IF(AND(ISNUMBER(G26),ISNUMBER(I26)),G26/I26,"n/d")</f>
        <v>n/d</v>
      </c>
      <c r="R26" s="8"/>
      <c r="S26" s="8"/>
      <c r="T26" s="8"/>
      <c r="U26" s="8" t="str">
        <f aca="false">IF(AND(ISNUMBER(S26),ISNUMBER(W26)),ROUND(W26-S26,2),IF(AND(ISNUMBER(R26),ISNUMBER(V26)),ROUND(V26-R26,2),""))</f>
        <v/>
      </c>
      <c r="V26" s="8" t="str">
        <f aca="false">IF(AND(ISNUMBER(Q26),ISNUMBER(J26)),Q26/J26,"n/d")</f>
        <v>n/d</v>
      </c>
      <c r="W26" s="8" t="str">
        <f aca="false">IF(AND(ISNUMBER(Q26),ISNUMBER(L26)),Q26/L26,"n/d")</f>
        <v>n/d</v>
      </c>
      <c r="X26" s="8" t="str">
        <f aca="false">IF(AND(ISNUMBER(G26),ISNUMBER(I26),ISNUMBER(O26)),G26*1000000/(O26*I26*8760),"n/d")</f>
        <v>n/d</v>
      </c>
      <c r="Y26" s="1" t="s">
        <v>518</v>
      </c>
      <c r="Z26" s="10" t="s">
        <v>519</v>
      </c>
    </row>
    <row r="27" customFormat="false" ht="15" hidden="false" customHeight="true" outlineLevel="0" collapsed="false">
      <c r="A27" s="1" t="s">
        <v>520</v>
      </c>
      <c r="B27" s="23" t="s">
        <v>430</v>
      </c>
      <c r="C27" s="1" t="s">
        <v>12</v>
      </c>
      <c r="D27" s="1" t="s">
        <v>509</v>
      </c>
      <c r="E27" s="1" t="s">
        <v>510</v>
      </c>
      <c r="F27" s="1" t="s">
        <v>521</v>
      </c>
      <c r="G27" s="31" t="n">
        <v>13000</v>
      </c>
      <c r="H27" s="1" t="s">
        <v>158</v>
      </c>
      <c r="I27" s="1" t="n">
        <v>5</v>
      </c>
      <c r="J27" s="1" t="s">
        <v>24</v>
      </c>
      <c r="N27" s="1" t="s">
        <v>24</v>
      </c>
      <c r="Q27" s="8" t="n">
        <f aca="false">IF(AND(ISNUMBER(G27),ISNUMBER(I27)),G27/I27,"n/d")</f>
        <v>2600</v>
      </c>
      <c r="R27" s="8"/>
      <c r="S27" s="8"/>
      <c r="T27" s="8"/>
      <c r="U27" s="8" t="str">
        <f aca="false">IF(AND(ISNUMBER(S27),ISNUMBER(W27)),ROUND(W27-S27,2),IF(AND(ISNUMBER(R27),ISNUMBER(V27)),ROUND(V27-R27,2),""))</f>
        <v/>
      </c>
      <c r="V27" s="8" t="str">
        <f aca="false">IF(AND(ISNUMBER(Q27),ISNUMBER(J27)),Q27/J27,"n/d")</f>
        <v>n/d</v>
      </c>
      <c r="W27" s="8" t="str">
        <f aca="false">IF(AND(ISNUMBER(Q27),ISNUMBER(L27)),Q27/L27,"n/d")</f>
        <v>n/d</v>
      </c>
      <c r="X27" s="8" t="str">
        <f aca="false">IF(AND(ISNUMBER(G27),ISNUMBER(I27),ISNUMBER(O27)),G27*1000000/(O27*I27*8760),"n/d")</f>
        <v>n/d</v>
      </c>
      <c r="Y27" s="1" t="s">
        <v>522</v>
      </c>
      <c r="Z27" s="10"/>
    </row>
    <row r="28" customFormat="false" ht="15" hidden="false" customHeight="true" outlineLevel="0" collapsed="false">
      <c r="A28" s="1" t="s">
        <v>523</v>
      </c>
      <c r="B28" s="23" t="s">
        <v>430</v>
      </c>
      <c r="C28" s="1" t="s">
        <v>12</v>
      </c>
      <c r="D28" s="1" t="s">
        <v>524</v>
      </c>
      <c r="E28" s="1" t="s">
        <v>380</v>
      </c>
      <c r="F28" s="1" t="s">
        <v>525</v>
      </c>
      <c r="G28" s="5" t="s">
        <v>24</v>
      </c>
      <c r="J28" s="1" t="n">
        <v>1600</v>
      </c>
      <c r="K28" s="1" t="s">
        <v>526</v>
      </c>
      <c r="N28" s="1" t="s">
        <v>24</v>
      </c>
      <c r="Q28" s="8" t="str">
        <f aca="false">IF(AND(ISNUMBER(G28),ISNUMBER(I28)),G28/I28,"n/d")</f>
        <v>n/d</v>
      </c>
      <c r="R28" s="8"/>
      <c r="S28" s="8"/>
      <c r="T28" s="8"/>
      <c r="U28" s="8" t="str">
        <f aca="false">IF(AND(ISNUMBER(S28),ISNUMBER(W28)),ROUND(W28-S28,2),IF(AND(ISNUMBER(R28),ISNUMBER(V28)),ROUND(V28-R28,2),""))</f>
        <v/>
      </c>
      <c r="V28" s="8" t="str">
        <f aca="false">IF(AND(ISNUMBER(Q28),ISNUMBER(J28)),Q28/J28,"n/d")</f>
        <v>n/d</v>
      </c>
      <c r="W28" s="8" t="str">
        <f aca="false">IF(AND(ISNUMBER(Q28),ISNUMBER(L28)),Q28/L28,"n/d")</f>
        <v>n/d</v>
      </c>
      <c r="X28" s="8" t="str">
        <f aca="false">IF(AND(ISNUMBER(G28),ISNUMBER(I28),ISNUMBER(O28)),G28*1000000/(O28*I28*8760),"n/d")</f>
        <v>n/d</v>
      </c>
      <c r="Y28" s="1" t="s">
        <v>527</v>
      </c>
      <c r="Z28" s="10" t="s">
        <v>528</v>
      </c>
    </row>
    <row r="29" customFormat="false" ht="15" hidden="false" customHeight="true" outlineLevel="0" collapsed="false">
      <c r="A29" s="1" t="s">
        <v>529</v>
      </c>
      <c r="B29" s="23" t="s">
        <v>430</v>
      </c>
      <c r="C29" s="1" t="s">
        <v>12</v>
      </c>
      <c r="D29" s="1" t="s">
        <v>530</v>
      </c>
      <c r="E29" s="1" t="s">
        <v>380</v>
      </c>
      <c r="F29" s="1" t="s">
        <v>531</v>
      </c>
      <c r="G29" s="5" t="s">
        <v>24</v>
      </c>
      <c r="J29" s="1" t="n">
        <v>900</v>
      </c>
      <c r="K29" s="1" t="s">
        <v>532</v>
      </c>
      <c r="L29" s="1" t="n">
        <v>672</v>
      </c>
      <c r="M29" s="1" t="s">
        <v>73</v>
      </c>
      <c r="N29" s="1" t="s">
        <v>24</v>
      </c>
      <c r="Q29" s="8" t="str">
        <f aca="false">IF(AND(ISNUMBER(G29),ISNUMBER(I29)),G29/I29,"n/d")</f>
        <v>n/d</v>
      </c>
      <c r="R29" s="8"/>
      <c r="S29" s="8"/>
      <c r="T29" s="8"/>
      <c r="U29" s="8" t="str">
        <f aca="false">IF(AND(ISNUMBER(S29),ISNUMBER(W29)),ROUND(W29-S29,2),IF(AND(ISNUMBER(R29),ISNUMBER(V29)),ROUND(V29-R29,2),""))</f>
        <v/>
      </c>
      <c r="V29" s="8" t="str">
        <f aca="false">IF(AND(ISNUMBER(Q29),ISNUMBER(J29)),Q29/J29,"n/d")</f>
        <v>n/d</v>
      </c>
      <c r="W29" s="8" t="str">
        <f aca="false">IF(AND(ISNUMBER(Q29),ISNUMBER(L29)),Q29/L29,"n/d")</f>
        <v>n/d</v>
      </c>
      <c r="X29" s="8" t="str">
        <f aca="false">IF(AND(ISNUMBER(G29),ISNUMBER(I29),ISNUMBER(O29)),G29*1000000/(O29*I29*8760),"n/d")</f>
        <v>n/d</v>
      </c>
      <c r="Y29" s="1" t="s">
        <v>533</v>
      </c>
      <c r="Z29" s="10" t="s">
        <v>534</v>
      </c>
    </row>
    <row r="30" customFormat="false" ht="27.75" hidden="false" customHeight="true" outlineLevel="0" collapsed="false">
      <c r="A30" s="1" t="s">
        <v>535</v>
      </c>
      <c r="B30" s="23" t="s">
        <v>430</v>
      </c>
      <c r="C30" s="1" t="s">
        <v>536</v>
      </c>
      <c r="D30" s="1" t="s">
        <v>537</v>
      </c>
      <c r="E30" s="1" t="s">
        <v>538</v>
      </c>
      <c r="F30" s="1" t="s">
        <v>104</v>
      </c>
      <c r="G30" s="5" t="s">
        <v>24</v>
      </c>
      <c r="J30" s="1" t="n">
        <v>1200</v>
      </c>
      <c r="K30" s="1" t="s">
        <v>539</v>
      </c>
      <c r="N30" s="1" t="s">
        <v>540</v>
      </c>
      <c r="Q30" s="8" t="str">
        <f aca="false">IF(AND(ISNUMBER(G30),ISNUMBER(I30)),G30/I30,"n/d")</f>
        <v>n/d</v>
      </c>
      <c r="R30" s="8"/>
      <c r="S30" s="8"/>
      <c r="T30" s="8"/>
      <c r="U30" s="8" t="str">
        <f aca="false">IF(AND(ISNUMBER(S30),ISNUMBER(W30)),ROUND(W30-S30,2),IF(AND(ISNUMBER(R30),ISNUMBER(V30)),ROUND(V30-R30,2),""))</f>
        <v/>
      </c>
      <c r="V30" s="8" t="str">
        <f aca="false">IF(AND(ISNUMBER(Q30),ISNUMBER(J30)),Q30/J30,"n/d")</f>
        <v>n/d</v>
      </c>
      <c r="W30" s="8" t="str">
        <f aca="false">IF(AND(ISNUMBER(Q30),ISNUMBER(L30)),Q30/L30,"n/d")</f>
        <v>n/d</v>
      </c>
      <c r="X30" s="8" t="str">
        <f aca="false">IF(AND(ISNUMBER(G30),ISNUMBER(I30),ISNUMBER(O30)),G30*1000000/(O30*I30*8760),"n/d")</f>
        <v>n/d</v>
      </c>
      <c r="Y30" s="1" t="s">
        <v>541</v>
      </c>
      <c r="Z30" s="10" t="s">
        <v>542</v>
      </c>
    </row>
    <row r="31" customFormat="false" ht="15" hidden="false" customHeight="true" outlineLevel="0" collapsed="false">
      <c r="A31" s="1" t="s">
        <v>543</v>
      </c>
      <c r="B31" s="27" t="s">
        <v>378</v>
      </c>
      <c r="C31" s="1" t="s">
        <v>544</v>
      </c>
      <c r="D31" s="1" t="s">
        <v>545</v>
      </c>
      <c r="E31" s="1" t="s">
        <v>546</v>
      </c>
      <c r="F31" s="1" t="s">
        <v>547</v>
      </c>
      <c r="G31" s="31" t="n">
        <v>300000</v>
      </c>
      <c r="H31" s="1" t="s">
        <v>548</v>
      </c>
      <c r="I31" s="1" t="n">
        <v>5</v>
      </c>
      <c r="J31" s="1" t="n">
        <v>4500</v>
      </c>
      <c r="K31" s="1" t="s">
        <v>391</v>
      </c>
      <c r="L31" s="1" t="n">
        <v>3750</v>
      </c>
      <c r="M31" s="1" t="s">
        <v>549</v>
      </c>
      <c r="N31" s="1" t="s">
        <v>550</v>
      </c>
      <c r="Q31" s="8" t="n">
        <f aca="false">IF(AND(ISNUMBER(G31),ISNUMBER(I31)),G31/I31,"n/d")</f>
        <v>60000</v>
      </c>
      <c r="R31" s="8" t="n">
        <v>13.333</v>
      </c>
      <c r="S31" s="8" t="n">
        <v>16</v>
      </c>
      <c r="T31" s="8"/>
      <c r="U31" s="8" t="n">
        <f aca="false">IF(AND(ISNUMBER(S31),ISNUMBER(W31)),ROUND(W31-S31,2),IF(AND(ISNUMBER(R31),ISNUMBER(V31)),ROUND(V31-R31,2),""))</f>
        <v>0</v>
      </c>
      <c r="V31" s="8" t="n">
        <f aca="false">IF(AND(ISNUMBER(Q31),ISNUMBER(J31)),Q31/J31,"n/d")</f>
        <v>13.3333333333333</v>
      </c>
      <c r="W31" s="8" t="n">
        <f aca="false">IF(AND(ISNUMBER(Q31),ISNUMBER(L31)),Q31/L31,"n/d")</f>
        <v>16</v>
      </c>
      <c r="X31" s="8" t="str">
        <f aca="false">IF(AND(ISNUMBER(G31),ISNUMBER(I31),ISNUMBER(O31)),G31*1000000/(O31*I31*8760),"n/d")</f>
        <v>n/d</v>
      </c>
      <c r="Y31" s="1" t="s">
        <v>551</v>
      </c>
      <c r="Z31" s="10" t="s">
        <v>552</v>
      </c>
    </row>
    <row r="32" customFormat="false" ht="15" hidden="false" customHeight="true" outlineLevel="0" collapsed="false">
      <c r="A32" s="1" t="s">
        <v>553</v>
      </c>
      <c r="B32" s="23" t="s">
        <v>430</v>
      </c>
      <c r="C32" s="1" t="s">
        <v>544</v>
      </c>
      <c r="D32" s="1" t="s">
        <v>524</v>
      </c>
      <c r="E32" s="1" t="s">
        <v>554</v>
      </c>
      <c r="F32" s="1" t="s">
        <v>555</v>
      </c>
      <c r="G32" s="31" t="n">
        <v>20000</v>
      </c>
      <c r="H32" s="1" t="s">
        <v>556</v>
      </c>
      <c r="J32" s="1" t="s">
        <v>24</v>
      </c>
      <c r="N32" s="1" t="s">
        <v>24</v>
      </c>
      <c r="Q32" s="8" t="str">
        <f aca="false">IF(AND(ISNUMBER(G32),ISNUMBER(I32)),G32/I32,"n/d")</f>
        <v>n/d</v>
      </c>
      <c r="R32" s="8"/>
      <c r="S32" s="8"/>
      <c r="T32" s="8"/>
      <c r="U32" s="8" t="str">
        <f aca="false">IF(AND(ISNUMBER(S32),ISNUMBER(W32)),ROUND(W32-S32,2),IF(AND(ISNUMBER(R32),ISNUMBER(V32)),ROUND(V32-R32,2),""))</f>
        <v/>
      </c>
      <c r="V32" s="8" t="str">
        <f aca="false">IF(AND(ISNUMBER(Q32),ISNUMBER(J32)),Q32/J32,"n/d")</f>
        <v>n/d</v>
      </c>
      <c r="W32" s="8" t="str">
        <f aca="false">IF(AND(ISNUMBER(Q32),ISNUMBER(L32)),Q32/L32,"n/d")</f>
        <v>n/d</v>
      </c>
      <c r="X32" s="8" t="str">
        <f aca="false">IF(AND(ISNUMBER(G32),ISNUMBER(I32),ISNUMBER(O32)),G32*1000000/(O32*I32*8760),"n/d")</f>
        <v>n/d</v>
      </c>
      <c r="Y32" s="1" t="s">
        <v>557</v>
      </c>
      <c r="Z32" s="10" t="s">
        <v>558</v>
      </c>
    </row>
    <row r="33" customFormat="false" ht="15" hidden="false" customHeight="true" outlineLevel="0" collapsed="false">
      <c r="A33" s="1" t="s">
        <v>559</v>
      </c>
      <c r="B33" s="27" t="s">
        <v>378</v>
      </c>
      <c r="C33" s="1" t="s">
        <v>560</v>
      </c>
      <c r="D33" s="1" t="s">
        <v>464</v>
      </c>
      <c r="E33" s="1" t="s">
        <v>561</v>
      </c>
      <c r="F33" s="1" t="s">
        <v>562</v>
      </c>
      <c r="G33" s="28" t="s">
        <v>563</v>
      </c>
      <c r="H33" s="1" t="s">
        <v>73</v>
      </c>
      <c r="I33" s="1" t="n">
        <v>2.9</v>
      </c>
      <c r="J33" s="1" t="s">
        <v>24</v>
      </c>
      <c r="N33" s="1" t="s">
        <v>564</v>
      </c>
      <c r="O33" s="1" t="n">
        <v>325000</v>
      </c>
      <c r="P33" s="1" t="s">
        <v>73</v>
      </c>
      <c r="Q33" s="8" t="n">
        <f aca="false">1250*12</f>
        <v>15000</v>
      </c>
      <c r="R33" s="8"/>
      <c r="S33" s="8"/>
      <c r="T33" s="8" t="n">
        <v>5.269</v>
      </c>
      <c r="U33" s="8" t="str">
        <f aca="false">IF(AND(ISNUMBER(S33),ISNUMBER(W33)),ROUND(W33-S33,2),IF(AND(ISNUMBER(R33),ISNUMBER(V33)),ROUND(V33-R33,2),""))</f>
        <v/>
      </c>
      <c r="V33" s="8" t="str">
        <f aca="false">IF(AND(ISNUMBER(Q33),ISNUMBER(J33)),Q33/J33,"n/d")</f>
        <v>n/d</v>
      </c>
      <c r="W33" s="8" t="str">
        <f aca="false">IF(AND(ISNUMBER(Q33),ISNUMBER(L33)),Q33/L33,"n/d")</f>
        <v>n/d</v>
      </c>
      <c r="X33" s="8" t="n">
        <f aca="false">1250*1000000/(O33*730)</f>
        <v>5.26870389884089</v>
      </c>
      <c r="Y33" s="1" t="s">
        <v>565</v>
      </c>
      <c r="Z33" s="10" t="s">
        <v>566</v>
      </c>
    </row>
    <row r="34" customFormat="false" ht="15" hidden="false" customHeight="true" outlineLevel="0" collapsed="false">
      <c r="A34" s="1" t="s">
        <v>567</v>
      </c>
      <c r="B34" s="23" t="s">
        <v>430</v>
      </c>
      <c r="C34" s="1" t="s">
        <v>568</v>
      </c>
      <c r="D34" s="1" t="s">
        <v>569</v>
      </c>
      <c r="E34" s="1" t="s">
        <v>546</v>
      </c>
      <c r="F34" s="1" t="s">
        <v>570</v>
      </c>
      <c r="G34" s="28" t="n">
        <v>250000</v>
      </c>
      <c r="H34" s="1" t="s">
        <v>571</v>
      </c>
      <c r="J34" s="1" t="s">
        <v>24</v>
      </c>
      <c r="N34" s="1" t="s">
        <v>24</v>
      </c>
      <c r="Q34" s="8" t="str">
        <f aca="false">IF(AND(ISNUMBER(G34),ISNUMBER(I34)),G34/I34,"n/d")</f>
        <v>n/d</v>
      </c>
      <c r="R34" s="8"/>
      <c r="S34" s="8"/>
      <c r="T34" s="8"/>
      <c r="U34" s="8" t="str">
        <f aca="false">IF(AND(ISNUMBER(S34),ISNUMBER(W34)),ROUND(W34-S34,2),IF(AND(ISNUMBER(R34),ISNUMBER(V34)),ROUND(V34-R34,2),""))</f>
        <v/>
      </c>
      <c r="V34" s="8" t="str">
        <f aca="false">IF(AND(ISNUMBER(Q34),ISNUMBER(J34)),Q34/J34,"n/d")</f>
        <v>n/d</v>
      </c>
      <c r="W34" s="8" t="str">
        <f aca="false">IF(AND(ISNUMBER(Q34),ISNUMBER(L34)),Q34/L34,"n/d")</f>
        <v>n/d</v>
      </c>
      <c r="X34" s="8" t="str">
        <f aca="false">IF(AND(ISNUMBER(G34),ISNUMBER(I34),ISNUMBER(O34)),G34*1000000/(O34*I34*8760),"n/d")</f>
        <v>n/d</v>
      </c>
      <c r="Y34" s="1" t="s">
        <v>572</v>
      </c>
      <c r="Z34" s="10" t="s">
        <v>573</v>
      </c>
    </row>
    <row r="35" customFormat="false" ht="15" hidden="false" customHeight="true" outlineLevel="0" collapsed="false">
      <c r="A35" s="1" t="s">
        <v>574</v>
      </c>
      <c r="B35" s="23" t="s">
        <v>430</v>
      </c>
      <c r="C35" s="1" t="s">
        <v>575</v>
      </c>
      <c r="D35" s="1" t="s">
        <v>569</v>
      </c>
      <c r="E35" s="1" t="s">
        <v>546</v>
      </c>
      <c r="F35" s="1" t="s">
        <v>423</v>
      </c>
      <c r="G35" s="28" t="n">
        <v>38000</v>
      </c>
      <c r="H35" s="1" t="s">
        <v>73</v>
      </c>
      <c r="I35" s="1" t="n">
        <v>7</v>
      </c>
      <c r="J35" s="1" t="s">
        <v>24</v>
      </c>
      <c r="N35" s="1" t="s">
        <v>576</v>
      </c>
      <c r="P35" s="1" t="s">
        <v>577</v>
      </c>
      <c r="Q35" s="8" t="n">
        <f aca="false">IF(AND(ISNUMBER(G35),ISNUMBER(I35)),G35/I35,"n/d")</f>
        <v>5428.57142857143</v>
      </c>
      <c r="R35" s="8"/>
      <c r="S35" s="8"/>
      <c r="T35" s="8"/>
      <c r="U35" s="8" t="str">
        <f aca="false">IF(AND(ISNUMBER(S35),ISNUMBER(W35)),ROUND(W35-S35,2),IF(AND(ISNUMBER(R35),ISNUMBER(V35)),ROUND(V35-R35,2),""))</f>
        <v/>
      </c>
      <c r="V35" s="8" t="str">
        <f aca="false">IF(AND(ISNUMBER(Q35),ISNUMBER(J35)),Q35/J35,"n/d")</f>
        <v>n/d</v>
      </c>
      <c r="W35" s="8" t="str">
        <f aca="false">IF(AND(ISNUMBER(Q35),ISNUMBER(L35)),Q35/L35,"n/d")</f>
        <v>n/d</v>
      </c>
      <c r="X35" s="8" t="str">
        <f aca="false">IF(AND(ISNUMBER(G35),ISNUMBER(I35),ISNUMBER(O35)),G35*1000000/(O35*I35*8760),"n/d")</f>
        <v>n/d</v>
      </c>
      <c r="Y35" s="1" t="s">
        <v>578</v>
      </c>
      <c r="Z35" s="10" t="s">
        <v>579</v>
      </c>
    </row>
    <row r="36" customFormat="false" ht="27.75" hidden="false" customHeight="true" outlineLevel="0" collapsed="false">
      <c r="A36" s="1" t="s">
        <v>580</v>
      </c>
      <c r="B36" s="23" t="s">
        <v>430</v>
      </c>
      <c r="C36" s="1" t="s">
        <v>568</v>
      </c>
      <c r="D36" s="1" t="s">
        <v>464</v>
      </c>
      <c r="E36" s="1" t="s">
        <v>546</v>
      </c>
      <c r="F36" s="1" t="s">
        <v>581</v>
      </c>
      <c r="G36" s="28" t="n">
        <v>30000</v>
      </c>
      <c r="H36" s="1" t="s">
        <v>73</v>
      </c>
      <c r="J36" s="1" t="s">
        <v>582</v>
      </c>
      <c r="N36" s="1" t="s">
        <v>583</v>
      </c>
      <c r="Q36" s="8" t="str">
        <f aca="false">IF(AND(ISNUMBER(G36),ISNUMBER(I36)),G36/I36,"n/d")</f>
        <v>n/d</v>
      </c>
      <c r="R36" s="8"/>
      <c r="S36" s="8"/>
      <c r="T36" s="8"/>
      <c r="U36" s="8" t="str">
        <f aca="false">IF(AND(ISNUMBER(S36),ISNUMBER(W36)),ROUND(W36-S36,2),IF(AND(ISNUMBER(R36),ISNUMBER(V36)),ROUND(V36-R36,2),""))</f>
        <v/>
      </c>
      <c r="V36" s="8" t="str">
        <f aca="false">IF(AND(ISNUMBER(Q36),ISNUMBER(J36)),Q36/J36,"n/d")</f>
        <v>n/d</v>
      </c>
      <c r="W36" s="8" t="str">
        <f aca="false">IF(AND(ISNUMBER(Q36),ISNUMBER(L36)),Q36/L36,"n/d")</f>
        <v>n/d</v>
      </c>
      <c r="X36" s="8" t="str">
        <f aca="false">IF(AND(ISNUMBER(G36),ISNUMBER(I36),ISNUMBER(O36)),G36*1000000/(O36*I36*8760),"n/d")</f>
        <v>n/d</v>
      </c>
      <c r="Y36" s="1" t="s">
        <v>584</v>
      </c>
      <c r="Z36" s="10" t="s">
        <v>585</v>
      </c>
    </row>
    <row r="37" customFormat="false" ht="15" hidden="false" customHeight="true" outlineLevel="0" collapsed="false">
      <c r="A37" s="1" t="s">
        <v>586</v>
      </c>
      <c r="B37" s="23" t="s">
        <v>430</v>
      </c>
      <c r="C37" s="1" t="s">
        <v>587</v>
      </c>
      <c r="D37" s="1" t="s">
        <v>464</v>
      </c>
      <c r="E37" s="1" t="s">
        <v>546</v>
      </c>
      <c r="F37" s="1" t="s">
        <v>588</v>
      </c>
      <c r="G37" s="31" t="s">
        <v>589</v>
      </c>
      <c r="H37" s="1" t="s">
        <v>158</v>
      </c>
      <c r="J37" s="1" t="s">
        <v>590</v>
      </c>
      <c r="K37" s="1" t="s">
        <v>391</v>
      </c>
      <c r="N37" s="1" t="s">
        <v>591</v>
      </c>
      <c r="Q37" s="8" t="str">
        <f aca="false">IF(AND(ISNUMBER(G37),ISNUMBER(I37)),G37/I37,"n/d")</f>
        <v>n/d</v>
      </c>
      <c r="R37" s="8"/>
      <c r="S37" s="8"/>
      <c r="T37" s="8"/>
      <c r="U37" s="8" t="str">
        <f aca="false">IF(AND(ISNUMBER(S37),ISNUMBER(W37)),ROUND(W37-S37,2),IF(AND(ISNUMBER(R37),ISNUMBER(V37)),ROUND(V37-R37,2),""))</f>
        <v/>
      </c>
      <c r="V37" s="8" t="str">
        <f aca="false">IF(AND(ISNUMBER(Q37),ISNUMBER(J37)),Q37/J37,"n/d")</f>
        <v>n/d</v>
      </c>
      <c r="W37" s="8" t="str">
        <f aca="false">IF(AND(ISNUMBER(Q37),ISNUMBER(L37)),Q37/L37,"n/d")</f>
        <v>n/d</v>
      </c>
      <c r="X37" s="8" t="str">
        <f aca="false">IF(AND(ISNUMBER(G37),ISNUMBER(I37),ISNUMBER(O37)),G37*1000000/(O37*I37*8760),"n/d")</f>
        <v>n/d</v>
      </c>
      <c r="Y37" s="1" t="s">
        <v>592</v>
      </c>
      <c r="Z37" s="10" t="s">
        <v>593</v>
      </c>
    </row>
    <row r="38" customFormat="false" ht="15" hidden="false" customHeight="true" outlineLevel="0" collapsed="false">
      <c r="A38" s="1" t="s">
        <v>594</v>
      </c>
      <c r="B38" s="23" t="s">
        <v>430</v>
      </c>
      <c r="C38" s="1" t="s">
        <v>587</v>
      </c>
      <c r="D38" s="1" t="s">
        <v>524</v>
      </c>
      <c r="E38" s="1" t="s">
        <v>554</v>
      </c>
      <c r="F38" s="1" t="s">
        <v>595</v>
      </c>
      <c r="G38" s="31" t="n">
        <v>10000</v>
      </c>
      <c r="H38" s="1" t="s">
        <v>596</v>
      </c>
      <c r="I38" s="1" t="n">
        <v>6</v>
      </c>
      <c r="J38" s="1" t="s">
        <v>24</v>
      </c>
      <c r="N38" s="1" t="s">
        <v>24</v>
      </c>
      <c r="Q38" s="8" t="n">
        <f aca="false">IF(AND(ISNUMBER(G38),ISNUMBER(I38)),G38/I38,"n/d")</f>
        <v>1666.66666666667</v>
      </c>
      <c r="R38" s="8"/>
      <c r="S38" s="8"/>
      <c r="T38" s="8"/>
      <c r="U38" s="8" t="str">
        <f aca="false">IF(AND(ISNUMBER(S38),ISNUMBER(W38)),ROUND(W38-S38,2),IF(AND(ISNUMBER(R38),ISNUMBER(V38)),ROUND(V38-R38,2),""))</f>
        <v/>
      </c>
      <c r="V38" s="8" t="str">
        <f aca="false">IF(AND(ISNUMBER(Q38),ISNUMBER(J38)),Q38/J38,"n/d")</f>
        <v>n/d</v>
      </c>
      <c r="W38" s="8" t="str">
        <f aca="false">IF(AND(ISNUMBER(Q38),ISNUMBER(L38)),Q38/L38,"n/d")</f>
        <v>n/d</v>
      </c>
      <c r="X38" s="8" t="str">
        <f aca="false">IF(AND(ISNUMBER(G38),ISNUMBER(I38),ISNUMBER(O38)),G38*1000000/(O38*I38*8760),"n/d")</f>
        <v>n/d</v>
      </c>
      <c r="Y38" s="1" t="s">
        <v>597</v>
      </c>
      <c r="Z38" s="10"/>
    </row>
    <row r="39" customFormat="false" ht="27.75" hidden="false" customHeight="true" outlineLevel="0" collapsed="false">
      <c r="A39" s="1" t="s">
        <v>598</v>
      </c>
      <c r="B39" s="23" t="s">
        <v>430</v>
      </c>
      <c r="C39" s="1" t="s">
        <v>599</v>
      </c>
      <c r="D39" s="1" t="s">
        <v>569</v>
      </c>
      <c r="E39" s="1" t="s">
        <v>600</v>
      </c>
      <c r="F39" s="1" t="s">
        <v>601</v>
      </c>
      <c r="G39" s="31" t="n">
        <v>10000</v>
      </c>
      <c r="H39" s="1" t="s">
        <v>596</v>
      </c>
      <c r="I39" s="1" t="n">
        <v>3</v>
      </c>
      <c r="J39" s="1" t="n">
        <v>750</v>
      </c>
      <c r="K39" s="1" t="s">
        <v>602</v>
      </c>
      <c r="N39" s="1" t="s">
        <v>603</v>
      </c>
      <c r="Q39" s="8" t="n">
        <f aca="false">IF(AND(ISNUMBER(G39),ISNUMBER(I39)),G39/I39,"n/d")</f>
        <v>3333.33333333333</v>
      </c>
      <c r="R39" s="8"/>
      <c r="S39" s="8"/>
      <c r="T39" s="8"/>
      <c r="U39" s="8" t="str">
        <f aca="false">IF(AND(ISNUMBER(S39),ISNUMBER(W39)),ROUND(W39-S39,2),IF(AND(ISNUMBER(R39),ISNUMBER(V39)),ROUND(V39-R39,2),""))</f>
        <v/>
      </c>
      <c r="V39" s="8" t="n">
        <f aca="false">IF(AND(ISNUMBER(Q39),ISNUMBER(J39)),Q39/J39,"n/d")</f>
        <v>4.44444444444445</v>
      </c>
      <c r="W39" s="8" t="str">
        <f aca="false">IF(AND(ISNUMBER(Q39),ISNUMBER(L39)),Q39/L39,"n/d")</f>
        <v>n/d</v>
      </c>
      <c r="X39" s="8" t="str">
        <f aca="false">IF(AND(ISNUMBER(G39),ISNUMBER(I39),ISNUMBER(O39)),G39*1000000/(O39*I39*8760),"n/d")</f>
        <v>n/d</v>
      </c>
      <c r="Y39" s="1" t="s">
        <v>604</v>
      </c>
      <c r="Z39" s="10" t="s">
        <v>605</v>
      </c>
    </row>
    <row r="40" customFormat="false" ht="15" hidden="false" customHeight="true" outlineLevel="0" collapsed="false">
      <c r="A40" s="1" t="s">
        <v>606</v>
      </c>
      <c r="B40" s="27" t="s">
        <v>378</v>
      </c>
      <c r="C40" s="1" t="s">
        <v>607</v>
      </c>
      <c r="D40" s="1" t="s">
        <v>608</v>
      </c>
      <c r="E40" s="25" t="s">
        <v>609</v>
      </c>
      <c r="F40" s="1" t="s">
        <v>610</v>
      </c>
      <c r="G40" s="28" t="n">
        <v>3700</v>
      </c>
      <c r="H40" s="1" t="s">
        <v>73</v>
      </c>
      <c r="I40" s="1" t="n">
        <v>10</v>
      </c>
      <c r="J40" s="1" t="n">
        <v>200</v>
      </c>
      <c r="K40" s="1" t="s">
        <v>424</v>
      </c>
      <c r="L40" s="1" t="n">
        <v>200</v>
      </c>
      <c r="M40" s="1" t="s">
        <v>73</v>
      </c>
      <c r="N40" s="1" t="s">
        <v>87</v>
      </c>
      <c r="Q40" s="8" t="n">
        <f aca="false">IF(AND(ISNUMBER(G40),ISNUMBER(I40)),G40/I40,"n/d")</f>
        <v>370</v>
      </c>
      <c r="R40" s="8" t="n">
        <v>1.85</v>
      </c>
      <c r="S40" s="8" t="n">
        <v>1.85</v>
      </c>
      <c r="T40" s="8"/>
      <c r="U40" s="8" t="n">
        <f aca="false">IF(AND(ISNUMBER(S40),ISNUMBER(W40)),ROUND(W40-S40,2),IF(AND(ISNUMBER(R40),ISNUMBER(V40)),ROUND(V40-R40,2),""))</f>
        <v>0</v>
      </c>
      <c r="V40" s="8" t="n">
        <f aca="false">IF(AND(ISNUMBER(Q40),ISNUMBER(J40)),Q40/J40,"n/d")</f>
        <v>1.85</v>
      </c>
      <c r="W40" s="8" t="n">
        <f aca="false">IF(AND(ISNUMBER(Q40),ISNUMBER(L40)),Q40/L40,"n/d")</f>
        <v>1.85</v>
      </c>
      <c r="X40" s="8" t="str">
        <f aca="false">IF(AND(ISNUMBER(G40),ISNUMBER(I40),ISNUMBER(O40)),G40*1000000/(O40*I40*8760),"n/d")</f>
        <v>n/d</v>
      </c>
      <c r="Y40" s="1" t="s">
        <v>611</v>
      </c>
      <c r="Z40" s="10" t="s">
        <v>612</v>
      </c>
    </row>
    <row r="41" customFormat="false" ht="15" hidden="false" customHeight="true" outlineLevel="0" collapsed="false">
      <c r="A41" s="1" t="s">
        <v>613</v>
      </c>
      <c r="B41" s="23" t="s">
        <v>430</v>
      </c>
      <c r="C41" s="1" t="s">
        <v>614</v>
      </c>
      <c r="D41" s="1" t="s">
        <v>575</v>
      </c>
      <c r="E41" s="25" t="s">
        <v>609</v>
      </c>
      <c r="F41" s="1" t="s">
        <v>423</v>
      </c>
      <c r="G41" s="28" t="n">
        <v>5500</v>
      </c>
      <c r="H41" s="1" t="s">
        <v>73</v>
      </c>
      <c r="I41" s="1" t="n">
        <v>15</v>
      </c>
      <c r="J41" s="1" t="n">
        <v>300</v>
      </c>
      <c r="K41" s="1" t="s">
        <v>615</v>
      </c>
      <c r="N41" s="1" t="s">
        <v>87</v>
      </c>
      <c r="Q41" s="8" t="n">
        <f aca="false">IF(AND(ISNUMBER(G41),ISNUMBER(I41)),G41/I41,"n/d")</f>
        <v>366.666666666667</v>
      </c>
      <c r="R41" s="8"/>
      <c r="S41" s="8"/>
      <c r="T41" s="8"/>
      <c r="U41" s="8" t="str">
        <f aca="false">IF(AND(ISNUMBER(S41),ISNUMBER(W41)),ROUND(W41-S41,2),IF(AND(ISNUMBER(R41),ISNUMBER(V41)),ROUND(V41-R41,2),""))</f>
        <v/>
      </c>
      <c r="V41" s="8" t="n">
        <f aca="false">IF(AND(ISNUMBER(Q41),ISNUMBER(J41)),Q41/J41,"n/d")</f>
        <v>1.22222222222222</v>
      </c>
      <c r="W41" s="8" t="str">
        <f aca="false">IF(AND(ISNUMBER(Q41),ISNUMBER(L41)),Q41/L41,"n/d")</f>
        <v>n/d</v>
      </c>
      <c r="X41" s="8" t="str">
        <f aca="false">IF(AND(ISNUMBER(G41),ISNUMBER(I41),ISNUMBER(O41)),G41*1000000/(O41*I41*8760),"n/d")</f>
        <v>n/d</v>
      </c>
      <c r="Y41" s="1" t="s">
        <v>616</v>
      </c>
      <c r="Z41" s="10" t="s">
        <v>617</v>
      </c>
    </row>
    <row r="42" customFormat="false" ht="15" hidden="false" customHeight="true" outlineLevel="0" collapsed="false">
      <c r="A42" s="1" t="s">
        <v>618</v>
      </c>
      <c r="B42" s="23" t="s">
        <v>430</v>
      </c>
      <c r="C42" s="1" t="s">
        <v>614</v>
      </c>
      <c r="D42" s="1" t="s">
        <v>619</v>
      </c>
      <c r="E42" s="25" t="s">
        <v>609</v>
      </c>
      <c r="F42" s="1" t="s">
        <v>505</v>
      </c>
      <c r="G42" s="28" t="n">
        <v>3000</v>
      </c>
      <c r="H42" s="1" t="s">
        <v>73</v>
      </c>
      <c r="I42" s="1" t="n">
        <v>10</v>
      </c>
      <c r="J42" s="1" t="n">
        <v>168</v>
      </c>
      <c r="K42" s="1" t="s">
        <v>424</v>
      </c>
      <c r="L42" s="1" t="n">
        <v>168</v>
      </c>
      <c r="M42" s="1" t="s">
        <v>73</v>
      </c>
      <c r="N42" s="1" t="s">
        <v>87</v>
      </c>
      <c r="Q42" s="8" t="n">
        <f aca="false">IF(AND(ISNUMBER(G42),ISNUMBER(I42)),G42/I42,"n/d")</f>
        <v>300</v>
      </c>
      <c r="R42" s="8"/>
      <c r="S42" s="8"/>
      <c r="T42" s="8"/>
      <c r="U42" s="8" t="str">
        <f aca="false">IF(AND(ISNUMBER(S42),ISNUMBER(W42)),ROUND(W42-S42,2),IF(AND(ISNUMBER(R42),ISNUMBER(V42)),ROUND(V42-R42,2),""))</f>
        <v/>
      </c>
      <c r="V42" s="8" t="n">
        <f aca="false">IF(AND(ISNUMBER(Q42),ISNUMBER(J42)),Q42/J42,"n/d")</f>
        <v>1.78571428571429</v>
      </c>
      <c r="W42" s="8" t="n">
        <f aca="false">IF(AND(ISNUMBER(Q42),ISNUMBER(L42)),Q42/L42,"n/d")</f>
        <v>1.78571428571429</v>
      </c>
      <c r="X42" s="8" t="str">
        <f aca="false">IF(AND(ISNUMBER(G42),ISNUMBER(I42),ISNUMBER(O42)),G42*1000000/(O42*I42*8760),"n/d")</f>
        <v>n/d</v>
      </c>
      <c r="Y42" s="1" t="s">
        <v>620</v>
      </c>
      <c r="Z42" s="10" t="s">
        <v>621</v>
      </c>
    </row>
    <row r="43" customFormat="false" ht="15" hidden="false" customHeight="true" outlineLevel="0" collapsed="false">
      <c r="A43" s="1" t="s">
        <v>622</v>
      </c>
      <c r="B43" s="23" t="s">
        <v>430</v>
      </c>
      <c r="C43" s="1" t="s">
        <v>623</v>
      </c>
      <c r="D43" s="1" t="s">
        <v>624</v>
      </c>
      <c r="E43" s="25" t="s">
        <v>609</v>
      </c>
      <c r="F43" s="1" t="s">
        <v>625</v>
      </c>
      <c r="G43" s="28" t="n">
        <v>7000</v>
      </c>
      <c r="H43" s="1" t="s">
        <v>73</v>
      </c>
      <c r="I43" s="1" t="n">
        <v>15</v>
      </c>
      <c r="J43" s="1" t="n">
        <v>245</v>
      </c>
      <c r="K43" s="1" t="s">
        <v>424</v>
      </c>
      <c r="L43" s="1" t="n">
        <v>245</v>
      </c>
      <c r="M43" s="1" t="s">
        <v>73</v>
      </c>
      <c r="N43" s="1" t="s">
        <v>87</v>
      </c>
      <c r="Q43" s="8" t="n">
        <f aca="false">IF(AND(ISNUMBER(G43),ISNUMBER(I43)),G43/I43,"n/d")</f>
        <v>466.666666666667</v>
      </c>
      <c r="R43" s="8"/>
      <c r="S43" s="8"/>
      <c r="T43" s="8"/>
      <c r="U43" s="8" t="str">
        <f aca="false">IF(AND(ISNUMBER(S43),ISNUMBER(W43)),ROUND(W43-S43,2),IF(AND(ISNUMBER(R43),ISNUMBER(V43)),ROUND(V43-R43,2),""))</f>
        <v/>
      </c>
      <c r="V43" s="8" t="n">
        <f aca="false">IF(AND(ISNUMBER(Q43),ISNUMBER(J43)),Q43/J43,"n/d")</f>
        <v>1.9047619047619</v>
      </c>
      <c r="W43" s="8" t="n">
        <f aca="false">IF(AND(ISNUMBER(Q43),ISNUMBER(L43)),Q43/L43,"n/d")</f>
        <v>1.9047619047619</v>
      </c>
      <c r="X43" s="8" t="str">
        <f aca="false">IF(AND(ISNUMBER(G43),ISNUMBER(I43),ISNUMBER(O43)),G43*1000000/(O43*I43*8760),"n/d")</f>
        <v>n/d</v>
      </c>
      <c r="Y43" s="1" t="s">
        <v>626</v>
      </c>
      <c r="Z43" s="10" t="s">
        <v>627</v>
      </c>
    </row>
    <row r="44" customFormat="false" ht="15" hidden="false" customHeight="true" outlineLevel="0" collapsed="false">
      <c r="A44" s="1" t="s">
        <v>628</v>
      </c>
      <c r="B44" s="23" t="s">
        <v>430</v>
      </c>
      <c r="C44" s="1" t="s">
        <v>629</v>
      </c>
      <c r="D44" s="1" t="s">
        <v>630</v>
      </c>
      <c r="E44" s="25" t="s">
        <v>609</v>
      </c>
      <c r="F44" s="1" t="s">
        <v>631</v>
      </c>
      <c r="G44" s="28" t="n">
        <v>11000</v>
      </c>
      <c r="H44" s="1" t="s">
        <v>73</v>
      </c>
      <c r="I44" s="1" t="n">
        <v>15</v>
      </c>
      <c r="J44" s="1" t="n">
        <v>400</v>
      </c>
      <c r="K44" s="1" t="s">
        <v>424</v>
      </c>
      <c r="L44" s="1" t="n">
        <v>400</v>
      </c>
      <c r="M44" s="1" t="s">
        <v>73</v>
      </c>
      <c r="N44" s="1" t="s">
        <v>87</v>
      </c>
      <c r="Q44" s="8" t="n">
        <f aca="false">IF(AND(ISNUMBER(G44),ISNUMBER(I44)),G44/I44,"n/d")</f>
        <v>733.333333333333</v>
      </c>
      <c r="R44" s="8"/>
      <c r="S44" s="8"/>
      <c r="T44" s="8"/>
      <c r="U44" s="8" t="str">
        <f aca="false">IF(AND(ISNUMBER(S44),ISNUMBER(W44)),ROUND(W44-S44,2),IF(AND(ISNUMBER(R44),ISNUMBER(V44)),ROUND(V44-R44,2),""))</f>
        <v/>
      </c>
      <c r="V44" s="8" t="n">
        <f aca="false">IF(AND(ISNUMBER(Q44),ISNUMBER(J44)),Q44/J44,"n/d")</f>
        <v>1.83333333333333</v>
      </c>
      <c r="W44" s="8" t="n">
        <f aca="false">IF(AND(ISNUMBER(Q44),ISNUMBER(L44)),Q44/L44,"n/d")</f>
        <v>1.83333333333333</v>
      </c>
      <c r="X44" s="8" t="str">
        <f aca="false">IF(AND(ISNUMBER(G44),ISNUMBER(I44),ISNUMBER(O44)),G44*1000000/(O44*I44*8760),"n/d")</f>
        <v>n/d</v>
      </c>
      <c r="Y44" s="1" t="s">
        <v>632</v>
      </c>
      <c r="Z44" s="10" t="s">
        <v>633</v>
      </c>
    </row>
    <row r="45" customFormat="false" ht="15" hidden="false" customHeight="true" outlineLevel="0" collapsed="false">
      <c r="A45" s="1" t="s">
        <v>634</v>
      </c>
      <c r="B45" s="23" t="s">
        <v>430</v>
      </c>
      <c r="C45" s="1" t="s">
        <v>635</v>
      </c>
      <c r="D45" s="1" t="s">
        <v>636</v>
      </c>
      <c r="E45" s="25" t="s">
        <v>609</v>
      </c>
      <c r="F45" s="1" t="s">
        <v>637</v>
      </c>
      <c r="G45" s="29" t="n">
        <v>15000</v>
      </c>
      <c r="H45" s="1" t="s">
        <v>638</v>
      </c>
      <c r="I45" s="1" t="n">
        <v>15</v>
      </c>
      <c r="J45" s="1" t="n">
        <v>526</v>
      </c>
      <c r="K45" s="1" t="s">
        <v>639</v>
      </c>
      <c r="L45" s="1" t="n">
        <v>526</v>
      </c>
      <c r="M45" s="1" t="s">
        <v>73</v>
      </c>
      <c r="N45" s="1" t="s">
        <v>87</v>
      </c>
      <c r="Q45" s="8" t="n">
        <f aca="false">IF(AND(ISNUMBER(G45),ISNUMBER(I45)),G45/I45,"n/d")</f>
        <v>1000</v>
      </c>
      <c r="R45" s="8"/>
      <c r="S45" s="8"/>
      <c r="T45" s="8"/>
      <c r="U45" s="8" t="str">
        <f aca="false">IF(AND(ISNUMBER(S45),ISNUMBER(W45)),ROUND(W45-S45,2),IF(AND(ISNUMBER(R45),ISNUMBER(V45)),ROUND(V45-R45,2),""))</f>
        <v/>
      </c>
      <c r="V45" s="8" t="n">
        <f aca="false">IF(AND(ISNUMBER(Q45),ISNUMBER(J45)),Q45/J45,"n/d")</f>
        <v>1.90114068441065</v>
      </c>
      <c r="W45" s="8" t="n">
        <f aca="false">IF(AND(ISNUMBER(Q45),ISNUMBER(L45)),Q45/L45,"n/d")</f>
        <v>1.90114068441065</v>
      </c>
      <c r="X45" s="8" t="str">
        <f aca="false">IF(AND(ISNUMBER(G45),ISNUMBER(I45),ISNUMBER(O45)),G45*1000000/(O45*I45*8760),"n/d")</f>
        <v>n/d</v>
      </c>
      <c r="Y45" s="1" t="s">
        <v>640</v>
      </c>
      <c r="Z45" s="10" t="s">
        <v>641</v>
      </c>
    </row>
    <row r="46" customFormat="false" ht="15" hidden="false" customHeight="true" outlineLevel="0" collapsed="false">
      <c r="A46" s="1" t="s">
        <v>642</v>
      </c>
      <c r="B46" s="23" t="s">
        <v>430</v>
      </c>
      <c r="C46" s="1" t="s">
        <v>623</v>
      </c>
      <c r="D46" s="1" t="s">
        <v>643</v>
      </c>
      <c r="E46" s="25" t="s">
        <v>609</v>
      </c>
      <c r="F46" s="1" t="s">
        <v>644</v>
      </c>
      <c r="G46" s="31" t="n">
        <v>19600</v>
      </c>
      <c r="H46" s="1" t="s">
        <v>158</v>
      </c>
      <c r="I46" s="1" t="n">
        <v>15</v>
      </c>
      <c r="J46" s="1" t="n">
        <v>704</v>
      </c>
      <c r="K46" s="1" t="s">
        <v>391</v>
      </c>
      <c r="N46" s="1" t="s">
        <v>87</v>
      </c>
      <c r="Q46" s="8" t="n">
        <f aca="false">IF(AND(ISNUMBER(G46),ISNUMBER(I46)),G46/I46,"n/d")</f>
        <v>1306.66666666667</v>
      </c>
      <c r="R46" s="8"/>
      <c r="S46" s="8"/>
      <c r="T46" s="8"/>
      <c r="U46" s="8" t="str">
        <f aca="false">IF(AND(ISNUMBER(S46),ISNUMBER(W46)),ROUND(W46-S46,2),IF(AND(ISNUMBER(R46),ISNUMBER(V46)),ROUND(V46-R46,2),""))</f>
        <v/>
      </c>
      <c r="V46" s="8" t="n">
        <f aca="false">IF(AND(ISNUMBER(Q46),ISNUMBER(J46)),Q46/J46,"n/d")</f>
        <v>1.85606060606061</v>
      </c>
      <c r="W46" s="8" t="str">
        <f aca="false">IF(AND(ISNUMBER(Q46),ISNUMBER(L46)),Q46/L46,"n/d")</f>
        <v>n/d</v>
      </c>
      <c r="X46" s="8" t="str">
        <f aca="false">IF(AND(ISNUMBER(G46),ISNUMBER(I46),ISNUMBER(O46)),G46*1000000/(O46*I46*8760),"n/d")</f>
        <v>n/d</v>
      </c>
      <c r="Y46" s="1" t="s">
        <v>645</v>
      </c>
      <c r="Z46" s="10"/>
    </row>
    <row r="47" customFormat="false" ht="15" hidden="false" customHeight="true" outlineLevel="0" collapsed="false">
      <c r="A47" s="1" t="s">
        <v>646</v>
      </c>
      <c r="B47" s="23" t="s">
        <v>430</v>
      </c>
      <c r="C47" s="1" t="s">
        <v>647</v>
      </c>
      <c r="D47" s="1" t="s">
        <v>648</v>
      </c>
      <c r="E47" s="25" t="s">
        <v>649</v>
      </c>
      <c r="F47" s="1" t="s">
        <v>650</v>
      </c>
      <c r="G47" s="5" t="s">
        <v>24</v>
      </c>
      <c r="I47" s="1" t="n">
        <v>12</v>
      </c>
      <c r="J47" s="1" t="n">
        <v>50</v>
      </c>
      <c r="K47" s="1" t="s">
        <v>424</v>
      </c>
      <c r="L47" s="1" t="n">
        <v>50</v>
      </c>
      <c r="M47" s="1" t="s">
        <v>73</v>
      </c>
      <c r="N47" s="1" t="s">
        <v>87</v>
      </c>
      <c r="Q47" s="8" t="str">
        <f aca="false">IF(AND(ISNUMBER(G47),ISNUMBER(I47)),G47/I47,"n/d")</f>
        <v>n/d</v>
      </c>
      <c r="R47" s="8"/>
      <c r="S47" s="8"/>
      <c r="T47" s="8"/>
      <c r="U47" s="8" t="str">
        <f aca="false">IF(AND(ISNUMBER(S47),ISNUMBER(W47)),ROUND(W47-S47,2),IF(AND(ISNUMBER(R47),ISNUMBER(V47)),ROUND(V47-R47,2),""))</f>
        <v/>
      </c>
      <c r="V47" s="8" t="str">
        <f aca="false">IF(AND(ISNUMBER(Q47),ISNUMBER(J47)),Q47/J47,"n/d")</f>
        <v>n/d</v>
      </c>
      <c r="W47" s="8" t="str">
        <f aca="false">IF(AND(ISNUMBER(Q47),ISNUMBER(L47)),Q47/L47,"n/d")</f>
        <v>n/d</v>
      </c>
      <c r="X47" s="8" t="str">
        <f aca="false">IF(AND(ISNUMBER(G47),ISNUMBER(I47),ISNUMBER(O47)),G47*1000000/(O47*I47*8760),"n/d")</f>
        <v>n/d</v>
      </c>
      <c r="Y47" s="1" t="s">
        <v>651</v>
      </c>
      <c r="Z47" s="10" t="s">
        <v>652</v>
      </c>
    </row>
    <row r="49" customFormat="false" ht="30" hidden="false" customHeight="true" outlineLevel="0" collapsed="false">
      <c r="A49" s="32" t="s">
        <v>653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customFormat="false" ht="30" hidden="false" customHeight="true" outlineLevel="0" collapsed="false">
      <c r="A50" s="2" t="s">
        <v>654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30" hidden="false" customHeight="true" outlineLevel="0" collapsed="false">
      <c r="A51" s="2" t="s">
        <v>655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30" hidden="false" customHeight="true" outlineLevel="0" collapsed="false">
      <c r="A52" s="2" t="s">
        <v>656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30" hidden="false" customHeight="true" outlineLevel="0" collapsed="false">
      <c r="A53" s="2" t="s">
        <v>657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30" hidden="false" customHeight="true" outlineLevel="0" collapsed="false">
      <c r="A54" s="2" t="s">
        <v>658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30" hidden="false" customHeight="true" outlineLevel="0" collapsed="false">
      <c r="A55" s="2" t="s">
        <v>659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30" hidden="false" customHeight="true" outlineLevel="0" collapsed="false">
      <c r="A56" s="2" t="s">
        <v>660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30" hidden="false" customHeight="true" outlineLevel="0" collapsed="false">
      <c r="A57" s="2" t="s">
        <v>661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</sheetData>
  <mergeCells count="10">
    <mergeCell ref="A1:X1"/>
    <mergeCell ref="A49:Z49"/>
    <mergeCell ref="A50:Z50"/>
    <mergeCell ref="A51:Z51"/>
    <mergeCell ref="A52:Z52"/>
    <mergeCell ref="A53:Z53"/>
    <mergeCell ref="A54:Z54"/>
    <mergeCell ref="A55:Z55"/>
    <mergeCell ref="A56:Z56"/>
    <mergeCell ref="A57:Z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6" min="5" style="1" width="10"/>
    <col collapsed="false" customWidth="true" hidden="false" outlineLevel="0" max="12" min="7" style="1" width="8"/>
    <col collapsed="false" customWidth="true" hidden="false" outlineLevel="0" max="13" min="13" style="1" width="18"/>
    <col collapsed="false" customWidth="true" hidden="false" outlineLevel="0" max="14" min="14" style="1" width="22"/>
    <col collapsed="false" customWidth="true" hidden="false" outlineLevel="0" max="15" min="15" style="1" width="60"/>
    <col collapsed="false" customWidth="true" hidden="false" outlineLevel="0" max="16" min="16" style="1" width="36"/>
  </cols>
  <sheetData>
    <row r="1" customFormat="false" ht="48" hidden="false" customHeight="true" outlineLevel="0" collapsed="false">
      <c r="A1" s="2" t="s">
        <v>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customFormat="false" ht="15" hidden="false" customHeight="true" outlineLevel="0" collapsed="false">
      <c r="A3" s="21" t="s">
        <v>663</v>
      </c>
    </row>
    <row r="4" customFormat="false" ht="54.75" hidden="false" customHeight="true" outlineLevel="0" collapsed="false">
      <c r="A4" s="3" t="s">
        <v>664</v>
      </c>
      <c r="B4" s="3" t="s">
        <v>665</v>
      </c>
      <c r="C4" s="3" t="s">
        <v>362</v>
      </c>
      <c r="D4" s="3" t="s">
        <v>666</v>
      </c>
      <c r="E4" s="3" t="s">
        <v>667</v>
      </c>
      <c r="F4" s="3" t="s">
        <v>668</v>
      </c>
      <c r="G4" s="3" t="s">
        <v>669</v>
      </c>
      <c r="H4" s="3" t="s">
        <v>670</v>
      </c>
      <c r="I4" s="3" t="s">
        <v>671</v>
      </c>
      <c r="J4" s="3" t="s">
        <v>672</v>
      </c>
      <c r="K4" s="3" t="s">
        <v>673</v>
      </c>
      <c r="L4" s="3" t="s">
        <v>674</v>
      </c>
      <c r="M4" s="3" t="s">
        <v>675</v>
      </c>
      <c r="N4" s="3" t="s">
        <v>676</v>
      </c>
      <c r="O4" s="3" t="s">
        <v>677</v>
      </c>
      <c r="P4" s="3" t="s">
        <v>375</v>
      </c>
    </row>
    <row r="5" customFormat="false" ht="95.25" hidden="false" customHeight="true" outlineLevel="0" collapsed="false">
      <c r="A5" s="10" t="s">
        <v>7</v>
      </c>
      <c r="B5" s="10" t="s">
        <v>678</v>
      </c>
      <c r="C5" s="10" t="s">
        <v>679</v>
      </c>
      <c r="D5" s="10" t="s">
        <v>680</v>
      </c>
      <c r="E5" s="10" t="n">
        <v>262</v>
      </c>
      <c r="F5" s="10" t="s">
        <v>681</v>
      </c>
      <c r="G5" s="10" t="n">
        <v>250</v>
      </c>
      <c r="H5" s="10" t="n">
        <v>260</v>
      </c>
      <c r="I5" s="10" t="n">
        <v>262</v>
      </c>
      <c r="J5" s="10" t="n">
        <v>260</v>
      </c>
      <c r="K5" s="10" t="n">
        <v>262</v>
      </c>
      <c r="L5" s="10" t="n">
        <v>262</v>
      </c>
      <c r="M5" s="33" t="s">
        <v>682</v>
      </c>
      <c r="N5" s="10" t="s">
        <v>683</v>
      </c>
      <c r="O5" s="10" t="s">
        <v>684</v>
      </c>
      <c r="P5" s="10" t="s">
        <v>685</v>
      </c>
    </row>
    <row r="6" customFormat="false" ht="202.5" hidden="false" customHeight="true" outlineLevel="0" collapsed="false">
      <c r="A6" s="10" t="s">
        <v>8</v>
      </c>
      <c r="B6" s="10" t="s">
        <v>686</v>
      </c>
      <c r="C6" s="10" t="s">
        <v>687</v>
      </c>
      <c r="D6" s="10" t="s">
        <v>688</v>
      </c>
      <c r="E6" s="10" t="n">
        <v>260</v>
      </c>
      <c r="F6" s="10" t="s">
        <v>689</v>
      </c>
      <c r="G6" s="10" t="n">
        <v>50</v>
      </c>
      <c r="H6" s="10" t="n">
        <v>75</v>
      </c>
      <c r="I6" s="10" t="n">
        <v>100</v>
      </c>
      <c r="J6" s="10" t="n">
        <v>100</v>
      </c>
      <c r="K6" s="10" t="n">
        <v>150</v>
      </c>
      <c r="L6" s="10" t="n">
        <v>200</v>
      </c>
      <c r="M6" s="33" t="s">
        <v>690</v>
      </c>
      <c r="N6" s="10" t="s">
        <v>691</v>
      </c>
      <c r="O6" s="10" t="s">
        <v>692</v>
      </c>
      <c r="P6" s="10" t="s">
        <v>685</v>
      </c>
    </row>
    <row r="7" customFormat="false" ht="149.25" hidden="false" customHeight="true" outlineLevel="0" collapsed="false">
      <c r="A7" s="10" t="s">
        <v>10</v>
      </c>
      <c r="B7" s="10" t="s">
        <v>693</v>
      </c>
      <c r="C7" s="10" t="s">
        <v>694</v>
      </c>
      <c r="D7" s="10" t="s">
        <v>695</v>
      </c>
      <c r="E7" s="10" t="n">
        <v>230</v>
      </c>
      <c r="F7" s="10" t="s">
        <v>696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34" t="s">
        <v>697</v>
      </c>
      <c r="N7" s="10" t="s">
        <v>698</v>
      </c>
      <c r="O7" s="10" t="s">
        <v>699</v>
      </c>
      <c r="P7" s="10" t="s">
        <v>685</v>
      </c>
    </row>
    <row r="8" customFormat="false" ht="189" hidden="false" customHeight="true" outlineLevel="0" collapsed="false">
      <c r="A8" s="10" t="s">
        <v>12</v>
      </c>
      <c r="B8" s="10" t="s">
        <v>700</v>
      </c>
      <c r="C8" s="10" t="s">
        <v>701</v>
      </c>
      <c r="D8" s="10" t="s">
        <v>702</v>
      </c>
      <c r="E8" s="10" t="n">
        <v>843</v>
      </c>
      <c r="F8" s="10" t="s">
        <v>703</v>
      </c>
      <c r="G8" s="10" t="n">
        <v>200</v>
      </c>
      <c r="H8" s="10" t="n">
        <v>421</v>
      </c>
      <c r="I8" s="10" t="n">
        <v>421</v>
      </c>
      <c r="J8" s="10" t="n">
        <v>421</v>
      </c>
      <c r="K8" s="10" t="n">
        <v>632</v>
      </c>
      <c r="L8" s="10" t="n">
        <v>843</v>
      </c>
      <c r="M8" s="33" t="s">
        <v>704</v>
      </c>
      <c r="N8" s="10" t="s">
        <v>705</v>
      </c>
      <c r="O8" s="10" t="s">
        <v>706</v>
      </c>
      <c r="P8" s="10" t="s">
        <v>685</v>
      </c>
    </row>
    <row r="9" customFormat="false" ht="95.25" hidden="false" customHeight="true" outlineLevel="0" collapsed="false">
      <c r="A9" s="10" t="s">
        <v>11</v>
      </c>
      <c r="B9" s="10" t="s">
        <v>707</v>
      </c>
      <c r="C9" s="10" t="s">
        <v>701</v>
      </c>
      <c r="D9" s="10" t="s">
        <v>708</v>
      </c>
      <c r="E9" s="10" t="n">
        <v>24</v>
      </c>
      <c r="F9" s="10" t="s">
        <v>709</v>
      </c>
      <c r="G9" s="10" t="n">
        <v>0</v>
      </c>
      <c r="H9" s="10" t="n">
        <v>12</v>
      </c>
      <c r="I9" s="10" t="n">
        <v>24</v>
      </c>
      <c r="J9" s="10" t="n">
        <v>12</v>
      </c>
      <c r="K9" s="10" t="n">
        <v>24</v>
      </c>
      <c r="L9" s="10" t="n">
        <v>24</v>
      </c>
      <c r="M9" s="34" t="s">
        <v>710</v>
      </c>
      <c r="N9" s="10" t="s">
        <v>711</v>
      </c>
      <c r="O9" s="10" t="s">
        <v>712</v>
      </c>
      <c r="P9" s="10" t="s">
        <v>685</v>
      </c>
    </row>
    <row r="10" customFormat="false" ht="95.25" hidden="false" customHeight="true" outlineLevel="0" collapsed="false">
      <c r="A10" s="10" t="s">
        <v>713</v>
      </c>
      <c r="B10" s="10" t="s">
        <v>714</v>
      </c>
      <c r="C10" s="10" t="s">
        <v>715</v>
      </c>
      <c r="D10" s="10" t="s">
        <v>716</v>
      </c>
      <c r="E10" s="10" t="n">
        <v>902</v>
      </c>
      <c r="F10" s="10" t="s">
        <v>717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34" t="s">
        <v>718</v>
      </c>
      <c r="N10" s="10" t="s">
        <v>698</v>
      </c>
      <c r="O10" s="10" t="s">
        <v>719</v>
      </c>
      <c r="P10" s="10" t="s">
        <v>685</v>
      </c>
    </row>
    <row r="11" customFormat="false" ht="15" hidden="false" customHeight="true" outlineLevel="0" collapsed="false">
      <c r="A11" s="5" t="s">
        <v>720</v>
      </c>
    </row>
    <row r="13" customFormat="false" ht="15" hidden="false" customHeight="true" outlineLevel="0" collapsed="false">
      <c r="A13" s="21" t="s">
        <v>721</v>
      </c>
    </row>
    <row r="14" customFormat="false" ht="54.75" hidden="false" customHeight="true" outlineLevel="0" collapsed="false">
      <c r="A14" s="3" t="s">
        <v>664</v>
      </c>
      <c r="B14" s="3" t="s">
        <v>665</v>
      </c>
      <c r="C14" s="3" t="s">
        <v>362</v>
      </c>
      <c r="D14" s="3" t="s">
        <v>666</v>
      </c>
      <c r="E14" s="3" t="s">
        <v>667</v>
      </c>
      <c r="F14" s="3" t="s">
        <v>668</v>
      </c>
      <c r="G14" s="3" t="s">
        <v>669</v>
      </c>
      <c r="H14" s="3" t="s">
        <v>670</v>
      </c>
      <c r="I14" s="3" t="s">
        <v>671</v>
      </c>
      <c r="J14" s="3" t="s">
        <v>672</v>
      </c>
      <c r="K14" s="3" t="s">
        <v>673</v>
      </c>
      <c r="L14" s="3" t="s">
        <v>674</v>
      </c>
      <c r="M14" s="3" t="s">
        <v>675</v>
      </c>
      <c r="N14" s="3" t="s">
        <v>676</v>
      </c>
      <c r="O14" s="3" t="s">
        <v>677</v>
      </c>
      <c r="P14" s="3" t="s">
        <v>375</v>
      </c>
    </row>
    <row r="15" customFormat="false" ht="68.25" hidden="false" customHeight="true" outlineLevel="0" collapsed="false">
      <c r="A15" s="10" t="s">
        <v>4</v>
      </c>
      <c r="B15" s="10" t="s">
        <v>722</v>
      </c>
      <c r="C15" s="10" t="s">
        <v>723</v>
      </c>
      <c r="D15" s="10" t="s">
        <v>724</v>
      </c>
      <c r="E15" s="10" t="n">
        <v>300</v>
      </c>
      <c r="F15" s="10" t="n">
        <v>300</v>
      </c>
      <c r="G15" s="10" t="n">
        <v>57</v>
      </c>
      <c r="H15" s="10" t="n">
        <v>66</v>
      </c>
      <c r="I15" s="10" t="n">
        <v>75</v>
      </c>
      <c r="J15" s="10" t="n">
        <v>57</v>
      </c>
      <c r="K15" s="10" t="n">
        <v>81.8</v>
      </c>
      <c r="L15" s="10" t="n">
        <v>106.6</v>
      </c>
      <c r="M15" s="34" t="s">
        <v>725</v>
      </c>
      <c r="N15" s="10" t="s">
        <v>726</v>
      </c>
      <c r="O15" s="10" t="s">
        <v>727</v>
      </c>
      <c r="P15" s="10" t="s">
        <v>728</v>
      </c>
    </row>
    <row r="16" customFormat="false" ht="54.75" hidden="false" customHeight="true" outlineLevel="0" collapsed="false">
      <c r="A16" s="10" t="s">
        <v>4</v>
      </c>
      <c r="B16" s="10" t="s">
        <v>729</v>
      </c>
      <c r="C16" s="10" t="s">
        <v>730</v>
      </c>
      <c r="D16" s="10" t="s">
        <v>731</v>
      </c>
      <c r="E16" s="10" t="n">
        <v>1200</v>
      </c>
      <c r="F16" s="10" t="n">
        <v>1200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33" t="s">
        <v>682</v>
      </c>
      <c r="N16" s="10" t="s">
        <v>726</v>
      </c>
      <c r="O16" s="10" t="s">
        <v>732</v>
      </c>
      <c r="P16" s="10" t="s">
        <v>728</v>
      </c>
    </row>
    <row r="17" customFormat="false" ht="54.75" hidden="false" customHeight="true" outlineLevel="0" collapsed="false">
      <c r="A17" s="10" t="s">
        <v>4</v>
      </c>
      <c r="B17" s="10" t="s">
        <v>733</v>
      </c>
      <c r="C17" s="10" t="s">
        <v>734</v>
      </c>
      <c r="D17" s="10" t="s">
        <v>24</v>
      </c>
      <c r="E17" s="10" t="n">
        <v>1200</v>
      </c>
      <c r="F17" s="10" t="n">
        <v>1200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35" t="s">
        <v>735</v>
      </c>
      <c r="N17" s="10" t="s">
        <v>726</v>
      </c>
      <c r="O17" s="10" t="s">
        <v>736</v>
      </c>
      <c r="P17" s="10" t="s">
        <v>728</v>
      </c>
    </row>
    <row r="18" customFormat="false" ht="54.75" hidden="false" customHeight="true" outlineLevel="0" collapsed="false">
      <c r="A18" s="10" t="s">
        <v>4</v>
      </c>
      <c r="B18" s="10" t="s">
        <v>737</v>
      </c>
      <c r="C18" s="10" t="s">
        <v>738</v>
      </c>
      <c r="D18" s="10" t="s">
        <v>739</v>
      </c>
      <c r="E18" s="10" t="n">
        <v>300</v>
      </c>
      <c r="F18" s="10" t="n">
        <v>300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34" t="s">
        <v>740</v>
      </c>
      <c r="N18" s="10" t="s">
        <v>726</v>
      </c>
      <c r="O18" s="10" t="s">
        <v>741</v>
      </c>
      <c r="P18" s="10" t="s">
        <v>728</v>
      </c>
    </row>
    <row r="19" customFormat="false" ht="54.75" hidden="false" customHeight="true" outlineLevel="0" collapsed="false">
      <c r="A19" s="10" t="s">
        <v>4</v>
      </c>
      <c r="B19" s="10" t="s">
        <v>742</v>
      </c>
      <c r="C19" s="10" t="s">
        <v>743</v>
      </c>
      <c r="D19" s="10" t="s">
        <v>744</v>
      </c>
      <c r="E19" s="10" t="n">
        <v>240</v>
      </c>
      <c r="F19" s="10" t="n">
        <v>240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30</v>
      </c>
      <c r="L19" s="10" t="n">
        <v>60</v>
      </c>
      <c r="M19" s="34" t="s">
        <v>740</v>
      </c>
      <c r="N19" s="10" t="s">
        <v>726</v>
      </c>
      <c r="O19" s="10" t="s">
        <v>745</v>
      </c>
      <c r="P19" s="10" t="s">
        <v>728</v>
      </c>
    </row>
    <row r="20" customFormat="false" ht="54.75" hidden="false" customHeight="true" outlineLevel="0" collapsed="false">
      <c r="A20" s="10" t="s">
        <v>4</v>
      </c>
      <c r="B20" s="10" t="s">
        <v>746</v>
      </c>
      <c r="C20" s="10" t="s">
        <v>743</v>
      </c>
      <c r="D20" s="10" t="s">
        <v>747</v>
      </c>
      <c r="E20" s="10" t="n">
        <v>310</v>
      </c>
      <c r="F20" s="10" t="n">
        <v>310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33" t="s">
        <v>682</v>
      </c>
      <c r="N20" s="10" t="s">
        <v>726</v>
      </c>
      <c r="O20" s="10" t="s">
        <v>748</v>
      </c>
      <c r="P20" s="10" t="s">
        <v>728</v>
      </c>
    </row>
    <row r="21" customFormat="false" ht="54.75" hidden="false" customHeight="true" outlineLevel="0" collapsed="false">
      <c r="A21" s="10" t="s">
        <v>4</v>
      </c>
      <c r="B21" s="10" t="s">
        <v>749</v>
      </c>
      <c r="C21" s="10" t="s">
        <v>750</v>
      </c>
      <c r="D21" s="10" t="s">
        <v>751</v>
      </c>
      <c r="E21" s="10" t="n">
        <v>75</v>
      </c>
      <c r="F21" s="10" t="n">
        <v>75</v>
      </c>
      <c r="G21" s="10" t="n">
        <v>75</v>
      </c>
      <c r="H21" s="10" t="n">
        <v>75</v>
      </c>
      <c r="I21" s="10" t="n">
        <v>75</v>
      </c>
      <c r="J21" s="10" t="n">
        <v>75</v>
      </c>
      <c r="K21" s="10" t="n">
        <v>75</v>
      </c>
      <c r="L21" s="10" t="n">
        <v>75</v>
      </c>
      <c r="M21" s="33" t="s">
        <v>682</v>
      </c>
      <c r="N21" s="10" t="s">
        <v>726</v>
      </c>
      <c r="O21" s="10" t="s">
        <v>752</v>
      </c>
      <c r="P21" s="10" t="s">
        <v>728</v>
      </c>
    </row>
    <row r="22" customFormat="false" ht="54.75" hidden="false" customHeight="true" outlineLevel="0" collapsed="false">
      <c r="A22" s="10" t="s">
        <v>4</v>
      </c>
      <c r="B22" s="10" t="s">
        <v>753</v>
      </c>
      <c r="C22" s="10" t="s">
        <v>754</v>
      </c>
      <c r="D22" s="10" t="s">
        <v>751</v>
      </c>
      <c r="E22" s="10" t="n">
        <v>70</v>
      </c>
      <c r="F22" s="10" t="n">
        <v>70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34" t="s">
        <v>740</v>
      </c>
      <c r="N22" s="10" t="s">
        <v>726</v>
      </c>
      <c r="O22" s="10" t="s">
        <v>755</v>
      </c>
      <c r="P22" s="10" t="s">
        <v>728</v>
      </c>
    </row>
    <row r="23" customFormat="false" ht="54.75" hidden="false" customHeight="true" outlineLevel="0" collapsed="false">
      <c r="A23" s="10" t="s">
        <v>4</v>
      </c>
      <c r="B23" s="10" t="s">
        <v>756</v>
      </c>
      <c r="C23" s="10" t="s">
        <v>743</v>
      </c>
      <c r="D23" s="10" t="s">
        <v>757</v>
      </c>
      <c r="E23" s="10" t="n">
        <v>40</v>
      </c>
      <c r="F23" s="10" t="n">
        <v>40</v>
      </c>
      <c r="G23" s="10" t="n">
        <v>5</v>
      </c>
      <c r="H23" s="10" t="n">
        <v>20</v>
      </c>
      <c r="I23" s="10" t="n">
        <v>35</v>
      </c>
      <c r="J23" s="10" t="n">
        <v>5</v>
      </c>
      <c r="K23" s="10" t="n">
        <v>20</v>
      </c>
      <c r="L23" s="10" t="n">
        <v>35</v>
      </c>
      <c r="M23" s="33" t="s">
        <v>682</v>
      </c>
      <c r="N23" s="10" t="s">
        <v>726</v>
      </c>
      <c r="O23" s="10" t="s">
        <v>758</v>
      </c>
      <c r="P23" s="10" t="s">
        <v>728</v>
      </c>
    </row>
    <row r="24" customFormat="false" ht="54.75" hidden="false" customHeight="true" outlineLevel="0" collapsed="false">
      <c r="A24" s="10" t="s">
        <v>4</v>
      </c>
      <c r="B24" s="10" t="s">
        <v>759</v>
      </c>
      <c r="C24" s="10" t="s">
        <v>760</v>
      </c>
      <c r="D24" s="10" t="s">
        <v>399</v>
      </c>
      <c r="E24" s="10" t="n">
        <v>5</v>
      </c>
      <c r="F24" s="10" t="n">
        <v>5</v>
      </c>
      <c r="G24" s="10" t="n">
        <v>5</v>
      </c>
      <c r="H24" s="10" t="n">
        <v>5</v>
      </c>
      <c r="I24" s="10" t="n">
        <v>5</v>
      </c>
      <c r="J24" s="10" t="n">
        <v>5</v>
      </c>
      <c r="K24" s="10" t="n">
        <v>5</v>
      </c>
      <c r="L24" s="10" t="n">
        <v>5</v>
      </c>
      <c r="M24" s="33" t="s">
        <v>682</v>
      </c>
      <c r="N24" s="10" t="s">
        <v>726</v>
      </c>
      <c r="O24" s="10" t="s">
        <v>761</v>
      </c>
      <c r="P24" s="10" t="s">
        <v>728</v>
      </c>
    </row>
    <row r="25" customFormat="false" ht="54.75" hidden="false" customHeight="true" outlineLevel="0" collapsed="false">
      <c r="A25" s="10" t="s">
        <v>4</v>
      </c>
      <c r="B25" s="10" t="s">
        <v>762</v>
      </c>
      <c r="C25" s="10" t="s">
        <v>743</v>
      </c>
      <c r="D25" s="10" t="s">
        <v>763</v>
      </c>
      <c r="E25" s="10" t="n">
        <v>10</v>
      </c>
      <c r="F25" s="10" t="n">
        <v>10</v>
      </c>
      <c r="G25" s="10" t="n">
        <v>10</v>
      </c>
      <c r="H25" s="10" t="n">
        <v>10</v>
      </c>
      <c r="I25" s="10" t="n">
        <v>10</v>
      </c>
      <c r="J25" s="10" t="n">
        <v>10</v>
      </c>
      <c r="K25" s="10" t="n">
        <v>10</v>
      </c>
      <c r="L25" s="10" t="n">
        <v>10</v>
      </c>
      <c r="M25" s="33" t="s">
        <v>682</v>
      </c>
      <c r="N25" s="10" t="s">
        <v>726</v>
      </c>
      <c r="O25" s="10" t="s">
        <v>764</v>
      </c>
      <c r="P25" s="10" t="s">
        <v>728</v>
      </c>
    </row>
    <row r="26" customFormat="false" ht="54.75" hidden="false" customHeight="true" outlineLevel="0" collapsed="false">
      <c r="A26" s="10" t="s">
        <v>4</v>
      </c>
      <c r="B26" s="10" t="s">
        <v>765</v>
      </c>
      <c r="C26" s="10" t="s">
        <v>766</v>
      </c>
      <c r="D26" s="10" t="s">
        <v>767</v>
      </c>
      <c r="E26" s="10" t="n">
        <v>19</v>
      </c>
      <c r="F26" s="10" t="n">
        <v>19</v>
      </c>
      <c r="G26" s="10" t="n">
        <v>16</v>
      </c>
      <c r="H26" s="10" t="n">
        <v>16</v>
      </c>
      <c r="I26" s="10" t="n">
        <v>16</v>
      </c>
      <c r="J26" s="10" t="n">
        <v>16</v>
      </c>
      <c r="K26" s="10" t="n">
        <v>17.5</v>
      </c>
      <c r="L26" s="10" t="n">
        <v>19</v>
      </c>
      <c r="M26" s="33" t="s">
        <v>682</v>
      </c>
      <c r="N26" s="10" t="s">
        <v>726</v>
      </c>
      <c r="O26" s="10" t="s">
        <v>768</v>
      </c>
      <c r="P26" s="10" t="s">
        <v>728</v>
      </c>
    </row>
    <row r="27" customFormat="false" ht="54.75" hidden="false" customHeight="true" outlineLevel="0" collapsed="false">
      <c r="A27" s="10" t="s">
        <v>4</v>
      </c>
      <c r="B27" s="10" t="s">
        <v>769</v>
      </c>
      <c r="C27" s="10" t="s">
        <v>743</v>
      </c>
      <c r="D27" s="10" t="s">
        <v>770</v>
      </c>
      <c r="E27" s="10" t="n">
        <v>22</v>
      </c>
      <c r="F27" s="10" t="n">
        <v>22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2.2</v>
      </c>
      <c r="L27" s="10" t="n">
        <v>4.4</v>
      </c>
      <c r="M27" s="33" t="s">
        <v>682</v>
      </c>
      <c r="N27" s="10" t="s">
        <v>726</v>
      </c>
      <c r="O27" s="10" t="s">
        <v>771</v>
      </c>
      <c r="P27" s="10" t="s">
        <v>728</v>
      </c>
    </row>
    <row r="28" customFormat="false" ht="54.75" hidden="false" customHeight="true" outlineLevel="0" collapsed="false">
      <c r="A28" s="10" t="s">
        <v>4</v>
      </c>
      <c r="B28" s="10" t="s">
        <v>772</v>
      </c>
      <c r="C28" s="10" t="s">
        <v>743</v>
      </c>
      <c r="D28" s="10" t="s">
        <v>773</v>
      </c>
      <c r="E28" s="10" t="s">
        <v>399</v>
      </c>
      <c r="F28" s="10" t="s">
        <v>399</v>
      </c>
      <c r="G28" s="10" t="s">
        <v>24</v>
      </c>
      <c r="H28" s="10" t="s">
        <v>24</v>
      </c>
      <c r="I28" s="10" t="s">
        <v>24</v>
      </c>
      <c r="J28" s="10" t="s">
        <v>24</v>
      </c>
      <c r="K28" s="10" t="s">
        <v>24</v>
      </c>
      <c r="L28" s="10" t="s">
        <v>24</v>
      </c>
      <c r="M28" s="35" t="s">
        <v>735</v>
      </c>
      <c r="N28" s="10" t="s">
        <v>726</v>
      </c>
      <c r="O28" s="10" t="s">
        <v>774</v>
      </c>
      <c r="P28" s="10" t="s">
        <v>728</v>
      </c>
    </row>
    <row r="29" customFormat="false" ht="54.75" hidden="false" customHeight="true" outlineLevel="0" collapsed="false">
      <c r="A29" s="10" t="s">
        <v>4</v>
      </c>
      <c r="B29" s="10" t="s">
        <v>775</v>
      </c>
      <c r="C29" s="10" t="s">
        <v>776</v>
      </c>
      <c r="D29" s="10" t="s">
        <v>777</v>
      </c>
      <c r="E29" s="10" t="n">
        <v>8</v>
      </c>
      <c r="F29" s="10" t="n">
        <v>8</v>
      </c>
      <c r="G29" s="10" t="n">
        <v>8</v>
      </c>
      <c r="H29" s="10" t="n">
        <v>8</v>
      </c>
      <c r="I29" s="10" t="n">
        <v>8</v>
      </c>
      <c r="J29" s="10" t="n">
        <v>8</v>
      </c>
      <c r="K29" s="10" t="n">
        <v>8</v>
      </c>
      <c r="L29" s="10" t="n">
        <v>8</v>
      </c>
      <c r="M29" s="33" t="s">
        <v>682</v>
      </c>
      <c r="N29" s="10" t="s">
        <v>726</v>
      </c>
      <c r="O29" s="10" t="s">
        <v>761</v>
      </c>
      <c r="P29" s="10" t="s">
        <v>728</v>
      </c>
    </row>
    <row r="30" customFormat="false" ht="54.75" hidden="false" customHeight="true" outlineLevel="0" collapsed="false">
      <c r="A30" s="10" t="s">
        <v>4</v>
      </c>
      <c r="B30" s="10" t="s">
        <v>778</v>
      </c>
      <c r="C30" s="10" t="s">
        <v>743</v>
      </c>
      <c r="D30" s="10" t="s">
        <v>779</v>
      </c>
      <c r="E30" s="10" t="n">
        <v>22</v>
      </c>
      <c r="F30" s="10" t="n">
        <v>22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11</v>
      </c>
      <c r="L30" s="10" t="n">
        <v>22</v>
      </c>
      <c r="M30" s="34" t="s">
        <v>740</v>
      </c>
      <c r="N30" s="10" t="s">
        <v>726</v>
      </c>
      <c r="O30" s="10" t="s">
        <v>780</v>
      </c>
      <c r="P30" s="10" t="s">
        <v>728</v>
      </c>
    </row>
    <row r="31" customFormat="false" ht="54.75" hidden="false" customHeight="true" outlineLevel="0" collapsed="false">
      <c r="A31" s="10" t="s">
        <v>4</v>
      </c>
      <c r="B31" s="10" t="s">
        <v>781</v>
      </c>
      <c r="C31" s="10" t="s">
        <v>743</v>
      </c>
      <c r="D31" s="10" t="s">
        <v>782</v>
      </c>
      <c r="E31" s="10" t="n">
        <v>58</v>
      </c>
      <c r="F31" s="10" t="n">
        <v>58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19.5</v>
      </c>
      <c r="L31" s="10" t="n">
        <v>39</v>
      </c>
      <c r="M31" s="34" t="s">
        <v>740</v>
      </c>
      <c r="N31" s="10" t="s">
        <v>726</v>
      </c>
      <c r="O31" s="10" t="s">
        <v>783</v>
      </c>
      <c r="P31" s="10" t="s">
        <v>728</v>
      </c>
    </row>
    <row r="32" customFormat="false" ht="54.75" hidden="false" customHeight="true" outlineLevel="0" collapsed="false">
      <c r="A32" s="10" t="s">
        <v>4</v>
      </c>
      <c r="B32" s="10" t="s">
        <v>784</v>
      </c>
      <c r="C32" s="10" t="s">
        <v>743</v>
      </c>
      <c r="D32" s="10" t="s">
        <v>785</v>
      </c>
      <c r="E32" s="10" t="n">
        <v>18</v>
      </c>
      <c r="F32" s="10" t="n">
        <v>18</v>
      </c>
      <c r="G32" s="10" t="n">
        <v>6</v>
      </c>
      <c r="H32" s="10" t="n">
        <v>7.5</v>
      </c>
      <c r="I32" s="10" t="n">
        <v>9</v>
      </c>
      <c r="J32" s="10" t="n">
        <v>9</v>
      </c>
      <c r="K32" s="10" t="n">
        <v>13.5</v>
      </c>
      <c r="L32" s="10" t="n">
        <v>18</v>
      </c>
      <c r="M32" s="33" t="s">
        <v>682</v>
      </c>
      <c r="N32" s="10" t="s">
        <v>726</v>
      </c>
      <c r="O32" s="10" t="s">
        <v>786</v>
      </c>
      <c r="P32" s="10" t="s">
        <v>728</v>
      </c>
    </row>
    <row r="33" customFormat="false" ht="54.75" hidden="false" customHeight="true" outlineLevel="0" collapsed="false">
      <c r="A33" s="10" t="s">
        <v>4</v>
      </c>
      <c r="B33" s="10" t="s">
        <v>787</v>
      </c>
      <c r="C33" s="10" t="s">
        <v>743</v>
      </c>
      <c r="D33" s="10" t="s">
        <v>788</v>
      </c>
      <c r="E33" s="10" t="n">
        <v>22</v>
      </c>
      <c r="F33" s="10" t="n">
        <v>22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11</v>
      </c>
      <c r="L33" s="10" t="n">
        <v>22</v>
      </c>
      <c r="M33" s="34" t="s">
        <v>740</v>
      </c>
      <c r="N33" s="10" t="s">
        <v>726</v>
      </c>
      <c r="O33" s="10" t="s">
        <v>789</v>
      </c>
      <c r="P33" s="10" t="s">
        <v>728</v>
      </c>
    </row>
    <row r="34" customFormat="false" ht="54.75" hidden="false" customHeight="true" outlineLevel="0" collapsed="false">
      <c r="A34" s="10" t="s">
        <v>4</v>
      </c>
      <c r="B34" s="10" t="s">
        <v>790</v>
      </c>
      <c r="C34" s="10" t="s">
        <v>743</v>
      </c>
      <c r="D34" s="10" t="s">
        <v>399</v>
      </c>
      <c r="E34" s="10" t="s">
        <v>399</v>
      </c>
      <c r="F34" s="10" t="s">
        <v>399</v>
      </c>
      <c r="G34" s="10" t="s">
        <v>24</v>
      </c>
      <c r="H34" s="10" t="s">
        <v>24</v>
      </c>
      <c r="I34" s="10" t="s">
        <v>24</v>
      </c>
      <c r="J34" s="10" t="s">
        <v>24</v>
      </c>
      <c r="K34" s="10" t="s">
        <v>24</v>
      </c>
      <c r="L34" s="10" t="s">
        <v>24</v>
      </c>
      <c r="M34" s="34" t="s">
        <v>740</v>
      </c>
      <c r="N34" s="10" t="s">
        <v>726</v>
      </c>
      <c r="O34" s="10" t="s">
        <v>791</v>
      </c>
      <c r="P34" s="10" t="s">
        <v>728</v>
      </c>
    </row>
    <row r="35" customFormat="false" ht="54.75" hidden="false" customHeight="true" outlineLevel="0" collapsed="false">
      <c r="A35" s="10" t="s">
        <v>4</v>
      </c>
      <c r="B35" s="10" t="s">
        <v>792</v>
      </c>
      <c r="C35" s="10" t="s">
        <v>743</v>
      </c>
      <c r="D35" s="10" t="s">
        <v>399</v>
      </c>
      <c r="E35" s="10" t="s">
        <v>399</v>
      </c>
      <c r="F35" s="10" t="s">
        <v>399</v>
      </c>
      <c r="G35" s="10" t="s">
        <v>24</v>
      </c>
      <c r="H35" s="10" t="s">
        <v>24</v>
      </c>
      <c r="I35" s="10" t="s">
        <v>24</v>
      </c>
      <c r="J35" s="10" t="s">
        <v>24</v>
      </c>
      <c r="K35" s="10" t="s">
        <v>24</v>
      </c>
      <c r="L35" s="10" t="s">
        <v>24</v>
      </c>
      <c r="M35" s="35" t="s">
        <v>735</v>
      </c>
      <c r="N35" s="10" t="s">
        <v>726</v>
      </c>
      <c r="O35" s="10" t="s">
        <v>793</v>
      </c>
      <c r="P35" s="10" t="s">
        <v>728</v>
      </c>
    </row>
    <row r="36" customFormat="false" ht="54.75" hidden="false" customHeight="true" outlineLevel="0" collapsed="false">
      <c r="A36" s="10" t="s">
        <v>4</v>
      </c>
      <c r="B36" s="10" t="s">
        <v>794</v>
      </c>
      <c r="C36" s="10" t="s">
        <v>743</v>
      </c>
      <c r="D36" s="10" t="s">
        <v>399</v>
      </c>
      <c r="E36" s="10" t="s">
        <v>399</v>
      </c>
      <c r="F36" s="10" t="s">
        <v>399</v>
      </c>
      <c r="G36" s="10" t="s">
        <v>24</v>
      </c>
      <c r="H36" s="10" t="s">
        <v>24</v>
      </c>
      <c r="I36" s="10" t="s">
        <v>24</v>
      </c>
      <c r="J36" s="10" t="s">
        <v>24</v>
      </c>
      <c r="K36" s="10" t="s">
        <v>24</v>
      </c>
      <c r="L36" s="10" t="s">
        <v>24</v>
      </c>
      <c r="M36" s="34" t="s">
        <v>740</v>
      </c>
      <c r="N36" s="10" t="s">
        <v>726</v>
      </c>
      <c r="O36" s="10" t="s">
        <v>795</v>
      </c>
      <c r="P36" s="10" t="s">
        <v>728</v>
      </c>
    </row>
    <row r="37" customFormat="false" ht="54.75" hidden="false" customHeight="true" outlineLevel="0" collapsed="false">
      <c r="A37" s="10" t="s">
        <v>4</v>
      </c>
      <c r="B37" s="10" t="s">
        <v>796</v>
      </c>
      <c r="C37" s="10" t="s">
        <v>797</v>
      </c>
      <c r="D37" s="10" t="s">
        <v>798</v>
      </c>
      <c r="E37" s="10" t="n">
        <v>50</v>
      </c>
      <c r="F37" s="10" t="n">
        <v>50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35" t="s">
        <v>735</v>
      </c>
      <c r="N37" s="10" t="s">
        <v>726</v>
      </c>
      <c r="O37" s="10" t="s">
        <v>799</v>
      </c>
      <c r="P37" s="10" t="s">
        <v>728</v>
      </c>
    </row>
    <row r="38" customFormat="false" ht="15" hidden="false" customHeight="true" outlineLevel="0" collapsed="false">
      <c r="B38" s="21" t="s">
        <v>800</v>
      </c>
      <c r="F38" s="21" t="n">
        <f aca="false">SUM(F15:F37)</f>
        <v>3969</v>
      </c>
      <c r="G38" s="21" t="n">
        <f aca="false">SUM(G15:G37)</f>
        <v>182</v>
      </c>
      <c r="H38" s="21" t="n">
        <f aca="false">SUM(H15:H37)</f>
        <v>207.5</v>
      </c>
      <c r="I38" s="21" t="n">
        <f aca="false">SUM(I15:I37)</f>
        <v>233</v>
      </c>
      <c r="J38" s="21" t="n">
        <f aca="false">SUM(J15:J37)</f>
        <v>185</v>
      </c>
      <c r="K38" s="21" t="n">
        <f aca="false">SUM(K15:K37)</f>
        <v>304.5</v>
      </c>
      <c r="L38" s="21" t="n">
        <f aca="false">SUM(L15:L37)</f>
        <v>424</v>
      </c>
      <c r="P38" s="1" t="s">
        <v>801</v>
      </c>
    </row>
    <row r="40" customFormat="false" ht="30" hidden="false" customHeight="true" outlineLevel="0" collapsed="false">
      <c r="A40" s="2" t="s">
        <v>802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30" hidden="false" customHeight="true" outlineLevel="0" collapsed="false">
      <c r="A41" s="2" t="s">
        <v>803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30" hidden="false" customHeight="true" outlineLevel="0" collapsed="false">
      <c r="A42" s="2" t="s">
        <v>804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</sheetData>
  <mergeCells count="4">
    <mergeCell ref="A1:P1"/>
    <mergeCell ref="A40:P40"/>
    <mergeCell ref="A41:P41"/>
    <mergeCell ref="A42:P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2"/>
  </cols>
  <sheetData>
    <row r="1" customFormat="false" ht="15" hidden="false" customHeight="true" outlineLevel="0" collapsed="false">
      <c r="A1" s="21" t="s">
        <v>805</v>
      </c>
    </row>
    <row r="3" customFormat="false" ht="15" hidden="false" customHeight="true" outlineLevel="0" collapsed="false">
      <c r="A3" s="21" t="s">
        <v>806</v>
      </c>
      <c r="B3" s="21" t="s">
        <v>4</v>
      </c>
      <c r="C3" s="21" t="s">
        <v>7</v>
      </c>
      <c r="D3" s="21" t="s">
        <v>8</v>
      </c>
      <c r="E3" s="21" t="s">
        <v>9</v>
      </c>
      <c r="F3" s="21" t="s">
        <v>10</v>
      </c>
      <c r="G3" s="21" t="s">
        <v>11</v>
      </c>
      <c r="H3" s="21" t="s">
        <v>12</v>
      </c>
    </row>
    <row r="4" customFormat="false" ht="15" hidden="false" customHeight="true" outlineLevel="0" collapsed="false">
      <c r="A4" s="1" t="s">
        <v>807</v>
      </c>
      <c r="B4" s="8" t="n">
        <f aca="false">IF(ISNUMBER(Comparison!D4),Comparison!D4,"")</f>
        <v>13.2924855491329</v>
      </c>
      <c r="C4" s="8" t="n">
        <f aca="false">IF(ISNUMBER(Comparison!G4),Comparison!G4,"")</f>
        <v>6.86666666666667</v>
      </c>
      <c r="D4" s="8" t="n">
        <f aca="false">IF(ISNUMBER(Comparison!J4),Comparison!J4,"")</f>
        <v>7.0515</v>
      </c>
      <c r="E4" s="8" t="str">
        <f aca="false">IF(ISNUMBER(Comparison!M4),Comparison!M4,"")</f>
        <v/>
      </c>
      <c r="F4" s="8" t="n">
        <f aca="false">IF(ISNUMBER(Comparison!P4),Comparison!P4,"")</f>
        <v>3.47160493827161</v>
      </c>
      <c r="G4" s="8" t="n">
        <f aca="false">IF(ISNUMBER(Comparison!S4),Comparison!S4,"")</f>
        <v>9.70212765957447</v>
      </c>
      <c r="H4" s="8" t="n">
        <f aca="false">IF(ISNUMBER(Comparison!V4),Comparison!V4,"")</f>
        <v>2</v>
      </c>
    </row>
    <row r="5" customFormat="false" ht="15" hidden="false" customHeight="true" outlineLevel="0" collapsed="false">
      <c r="A5" s="1" t="s">
        <v>808</v>
      </c>
      <c r="B5" s="8" t="n">
        <f aca="false">IF(ISNUMBER(Comparison!D5),Comparison!D5,"")</f>
        <v>13.3503628447025</v>
      </c>
      <c r="C5" s="8" t="n">
        <f aca="false">IF(ISNUMBER(Comparison!G5),Comparison!G5,"")</f>
        <v>8.24</v>
      </c>
      <c r="D5" s="8" t="n">
        <f aca="false">IF(ISNUMBER(Comparison!J5),Comparison!J5,"")</f>
        <v>10.476822</v>
      </c>
      <c r="E5" s="8" t="str">
        <f aca="false">IF(ISNUMBER(Comparison!M5),Comparison!M5,"")</f>
        <v/>
      </c>
      <c r="F5" s="8" t="str">
        <f aca="false">IF(ISNUMBER(Comparison!P5),Comparison!P5,"")</f>
        <v/>
      </c>
      <c r="G5" s="8" t="str">
        <f aca="false">IF(ISNUMBER(Comparison!S5),Comparison!S5,"")</f>
        <v/>
      </c>
      <c r="H5" s="8" t="str">
        <f aca="false">IF(ISNUMBER(Comparison!V5),Comparison!V5,"")</f>
        <v/>
      </c>
    </row>
    <row r="7" customFormat="false" ht="15" hidden="false" customHeight="true" outlineLevel="0" collapsed="false">
      <c r="A7" s="21" t="s">
        <v>809</v>
      </c>
      <c r="B7" s="21" t="s">
        <v>4</v>
      </c>
      <c r="C7" s="21" t="s">
        <v>7</v>
      </c>
      <c r="D7" s="21" t="s">
        <v>8</v>
      </c>
      <c r="E7" s="21" t="s">
        <v>9</v>
      </c>
      <c r="F7" s="21" t="s">
        <v>10</v>
      </c>
      <c r="G7" s="21" t="s">
        <v>11</v>
      </c>
      <c r="H7" s="21" t="s">
        <v>12</v>
      </c>
    </row>
    <row r="8" customFormat="false" ht="15" hidden="false" customHeight="true" outlineLevel="0" collapsed="false">
      <c r="A8" s="1" t="s">
        <v>810</v>
      </c>
      <c r="B8" s="8" t="n">
        <f aca="false">IF(ISNUMBER(Comparison!D10),Comparison!D10,"")</f>
        <v>28.727942783972</v>
      </c>
      <c r="C8" s="8" t="n">
        <f aca="false">IF(ISNUMBER(Comparison!G10),Comparison!G10,"")</f>
        <v>14.5066336159545</v>
      </c>
      <c r="D8" s="8" t="n">
        <f aca="false">IF(ISNUMBER(Comparison!J10),Comparison!J10,"")</f>
        <v>14.694</v>
      </c>
      <c r="E8" s="8" t="str">
        <f aca="false">IF(ISNUMBER(Comparison!M10),Comparison!M10,"")</f>
        <v/>
      </c>
      <c r="F8" s="8" t="n">
        <f aca="false">IF(ISNUMBER(Comparison!P10),Comparison!P10,"")</f>
        <v>11.248</v>
      </c>
      <c r="G8" s="8" t="n">
        <f aca="false">IF(ISNUMBER(Comparison!S10),Comparison!S10,"")</f>
        <v>18.24</v>
      </c>
      <c r="H8" s="8" t="str">
        <f aca="false">IF(ISNUMBER(Comparison!V10),Comparison!V10,"")</f>
        <v/>
      </c>
    </row>
    <row r="9" customFormat="false" ht="15" hidden="false" customHeight="true" outlineLevel="0" collapsed="false">
      <c r="A9" s="1" t="s">
        <v>811</v>
      </c>
      <c r="B9" s="8" t="n">
        <f aca="false">IF(ISNUMBER(Comparison!D11),Comparison!D11,"")</f>
        <v>3.28845498900779</v>
      </c>
      <c r="C9" s="8" t="n">
        <f aca="false">IF(ISNUMBER(Comparison!G11),Comparison!G11,"")</f>
        <v>1.66055787728417</v>
      </c>
      <c r="D9" s="8" t="n">
        <f aca="false">IF(ISNUMBER(Comparison!J11),Comparison!J11,"")</f>
        <v>1.66372282608696</v>
      </c>
      <c r="E9" s="8" t="str">
        <f aca="false">IF(ISNUMBER(Comparison!M11),Comparison!M11,"")</f>
        <v/>
      </c>
      <c r="F9" s="8" t="n">
        <f aca="false">IF(ISNUMBER(Comparison!P11),Comparison!P11,"")</f>
        <v>1.29465930018416</v>
      </c>
      <c r="G9" s="8" t="n">
        <f aca="false">IF(ISNUMBER(Comparison!S11),Comparison!S11,"")</f>
        <v>2.08791208791209</v>
      </c>
      <c r="H9" s="8" t="str">
        <f aca="false">IF(ISNUMBER(Comparison!V11),Comparison!V11,"")</f>
        <v/>
      </c>
    </row>
    <row r="11" customFormat="false" ht="15" hidden="false" customHeight="true" outlineLevel="0" collapsed="false">
      <c r="A11" s="21" t="s">
        <v>812</v>
      </c>
      <c r="B11" s="21" t="s">
        <v>4</v>
      </c>
      <c r="C11" s="21" t="s">
        <v>7</v>
      </c>
      <c r="D11" s="21" t="s">
        <v>8</v>
      </c>
      <c r="E11" s="21" t="s">
        <v>9</v>
      </c>
      <c r="F11" s="21" t="s">
        <v>10</v>
      </c>
      <c r="G11" s="21" t="s">
        <v>11</v>
      </c>
      <c r="H11" s="21" t="s">
        <v>12</v>
      </c>
    </row>
    <row r="12" customFormat="false" ht="15" hidden="false" customHeight="true" outlineLevel="0" collapsed="false">
      <c r="A12" s="1" t="s">
        <v>813</v>
      </c>
      <c r="B12" s="8" t="n">
        <f aca="false">IF(ISNUMBER(Comparison!D15),Comparison!D15,"")</f>
        <v>19.6806896551724</v>
      </c>
      <c r="C12" s="8" t="n">
        <f aca="false">IF(ISNUMBER(Comparison!G15),Comparison!G15,"")</f>
        <v>18.704</v>
      </c>
      <c r="D12" s="8" t="str">
        <f aca="false">IF(ISNUMBER(Comparison!J15),Comparison!J15,"")</f>
        <v/>
      </c>
      <c r="E12" s="8" t="str">
        <f aca="false">IF(ISNUMBER(Comparison!M15),Comparison!M15,"")</f>
        <v/>
      </c>
      <c r="F12" s="8" t="str">
        <f aca="false">IF(ISNUMBER(Comparison!P15),Comparison!P15,"")</f>
        <v/>
      </c>
      <c r="G12" s="8" t="str">
        <f aca="false">IF(ISNUMBER(Comparison!S15),Comparison!S15,"")</f>
        <v/>
      </c>
      <c r="H12" s="8" t="str">
        <f aca="false">IF(ISNUMBER(Comparison!V15),Comparison!V15,"")</f>
        <v/>
      </c>
    </row>
    <row r="13" customFormat="false" ht="15" hidden="false" customHeight="true" outlineLevel="0" collapsed="false">
      <c r="A13" s="1" t="s">
        <v>814</v>
      </c>
      <c r="B13" s="8" t="n">
        <f aca="false">IF(ISNUMBER(Comparison!D16),Comparison!D16,"")</f>
        <v>87.0453125</v>
      </c>
      <c r="C13" s="8" t="n">
        <f aca="false">IF(ISNUMBER(Comparison!G16),Comparison!G16,"")</f>
        <v>19.9666019417476</v>
      </c>
      <c r="D13" s="8" t="str">
        <f aca="false">IF(ISNUMBER(Comparison!J16),Comparison!J16,"")</f>
        <v/>
      </c>
      <c r="E13" s="8" t="n">
        <f aca="false">IF(ISNUMBER(Comparison!M16),Comparison!M16,"")</f>
        <v>46.3858333333333</v>
      </c>
      <c r="F13" s="8" t="str">
        <f aca="false">IF(ISNUMBER(Comparison!P16),Comparison!P16,"")</f>
        <v/>
      </c>
      <c r="G13" s="8" t="str">
        <f aca="false">IF(ISNUMBER(Comparison!S16),Comparison!S16,"")</f>
        <v/>
      </c>
      <c r="H13" s="8"/>
    </row>
    <row r="14" customFormat="false" ht="15" hidden="false" customHeight="true" outlineLevel="0" collapsed="false">
      <c r="A14" s="1" t="s">
        <v>815</v>
      </c>
      <c r="B14" s="8" t="n">
        <f aca="false">IF(ISNUMBER(Comparison!D17),Comparison!D17,"")</f>
        <v>75.4057803468208</v>
      </c>
      <c r="C14" s="8" t="n">
        <f aca="false">IF(ISNUMBER(Comparison!G17),Comparison!G17,"")</f>
        <v>31.1573333333333</v>
      </c>
      <c r="D14" s="8" t="str">
        <f aca="false">IF(ISNUMBER(Comparison!J17),Comparison!J17,"")</f>
        <v/>
      </c>
      <c r="E14" s="8" t="str">
        <f aca="false">IF(ISNUMBER(Comparison!M17),Comparison!M17,"")</f>
        <v/>
      </c>
      <c r="F14" s="8" t="n">
        <f aca="false">IF(ISNUMBER(Comparison!P17),Comparison!P17,"")</f>
        <v>70.7098765432099</v>
      </c>
      <c r="G14" s="8" t="str">
        <f aca="false">IF(ISNUMBER(Comparison!S17),Comparison!S17,"")</f>
        <v/>
      </c>
      <c r="H14" s="8" t="n">
        <f aca="false">IF(ISNUMBER(Comparison!V17),Comparison!V17,"")</f>
        <v>12.5</v>
      </c>
    </row>
    <row r="16" customFormat="false" ht="15" hidden="false" customHeight="true" outlineLevel="0" collapsed="false">
      <c r="A16" s="21" t="s">
        <v>816</v>
      </c>
      <c r="B16" s="21" t="s">
        <v>4</v>
      </c>
      <c r="C16" s="21" t="s">
        <v>7</v>
      </c>
      <c r="D16" s="21" t="s">
        <v>8</v>
      </c>
      <c r="E16" s="21" t="s">
        <v>9</v>
      </c>
      <c r="F16" s="21" t="s">
        <v>10</v>
      </c>
      <c r="G16" s="21" t="s">
        <v>11</v>
      </c>
      <c r="H16" s="21" t="s">
        <v>12</v>
      </c>
    </row>
    <row r="17" customFormat="false" ht="15" hidden="false" customHeight="true" outlineLevel="0" collapsed="false">
      <c r="A17" s="1" t="s">
        <v>817</v>
      </c>
      <c r="B17" s="8" t="n">
        <f aca="false">IF(ISNUMBER(Comparison!D30),Comparison!D30,"")</f>
        <v>3</v>
      </c>
      <c r="C17" s="8" t="n">
        <f aca="false">IF(ISNUMBER(Comparison!G30),Comparison!G30,"")</f>
        <v>3</v>
      </c>
      <c r="D17" s="8" t="str">
        <f aca="false">IF(ISNUMBER(Comparison!J30),Comparison!J30,"")</f>
        <v/>
      </c>
      <c r="E17" s="8" t="n">
        <f aca="false">IF(ISNUMBER(Comparison!M30),Comparison!M30,"")</f>
        <v>0</v>
      </c>
      <c r="F17" s="8"/>
      <c r="G17" s="8" t="str">
        <f aca="false">IF(ISNUMBER(Comparison!S30),Comparison!S30,"")</f>
        <v/>
      </c>
      <c r="H17" s="8" t="str">
        <f aca="false">IF(ISNUMBER(Comparison!V30),Comparison!V30,"")</f>
        <v/>
      </c>
    </row>
    <row r="18" customFormat="false" ht="15" hidden="false" customHeight="true" outlineLevel="0" collapsed="false">
      <c r="A18" s="1" t="s">
        <v>818</v>
      </c>
      <c r="B18" s="8" t="str">
        <f aca="false">IF(ISNUMBER(Comparison!D34),Comparison!D34,"")</f>
        <v/>
      </c>
      <c r="C18" s="8" t="n">
        <f aca="false">IF(ISNUMBER(Comparison!G34),Comparison!G34,"")</f>
        <v>38.3758544063458</v>
      </c>
      <c r="D18" s="8" t="n">
        <f aca="false">IF(ISNUMBER(Comparison!J34),Comparison!J34,"")</f>
        <v>5.35970428967112</v>
      </c>
      <c r="E18" s="8" t="n">
        <f aca="false">IF(ISNUMBER(Comparison!M34),Comparison!M34,"")</f>
        <v>0</v>
      </c>
      <c r="F18" s="8" t="n">
        <f aca="false">IF(ISNUMBER(Comparison!P34),Comparison!P34,"")</f>
        <v>35.080058224163</v>
      </c>
      <c r="G18" s="8" t="str">
        <f aca="false">IF(ISNUMBER(Comparison!S34),Comparison!S34,"")</f>
        <v/>
      </c>
      <c r="H18" s="8" t="str">
        <f aca="false">IF(ISNUMBER(Comparison!V34),Comparison!V34,"")</f>
        <v/>
      </c>
    </row>
    <row r="20" customFormat="false" ht="15" hidden="false" customHeight="true" outlineLevel="0" collapsed="false">
      <c r="A20" s="21" t="s">
        <v>819</v>
      </c>
      <c r="B20" s="21" t="s">
        <v>4</v>
      </c>
      <c r="C20" s="21" t="s">
        <v>7</v>
      </c>
      <c r="D20" s="21" t="s">
        <v>8</v>
      </c>
      <c r="E20" s="21" t="s">
        <v>9</v>
      </c>
      <c r="F20" s="21" t="s">
        <v>10</v>
      </c>
      <c r="G20" s="21" t="s">
        <v>11</v>
      </c>
      <c r="H20" s="21" t="s">
        <v>12</v>
      </c>
    </row>
    <row r="21" customFormat="false" ht="15" hidden="false" customHeight="true" outlineLevel="0" collapsed="false">
      <c r="A21" s="1" t="s">
        <v>820</v>
      </c>
      <c r="B21" s="8" t="n">
        <f aca="false">IF(ISNUMBER(Comparison!D26),Comparison!D26,"")</f>
        <v>16.3030961906419</v>
      </c>
      <c r="C21" s="8" t="n">
        <f aca="false">IF(ISNUMBER(Comparison!G26),Comparison!G26,"")</f>
        <v>10.0679611650485</v>
      </c>
      <c r="D21" s="8" t="n">
        <f aca="false">IF(ISNUMBER(Comparison!J26),Comparison!J26,"")</f>
        <v>18.0812593065305</v>
      </c>
      <c r="E21" s="8" t="n">
        <f aca="false">IF(ISNUMBER(Comparison!M26),Comparison!M26,"")</f>
        <v>8.31422018348624</v>
      </c>
      <c r="F21" s="8" t="n">
        <f aca="false">IF(ISNUMBER(Comparison!P26),Comparison!P26,"")</f>
        <v>200.568990042674</v>
      </c>
      <c r="G21" s="8" t="str">
        <f aca="false">IF(ISNUMBER(Comparison!S26),Comparison!S26,"")</f>
        <v/>
      </c>
      <c r="H21" s="8" t="str">
        <f aca="false">IF(ISNUMBER(Comparison!V26),Comparison!V26,"")</f>
        <v/>
      </c>
    </row>
    <row r="22" customFormat="false" ht="15" hidden="false" customHeight="true" outlineLevel="0" collapsed="false">
      <c r="A22" s="1" t="s">
        <v>821</v>
      </c>
      <c r="B22" s="8" t="n">
        <f aca="false">IF(ISNUMBER(Comparison!D28),Comparison!D28,"")</f>
        <v>21</v>
      </c>
      <c r="C22" s="8" t="n">
        <f aca="false">IF(ISNUMBER(Comparison!G28),Comparison!G28,"")</f>
        <v>26</v>
      </c>
      <c r="D22" s="8" t="str">
        <f aca="false">IF(ISNUMBER(Comparison!J28),Comparison!J28,"")</f>
        <v/>
      </c>
      <c r="E22" s="8" t="str">
        <f aca="false">IF(ISNUMBER(Comparison!M28),Comparison!M28,"")</f>
        <v/>
      </c>
      <c r="F22" s="8" t="str">
        <f aca="false">IF(ISNUMBER(Comparison!P28),Comparison!P28,"")</f>
        <v/>
      </c>
      <c r="G22" s="8" t="str">
        <f aca="false">IF(ISNUMBER(Comparison!S28),Comparison!S28,"")</f>
        <v/>
      </c>
      <c r="H22" s="8" t="str">
        <f aca="false">IF(ISNUMBER(Comparison!V28),Comparison!V28,"")</f>
        <v/>
      </c>
    </row>
    <row r="24" customFormat="false" ht="15" hidden="false" customHeight="true" outlineLevel="0" collapsed="false">
      <c r="A24" s="21" t="s">
        <v>822</v>
      </c>
      <c r="B24" s="21" t="s">
        <v>4</v>
      </c>
      <c r="C24" s="21" t="s">
        <v>7</v>
      </c>
      <c r="D24" s="21" t="s">
        <v>8</v>
      </c>
      <c r="E24" s="21" t="s">
        <v>9</v>
      </c>
      <c r="F24" s="21" t="s">
        <v>10</v>
      </c>
      <c r="G24" s="21" t="s">
        <v>11</v>
      </c>
      <c r="H24" s="21" t="s">
        <v>12</v>
      </c>
    </row>
    <row r="25" customFormat="false" ht="15" hidden="false" customHeight="true" outlineLevel="0" collapsed="false">
      <c r="A25" s="1" t="s">
        <v>823</v>
      </c>
      <c r="B25" s="8" t="n">
        <f aca="false">IF(ISNUMBER(Comparison!D25),Comparison!D25,"")</f>
        <v>36</v>
      </c>
      <c r="C25" s="8" t="n">
        <f aca="false">IF(ISNUMBER(Comparison!G25),Comparison!G25,"")</f>
        <v>41</v>
      </c>
      <c r="D25" s="8" t="n">
        <f aca="false">IF(ISNUMBER(Comparison!J25),Comparison!J25,"")</f>
        <v>43.1</v>
      </c>
      <c r="E25" s="8" t="n">
        <f aca="false">IF(ISNUMBER(Comparison!M25),Comparison!M25,"")</f>
        <v>29</v>
      </c>
      <c r="F25" s="8" t="n">
        <f aca="false">IF(ISNUMBER(Comparison!P25),Comparison!P25,"")</f>
        <v>16</v>
      </c>
      <c r="G25" s="8" t="str">
        <f aca="false">IF(ISNUMBER(Comparison!S25),Comparison!S25,"")</f>
        <v/>
      </c>
      <c r="H25" s="8" t="str">
        <f aca="false">IF(ISNUMBER(Comparison!V25),Comparison!V25,"")</f>
        <v/>
      </c>
    </row>
    <row r="27" customFormat="false" ht="15" hidden="false" customHeight="true" outlineLevel="0" collapsed="false">
      <c r="A27" s="21" t="s">
        <v>824</v>
      </c>
      <c r="B27" s="21" t="s">
        <v>4</v>
      </c>
      <c r="C27" s="21" t="s">
        <v>7</v>
      </c>
      <c r="D27" s="21" t="s">
        <v>8</v>
      </c>
      <c r="E27" s="21" t="s">
        <v>9</v>
      </c>
      <c r="F27" s="21" t="s">
        <v>10</v>
      </c>
      <c r="G27" s="21" t="s">
        <v>11</v>
      </c>
      <c r="H27" s="21" t="s">
        <v>12</v>
      </c>
    </row>
    <row r="28" customFormat="false" ht="15" hidden="false" customHeight="true" outlineLevel="0" collapsed="false">
      <c r="A28" s="1" t="s">
        <v>825</v>
      </c>
      <c r="B28" s="8" t="n">
        <f aca="false">IF(ISNUMBER(Comparison!D19),Comparison!D19,"")</f>
        <v>5</v>
      </c>
      <c r="C28" s="8" t="n">
        <f aca="false">IF(ISNUMBER(Comparison!G19),Comparison!G19,"")</f>
        <v>6</v>
      </c>
      <c r="D28" s="8" t="n">
        <f aca="false">IF(ISNUMBER(Comparison!J19),Comparison!J19,"")</f>
        <v>5</v>
      </c>
      <c r="E28" s="8" t="n">
        <f aca="false">IF(ISNUMBER(Comparison!M19),Comparison!M19,"")</f>
        <v>6</v>
      </c>
      <c r="F28" s="8" t="n">
        <f aca="false">IF(ISNUMBER(Comparison!P19),Comparison!P19,"")</f>
        <v>5.5</v>
      </c>
      <c r="G28" s="8" t="str">
        <f aca="false">IF(ISNUMBER(Comparison!S19),Comparison!S19,"")</f>
        <v/>
      </c>
      <c r="H28" s="8" t="str">
        <f aca="false">IF(ISNUMBER(Comparison!V19),Comparison!V19,"")</f>
        <v/>
      </c>
    </row>
    <row r="29" customFormat="false" ht="15" hidden="false" customHeight="true" outlineLevel="0" collapsed="false">
      <c r="A29" s="1" t="s">
        <v>826</v>
      </c>
      <c r="B29" s="8" t="n">
        <f aca="false">IF(ISNUMBER(Comparison!D18),Comparison!D18,"")</f>
        <v>36.4919075144509</v>
      </c>
      <c r="C29" s="8" t="n">
        <f aca="false">IF(ISNUMBER(Comparison!G18),Comparison!G18,"")</f>
        <v>27.136</v>
      </c>
      <c r="D29" s="8" t="str">
        <f aca="false">IF(ISNUMBER(Comparison!J18),Comparison!J18,"")</f>
        <v/>
      </c>
      <c r="E29" s="8" t="str">
        <f aca="false">IF(ISNUMBER(Comparison!M18),Comparison!M18,"")</f>
        <v/>
      </c>
      <c r="F29" s="8" t="n">
        <f aca="false">IF(ISNUMBER(Comparison!P18),Comparison!P18,"")</f>
        <v>20.8259259259259</v>
      </c>
      <c r="G29" s="8" t="str">
        <f aca="false">IF(ISNUMBER(Comparison!S18),Comparison!S18,"")</f>
        <v/>
      </c>
      <c r="H29" s="8" t="str">
        <f aca="false">IF(ISNUMBER(Comparison!V18),Comparison!V18,"")</f>
        <v/>
      </c>
    </row>
    <row r="31" customFormat="false" ht="15" hidden="false" customHeight="true" outlineLevel="0" collapsed="false">
      <c r="A31" s="21" t="s">
        <v>827</v>
      </c>
      <c r="B31" s="21" t="s">
        <v>4</v>
      </c>
      <c r="C31" s="21" t="s">
        <v>7</v>
      </c>
      <c r="D31" s="21" t="s">
        <v>8</v>
      </c>
      <c r="E31" s="21" t="s">
        <v>9</v>
      </c>
      <c r="F31" s="21" t="s">
        <v>10</v>
      </c>
      <c r="G31" s="21" t="s">
        <v>11</v>
      </c>
      <c r="H31" s="21" t="s">
        <v>12</v>
      </c>
    </row>
    <row r="32" customFormat="false" ht="15" hidden="false" customHeight="true" outlineLevel="0" collapsed="false">
      <c r="A32" s="1" t="s">
        <v>828</v>
      </c>
      <c r="B32" s="1" t="n">
        <f aca="false">Nebius_Inputs!C20</f>
        <v>173</v>
      </c>
      <c r="C32" s="1" t="n">
        <v>1500</v>
      </c>
      <c r="D32" s="1" t="n">
        <v>40</v>
      </c>
      <c r="E32" s="1" t="n">
        <v>1200</v>
      </c>
      <c r="F32" s="1" t="n">
        <v>81</v>
      </c>
      <c r="G32" s="1" t="n">
        <v>47</v>
      </c>
      <c r="H32" s="1" t="n">
        <v>1000</v>
      </c>
    </row>
    <row r="33" customFormat="false" ht="15" hidden="false" customHeight="true" outlineLevel="0" collapsed="false">
      <c r="A33" s="1" t="s">
        <v>668</v>
      </c>
      <c r="B33" s="1" t="n">
        <f aca="false">Nebius_Inputs!C22</f>
        <v>3500</v>
      </c>
      <c r="C33" s="1" t="n">
        <v>3700</v>
      </c>
      <c r="D33" s="1" t="n">
        <v>260</v>
      </c>
      <c r="E33" s="1" t="n">
        <v>10000</v>
      </c>
      <c r="F33" s="1" t="n">
        <v>1370</v>
      </c>
      <c r="H33" s="1" t="n">
        <v>6000</v>
      </c>
    </row>
    <row r="34" customFormat="false" ht="81.75" hidden="false" customHeight="true" outlineLevel="0" collapsed="false">
      <c r="A34" s="10" t="s">
        <v>829</v>
      </c>
    </row>
    <row r="36" customFormat="false" ht="15" hidden="false" customHeight="true" outlineLevel="0" collapsed="false">
      <c r="A36" s="21" t="s">
        <v>830</v>
      </c>
      <c r="B36" s="21" t="s">
        <v>20</v>
      </c>
    </row>
    <row r="37" customFormat="false" ht="15" hidden="false" customHeight="true" outlineLevel="0" collapsed="false">
      <c r="A37" s="1" t="s">
        <v>831</v>
      </c>
      <c r="B37" s="8" t="n">
        <f aca="false">IF(ISNUMBER('Contracts_$MWyr'!W4),'Contracts_$MWyr'!W4,IF(ISNUMBER('Contracts_$MWyr'!V4),'Contracts_$MWyr'!V4,""))</f>
        <v>17.0798267752104</v>
      </c>
    </row>
    <row r="38" customFormat="false" ht="15" hidden="false" customHeight="true" outlineLevel="0" collapsed="false">
      <c r="A38" s="1" t="s">
        <v>832</v>
      </c>
      <c r="B38" s="8" t="n">
        <f aca="false">IF(ISNUMBER('Contracts_$MWyr'!W6),'Contracts_$MWyr'!W6,IF(ISNUMBER('Contracts_$MWyr'!V6),'Contracts_$MWyr'!V6,""))</f>
        <v>11.5228</v>
      </c>
    </row>
    <row r="39" customFormat="false" ht="15" hidden="false" customHeight="true" outlineLevel="0" collapsed="false">
      <c r="A39" s="1" t="s">
        <v>833</v>
      </c>
      <c r="B39" s="8" t="n">
        <f aca="false">IF(ISNUMBER('Contracts_$MWyr'!W10),'Contracts_$MWyr'!W10,IF(ISNUMBER('Contracts_$MWyr'!V10),'Contracts_$MWyr'!V10,""))</f>
        <v>9.7</v>
      </c>
    </row>
    <row r="40" customFormat="false" ht="15" hidden="false" customHeight="true" outlineLevel="0" collapsed="false">
      <c r="A40" s="1" t="s">
        <v>834</v>
      </c>
      <c r="B40" s="8" t="n">
        <f aca="false">IF(ISNUMBER('Contracts_$MWyr'!W11),'Contracts_$MWyr'!W11,IF(ISNUMBER('Contracts_$MWyr'!V11),'Contracts_$MWyr'!V11,""))</f>
        <v>11.3333333333333</v>
      </c>
    </row>
    <row r="41" customFormat="false" ht="15" hidden="false" customHeight="true" outlineLevel="0" collapsed="false">
      <c r="A41" s="1" t="s">
        <v>835</v>
      </c>
      <c r="B41" s="8" t="n">
        <f aca="false">IF(ISNUMBER('Contracts_$MWyr'!W13),'Contracts_$MWyr'!W13,IF(ISNUMBER('Contracts_$MWyr'!V13),'Contracts_$MWyr'!V13,""))</f>
        <v>13.3511877527543</v>
      </c>
    </row>
    <row r="42" customFormat="false" ht="15" hidden="false" customHeight="true" outlineLevel="0" collapsed="false">
      <c r="A42" s="1" t="s">
        <v>836</v>
      </c>
      <c r="B42" s="8" t="n">
        <f aca="false">IF(ISNUMBER('Contracts_$MWyr'!W14),'Contracts_$MWyr'!W14,IF(ISNUMBER('Contracts_$MWyr'!V14),'Contracts_$MWyr'!V14,""))</f>
        <v>11.7084962136234</v>
      </c>
    </row>
    <row r="43" customFormat="false" ht="15" hidden="false" customHeight="true" outlineLevel="0" collapsed="false">
      <c r="A43" s="1" t="s">
        <v>837</v>
      </c>
      <c r="B43" s="8" t="n">
        <f aca="false">IF(ISNUMBER('Contracts_$MWyr'!W16),'Contracts_$MWyr'!W16,IF(ISNUMBER('Contracts_$MWyr'!V16),'Contracts_$MWyr'!V16,""))</f>
        <v>16.1594202898551</v>
      </c>
    </row>
    <row r="44" customFormat="false" ht="15" hidden="false" customHeight="true" outlineLevel="0" collapsed="false">
      <c r="A44" s="1" t="s">
        <v>838</v>
      </c>
      <c r="B44" s="8" t="n">
        <f aca="false">IF(ISNUMBER('Contracts_$MWyr'!W18),'Contracts_$MWyr'!W18,IF(ISNUMBER('Contracts_$MWyr'!V18),'Contracts_$MWyr'!V18,""))</f>
        <v>16.6666666666667</v>
      </c>
    </row>
    <row r="45" customFormat="false" ht="15" hidden="false" customHeight="true" outlineLevel="0" collapsed="false">
      <c r="A45" s="1" t="s">
        <v>839</v>
      </c>
      <c r="B45" s="8" t="n">
        <f aca="false">IF(ISNUMBER('Contracts_$MWyr'!W31),'Contracts_$MWyr'!W31,IF(ISNUMBER('Contracts_$MWyr'!V31),'Contracts_$MWyr'!V31,""))</f>
        <v>16</v>
      </c>
    </row>
    <row r="46" customFormat="false" ht="15" hidden="false" customHeight="true" outlineLevel="0" collapsed="false">
      <c r="A46" s="1" t="s">
        <v>840</v>
      </c>
      <c r="B46" s="8" t="n">
        <f aca="false">IF(ISNUMBER('Contracts_$MWyr'!W39),'Contracts_$MWyr'!W39,IF(ISNUMBER('Contracts_$MWyr'!V39),'Contracts_$MWyr'!V39,""))</f>
        <v>4.44444444444445</v>
      </c>
    </row>
    <row r="47" customFormat="false" ht="15" hidden="false" customHeight="true" outlineLevel="0" collapsed="false">
      <c r="A47" s="1" t="s">
        <v>841</v>
      </c>
      <c r="B47" s="8" t="n">
        <f aca="false">IF(ISNUMBER('Contracts_$MWyr'!W40),'Contracts_$MWyr'!W40,IF(ISNUMBER('Contracts_$MWyr'!V40),'Contracts_$MWyr'!V40,""))</f>
        <v>1.85</v>
      </c>
    </row>
    <row r="48" customFormat="false" ht="15" hidden="false" customHeight="true" outlineLevel="0" collapsed="false">
      <c r="A48" s="1" t="s">
        <v>842</v>
      </c>
      <c r="B48" s="8" t="n">
        <f aca="false">IF(ISNUMBER('Contracts_$MWyr'!W41),'Contracts_$MWyr'!W41,IF(ISNUMBER('Contracts_$MWyr'!V41),'Contracts_$MWyr'!V41,""))</f>
        <v>1.22222222222222</v>
      </c>
    </row>
    <row r="49" customFormat="false" ht="15" hidden="false" customHeight="true" outlineLevel="0" collapsed="false">
      <c r="A49" s="1" t="s">
        <v>843</v>
      </c>
      <c r="B49" s="8" t="n">
        <f aca="false">IF(ISNUMBER('Contracts_$MWyr'!W42),'Contracts_$MWyr'!W42,IF(ISNUMBER('Contracts_$MWyr'!V42),'Contracts_$MWyr'!V42,""))</f>
        <v>1.78571428571429</v>
      </c>
    </row>
    <row r="50" customFormat="false" ht="15" hidden="false" customHeight="true" outlineLevel="0" collapsed="false">
      <c r="A50" s="1" t="s">
        <v>844</v>
      </c>
      <c r="B50" s="8" t="n">
        <f aca="false">IF(ISNUMBER('Contracts_$MWyr'!W43),'Contracts_$MWyr'!W43,IF(ISNUMBER('Contracts_$MWyr'!V43),'Contracts_$MWyr'!V43,""))</f>
        <v>1.9047619047619</v>
      </c>
    </row>
    <row r="51" customFormat="false" ht="15" hidden="false" customHeight="true" outlineLevel="0" collapsed="false">
      <c r="A51" s="1" t="s">
        <v>845</v>
      </c>
      <c r="B51" s="8" t="n">
        <f aca="false">IF(ISNUMBER('Contracts_$MWyr'!W44),'Contracts_$MWyr'!W44,IF(ISNUMBER('Contracts_$MWyr'!V44),'Contracts_$MWyr'!V44,""))</f>
        <v>1.83333333333333</v>
      </c>
    </row>
    <row r="52" customFormat="false" ht="15" hidden="false" customHeight="true" outlineLevel="0" collapsed="false">
      <c r="A52" s="1" t="s">
        <v>846</v>
      </c>
      <c r="B52" s="8" t="n">
        <f aca="false">IF(ISNUMBER('Contracts_$MWyr'!W45),'Contracts_$MWyr'!W45,IF(ISNUMBER('Contracts_$MWyr'!V45),'Contracts_$MWyr'!V45,""))</f>
        <v>1.90114068441065</v>
      </c>
    </row>
    <row r="53" customFormat="false" ht="15" hidden="false" customHeight="true" outlineLevel="0" collapsed="false">
      <c r="A53" s="1" t="s">
        <v>847</v>
      </c>
      <c r="B53" s="8" t="n">
        <f aca="false">IF(ISNUMBER('Contracts_$MWyr'!W46),'Contracts_$MWyr'!W46,IF(ISNUMBER('Contracts_$MWyr'!V46),'Contracts_$MWyr'!V46,""))</f>
        <v>1.85606060606061</v>
      </c>
    </row>
    <row r="55" customFormat="false" ht="15" hidden="false" customHeight="true" outlineLevel="0" collapsed="false">
      <c r="A55" s="21" t="s">
        <v>848</v>
      </c>
      <c r="B55" s="21" t="s">
        <v>669</v>
      </c>
      <c r="C55" s="21" t="s">
        <v>670</v>
      </c>
      <c r="D55" s="21" t="s">
        <v>671</v>
      </c>
      <c r="E55" s="21" t="s">
        <v>849</v>
      </c>
      <c r="F55" s="21" t="s">
        <v>673</v>
      </c>
    </row>
    <row r="56" customFormat="false" ht="15" hidden="false" customHeight="true" outlineLevel="0" collapsed="false">
      <c r="A56" s="1" t="s">
        <v>850</v>
      </c>
      <c r="B56" s="1" t="n">
        <f aca="false">IF(ISNUMBER(Sites!G5),Sites!G5,"")</f>
        <v>250</v>
      </c>
      <c r="C56" s="1" t="n">
        <f aca="false">IF(ISNUMBER(Sites!H5),Sites!H5,"")</f>
        <v>260</v>
      </c>
      <c r="D56" s="1" t="n">
        <f aca="false">IF(ISNUMBER(Sites!I5),Sites!I5,"")</f>
        <v>262</v>
      </c>
      <c r="E56" s="1" t="n">
        <f aca="false">IF(ISNUMBER(Sites!E5),Sites!E5,"")</f>
        <v>262</v>
      </c>
      <c r="F56" s="1" t="n">
        <f aca="false">IF(ISNUMBER(Sites!K5),Sites!K5,"")</f>
        <v>262</v>
      </c>
    </row>
    <row r="57" customFormat="false" ht="15" hidden="false" customHeight="true" outlineLevel="0" collapsed="false">
      <c r="A57" s="1" t="s">
        <v>851</v>
      </c>
      <c r="B57" s="1" t="n">
        <f aca="false">IF(ISNUMBER(Sites!G6),Sites!G6,"")</f>
        <v>50</v>
      </c>
      <c r="C57" s="1" t="n">
        <f aca="false">IF(ISNUMBER(Sites!H6),Sites!H6,"")</f>
        <v>75</v>
      </c>
      <c r="D57" s="1" t="n">
        <f aca="false">IF(ISNUMBER(Sites!I6),Sites!I6,"")</f>
        <v>100</v>
      </c>
      <c r="E57" s="1" t="n">
        <f aca="false">IF(ISNUMBER(Sites!E6),Sites!E6,"")</f>
        <v>260</v>
      </c>
      <c r="F57" s="1" t="n">
        <f aca="false">IF(ISNUMBER(Sites!K6),Sites!K6,"")</f>
        <v>150</v>
      </c>
    </row>
    <row r="58" customFormat="false" ht="15" hidden="false" customHeight="true" outlineLevel="0" collapsed="false">
      <c r="A58" s="1" t="s">
        <v>852</v>
      </c>
      <c r="B58" s="1" t="n">
        <f aca="false">IF(ISNUMBER(Sites!G7),Sites!G7,"")</f>
        <v>0</v>
      </c>
      <c r="C58" s="1" t="n">
        <f aca="false">IF(ISNUMBER(Sites!H7),Sites!H7,"")</f>
        <v>0</v>
      </c>
      <c r="D58" s="1" t="n">
        <f aca="false">IF(ISNUMBER(Sites!I7),Sites!I7,"")</f>
        <v>0</v>
      </c>
      <c r="E58" s="1" t="n">
        <f aca="false">IF(ISNUMBER(Sites!E7),Sites!E7,"")</f>
        <v>230</v>
      </c>
      <c r="F58" s="1" t="n">
        <f aca="false">IF(ISNUMBER(Sites!K7),Sites!K7,"")</f>
        <v>0</v>
      </c>
    </row>
    <row r="59" customFormat="false" ht="15" hidden="false" customHeight="true" outlineLevel="0" collapsed="false">
      <c r="A59" s="1" t="s">
        <v>853</v>
      </c>
      <c r="B59" s="1" t="n">
        <f aca="false">IF(ISNUMBER(Sites!G8),Sites!G8,"")</f>
        <v>200</v>
      </c>
      <c r="C59" s="1" t="n">
        <f aca="false">IF(ISNUMBER(Sites!H8),Sites!H8,"")</f>
        <v>421</v>
      </c>
      <c r="D59" s="1" t="n">
        <f aca="false">IF(ISNUMBER(Sites!I8),Sites!I8,"")</f>
        <v>421</v>
      </c>
      <c r="E59" s="1" t="n">
        <f aca="false">IF(ISNUMBER(Sites!E8),Sites!E8,"")</f>
        <v>843</v>
      </c>
      <c r="F59" s="1" t="n">
        <f aca="false">IF(ISNUMBER(Sites!K8),Sites!K8,"")</f>
        <v>632</v>
      </c>
    </row>
    <row r="60" customFormat="false" ht="15" hidden="false" customHeight="true" outlineLevel="0" collapsed="false">
      <c r="A60" s="1" t="s">
        <v>854</v>
      </c>
      <c r="B60" s="1" t="n">
        <f aca="false">IF(ISNUMBER(Sites!G9),Sites!G9,"")</f>
        <v>0</v>
      </c>
      <c r="C60" s="1" t="n">
        <f aca="false">IF(ISNUMBER(Sites!H9),Sites!H9,"")</f>
        <v>12</v>
      </c>
      <c r="D60" s="1" t="n">
        <f aca="false">IF(ISNUMBER(Sites!I9),Sites!I9,"")</f>
        <v>24</v>
      </c>
      <c r="E60" s="1" t="n">
        <f aca="false">IF(ISNUMBER(Sites!E9),Sites!E9,"")</f>
        <v>24</v>
      </c>
      <c r="F60" s="1" t="n">
        <f aca="false">IF(ISNUMBER(Sites!K9),Sites!K9,"")</f>
        <v>24</v>
      </c>
    </row>
    <row r="61" customFormat="false" ht="15" hidden="false" customHeight="true" outlineLevel="0" collapsed="false">
      <c r="A61" s="1" t="s">
        <v>855</v>
      </c>
      <c r="B61" s="1" t="n">
        <f aca="false">IF(ISNUMBER(Sites!G10),Sites!G10,"")</f>
        <v>0</v>
      </c>
      <c r="C61" s="1" t="n">
        <f aca="false">IF(ISNUMBER(Sites!H10),Sites!H10,"")</f>
        <v>0</v>
      </c>
      <c r="D61" s="1" t="n">
        <f aca="false">IF(ISNUMBER(Sites!I10),Sites!I10,"")</f>
        <v>0</v>
      </c>
      <c r="E61" s="1" t="n">
        <f aca="false">IF(ISNUMBER(Sites!E10),Sites!E10,"")</f>
        <v>902</v>
      </c>
      <c r="F61" s="1" t="n">
        <f aca="false">IF(ISNUMBER(Sites!K10),Sites!K10,"")</f>
        <v>0</v>
      </c>
    </row>
    <row r="62" customFormat="false" ht="15" hidden="false" customHeight="true" outlineLevel="0" collapsed="false">
      <c r="A62" s="1" t="s">
        <v>856</v>
      </c>
      <c r="B62" s="1" t="n">
        <f aca="false">IF(ISNUMBER(Sites!G15),Sites!G15,"")</f>
        <v>57</v>
      </c>
      <c r="C62" s="1" t="n">
        <f aca="false">IF(ISNUMBER(Sites!H15),Sites!H15,"")</f>
        <v>66</v>
      </c>
      <c r="D62" s="1" t="n">
        <f aca="false">IF(ISNUMBER(Sites!I15),Sites!I15,"")</f>
        <v>75</v>
      </c>
      <c r="E62" s="1" t="n">
        <f aca="false">IF(ISNUMBER(Sites!E15),Sites!E15,"")</f>
        <v>300</v>
      </c>
      <c r="F62" s="1" t="n">
        <f aca="false">IF(ISNUMBER(Sites!K15),Sites!K15,"")</f>
        <v>81.8</v>
      </c>
    </row>
    <row r="63" customFormat="false" ht="15" hidden="false" customHeight="true" outlineLevel="0" collapsed="false">
      <c r="A63" s="1" t="s">
        <v>857</v>
      </c>
      <c r="B63" s="1" t="n">
        <f aca="false">IF(ISNUMBER(Sites!G16),Sites!G16,"")</f>
        <v>0</v>
      </c>
      <c r="C63" s="1" t="n">
        <f aca="false">IF(ISNUMBER(Sites!H16),Sites!H16,"")</f>
        <v>0</v>
      </c>
      <c r="D63" s="1" t="n">
        <f aca="false">IF(ISNUMBER(Sites!I16),Sites!I16,"")</f>
        <v>0</v>
      </c>
      <c r="E63" s="1" t="n">
        <f aca="false">IF(ISNUMBER(Sites!E16),Sites!E16,"")</f>
        <v>1200</v>
      </c>
      <c r="F63" s="1" t="n">
        <f aca="false">IF(ISNUMBER(Sites!K16),Sites!K16,"")</f>
        <v>0</v>
      </c>
    </row>
    <row r="64" customFormat="false" ht="15" hidden="false" customHeight="true" outlineLevel="0" collapsed="false">
      <c r="A64" s="1" t="s">
        <v>858</v>
      </c>
      <c r="B64" s="1" t="n">
        <f aca="false">IF(ISNUMBER(Sites!G19),Sites!G19,"")</f>
        <v>0</v>
      </c>
      <c r="C64" s="1" t="n">
        <f aca="false">IF(ISNUMBER(Sites!H19),Sites!H19,"")</f>
        <v>0</v>
      </c>
      <c r="D64" s="1" t="n">
        <f aca="false">IF(ISNUMBER(Sites!I19),Sites!I19,"")</f>
        <v>0</v>
      </c>
      <c r="E64" s="1" t="n">
        <f aca="false">IF(ISNUMBER(Sites!E19),Sites!E19,"")</f>
        <v>240</v>
      </c>
      <c r="F64" s="1" t="n">
        <f aca="false">IF(ISNUMBER(Sites!K19),Sites!K19,"")</f>
        <v>30</v>
      </c>
    </row>
    <row r="65" customFormat="false" ht="15" hidden="false" customHeight="true" outlineLevel="0" collapsed="false">
      <c r="A65" s="1" t="s">
        <v>859</v>
      </c>
      <c r="B65" s="1" t="n">
        <f aca="false">IF(ISNUMBER(Sites!G21),Sites!G21,"")</f>
        <v>75</v>
      </c>
      <c r="C65" s="1" t="n">
        <f aca="false">IF(ISNUMBER(Sites!H21),Sites!H21,"")</f>
        <v>75</v>
      </c>
      <c r="D65" s="1" t="n">
        <f aca="false">IF(ISNUMBER(Sites!I21),Sites!I21,"")</f>
        <v>75</v>
      </c>
      <c r="E65" s="1" t="n">
        <f aca="false">IF(ISNUMBER(Sites!E21),Sites!E21,"")</f>
        <v>75</v>
      </c>
      <c r="F65" s="1" t="n">
        <f aca="false">IF(ISNUMBER(Sites!K21),Sites!K21,"")</f>
        <v>75</v>
      </c>
    </row>
    <row r="66" customFormat="false" ht="15" hidden="false" customHeight="true" outlineLevel="0" collapsed="false">
      <c r="A66" s="1" t="s">
        <v>860</v>
      </c>
      <c r="B66" s="1" t="n">
        <f aca="false">IF(ISNUMBER(Sites!G23),Sites!G23,"")</f>
        <v>5</v>
      </c>
      <c r="C66" s="1" t="n">
        <f aca="false">IF(ISNUMBER(Sites!H23),Sites!H23,"")</f>
        <v>20</v>
      </c>
      <c r="D66" s="1" t="n">
        <f aca="false">IF(ISNUMBER(Sites!I23),Sites!I23,"")</f>
        <v>35</v>
      </c>
      <c r="E66" s="1" t="n">
        <f aca="false">IF(ISNUMBER(Sites!E23),Sites!E23,"")</f>
        <v>40</v>
      </c>
      <c r="F66" s="1" t="n">
        <f aca="false">IF(ISNUMBER(Sites!K23),Sites!K23,"")</f>
        <v>20</v>
      </c>
    </row>
    <row r="67" customFormat="false" ht="15" hidden="false" customHeight="true" outlineLevel="0" collapsed="false">
      <c r="A67" s="1" t="s">
        <v>861</v>
      </c>
      <c r="B67" s="1" t="n">
        <f aca="false">IF(ISNUMBER(Sites!G26),Sites!G26,"")</f>
        <v>16</v>
      </c>
      <c r="C67" s="1" t="n">
        <f aca="false">IF(ISNUMBER(Sites!H26),Sites!H26,"")</f>
        <v>16</v>
      </c>
      <c r="D67" s="1" t="n">
        <f aca="false">IF(ISNUMBER(Sites!I26),Sites!I26,"")</f>
        <v>16</v>
      </c>
      <c r="E67" s="1" t="n">
        <f aca="false">IF(ISNUMBER(Sites!E26),Sites!E26,"")</f>
        <v>19</v>
      </c>
      <c r="F67" s="1" t="n">
        <f aca="false">IF(ISNUMBER(Sites!K26),Sites!K26,"")</f>
        <v>17.5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true" outlineLevel="0" collapsed="false">
      <c r="A1" s="21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60"/>
  </cols>
  <sheetData>
    <row r="1" customFormat="false" ht="15" hidden="false" customHeight="true" outlineLevel="0" collapsed="false">
      <c r="A1" s="21" t="s">
        <v>863</v>
      </c>
    </row>
    <row r="3" customFormat="false" ht="15" hidden="false" customHeight="true" outlineLevel="0" collapsed="false">
      <c r="A3" s="21" t="s">
        <v>8</v>
      </c>
    </row>
    <row r="4" customFormat="false" ht="15" hidden="false" customHeight="true" outlineLevel="0" collapsed="false">
      <c r="A4" s="22" t="s">
        <v>1</v>
      </c>
      <c r="B4" s="22" t="s">
        <v>864</v>
      </c>
      <c r="C4" s="22" t="s">
        <v>3</v>
      </c>
      <c r="D4" s="22" t="s">
        <v>865</v>
      </c>
      <c r="E4" s="22" t="s">
        <v>866</v>
      </c>
      <c r="F4" s="22" t="s">
        <v>867</v>
      </c>
      <c r="G4" s="22" t="s">
        <v>868</v>
      </c>
      <c r="H4" s="22" t="s">
        <v>869</v>
      </c>
      <c r="I4" s="22" t="s">
        <v>870</v>
      </c>
      <c r="J4" s="22" t="s">
        <v>871</v>
      </c>
      <c r="K4" s="22" t="s">
        <v>872</v>
      </c>
      <c r="L4" s="22" t="s">
        <v>873</v>
      </c>
      <c r="M4" s="22" t="s">
        <v>874</v>
      </c>
      <c r="N4" s="22" t="s">
        <v>418</v>
      </c>
    </row>
    <row r="5" customFormat="false" ht="15" hidden="false" customHeight="true" outlineLevel="0" collapsed="false">
      <c r="A5" s="1" t="s">
        <v>875</v>
      </c>
      <c r="B5" s="1" t="s">
        <v>876</v>
      </c>
      <c r="C5" s="1" t="s">
        <v>79</v>
      </c>
      <c r="D5" s="1" t="s">
        <v>24</v>
      </c>
      <c r="E5" s="24" t="n">
        <v>1.05097312326228</v>
      </c>
      <c r="F5" s="24" t="n">
        <v>4.46846719954928</v>
      </c>
      <c r="G5" s="24" t="n">
        <v>6.0438935637935</v>
      </c>
      <c r="H5" s="24" t="n">
        <v>2.29112136657942</v>
      </c>
      <c r="I5" s="24" t="n">
        <v>2.47267353942399</v>
      </c>
      <c r="J5" s="24" t="n">
        <v>3.71770434559754</v>
      </c>
      <c r="K5" s="24" t="n">
        <v>3.05749183295533</v>
      </c>
      <c r="L5" s="24" t="n">
        <v>9.36586316678578</v>
      </c>
      <c r="M5" s="24" t="n">
        <v>23.2293932801547</v>
      </c>
      <c r="N5" s="24" t="n">
        <v>51.3864091820004</v>
      </c>
    </row>
    <row r="6" customFormat="false" ht="15" hidden="false" customHeight="true" outlineLevel="0" collapsed="false">
      <c r="A6" s="1" t="s">
        <v>877</v>
      </c>
      <c r="B6" s="1" t="s">
        <v>878</v>
      </c>
      <c r="C6" s="1" t="s">
        <v>20</v>
      </c>
      <c r="D6" s="1" t="s">
        <v>24</v>
      </c>
      <c r="E6" s="1" t="s">
        <v>24</v>
      </c>
      <c r="F6" s="24" t="n">
        <v>0.838459938016081</v>
      </c>
      <c r="G6" s="24" t="n">
        <v>0.642047735384671</v>
      </c>
      <c r="H6" s="24" t="n">
        <v>1.04810415836839</v>
      </c>
      <c r="I6" s="24" t="n">
        <v>0.97016727479414</v>
      </c>
      <c r="J6" s="24" t="n">
        <v>0.984955023106077</v>
      </c>
      <c r="K6" s="24" t="n">
        <v>1.1543580630028</v>
      </c>
      <c r="L6" s="1" t="s">
        <v>24</v>
      </c>
      <c r="M6" s="1" t="s">
        <v>24</v>
      </c>
      <c r="N6" s="1" t="s">
        <v>24</v>
      </c>
    </row>
    <row r="7" customFormat="false" ht="15" hidden="false" customHeight="true" outlineLevel="0" collapsed="false">
      <c r="A7" s="1" t="s">
        <v>879</v>
      </c>
      <c r="B7" s="1" t="s">
        <v>880</v>
      </c>
      <c r="C7" s="1" t="s">
        <v>79</v>
      </c>
      <c r="D7" s="1" t="s">
        <v>24</v>
      </c>
      <c r="E7" s="24" t="n">
        <v>0.440176933865573</v>
      </c>
      <c r="F7" s="24" t="n">
        <v>0.440176933865573</v>
      </c>
      <c r="G7" s="24" t="n">
        <v>0.317905563347359</v>
      </c>
      <c r="H7" s="24" t="n">
        <v>0.521409124659682</v>
      </c>
      <c r="I7" s="24" t="n">
        <v>0.40290705087339</v>
      </c>
      <c r="J7" s="24" t="n">
        <v>0.32898723875816</v>
      </c>
      <c r="K7" s="24" t="n">
        <v>0.363617474416913</v>
      </c>
      <c r="L7" s="1" t="s">
        <v>24</v>
      </c>
      <c r="M7" s="1" t="s">
        <v>24</v>
      </c>
      <c r="N7" s="24" t="n">
        <v>9.52380952380952</v>
      </c>
    </row>
    <row r="8" customFormat="false" ht="15" hidden="false" customHeight="true" outlineLevel="0" collapsed="false">
      <c r="A8" s="1" t="s">
        <v>881</v>
      </c>
      <c r="B8" s="1" t="s">
        <v>882</v>
      </c>
      <c r="C8" s="1" t="s">
        <v>883</v>
      </c>
      <c r="D8" s="1" t="s">
        <v>24</v>
      </c>
      <c r="E8" s="1" t="n">
        <v>10</v>
      </c>
      <c r="F8" s="1" t="n">
        <v>10</v>
      </c>
      <c r="G8" s="1" t="n">
        <v>21</v>
      </c>
      <c r="H8" s="1" t="n">
        <v>31</v>
      </c>
      <c r="I8" s="1" t="n">
        <v>37</v>
      </c>
      <c r="J8" s="1" t="n">
        <v>50</v>
      </c>
      <c r="K8" s="1" t="n">
        <v>50</v>
      </c>
      <c r="L8" s="1" t="n">
        <v>46</v>
      </c>
      <c r="M8" s="1" t="n">
        <v>38</v>
      </c>
      <c r="N8" s="24" t="n">
        <v>23.2</v>
      </c>
    </row>
    <row r="9" customFormat="false" ht="15" hidden="false" customHeight="true" outlineLevel="0" collapsed="false">
      <c r="A9" s="1" t="s">
        <v>884</v>
      </c>
      <c r="B9" s="1" t="s">
        <v>885</v>
      </c>
      <c r="C9" s="1" t="s">
        <v>84</v>
      </c>
      <c r="D9" s="1" t="s">
        <v>24</v>
      </c>
      <c r="E9" s="24" t="n">
        <v>1.37338846153846</v>
      </c>
      <c r="F9" s="24" t="n">
        <v>1.69758076923077</v>
      </c>
      <c r="G9" s="24" t="n">
        <v>2.68331666666667</v>
      </c>
      <c r="H9" s="24" t="n">
        <v>2.37125294117647</v>
      </c>
      <c r="I9" s="24" t="n">
        <v>2.38652575757576</v>
      </c>
      <c r="J9" s="24" t="n">
        <v>2.38341604938272</v>
      </c>
      <c r="K9" s="24" t="n">
        <v>2.61164938271605</v>
      </c>
      <c r="L9" s="24" t="n">
        <v>3.9141975308642</v>
      </c>
      <c r="M9" s="1" t="s">
        <v>24</v>
      </c>
      <c r="N9" s="24" t="n">
        <v>16.0790071428571</v>
      </c>
    </row>
    <row r="10" customFormat="false" ht="15" hidden="false" customHeight="true" outlineLevel="0" collapsed="false">
      <c r="A10" s="1" t="s">
        <v>886</v>
      </c>
      <c r="B10" s="1" t="s">
        <v>887</v>
      </c>
      <c r="C10" s="1" t="s">
        <v>84</v>
      </c>
      <c r="D10" s="1" t="s">
        <v>24</v>
      </c>
      <c r="E10" s="24" t="n">
        <v>25.8663468137255</v>
      </c>
      <c r="F10" s="24" t="n">
        <v>29.1097977941176</v>
      </c>
      <c r="G10" s="24" t="n">
        <v>29.4269779411765</v>
      </c>
      <c r="H10" s="24" t="n">
        <v>25.6431803797468</v>
      </c>
      <c r="I10" s="24" t="n">
        <v>26.1004630801688</v>
      </c>
      <c r="J10" s="24" t="n">
        <v>28.5203752631579</v>
      </c>
      <c r="K10" s="24" t="n">
        <v>36.0054814285714</v>
      </c>
      <c r="L10" s="1" t="s">
        <v>24</v>
      </c>
      <c r="M10" s="1" t="s">
        <v>24</v>
      </c>
      <c r="N10" s="24" t="n">
        <v>50.870275</v>
      </c>
    </row>
    <row r="11" customFormat="false" ht="15" hidden="false" customHeight="true" outlineLevel="0" collapsed="false">
      <c r="A11" s="1" t="s">
        <v>888</v>
      </c>
      <c r="B11" s="1" t="s">
        <v>889</v>
      </c>
      <c r="C11" s="1" t="s">
        <v>61</v>
      </c>
      <c r="D11" s="1" t="s">
        <v>24</v>
      </c>
      <c r="E11" s="1" t="s">
        <v>24</v>
      </c>
      <c r="F11" s="1" t="s">
        <v>24</v>
      </c>
      <c r="G11" s="1" t="s">
        <v>24</v>
      </c>
      <c r="H11" s="1" t="s">
        <v>24</v>
      </c>
      <c r="I11" s="1" t="s">
        <v>24</v>
      </c>
      <c r="J11" s="1" t="s">
        <v>24</v>
      </c>
      <c r="K11" s="1" t="s">
        <v>24</v>
      </c>
      <c r="L11" s="1" t="s">
        <v>24</v>
      </c>
      <c r="M11" s="1" t="s">
        <v>24</v>
      </c>
      <c r="N11" s="24" t="n">
        <v>13.1068773234201</v>
      </c>
    </row>
    <row r="12" customFormat="false" ht="15" hidden="false" customHeight="true" outlineLevel="0" collapsed="false">
      <c r="A12" s="1" t="s">
        <v>890</v>
      </c>
      <c r="B12" s="1" t="s">
        <v>891</v>
      </c>
      <c r="C12" s="1" t="s">
        <v>79</v>
      </c>
      <c r="D12" s="1" t="s">
        <v>24</v>
      </c>
      <c r="E12" s="24" t="n">
        <v>40.4077849860982</v>
      </c>
      <c r="F12" s="24" t="n">
        <v>21.4796295644213</v>
      </c>
      <c r="G12" s="24" t="n">
        <v>4.73807899325298</v>
      </c>
      <c r="H12" s="24" t="n">
        <v>53.8986086237774</v>
      </c>
      <c r="I12" s="24" t="n">
        <v>57.518488085456</v>
      </c>
      <c r="J12" s="24" t="n">
        <v>65.0851873802011</v>
      </c>
      <c r="K12" s="24" t="n">
        <v>38.161426579829</v>
      </c>
      <c r="L12" s="24" t="n">
        <v>40.7705802092132</v>
      </c>
      <c r="M12" s="24" t="n">
        <v>41.0925791636452</v>
      </c>
      <c r="N12" s="24" t="n">
        <v>13.991619602842</v>
      </c>
    </row>
    <row r="13" customFormat="false" ht="15" hidden="false" customHeight="true" outlineLevel="0" collapsed="false">
      <c r="A13" s="1" t="s">
        <v>892</v>
      </c>
      <c r="B13" s="1" t="s">
        <v>893</v>
      </c>
      <c r="C13" s="1" t="s">
        <v>52</v>
      </c>
      <c r="D13" s="1" t="s">
        <v>24</v>
      </c>
      <c r="E13" s="24" t="n">
        <v>8.30769230769231</v>
      </c>
      <c r="F13" s="24" t="n">
        <v>8.88461538461539</v>
      </c>
      <c r="G13" s="24" t="n">
        <v>6.41666666666667</v>
      </c>
      <c r="H13" s="24" t="n">
        <v>4.52941176470588</v>
      </c>
      <c r="I13" s="24" t="n">
        <v>4.40909090909091</v>
      </c>
      <c r="J13" s="24" t="n">
        <v>3.59259259259259</v>
      </c>
      <c r="K13" s="24" t="n">
        <v>3.7037037037037</v>
      </c>
      <c r="L13" s="24" t="n">
        <v>5.55555555555556</v>
      </c>
      <c r="M13" s="1" t="s">
        <v>24</v>
      </c>
      <c r="N13" s="24" t="n">
        <v>11.9047619047619</v>
      </c>
    </row>
    <row r="15" customFormat="false" ht="15" hidden="false" customHeight="true" outlineLevel="0" collapsed="false">
      <c r="A15" s="21" t="s">
        <v>9</v>
      </c>
    </row>
    <row r="16" customFormat="false" ht="15" hidden="false" customHeight="true" outlineLevel="0" collapsed="false">
      <c r="A16" s="22" t="s">
        <v>1</v>
      </c>
      <c r="B16" s="22" t="s">
        <v>864</v>
      </c>
      <c r="C16" s="22" t="s">
        <v>3</v>
      </c>
      <c r="D16" s="22" t="s">
        <v>865</v>
      </c>
      <c r="E16" s="22" t="s">
        <v>866</v>
      </c>
      <c r="F16" s="22" t="s">
        <v>867</v>
      </c>
      <c r="G16" s="22" t="s">
        <v>868</v>
      </c>
      <c r="H16" s="22" t="s">
        <v>869</v>
      </c>
      <c r="I16" s="22" t="s">
        <v>870</v>
      </c>
      <c r="J16" s="22" t="s">
        <v>871</v>
      </c>
      <c r="K16" s="22" t="s">
        <v>872</v>
      </c>
      <c r="L16" s="22" t="s">
        <v>873</v>
      </c>
      <c r="M16" s="22" t="s">
        <v>874</v>
      </c>
      <c r="N16" s="22" t="s">
        <v>418</v>
      </c>
      <c r="O16" s="22" t="s">
        <v>894</v>
      </c>
    </row>
    <row r="17" customFormat="false" ht="15" hidden="false" customHeight="true" outlineLevel="0" collapsed="false">
      <c r="A17" s="1" t="s">
        <v>875</v>
      </c>
      <c r="B17" s="1" t="s">
        <v>895</v>
      </c>
      <c r="C17" s="1" t="s">
        <v>79</v>
      </c>
      <c r="D17" s="1" t="s">
        <v>24</v>
      </c>
      <c r="E17" s="24" t="n">
        <v>13.4028614457831</v>
      </c>
      <c r="F17" s="24" t="n">
        <v>13.7915587597116</v>
      </c>
      <c r="G17" s="24" t="n">
        <v>16.186969264297</v>
      </c>
      <c r="H17" s="24" t="n">
        <v>17.3127533964009</v>
      </c>
      <c r="I17" s="24" t="n">
        <v>18.7685774946921</v>
      </c>
      <c r="J17" s="24" t="n">
        <v>18.8329246054204</v>
      </c>
      <c r="K17" s="24" t="n">
        <v>22.4239581937559</v>
      </c>
      <c r="L17" s="24" t="n">
        <v>25.401668950056</v>
      </c>
      <c r="M17" s="24" t="n">
        <v>28.435136707388</v>
      </c>
      <c r="N17" s="24" t="n">
        <v>30.1657631359466</v>
      </c>
      <c r="O17" s="24" t="n">
        <v>38.1907469630395</v>
      </c>
    </row>
    <row r="18" customFormat="false" ht="15" hidden="false" customHeight="true" outlineLevel="0" collapsed="false">
      <c r="A18" s="1" t="s">
        <v>877</v>
      </c>
      <c r="B18" s="1" t="s">
        <v>896</v>
      </c>
      <c r="C18" s="1" t="s">
        <v>79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24</v>
      </c>
      <c r="I18" s="24" t="n">
        <v>48.9971346704871</v>
      </c>
      <c r="J18" s="24" t="n">
        <v>51.9995939910678</v>
      </c>
      <c r="K18" s="24" t="n">
        <v>55.3853296193129</v>
      </c>
      <c r="L18" s="24" t="n">
        <v>67.5842235004108</v>
      </c>
      <c r="M18" s="24" t="n">
        <v>84.3137254901961</v>
      </c>
      <c r="N18" s="24" t="n">
        <v>93.2220367278798</v>
      </c>
      <c r="O18" s="24" t="n">
        <v>120.734986555124</v>
      </c>
    </row>
    <row r="19" customFormat="false" ht="15" hidden="false" customHeight="true" outlineLevel="0" collapsed="false">
      <c r="A19" s="1" t="s">
        <v>879</v>
      </c>
      <c r="B19" s="1" t="s">
        <v>897</v>
      </c>
      <c r="C19" s="1" t="s">
        <v>79</v>
      </c>
      <c r="D19" s="1" t="s">
        <v>24</v>
      </c>
      <c r="E19" s="24" t="n">
        <v>12.605421686747</v>
      </c>
      <c r="F19" s="24" t="n">
        <v>19.5842374186323</v>
      </c>
      <c r="G19" s="24" t="n">
        <v>17.3066806943714</v>
      </c>
      <c r="H19" s="24" t="n">
        <v>28.2381392702184</v>
      </c>
      <c r="I19" s="24" t="n">
        <v>41.4861995753716</v>
      </c>
      <c r="J19" s="24" t="n">
        <v>57.0961453813746</v>
      </c>
      <c r="K19" s="24" t="n">
        <v>56.9610076376792</v>
      </c>
      <c r="L19" s="24" t="n">
        <v>74.9346120313862</v>
      </c>
      <c r="M19" s="24" t="n">
        <v>108.406050029087</v>
      </c>
      <c r="N19" s="24" t="n">
        <v>85.9726855713094</v>
      </c>
      <c r="O19" s="24" t="n">
        <v>147.319720858103</v>
      </c>
    </row>
    <row r="20" customFormat="false" ht="15" hidden="false" customHeight="true" outlineLevel="0" collapsed="false">
      <c r="A20" s="1" t="s">
        <v>881</v>
      </c>
      <c r="B20" s="1" t="s">
        <v>898</v>
      </c>
      <c r="C20" s="1" t="s">
        <v>899</v>
      </c>
      <c r="D20" s="1" t="s">
        <v>24</v>
      </c>
      <c r="E20" s="1" t="s">
        <v>24</v>
      </c>
      <c r="F20" s="1" t="s">
        <v>24</v>
      </c>
      <c r="G20" s="1" t="s">
        <v>24</v>
      </c>
      <c r="H20" s="1" t="s">
        <v>24</v>
      </c>
      <c r="I20" s="1" t="s">
        <v>24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24</v>
      </c>
      <c r="O20" s="24" t="n">
        <v>352.941176470588</v>
      </c>
    </row>
    <row r="21" customFormat="false" ht="15" hidden="false" customHeight="true" outlineLevel="0" collapsed="false">
      <c r="A21" s="1" t="s">
        <v>884</v>
      </c>
      <c r="B21" s="1" t="s">
        <v>900</v>
      </c>
      <c r="C21" s="1" t="s">
        <v>79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24</v>
      </c>
      <c r="I21" s="1" t="s">
        <v>24</v>
      </c>
      <c r="J21" s="24" t="n">
        <v>10.7077587639143</v>
      </c>
      <c r="K21" s="1" t="s">
        <v>24</v>
      </c>
      <c r="L21" s="1" t="s">
        <v>24</v>
      </c>
      <c r="M21" s="1" t="s">
        <v>24</v>
      </c>
      <c r="N21" s="24" t="n">
        <v>12.1267558581632</v>
      </c>
      <c r="O21" s="1" t="s">
        <v>24</v>
      </c>
    </row>
    <row r="22" customFormat="false" ht="15" hidden="false" customHeight="true" outlineLevel="0" collapsed="false">
      <c r="A22" s="1" t="s">
        <v>886</v>
      </c>
      <c r="B22" s="1" t="s">
        <v>901</v>
      </c>
      <c r="C22" s="1" t="s">
        <v>52</v>
      </c>
      <c r="D22" s="1" t="s">
        <v>24</v>
      </c>
      <c r="E22" s="1" t="s">
        <v>24</v>
      </c>
      <c r="F22" s="1" t="s">
        <v>24</v>
      </c>
      <c r="G22" s="1" t="s">
        <v>24</v>
      </c>
      <c r="H22" s="1" t="s">
        <v>24</v>
      </c>
      <c r="I22" s="24" t="n">
        <v>4.28075908726064</v>
      </c>
      <c r="J22" s="24" t="n">
        <v>5.17641030646106</v>
      </c>
      <c r="K22" s="24" t="n">
        <v>5.74476110645432</v>
      </c>
      <c r="L22" s="24" t="n">
        <v>5.39164133738602</v>
      </c>
      <c r="M22" s="24" t="n">
        <v>5.39467799642218</v>
      </c>
      <c r="N22" s="24" t="n">
        <v>4.98415114613181</v>
      </c>
      <c r="O22" s="24" t="n">
        <v>4.6807720861173</v>
      </c>
    </row>
    <row r="23" customFormat="false" ht="15" hidden="false" customHeight="true" outlineLevel="0" collapsed="false">
      <c r="A23" s="1" t="s">
        <v>888</v>
      </c>
      <c r="B23" s="1" t="s">
        <v>902</v>
      </c>
      <c r="C23" s="1" t="s">
        <v>277</v>
      </c>
      <c r="D23" s="1" t="s">
        <v>24</v>
      </c>
      <c r="E23" s="1" t="s">
        <v>24</v>
      </c>
      <c r="F23" s="1" t="s">
        <v>24</v>
      </c>
      <c r="G23" s="1" t="s">
        <v>24</v>
      </c>
      <c r="H23" s="1" t="s">
        <v>24</v>
      </c>
      <c r="I23" s="1" t="s">
        <v>24</v>
      </c>
      <c r="J23" s="1" t="s">
        <v>24</v>
      </c>
      <c r="K23" s="1" t="n">
        <v>110</v>
      </c>
      <c r="L23" s="1" t="n">
        <v>510</v>
      </c>
      <c r="M23" s="1" t="n">
        <v>910</v>
      </c>
      <c r="N23" s="1" t="n">
        <v>1200</v>
      </c>
      <c r="O23" s="1" t="n">
        <v>2050</v>
      </c>
    </row>
    <row r="24" customFormat="false" ht="15" hidden="false" customHeight="true" outlineLevel="0" collapsed="false">
      <c r="A24" s="1" t="s">
        <v>890</v>
      </c>
      <c r="B24" s="1" t="s">
        <v>903</v>
      </c>
      <c r="C24" s="1" t="s">
        <v>132</v>
      </c>
      <c r="D24" s="1" t="s">
        <v>24</v>
      </c>
      <c r="E24" s="1" t="s">
        <v>24</v>
      </c>
      <c r="F24" s="1" t="s">
        <v>24</v>
      </c>
      <c r="G24" s="1" t="s">
        <v>24</v>
      </c>
      <c r="H24" s="1" t="s">
        <v>24</v>
      </c>
      <c r="I24" s="24" t="n">
        <v>48.4</v>
      </c>
      <c r="J24" s="24" t="n">
        <v>43.4</v>
      </c>
      <c r="K24" s="24" t="n">
        <v>99.8</v>
      </c>
      <c r="L24" s="1" t="n">
        <v>248</v>
      </c>
      <c r="M24" s="1" t="n">
        <v>261</v>
      </c>
      <c r="N24" s="1" t="n">
        <v>260</v>
      </c>
      <c r="O24" s="1" t="n">
        <v>288</v>
      </c>
    </row>
    <row r="25" customFormat="false" ht="15" hidden="false" customHeight="true" outlineLevel="0" collapsed="false">
      <c r="A25" s="1" t="s">
        <v>892</v>
      </c>
      <c r="B25" s="1" t="s">
        <v>904</v>
      </c>
      <c r="C25" s="1" t="s">
        <v>132</v>
      </c>
      <c r="D25" s="1" t="s">
        <v>24</v>
      </c>
      <c r="E25" s="24" t="n">
        <v>14.7</v>
      </c>
      <c r="F25" s="24" t="n">
        <v>17.7</v>
      </c>
      <c r="G25" s="24" t="n">
        <v>1.19999999999999</v>
      </c>
      <c r="H25" s="24" t="n">
        <v>-1.8</v>
      </c>
      <c r="I25" s="24" t="n">
        <v>32.9</v>
      </c>
      <c r="J25" s="24" t="n">
        <v>7.60000000000002</v>
      </c>
      <c r="K25" s="24" t="n">
        <v>317.5</v>
      </c>
      <c r="L25" s="24" t="n">
        <v>67.9999999999999</v>
      </c>
      <c r="M25" s="24" t="n">
        <v>29.3000000000001</v>
      </c>
      <c r="N25" s="24" t="n">
        <v>85.4</v>
      </c>
      <c r="O25" s="1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2026-10-05T01:28:47Z</dcterms:created>
  <dc:creator>openpyxl</dc:creator>
  <dc:description/>
  <dc:language>en-US</dc:language>
  <cp:lastModifiedBy/>
  <dcterms:modified xsi:type="dcterms:W3CDTF">2026-10-05T12:31:14Z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