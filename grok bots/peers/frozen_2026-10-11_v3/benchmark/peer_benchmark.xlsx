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enchmark" sheetId="2" state="visible" r:id="rId4"/>
    <sheet name="Contracts" sheetId="3" state="visible" r:id="rId5"/>
    <sheet name="KPI_Prints" sheetId="4" state="visible" r:id="rId6"/>
    <sheet name="Nebius_Locks" sheetId="5" state="visible" r:id="rId7"/>
    <sheet name="Comp_Band" sheetId="6" state="visible" r:id="rId8"/>
    <sheet name="High_Prin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<sst xmlns="http://schemas.openxmlformats.org/spreadsheetml/2006/main" count="1013" uniqueCount="591">
  <si>
    <t xml:space="preserve">Peer benchmark - Nebius vs CoreWeave, IREN, Oracle, Nscale, Lambda, Crusoe (+ Bitdeer AI row, Oct 9). As of Fri Oct 9, 2026 (ET). Built by peers/benchmark/build_peer_benchmark.py (Nebius Peer KPIs).</t>
  </si>
  <si>
    <t xml:space="preserve">Question: disclosed $ per IT MW-yr (TCV / term / MW for each named contract), contracted vs energized MW, power and permit status; each cell sourced and tagged.</t>
  </si>
  <si>
    <t xml:space="preserve">Tabs: Benchmark (one row per company, value + tag + source per field) | Contracts (named contracts; $/MW-yr = live formula TCV/term/MW) | KPI_Prints (company $/MW statements) | High_Prints (every print &gt;= $20M/MW with why) | Nebius_Locks (model v0.9e, live hurdle formulas) | Comp_Band (MIN/MAX formulas) | Sources.</t>
  </si>
  <si>
    <t xml:space="preserve">Tags: R reported/primary; D derived by us from R inputs; P press-only or derived with any press input (footnoted); E estimate; n/d not disclosed. Red bold = &gt;= $20M per MW.</t>
  </si>
  <si>
    <t xml:space="preserve">Reused (read-only): peers/comparison.xlsx Contracts_$MWyr + Sites + Nebius_Inputs; peers/price_or_mw.xlsx; peers/private/private_peers.*; peers/sites/appendix_* + site_verification.md; peers/{coreweave,iren,oracle} packs; parts/contract_economics.xlsx MidTerm_20M_Search; capacity/site_verification.md; model v0.9e via peers/nebius_locks.py.</t>
  </si>
  <si>
    <t xml:space="preserve">HEADLINE: Only one contract with disclosed MW reaches $20M/MW: Bitdeer, ~15 MW, a &lt;= $22.4M ceiling, basis from secondary sources. (Bitdeer AI row added Oct 9 per coordinator, from the GPU Market agent's locked position in market/contract_economics.xlsx MidTerm_20M_Search.)</t>
  </si>
  <si>
    <t xml:space="preserve">Web refresh Oct 9: Lambda-Anthropic still unconfirmed by the companies (Reuters/Bloomberg/WSJ only) -&gt; stays P; Crusoe 6 GW+/~1 GW still the latest company figure (Series F PR 9/17); Bitdeer A201 PR 9/29 re-read (&gt;$1.7B / 5 yrs / &gt;70% of ~21.7 MW, MW unlabeled). Bitdeer A103 Cyberjaya 60 MW (Oct 8, 8-yr, no value) shown as context.</t>
  </si>
  <si>
    <t xml:space="preserve">Oct 9 corrections: (1) Bitdeer row added (red). (2) Nebius '&gt;$40M' relabelled as a mgmt comment on Q3-to-date short-term pricing (Q2'26 letter KPI chart + CEO on Q2 call, both 8/12/26), not reported Q3 results. (3) Nebius headline = LOCKED hurdles verified to model v0.9e cells (Nebius_Locks 'Model cells' block); blended $23.13M kept as memo only (Drivers!B10).</t>
  </si>
  <si>
    <t xml:space="preserve">Comp band: unchanged $9.7-16.7M (asserted from comparison.xlsx Contracts_$MWyr P1/NEW1/P2/O1/NEW2/O2); Bitdeer's &lt;= $22.4M ceiling is outside the band (near-miss, as in model Drivers!B13).</t>
  </si>
  <si>
    <t xml:space="preserve">v2 (Oct 9 PM, coordinator): Nebius-Meta #1 n/d -&gt; $11.52M [E, MW is a team estimate of ~50 IT MW] (comparison.xlsx N2; GPU Market Print_Table #3 + final band slide; Capacity sizes no Meta #1 MW, model Contracts!D23:D24 = 48.0). One of the eight GPU Market band prints; band ends unchanged $9.7M / $16.7M (Comp_Band rows below the memo set).</t>
  </si>
  <si>
    <t xml:space="preserve">Nebius Q3'26 results date: ~Nov 10 (est.), not announced.</t>
  </si>
  <si>
    <t xml:space="preserve">One-page peer benchmark (as of Fri Oct 9, 2026 (ET)). Text cells carry inline [tags]; tag columns list the tags used; source columns cite documents (keys -&gt; Sources tab).</t>
  </si>
  <si>
    <t xml:space="preserve">Company</t>
  </si>
  <si>
    <t xml:space="preserve">Key site(s)</t>
  </si>
  <si>
    <t xml:space="preserve">Disclosed $ per IT MW-yr (named contracts) + KPI prints</t>
  </si>
  <si>
    <t xml:space="preserve">$ tags</t>
  </si>
  <si>
    <t xml:space="preserve">MW basis for $ figures</t>
  </si>
  <si>
    <t xml:space="preserve">Print &gt;= $20M/MW?</t>
  </si>
  <si>
    <t xml:space="preserve">Contracted vs energized (active) MW</t>
  </si>
  <si>
    <t xml:space="preserve">MW tags</t>
  </si>
  <si>
    <t xml:space="preserve">Power status (utility/ISO, interconnection, on-site gen)</t>
  </si>
  <si>
    <t xml:space="preserve">Power tags</t>
  </si>
  <si>
    <t xml:space="preserve">Permit status</t>
  </si>
  <si>
    <t xml:space="preserve">Permit tags</t>
  </si>
  <si>
    <t xml:space="preserve">Sources (short)</t>
  </si>
  <si>
    <t xml:space="preserve">Source keys</t>
  </si>
  <si>
    <t xml:space="preserve">CoreWeave</t>
  </si>
  <si>
    <t xml:space="preserve">key site: Denton TX (Core Scientific)</t>
  </si>
  <si>
    <t xml:space="preserve">n/d for every named deal: Meta $14.2B/6.2y and $21.0B/6.7y, OpenAI $22.4B (3 orders), Jane Street $6B, Anthropic (no value) - no MW disclosed [R]. KPI: ~$40M/MW-yr on 3-6-month deals¹ [R]. Context: Denton colocation ~$1.4M/MW-yr (shell+power, not compute) [D].</t>
  </si>
  <si>
    <t xml:space="preserve">D, R</t>
  </si>
  <si>
    <t xml:space="preserve">Contracts: n/a (no MW). $40M KPI: 'MW' unstated; CRWV active power reads IT [E].</t>
  </si>
  <si>
    <t xml:space="preserve">YES - ~$40M/MW-yr</t>
  </si>
  <si>
    <t xml:space="preserve">Contracted 3,700 (Jun-30) -&gt; ~4,200 (Aug-11) [R]; active 1,500 [R] = 2.5x [D]. Denton ~260 IT active/billed [D on R].</t>
  </si>
  <si>
    <t xml:space="preserve">D, D on R, R</t>
  </si>
  <si>
    <t xml:space="preserve">Denton Municipal Electric PPA (~394 MW); ERCOT: 297 MW energized + 74 MW validated, both outside Batch Zero [R]. Standby gensets only [R].</t>
  </si>
  <si>
    <t xml:space="preserve">R</t>
  </si>
  <si>
    <t xml:space="preserve">TCEQ PBR 179143 standby engines [R]; no Title V/NSR [R, absence]. City moratorium: 2nd hearing Oct 27, vote &gt;= Dec 1; city attorney: need not stop existing projects [P].</t>
  </si>
  <si>
    <t xml:space="preserve">P, R, R, absence</t>
  </si>
  <si>
    <t xml:space="preserve">$: 8-Ks 9/30/25, 4/9/26; PR 4/15/26; convert deck 8-K 9/17/26 sl.7. MW: Q2'26 PR 8/11/26. Pwr/permit: CORZ 8-K 9/10/26; TCEQ PBR 179143, Title V/NSR lists 10/8; Community Impact 9/24.</t>
  </si>
  <si>
    <t xml:space="preserve">CW-META1|CW-META2|CW-OAI|CW-JS|CW-DECK|CW-Q2|CW-SITE</t>
  </si>
  <si>
    <t xml:space="preserve">IREN</t>
  </si>
  <si>
    <t xml:space="preserve">key site: Childress TX (Microsoft Horizons)</t>
  </si>
  <si>
    <t xml:space="preserve">Microsoft $9.7B/5y/200 IT MW = 9.7 [D]; NVIDIA $3.4B/5y/~60 MW = 11.3 [D] -&gt; named range 9.7-11.3. KPI: recent 3-yr deals &gt;$20M and discussions ~$25M (unsigned)² [R].</t>
  </si>
  <si>
    <t xml:space="preserve">Microsoft: IT (company). NVIDIA: 60 MW unlabeled. KPIs: 'per MW (IT)'.</t>
  </si>
  <si>
    <t xml:space="preserve">YES - &gt;$20M; ~$25M</t>
  </si>
  <si>
    <t xml:space="preserve">Contracted AI ~260 IT (200 + ~60) [D]; operating AI ~40 MW at Jun-30 [R]. Childress now ~75 active (50-100) / 50 billed IT (H1 accepted 8/13) [D on R].</t>
  </si>
  <si>
    <t xml:space="preserve">AEP Texas / ERCOT; 750 MW grid, existing energized load incl. legacy mining; IREN-owned substations [R]. No on-site generation found.</t>
  </si>
  <si>
    <t xml:space="preserve">TCEQ Title V #4951 'Administratively Complete', not issued; inside the Sep 21 Texas data-center permit pause [R/P]. No NSR/PSD [R, absence].</t>
  </si>
  <si>
    <t xml:space="preserve">R, absence, R/P</t>
  </si>
  <si>
    <t xml:space="preserve">$: 8-K 11/3/25; NVIDIA PR 5/26; FY26 results 8/27/26. MW: 10-K FY26; 8-K 8/13/26. Pwr/permit: IREN PR 7/24/24; TCEQ Title V list 10/8; Gov. Abbott 9/21.</t>
  </si>
  <si>
    <t xml:space="preserve">IR-MSFT|IR-NV|IR-FY26|IR-SITE</t>
  </si>
  <si>
    <t xml:space="preserve">Oracle (OCI)</t>
  </si>
  <si>
    <t xml:space="preserve">key site: Port Washington WI (Abilene counted under Crusoe)</t>
  </si>
  <si>
    <t xml:space="preserve">OpenAI ~$300B/5y/4.5 GW = 13.3 stated / 16.0 IT read³ [P]. Meta ~$20B, Tencent ~$7B/5y: MW n/d [P].</t>
  </si>
  <si>
    <t xml:space="preserve">P</t>
  </si>
  <si>
    <t xml:space="preserve">4.5 GW unlabeled; ~353 GPUs/MW implies gross -&gt; IT read = /1.2 [D].</t>
  </si>
  <si>
    <t xml:space="preserve">no</t>
  </si>
  <si>
    <t xml:space="preserve">Contracted: n/d as filed; '&gt;10 GW secured' (call) [R]; OpenAI 4.5 GW [P]. Installed base n/d; 850 MW delivered in FQ1 FY27 incl. Abilene 618 [R]; ~2,050 cumulative since Jun-25 [E]. Port Washington 0 [R].</t>
  </si>
  <si>
    <t xml:space="preserve">E, P, R</t>
  </si>
  <si>
    <t xml:space="preserve">Port Washington: We Energies / ATC; 0 MW connected; ATC Ozaukee upgrade built Dec-26 to Dec-27; partial power ~Oct-Dec 2027 (Aterio) [R/P]. 87 MW backup diesel [R].</t>
  </si>
  <si>
    <t xml:space="preserve">R, R/P</t>
  </si>
  <si>
    <t xml:space="preserve">WDNR air 25-MIN-094 final 6/12/26 [R]. ATC grid case at PSC refiled; completeness decision ~Oct 19 [P].</t>
  </si>
  <si>
    <t xml:space="preserve">P, R</t>
  </si>
  <si>
    <t xml:space="preserve">$: WSJ 9/10/25; CNBC 10/16/25; FT via DCD 10/1/26. MW: FQ1 FY27 call 9/10/26. Pwr/permit: PSC docs 593736/597276; WDNR permit; TechRadar 10/4; Aterio 9/30.</t>
  </si>
  <si>
    <t xml:space="preserve">OR-OAI|OR-META|OR-TCNT|OR-CALL|OR-SITE</t>
  </si>
  <si>
    <t xml:space="preserve">Nscale</t>
  </si>
  <si>
    <t xml:space="preserve">key sites: Monarch WV; Kvandal NO</t>
  </si>
  <si>
    <t xml:space="preserve">Anthropic up to $44.6B/6y/460 IT = 16.2 [P]⁴; Microsoft up to $43.8B/5.5y/~596 IT = 13.4 [P]⁴; Narvik $6.2B/5y/~106 IT = 11.7 [D] -&gt; range 11.7-16.2.</t>
  </si>
  <si>
    <t xml:space="preserve">D, P</t>
  </si>
  <si>
    <t xml:space="preserve">IT: Monarch 460 IT per S-1; Microsoft IT MW = GPUs / 491 (GB300) or 320 (Rubin) per IT MW [D].</t>
  </si>
  <si>
    <t xml:space="preserve">Active + contracted 1,370 IT (8/31) [R]; active &lt;= 81 (5-site sum, upper bound) [D] = ~17x. Monarch 460 contracted / 0 active [R].</t>
  </si>
  <si>
    <t xml:space="preserve">Monarch: off-grid gas microgrid, 864 x 2.5 MW engines (2.16 GW nameplate), no utility interconnect [R]. Kvandal: 230 MW Statnett allocation; Vattenfall PPA from 2027 [R].</t>
  </si>
  <si>
    <t xml:space="preserve">WVDEP air R14-0042 draft 9/29, comments close Oct 30 [R]; stormwater order 7/14 [P]. Kvandal: NVE fine warning, deadline Nov 15 [P]. Anthropic financing not committed [R].</t>
  </si>
  <si>
    <t xml:space="preserve">$: S-1 9/18/26; Aker-Nscale PR 9/17/25; Bloomberg/Reuters (term). MW: S-1. Pwr/permit: WVDEP R14-0042 app/draft; Nscale site page; NRK 9/29.</t>
  </si>
  <si>
    <t xml:space="preserve">NS-S1|NS-TERM|NS-NARV|NS-SITE</t>
  </si>
  <si>
    <t xml:space="preserve">Lambda</t>
  </si>
  <si>
    <t xml:space="preserve">key sites: Kansas City MO; Beacon Point TX</t>
  </si>
  <si>
    <t xml:space="preserve">Anthropic ~$35B/6y/~350 MW = 16.7 [P]⁵ (comp-band top). Microsoft 'multibillion': no value/MW [R]. NVIDIA leaseback $1.3B/4y/10k GPUs ($3.71/GPU-hr): MW n/d [P].</t>
  </si>
  <si>
    <t xml:space="preserve">350 MW unlabeled (IT vs gross unstated).</t>
  </si>
  <si>
    <t xml:space="preserve">Company totals n/d (no S-1). Pieces: Beacon Point ~350 [P]; KC 24 (-&gt;100+) [R]. Last active 47 MW (Q2'25) [P]; KC 0-24 (base 12) [E]. Backlog $50B (Sep-26)⁵ [P].</t>
  </si>
  <si>
    <t xml:space="preserve">KC: Evergy (full supply late summer 2026) + 5 x 3 MW rental prime-power engines Jun-Oct (+ up to 6 x 3) [R]. Beacon Point: Hut 8 build, NVIDIA holds lease [P].</t>
  </si>
  <si>
    <t xml:space="preserve">KC: MO DNR de minimis 102025-010 issued 10/29/25 [R]; no go-live confirmation. Beacon Point: n/d.</t>
  </si>
  <si>
    <t xml:space="preserve">$: Reuters/WSJ/Bloomberg 8/31/26; Lambda PR 11/3/25; DCD 9/8/25. MW: The Information via press; Lambda PR 10/28/25; WSJ/TechCrunch 10/6. Pwr/permit: MO DNR permit + 4/15/26 letter; KSHB.</t>
  </si>
  <si>
    <t xml:space="preserve">LM-ANTH|LM-MSFT|LM-NV|LM-BKLG|LM-MW|LM-SITE</t>
  </si>
  <si>
    <t xml:space="preserve">Crusoe</t>
  </si>
  <si>
    <t xml:space="preserve">key site: Abilene TX (Oracle/OpenAI tenant)</t>
  </si>
  <si>
    <t xml:space="preserve">n/d for every named deal: Oracle Abilene lease, Microsoft 900 MW, Meta ~1.6 GW (values n/d); Jane Street $13B/5y (MW n/d) [P]. Company TCV/MW: ~$23.3M per gross MW, whole term, not per year⁶ [D].</t>
  </si>
  <si>
    <t xml:space="preserve">Gross (company states gross MW); Microsoft 672 IT.</t>
  </si>
  <si>
    <t xml:space="preserve">YES - ~$23.3M per gross MW</t>
  </si>
  <si>
    <t xml:space="preserve">Contracted 6 GW+ gross / ~1 GW gross operational [R] = 6x [D]. Abilene: 618 delivered (6 of 8 bldgs, 75%) [R]; active 618 (421-618) [D on R].</t>
  </si>
  <si>
    <t xml:space="preserve">ERCOT / AEP via Lancium 138 kV (200 MW) + 345 kV (1,000 MW) substations [R]; ~360 MW on-site gas turbines, backup per Crusoe [R/P].</t>
  </si>
  <si>
    <t xml:space="preserve">TCEQ 177263 issued [R]. 182126 / PSDTX1688 (Bldgs 9-10, up to ~1.3 GW gas) Technically Complete, not issued, frozen by the Sep 21 pause; TCEQ report Oct 19, ERCOT Dec 10, PUCT Dec 17 [R/P].</t>
  </si>
  <si>
    <t xml:space="preserve">$: Crusoe PRs 9/17/26, 3/27/26, 5/21/25; Bloomberg via DCD 6/19, 9/4. MW: Series F PR; Oracle call 9/10. Pwr/permit: Mortenson; TCEQ 177263/182126; NSR list 10/8; Gov. Abbott 9/21.</t>
  </si>
  <si>
    <t xml:space="preserve">CR-F|CR-DEALS|CR-SITE|OR-CALL</t>
  </si>
  <si>
    <t xml:space="preserve">Bitdeer AI</t>
  </si>
  <si>
    <t xml:space="preserve">not one of the six; added Oct 9 per GPU Market lock (A201 Johor MY)</t>
  </si>
  <si>
    <t xml:space="preserve">A201: &gt;$1.7B/5y / &gt;70% of ~21.7 MW (~15.2 MW) = &lt;= $22.4M ceiling [D on R; basis P]⁹ (15.7 if 100% contracted). A102: &gt;$800M/5y/9.5 MW = &gt;16.8 [D]. A103 Cyberjaya 60 MW IT, 8-yr (10/8): no value [R].</t>
  </si>
  <si>
    <t xml:space="preserve">D, D on R; basis P, R</t>
  </si>
  <si>
    <t xml:space="preserve">Primary releases do not label MW; 'critical IT' only in secondary sources (Datatech Times, ArusGrid) [P].</t>
  </si>
  <si>
    <t xml:space="preserve">YES - &lt;= $22.4M ceiling</t>
  </si>
  <si>
    <t xml:space="preserve">Contracted: A201 &gt;= 15.2 of 21.7, A102 9.5, A103 60 IT (~85) [R/D]; energized 0 at these three (A201 Q1'27, A102 Q1'27, A103 Q1'28) [R]. Company AI-cloud active MW n/d.</t>
  </si>
  <si>
    <t xml:space="preserve">R, R/D</t>
  </si>
  <si>
    <t xml:space="preserve">Energization targets only (A201 Q1'27; A103 Q1'28) [R]; utility / interconnection n/d; company 'secured 333.5 MW' [R].</t>
  </si>
  <si>
    <t xml:space="preserve">n/d (Malaysian permits not in team files).</t>
  </si>
  <si>
    <t xml:space="preserve">$: Bitdeer PRs 9/29/26, 8/31/26; A103 release 10/8 (TMCnet); market/contract_economics.xlsx MidTerm_20M_Search r24-25/33/36; Needham 10/2, 10/7 (secondary).</t>
  </si>
  <si>
    <t xml:space="preserve">BD-A201|BD-MKT|BD-A102|BD-A103</t>
  </si>
  <si>
    <t xml:space="preserve">Nebius</t>
  </si>
  <si>
    <t xml:space="preserve">model v0.9e locks; key site: Vineland NJ</t>
  </si>
  <si>
    <t xml:space="preserve">Microsoft: $14.49M per IT MW [E, house] (Contracts!E12)¹⁰. Meta #1: $11.52M [E, MW is a team estimate of ~50 IT MW]¹¹; Meta #2 $12B/5y: MW n/d [R]. KPI: Q2'26 deals $20-25M ACV/MW; mgmt comment on Q3-to-date short-term pricing &gt;$40M (Q2 letter + call, 8/12/26)⁷ [R]. LOCKED hurdles (v0.9e, per billed IT MW): non-MSFT $27.63M; clear-spot $24.51M base / $22.68M high; turn-positive $17.05M / $16.70M⁸ [D].
Memo (blended, not a hurdle lock): $23.13M = Street FY27 ÷ our 531.8 billed MW, all customers [D].</t>
  </si>
  <si>
    <t xml:space="preserve">D, E, E, house, R</t>
  </si>
  <si>
    <t xml:space="preserve">Microsoft MW never stated by Nebius/Microsoft (300 MW = Vineland site scalability, 2024 20-F); house uses 240 IT MW est. [E]; Q2 KPI basis undefined; hurdles = billed IT MW.</t>
  </si>
  <si>
    <t xml:space="preserve">YES - $20-25M; &gt;$40M; $27.63M; $24.51M; $22.68M; $23.13M</t>
  </si>
  <si>
    <t xml:space="preserve">Contracted &gt; 3.5 GW (lower bound; 5 GW YE26 target) [R]; energized 181.5 -&gt; 193 (Mar -&gt; Jun-26) [E]; billed YE26 257.7 / 284.2, FY27 avg 531.84 / 659.16 [D]; connected guide YE26 800 MW-1 GW [R].</t>
  </si>
  <si>
    <t xml:space="preserve">D, E, R</t>
  </si>
  <si>
    <t xml:space="preserve">Vineland: 62 rented gensets (122.9 MW) + ~5 MW grid = ~107 MW IT ceiling; Bloom/LNG for the rest, no energization date [R/P/E].</t>
  </si>
  <si>
    <t xml:space="preserve">R/P/E</t>
  </si>
  <si>
    <t xml:space="preserve">Gensets unpermitted: NJDEP order 9/22, $1.07M penalty, 45-day permit deadline ~early/mid Nov [R]. City stop-work on Bloom/LNG (8/6, 8/10); amended site plan approved 8/17; Oct 14 Planning Board: no DataOne item [R].</t>
  </si>
  <si>
    <t xml:space="preserve">$: 6-Ks 9/8/25, 11/12/25, 3/16/26; Q2'26 letter + call 8/12/26; model v0.9e Drivers!B6/B9, Debate_Grid!A10/A13/A18. MW: Capacity Quarterly MW M130/N130; Q1/Q2'26 letters. Pwr/permit: NJ Gov. 9/22; capacity/site_verification s.1.</t>
  </si>
  <si>
    <t xml:space="preserve">NB-MSFT|NB-META|NB-Q2|NB-CALL|NB-LOCK|NB-MODEL|NB-MW|NB-SITE|MKT-20</t>
  </si>
  <si>
    <t xml:space="preserve">Footnotes</t>
  </si>
  <si>
    <t xml:space="preserve">¹ CoreWeave ~$40M/MW-yr (convert deck 9/17/26 sl.7): annualized revenue on 3-6-month contracts after a ~70% July SKU price rise. It is high because of the short term and GPU-inclusive spot pricing; marginal deals only (fleet $8.24M per avg active MW, Q2'26). MW basis unstated.</t>
  </si>
  <si>
    <t xml:space="preserve">² IREN &gt;$20M (recent 3-yr deals) / ~$25M (discussions, unsigned), per MW (IT): high because of the 3-yr tenor (vs the 5-yr Microsoft anchor at $9.7M) and GPU-inclusive cloud pricing (~2-yr payback). Portfolio KPI; no per-deal MW or counterparty.</t>
  </si>
  <si>
    <t xml:space="preserve">³ Oracle-OpenAI ~$300B / ~5 yrs / 4.5 GW is WSJ only (P); Oracle filings do not name it. IT read divides 4.5 GW by 1.2.</t>
  </si>
  <si>
    <t xml:space="preserve">⁴ Nscale: TCV and MW are from the S-1 (R), but the term years are press (Anthropic 6 yrs, Bloomberg/Reuters) or a 5-6-yr tranche midpoint (Microsoft 5.5), so both prints are tagged P.</t>
  </si>
  <si>
    <t xml:space="preserve">⁵ Lambda: $35B, ~350 MW (WSJ/Reuters/Bloomberg, Aug 31) and the 6-yr term (WSJ via TheEnergyMag) are press only and unconfirmed by Lambda or Anthropic; the $50B backlog is from an investor letter reported by WSJ (Oct 6). No S-1/DRS. Medium confidence.</t>
  </si>
  <si>
    <t xml:space="preserve">⁶ Crusoe ~$23.3M is whole-term TCV ($140B+) per GROSS contracted MW (6 GW+), not per year, and mixes facility leases, cloud and JV capacity. Not comparable to $/MW-yr (a 5-yr term would be ~$4.7M/MW-yr, illustrative).</t>
  </si>
  <si>
    <t xml:space="preserve">⁷ Nebius $20-25M (four Q2'26 deals) and &gt;$40M: high because of 1-3-yr and up-to-6-month tenors vs 5-yr anchors and GPU-inclusive full-stack ACV; MW basis undefined. Q3 is NOT reported: '&gt;$40M' is a mgmt comment on Q3-to-date short-term pricing - Q2'26 letter KPI chart (6-K Ex.99.2, 8/12/26, sec.gov/Archives/edgar/data/1513845/000110465926094568/tm2622968d1_ex99-2.htm) and CEO Volozh, Q2'26 call 8/12/26 ('negotiating ... $40-$50 million per megawatt ... one such deal has been signed'; stockanalysis.com/stocks/nbis/transcripts/655490-q2-2026/).</t>
  </si>
  <si>
    <t xml:space="preserve">⁸ Nebius hurdles = REQUIRED revenue per billed IT MW, not contract prints (GPU-inclusive full-stack revenue). Model v0.9e cells: non-MSFT 27.63 = Drivers!B9 = (12,300-2,643.8)/(531.84-182.33); clear-spot base 24.51 = Drivers!B6 (= Judge_Slide!B8, PT $237.15) / high 22.68 = Debate_Grid!A18; turn-positive base 17.05 = Debate_Grid!A13 / high 16.70 = Debate_Grid!A10. Separate memo line (not a hurdle): $23.13M = Street FY27 ÷ our 531.8 billed MW, all customers [D] = Drivers!B10 = $12,300M / 531.84 (= Judge_Slide!B16); includes the Microsoft anchor, unlike the ~$27.6M non-MSFT hurdle.</t>
  </si>
  <si>
    <t xml:space="preserve">⁹ Bitdeer A201 &lt;= $22.4M: a CEILING because contracted MW is a floor (&gt;70% of ~21.7 MW; 100% = 15.7); GPU-inclusive GB300 cloud (not a powered shell); 5-yr; customers unnamed; MW basis unstated in Bitdeer's releases ('critical IT' per secondary sources only, P). Source: GPU Market agent market/contract_economics.xlsx MidTerm_20M_Search (re-read Bitdeer PR 9/29/26).</t>
  </si>
  <si>
    <t xml:space="preserve">HEADLINE: Only one contract with disclosed MW reaches $20M/MW: Bitdeer, ~15 MW, a &lt;= $22.4M ceiling, basis from secondary sources. COMP BAND unchanged at $9.7-16.7M per MW-yr (low IREN-Microsoft 9.7, IT; top Lambda-Anthropic 16.7, P, Medium); Bitdeer's ceiling sits outside the band as a near-miss (model Drivers!B13). </t>
  </si>
  <si>
    <t xml:space="preserve">¹⁰ Nebius-Microsoft $14.49M per IT MW [E, house] = model Contracts!E12 = $17,392.9M / (5 x 240 IT MW est.); agrees with the Drivers 14.5 input (Inputs!F111). No MW stated by Nebius/Microsoft.</t>
  </si>
  <si>
    <t xml:space="preserve">¹¹ Nebius-Meta #1 $11.52M [E] = $2,880.7M / 5 / ~50 IT MW (team estimate; filings and Capacity state no MW; model Contracts!D23:D24 = 48.0). One of GPU Market's eight band prints (Print_Table #3; final band slide); band ends unchanged.</t>
  </si>
  <si>
    <t xml:space="preserve">Tags: R reported/primary; D derived by us from R inputs; P press-only (or any press input); E estimate (team model/alt-data); n/d not disclosed. Red bold = print &gt;= $20M/MW. Active = in service as evidenced (site appendices). Nebius Q3'26 ~Nov 10 (est.). Sources/URLs: peer_benchmark.xlsx Sources tab.</t>
  </si>
  <si>
    <t xml:space="preserve">Named contracts: $M per MW-yr = TCV ($M) / term (yrs) / MW - LIVE formula; blank where any input is n/d. Reused from peers/comparison.xlsx Contracts_$MWyr (IDs kept) unless noted. Column O flags &gt;= $20M.</t>
  </si>
  <si>
    <t xml:space="preserve">ID</t>
  </si>
  <si>
    <t xml:space="preserve">Counterparty</t>
  </si>
  <si>
    <t xml:space="preserve">TCV ($M)</t>
  </si>
  <si>
    <t xml:space="preserve">TCV tag</t>
  </si>
  <si>
    <t xml:space="preserve">Term (yrs)</t>
  </si>
  <si>
    <t xml:space="preserve">Term tag</t>
  </si>
  <si>
    <t xml:space="preserve">MW used</t>
  </si>
  <si>
    <t xml:space="preserve">MW basis</t>
  </si>
  <si>
    <t xml:space="preserve">MW tag</t>
  </si>
  <si>
    <t xml:space="preserve">$M per MW-yr (formula)</t>
  </si>
  <si>
    <t xml:space="preserve">Result tag</t>
  </si>
  <si>
    <t xml:space="preserve">IT-basis?</t>
  </si>
  <si>
    <t xml:space="preserve">Note</t>
  </si>
  <si>
    <t xml:space="preserve">&gt;= $20M flag (formula)</t>
  </si>
  <si>
    <t xml:space="preserve">Python check</t>
  </si>
  <si>
    <t xml:space="preserve">P4</t>
  </si>
  <si>
    <t xml:space="preserve">Meta #1</t>
  </si>
  <si>
    <t xml:space="preserve">n/d</t>
  </si>
  <si>
    <t xml:space="preserve">unlabeled/n.a.</t>
  </si>
  <si>
    <t xml:space="preserve">Up to; no MW or GPUs disclosed</t>
  </si>
  <si>
    <t xml:space="preserve">CW-META1</t>
  </si>
  <si>
    <t xml:space="preserve">P5</t>
  </si>
  <si>
    <t xml:space="preserve">Meta #2</t>
  </si>
  <si>
    <t xml:space="preserve">Up to; incl. Vera Rubin; no MW</t>
  </si>
  <si>
    <t xml:space="preserve">CW-META2</t>
  </si>
  <si>
    <t xml:space="preserve">P6-8</t>
  </si>
  <si>
    <t xml:space="preserve">OpenAI (3 orders)</t>
  </si>
  <si>
    <t xml:space="preserve">R (3.9-5.7 by order)</t>
  </si>
  <si>
    <t xml:space="preserve">No MW disclosed</t>
  </si>
  <si>
    <t xml:space="preserve">CW-OAI</t>
  </si>
  <si>
    <t xml:space="preserve">NEW4</t>
  </si>
  <si>
    <t xml:space="preserve">Jane Street</t>
  </si>
  <si>
    <t xml:space="preserve">Term and MW n/d</t>
  </si>
  <si>
    <t xml:space="preserve">CW-JS</t>
  </si>
  <si>
    <t xml:space="preserve">P1</t>
  </si>
  <si>
    <t xml:space="preserve">Microsoft</t>
  </si>
  <si>
    <t xml:space="preserve">IT (company-stated)</t>
  </si>
  <si>
    <t xml:space="preserve">D</t>
  </si>
  <si>
    <t xml:space="preserve">IT</t>
  </si>
  <si>
    <t xml:space="preserve">Comp-band LOW</t>
  </si>
  <si>
    <t xml:space="preserve">IR-MSFT</t>
  </si>
  <si>
    <t xml:space="preserve">NEW1</t>
  </si>
  <si>
    <t xml:space="preserve">NVIDIA</t>
  </si>
  <si>
    <t xml:space="preserve">unlabeled (~60 MW of existing halls)</t>
  </si>
  <si>
    <t xml:space="preserve">Ramp from early 2027</t>
  </si>
  <si>
    <t xml:space="preserve">IR-NV</t>
  </si>
  <si>
    <t xml:space="preserve">O2</t>
  </si>
  <si>
    <t xml:space="preserve">Oracle</t>
  </si>
  <si>
    <t xml:space="preserve">OpenAI (Stargate) - stated MW</t>
  </si>
  <si>
    <t xml:space="preserve">unlabeled (stated)</t>
  </si>
  <si>
    <t xml:space="preserve">Press only; footnote 3</t>
  </si>
  <si>
    <t xml:space="preserve">OR-OAI</t>
  </si>
  <si>
    <t xml:space="preserve">O2-IT</t>
  </si>
  <si>
    <t xml:space="preserve">OpenAI (Stargate) - IT read</t>
  </si>
  <si>
    <t xml:space="preserve">IT = 4,500 / 1.2 PUE (gross read; ~353 GPUs/MW)</t>
  </si>
  <si>
    <t xml:space="preserve">Same deal, IT-MW read</t>
  </si>
  <si>
    <t xml:space="preserve">NEW10</t>
  </si>
  <si>
    <t xml:space="preserve">Meta</t>
  </si>
  <si>
    <t xml:space="preserve">Talks; MW/term n/d</t>
  </si>
  <si>
    <t xml:space="preserve">OR-META</t>
  </si>
  <si>
    <t xml:space="preserve">TCNT</t>
  </si>
  <si>
    <t xml:space="preserve">Tencent (~100k GPUs)</t>
  </si>
  <si>
    <t xml:space="preserve">Unconfirmed; MW n/d</t>
  </si>
  <si>
    <t xml:space="preserve">OR-TCNT</t>
  </si>
  <si>
    <t xml:space="preserve">O1</t>
  </si>
  <si>
    <t xml:space="preserve">Anthropic (Monarch WV)</t>
  </si>
  <si>
    <t xml:space="preserve">IT (S-1 facilities table)</t>
  </si>
  <si>
    <t xml:space="preserve">Up to; term press; financing not committed</t>
  </si>
  <si>
    <t xml:space="preserve">NS-S1|NS-TERM</t>
  </si>
  <si>
    <t xml:space="preserve">P2</t>
  </si>
  <si>
    <t xml:space="preserve">Microsoft (all SOWs)</t>
  </si>
  <si>
    <t xml:space="preserve">IT derived = 191.6k/491 + 66k/320 GPUs per IT MW</t>
  </si>
  <si>
    <t xml:space="preserve">Up to; term midpoint of 5-6 yr tranches</t>
  </si>
  <si>
    <t xml:space="preserve">P2a</t>
  </si>
  <si>
    <t xml:space="preserve">Microsoft - Narvik (Aker JV)</t>
  </si>
  <si>
    <t xml:space="preserve">IT derived = 52k GB300 / 491</t>
  </si>
  <si>
    <t xml:space="preserve">Within P2</t>
  </si>
  <si>
    <t xml:space="preserve">NS-NARV</t>
  </si>
  <si>
    <t xml:space="preserve">NEW2</t>
  </si>
  <si>
    <t xml:space="preserve">Anthropic (Beacon Point TX)</t>
  </si>
  <si>
    <t xml:space="preserve">unlabeled (IT vs gross unstated)</t>
  </si>
  <si>
    <t xml:space="preserve">Comp-band TOP; press only; footnote 5</t>
  </si>
  <si>
    <t xml:space="preserve">LM-ANTH</t>
  </si>
  <si>
    <t xml:space="preserve">P3</t>
  </si>
  <si>
    <t xml:space="preserve">R ('multibillion')</t>
  </si>
  <si>
    <t xml:space="preserve">No economics public</t>
  </si>
  <si>
    <t xml:space="preserve">LM-MSFT</t>
  </si>
  <si>
    <t xml:space="preserve">NEW3</t>
  </si>
  <si>
    <t xml:space="preserve">NVIDIA GPU leaseback ($1.3B tranche)</t>
  </si>
  <si>
    <t xml:space="preserve">n/d (10k GPUs -&gt; $3.71/GPU-hr)</t>
  </si>
  <si>
    <t xml:space="preserve">MW n/d</t>
  </si>
  <si>
    <t xml:space="preserve">LM-NV</t>
  </si>
  <si>
    <t xml:space="preserve">NEW9</t>
  </si>
  <si>
    <t xml:space="preserve">Oracle/OpenAI (Abilene 1.2 GW lease)</t>
  </si>
  <si>
    <t xml:space="preserve">gross</t>
  </si>
  <si>
    <t xml:space="preserve">Value n/d ($15B = JV project cost, not contract value)</t>
  </si>
  <si>
    <t xml:space="preserve">CR-DEALS</t>
  </si>
  <si>
    <t xml:space="preserve">NEW8</t>
  </si>
  <si>
    <t xml:space="preserve">Microsoft (Abilene 900 MW campus)</t>
  </si>
  <si>
    <t xml:space="preserve">IT (2 x 336)</t>
  </si>
  <si>
    <t xml:space="preserve">Value n/d; first bldg mid-2027</t>
  </si>
  <si>
    <t xml:space="preserve">NEW7</t>
  </si>
  <si>
    <t xml:space="preserve">Meta (~1.6 GW Childress + Warrenton)</t>
  </si>
  <si>
    <t xml:space="preserve">unlabeled</t>
  </si>
  <si>
    <t xml:space="preserve">Press; value n/d</t>
  </si>
  <si>
    <t xml:space="preserve">NEW6</t>
  </si>
  <si>
    <t xml:space="preserve">Press; MW n/d</t>
  </si>
  <si>
    <t xml:space="preserve">BD-A201</t>
  </si>
  <si>
    <t xml:space="preserve">A201 Johor off-take (unnamed customers, &gt;70% of ~21.7 MW)</t>
  </si>
  <si>
    <t xml:space="preserve">R ('&gt;$1.7B')</t>
  </si>
  <si>
    <t xml:space="preserve">unlabeled in primary; 'critical IT' per secondary only</t>
  </si>
  <si>
    <t xml:space="preserve">R (floor: &gt;70%)</t>
  </si>
  <si>
    <t xml:space="preserve">D (basis P)</t>
  </si>
  <si>
    <t xml:space="preserve">CEILING (MW is a floor); 100% contracted -&gt; 15.7</t>
  </si>
  <si>
    <t xml:space="preserve">BD-A201|BD-MKT</t>
  </si>
  <si>
    <t xml:space="preserve">BD-A102</t>
  </si>
  <si>
    <t xml:space="preserve">A102 Malaysia (sold out)</t>
  </si>
  <si>
    <t xml:space="preserve">R ('&gt;$800M')</t>
  </si>
  <si>
    <t xml:space="preserve">Floor ('&gt;'); revenue from Q1'27</t>
  </si>
  <si>
    <t xml:space="preserve">BD-A102|BD-MKT</t>
  </si>
  <si>
    <t xml:space="preserve">BD-A103</t>
  </si>
  <si>
    <t xml:space="preserve">A103 Cyberjaya 8-yr DC services (context)</t>
  </si>
  <si>
    <t xml:space="preserve">IT (release)</t>
  </si>
  <si>
    <t xml:space="preserve">No value; energize Q1'28</t>
  </si>
  <si>
    <t xml:space="preserve">N1-H</t>
  </si>
  <si>
    <t xml:space="preserve">Microsoft - HOUSE (model v0.9e Contracts!E12; MW not stated by Nebius/Microsoft)</t>
  </si>
  <si>
    <t xml:space="preserve">IT (model estimate, Inputs!F216)</t>
  </si>
  <si>
    <t xml:space="preserve">E</t>
  </si>
  <si>
    <t xml:space="preserve">E (house)</t>
  </si>
  <si>
    <t xml:space="preserve">17,392.9 / (5 x 240 IT MW est.) = 14.49; agrees with the Drivers 14.5 input (Inputs!F111)</t>
  </si>
  <si>
    <t xml:space="preserve">NB-LOCK|NB-MODEL</t>
  </si>
  <si>
    <t xml:space="preserve">N2</t>
  </si>
  <si>
    <t xml:space="preserve">IT, team estimate ~50 (filings state no MW; model Contracts!D23:D24 = 48.0; Capacity n/d)</t>
  </si>
  <si>
    <t xml:space="preserve">$11.52M [E, MW is a team estimate of ~50 IT MW]; one of the eight GPU Market band prints; band ends unchanged 9.7/16.7</t>
  </si>
  <si>
    <t xml:space="preserve">NB-META|MKT-PT|MKT-SLIDE|NB-CAPMETA</t>
  </si>
  <si>
    <t xml:space="preserve">N3</t>
  </si>
  <si>
    <t xml:space="preserve">Meta #2 (dedicated)</t>
  </si>
  <si>
    <t xml:space="preserve">+ up to $15B contingent</t>
  </si>
  <si>
    <t xml:space="preserve">NB-META</t>
  </si>
  <si>
    <t xml:space="preserve">Company-level $ per MW statements (not single named contracts). Values as stated ('&gt;' entered at the floor). &gt;= $20M in red.</t>
  </si>
  <si>
    <t xml:space="preserve">Print</t>
  </si>
  <si>
    <t xml:space="preserve">Low ($M/MW)</t>
  </si>
  <si>
    <t xml:space="preserve">High ($M/MW)</t>
  </si>
  <si>
    <t xml:space="preserve">Tag</t>
  </si>
  <si>
    <t xml:space="preserve">Why high (if flagged)</t>
  </si>
  <si>
    <t xml:space="preserve">CW-K1</t>
  </si>
  <si>
    <t xml:space="preserve">Short-dated (3-6 month) contracts, annualized revenue per MW</t>
  </si>
  <si>
    <t xml:space="preserve">MW basis unstated (CRWV 'active power' reads IT, E)</t>
  </si>
  <si>
    <t xml:space="preserve">Short term (3-6 mo) and GPU-inclusive spot pricing after a ~70% July-2026 SKU price rise; marginal deals, not the fleet ($8.24M per avg active MW Q2'26).</t>
  </si>
  <si>
    <t xml:space="preserve">CW-DECK</t>
  </si>
  <si>
    <t xml:space="preserve">CW-K2</t>
  </si>
  <si>
    <t xml:space="preserve">Denton colocation (CORZ lease ~590 MW, '$10B+' ~12 yrs) - shell+power, not compute</t>
  </si>
  <si>
    <t xml:space="preserve">IT (CORZ leased MW)</t>
  </si>
  <si>
    <t xml:space="preserve">CW-SITE</t>
  </si>
  <si>
    <t xml:space="preserve">IR-K1</t>
  </si>
  <si>
    <t xml:space="preserve">Recent 3-year AI cloud contracts, revenue per MW (IT)</t>
  </si>
  <si>
    <t xml:space="preserve">IT (company: 'per MW (IT)'); '&gt;' = floor</t>
  </si>
  <si>
    <t xml:space="preserve">Short (3-yr) tenor vs the 5-yr Microsoft anchor at $9.7M, GPU-inclusive cloud revenue (~2-yr payback per IREN); portfolio KPI with no per-deal MW.</t>
  </si>
  <si>
    <t xml:space="preserve">IR-FY26</t>
  </si>
  <si>
    <t xml:space="preserve">IR-K2</t>
  </si>
  <si>
    <t xml:space="preserve">'Active discussions' pricing (not signed)</t>
  </si>
  <si>
    <t xml:space="preserve">IT (company)</t>
  </si>
  <si>
    <t xml:space="preserve">Unsigned negotiating level, GPU-inclusive, short tenor; no MW or counterparty.</t>
  </si>
  <si>
    <t xml:space="preserve">CR-K1</t>
  </si>
  <si>
    <t xml:space="preserve">Company TCV $140B+ / 6 GW+ gross contracted (TCV per MW, NOT per year)  [per MW of TCV, not per yr]</t>
  </si>
  <si>
    <t xml:space="preserve">gross MW; term n/d</t>
  </si>
  <si>
    <t xml:space="preserve">Whole-term TCV per GROSS MW, not annual; mixes facility leases, cloud and JV capacity. Any multi-year term divides it (e.g. 5 yrs -&gt; ~$4.7M/MW-yr, illustrative D). Not comparable to $/MW-yr.</t>
  </si>
  <si>
    <t xml:space="preserve">CR-F</t>
  </si>
  <si>
    <t xml:space="preserve">NB-K1</t>
  </si>
  <si>
    <t xml:space="preserve">Q2'26 four 'landmark' deals, ACV per MW</t>
  </si>
  <si>
    <t xml:space="preserve">MW basis not defined in the 6-K</t>
  </si>
  <si>
    <t xml:space="preserve">1-3-yr tenor (vs 5-yr hyperscaler anchors), GPU-inclusive full-stack cloud ACV; MW basis undefined (cannot map to billed IT MW); MW per deal n/d.</t>
  </si>
  <si>
    <t xml:space="preserve">NB-Q2</t>
  </si>
  <si>
    <t xml:space="preserve">NB-K2</t>
  </si>
  <si>
    <t xml:space="preserve">Mgmt comment on Q3-to-date short-term pricing (Q2'26 letter KPI chart '&gt;$40M'; CEO on Q2 call 8/12/26: negotiating $40-50M per MW, one deal signed) - NOT reported Q3 results</t>
  </si>
  <si>
    <t xml:space="preserve">basis n/d</t>
  </si>
  <si>
    <t xml:space="preserve">Short term (up to ~6 mo; 'typically between three and six months'), premium for time-bounded need; one signed deal, capacity online later in 2026; not underwritable as a mid-term blend.</t>
  </si>
  <si>
    <t xml:space="preserve">NB-Q2|NB-CALL</t>
  </si>
  <si>
    <t xml:space="preserve">NB-K3</t>
  </si>
  <si>
    <t xml:space="preserve">2026 base book, per MW (company)</t>
  </si>
  <si>
    <t xml:space="preserve">Nebius model v0.9e locks (read via peers/nebius_locks.py; asserted against the task brief). Hurdle cells are live formulas.</t>
  </si>
  <si>
    <t xml:space="preserve">Key</t>
  </si>
  <si>
    <t xml:space="preserve">Item</t>
  </si>
  <si>
    <t xml:space="preserve">Value</t>
  </si>
  <si>
    <t xml:space="preserve">Unit</t>
  </si>
  <si>
    <t xml:space="preserve">Source</t>
  </si>
  <si>
    <t xml:space="preserve">MSFT_REV</t>
  </si>
  <si>
    <t xml:space="preserve">Microsoft (Vineland) FY27 revenue</t>
  </si>
  <si>
    <t xml:space="preserve">$M</t>
  </si>
  <si>
    <t xml:space="preserve">model Drivers!B32</t>
  </si>
  <si>
    <t xml:space="preserve">VIN_MW</t>
  </si>
  <si>
    <t xml:space="preserve">Vineland FY27 billed MW-yr (= MS rev / $14.5M)</t>
  </si>
  <si>
    <t xml:space="preserve">IT MW</t>
  </si>
  <si>
    <t xml:space="preserve">model Drivers!B33</t>
  </si>
  <si>
    <t xml:space="preserve">STREET</t>
  </si>
  <si>
    <t xml:space="preserve">Street FY27 revenue</t>
  </si>
  <si>
    <t xml:space="preserve">model Judge_Slide B72 / Cons_Rev</t>
  </si>
  <si>
    <t xml:space="preserve">FY27_BASE</t>
  </si>
  <si>
    <t xml:space="preserve">FY27 avg billed IT MW - base</t>
  </si>
  <si>
    <t xml:space="preserve">model Drivers!B34</t>
  </si>
  <si>
    <t xml:space="preserve">FY27_HIGH</t>
  </si>
  <si>
    <t xml:space="preserve">FY27 avg billed IT MW - high</t>
  </si>
  <si>
    <t xml:space="preserve">model Drivers!C34</t>
  </si>
  <si>
    <t xml:space="preserve">YE26_BASE</t>
  </si>
  <si>
    <t xml:space="preserve">YE26 billed IT MW - base</t>
  </si>
  <si>
    <t xml:space="preserve">model Judge_Slide B34</t>
  </si>
  <si>
    <t xml:space="preserve">YE26_HIGH</t>
  </si>
  <si>
    <t xml:space="preserve">YE26 billed IT MW - high</t>
  </si>
  <si>
    <t xml:space="preserve">model Judge_Slide B35</t>
  </si>
  <si>
    <t xml:space="preserve">GUIDE_LO</t>
  </si>
  <si>
    <t xml:space="preserve">YE26 ARR guide low</t>
  </si>
  <si>
    <t xml:space="preserve">Q2'26 letter</t>
  </si>
  <si>
    <t xml:space="preserve">GUIDE_HI</t>
  </si>
  <si>
    <t xml:space="preserve">YE26 ARR guide high</t>
  </si>
  <si>
    <t xml:space="preserve">EN_Q1</t>
  </si>
  <si>
    <t xml:space="preserve">Energized MW 31-Mar-26</t>
  </si>
  <si>
    <t xml:space="preserve">MW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</si>
  <si>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</si>
  <si>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</si>
  <si>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</si>
  <si>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</si>
  <si>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CONTRACTED</t>
  </si>
  <si>
    <t xml:space="preserve">Contracted power (lower bound)</t>
  </si>
  <si>
    <t xml:space="preserve">Q1'26 letter p.6</t>
  </si>
  <si>
    <t xml:space="preserve">Hurdles ($M per billed IT MW-yr; required, not contract prints)</t>
  </si>
  <si>
    <t xml:space="preserve">Value (formula)</t>
  </si>
  <si>
    <t xml:space="preserve">&gt;= $20M flag</t>
  </si>
  <si>
    <t xml:space="preserve">H1</t>
  </si>
  <si>
    <t xml:space="preserve">Street FY27 EX-MICROSOFT / FY27 base billed ex-Vineland (PEER COMPARATOR)</t>
  </si>
  <si>
    <t xml:space="preserve">$M/IT MW-yr</t>
  </si>
  <si>
    <t xml:space="preserve">H2</t>
  </si>
  <si>
    <t xml:space="preserve">MEMO: $23.13M = Street FY27 ÷ our 531.8 billed MW, all customers [D] (= model Drivers!B10; not a lock)</t>
  </si>
  <si>
    <t xml:space="preserve">H3</t>
  </si>
  <si>
    <t xml:space="preserve">Street FY27 ex-Microsoft / FY27 HIGH billed ex-Vineland</t>
  </si>
  <si>
    <t xml:space="preserve">H4</t>
  </si>
  <si>
    <t xml:space="preserve">Street FY27 blended / FY27 HIGH billed - memo only</t>
  </si>
  <si>
    <t xml:space="preserve">H5</t>
  </si>
  <si>
    <t xml:space="preserve">YE26 guide low $7B / YE26 base billed 257.7</t>
  </si>
  <si>
    <t xml:space="preserve">H6</t>
  </si>
  <si>
    <t xml:space="preserve">YE26 guide high $9B / YE26 high billed 284.2</t>
  </si>
  <si>
    <t xml:space="preserve">House Microsoft $/IT MW-yr = 14.49 [E] (Contracts N1-H = model Contracts!E12 = 17,392.9 / (5 x 240 IT est.)); agrees with the Drivers 14.5 input behind C4/C5. Energized 181.5 -&gt; 193 is E (Capacity base case incl. plug; mixed IT/gross).</t>
  </si>
  <si>
    <t xml:space="preserve">MODEL CELLS (Oct 9): locked Nebius hurdles verified against model/nebius_model.xlsx v0.9e (read-only; cached values)</t>
  </si>
  <si>
    <t xml:space="preserve">Model value</t>
  </si>
  <si>
    <t xml:space="preserve">Model cell</t>
  </si>
  <si>
    <t xml:space="preserve">Brief value</t>
  </si>
  <si>
    <t xml:space="preserve">Diff (formula)</t>
  </si>
  <si>
    <t xml:space="preserve">Model formula / note</t>
  </si>
  <si>
    <t xml:space="preserve">HURDLE</t>
  </si>
  <si>
    <t xml:space="preserve">Non-MSFT hurdle (peer comparator)</t>
  </si>
  <si>
    <t xml:space="preserve">Drivers!B9</t>
  </si>
  <si>
    <t xml:space="preserve">formula (INDEX(Cons_Rev,1,2027-FYBase)-B32)/B30 | formula =(INDEX(Cons_Rev,1,2027-FYBase)-B32)/B30; = Judge_Slide!B20</t>
  </si>
  <si>
    <t xml:space="preserve">CLEAR_BASE</t>
  </si>
  <si>
    <t xml:space="preserve">Clear-spot BASE ($237.15 PT; Judge (a) base, 11% WACC)</t>
  </si>
  <si>
    <t xml:space="preserve">Drivers!B6</t>
  </si>
  <si>
    <t xml:space="preserve">static | static full-model bisection; = Judge_Slide!B8/B14; Debate_Grid!A20 'base clear-spot (Judge line 1)'</t>
  </si>
  <si>
    <t xml:space="preserve">CLEAR_HIGH</t>
  </si>
  <si>
    <t xml:space="preserve">Clear-spot HIGH (high billed path)</t>
  </si>
  <si>
    <t xml:space="preserve">Debate_Grid!A18</t>
  </si>
  <si>
    <t xml:space="preserve">static | Debate_Grid!C18 'high-path clear-spot' (PT $237.12, E18); Drivers!A58 text '$22.68M GB300'</t>
  </si>
  <si>
    <t xml:space="preserve">TP_BASE</t>
  </si>
  <si>
    <t xml:space="preserve">Turn-positive BASE (Judge basis; first PT &gt; 0)</t>
  </si>
  <si>
    <t xml:space="preserve">Debate_Grid!A13</t>
  </si>
  <si>
    <t xml:space="preserve">static | PT $0.12 (D13); Debate_Grid!B26 'BASE at $17.05M ($0 at $17.0432)'</t>
  </si>
  <si>
    <t xml:space="preserve">TP_HIGH</t>
  </si>
  <si>
    <t xml:space="preserve">Turn-positive HIGH (Judge basis; first PT &gt; 0)</t>
  </si>
  <si>
    <t xml:space="preserve">Debate_Grid!A10</t>
  </si>
  <si>
    <t xml:space="preserve">static | PT $0.09 (E10); Debate_Grid!B26 'HIGH first positive at $16.70M ($0 at $16.6976)'</t>
  </si>
  <si>
    <t xml:space="preserve">BLENDED</t>
  </si>
  <si>
    <t xml:space="preserve">MEMO: $23.13M = Street FY27 ÷ our 531.8 billed MW, all customers [D]</t>
  </si>
  <si>
    <t xml:space="preserve">Drivers!B10</t>
  </si>
  <si>
    <t xml:space="preserve">formula INDEX(Cons_Rev,1,2027-FYBase)/B34 | formula =INDEX(Cons_Rev,1,2027-FYBase)/B34 = $12,300M / 531.84; = Judge_Slide!B16 'STREET (blended, supporting line)'</t>
  </si>
  <si>
    <t xml:space="preserve">Comp band (memo set; comparison.xlsx Contracts_$MWyr): MIN/MAX are live formulas. Unchanged $9.7-16.7M.</t>
  </si>
  <si>
    <t xml:space="preserve">Deal</t>
  </si>
  <si>
    <t xml:space="preserve">$M per MW-yr (IT where available)</t>
  </si>
  <si>
    <t xml:space="preserve">IREN-Microsoft</t>
  </si>
  <si>
    <t xml:space="preserve">D (R inputs)</t>
  </si>
  <si>
    <t xml:space="preserve">IREN-NVIDIA</t>
  </si>
  <si>
    <t xml:space="preserve">Nscale-Microsoft</t>
  </si>
  <si>
    <t xml:space="preserve">P (term)</t>
  </si>
  <si>
    <t xml:space="preserve">Nscale-Anthropic</t>
  </si>
  <si>
    <t xml:space="preserve">Lambda-Anthropic</t>
  </si>
  <si>
    <t xml:space="preserve">Oracle-OpenAI (IT read)</t>
  </si>
  <si>
    <t xml:space="preserve">Band low (MIN)</t>
  </si>
  <si>
    <t xml:space="preserve">Band top (MAX)</t>
  </si>
  <si>
    <t xml:space="preserve">GPU Market band prints (market/contract_economics.xlsx Print_Table A, rows 6-13; slide contract_band_slide_final.png): eight prints incl. Meta-Nebius #1 11.52 [E, MW is a team estimate of ~50 IT MW] and Microsoft-Nebius 14.49. Same ends as the memo set.</t>
  </si>
  <si>
    <t xml:space="preserve">#</t>
  </si>
  <si>
    <t xml:space="preserve">$M per MW-yr (as reported)</t>
  </si>
  <si>
    <t xml:space="preserve">Microsoft–IREN (Childress TX)</t>
  </si>
  <si>
    <t xml:space="preserve">R / D</t>
  </si>
  <si>
    <t xml:space="preserve">Microsoft–Nscale/Aker Narvik</t>
  </si>
  <si>
    <t xml:space="preserve">Meta–Nebius #1</t>
  </si>
  <si>
    <t xml:space="preserve">Microsoft–Nscale, all SOWs</t>
  </si>
  <si>
    <t xml:space="preserve">Microsoft–Nebius (Vineland), house value</t>
  </si>
  <si>
    <t xml:space="preserve">D on E</t>
  </si>
  <si>
    <t xml:space="preserve">OpenAI–Oracle (Stargate)</t>
  </si>
  <si>
    <t xml:space="preserve">Anthropic–Nscale (Monarch WV)</t>
  </si>
  <si>
    <t xml:space="preserve">Anthropic–Lambda (Hut 8 Beacon Point TX)</t>
  </si>
  <si>
    <t xml:space="preserve">R (secondary) / D</t>
  </si>
  <si>
    <t xml:space="preserve">Eight-print low (MIN)</t>
  </si>
  <si>
    <t xml:space="preserve">Eight-print top (MAX)</t>
  </si>
  <si>
    <t xml:space="preserve">Every print at or above $20M per MW, with why it is high (GPU-inclusive vs powered shell, gross vs IT, short term). Only one contract with disclosed MW reaches $20M/MW: Bitdeer, ~15 MW, a &lt;= $22.4M ceiling, basis from secondary sources.</t>
  </si>
  <si>
    <t xml:space="preserve">$M per MW</t>
  </si>
  <si>
    <t xml:space="preserve">Type</t>
  </si>
  <si>
    <t xml:space="preserve">Why high</t>
  </si>
  <si>
    <t xml:space="preserve">3-6-month contracts (annualized)</t>
  </si>
  <si>
    <t xml:space="preserve">~40</t>
  </si>
  <si>
    <t xml:space="preserve">company KPI</t>
  </si>
  <si>
    <t xml:space="preserve">Recent 3-yr contracts</t>
  </si>
  <si>
    <t xml:space="preserve">&gt;20</t>
  </si>
  <si>
    <t xml:space="preserve">Active discussions (unsigned)</t>
  </si>
  <si>
    <t xml:space="preserve">~25</t>
  </si>
  <si>
    <t xml:space="preserve">TCV $140B+ / 6 GW+ gross (not annual)</t>
  </si>
  <si>
    <t xml:space="preserve">~23.3</t>
  </si>
  <si>
    <t xml:space="preserve">TCV per MW (not $/MW-yr)</t>
  </si>
  <si>
    <t xml:space="preserve">Q2'26 four landmark deals ACV/MW</t>
  </si>
  <si>
    <t xml:space="preserve">20-25</t>
  </si>
  <si>
    <t xml:space="preserve">Mgmt comment on Q3-to-date short-term pricing (Q2 letter + call 8/12/26; not reported Q3)</t>
  </si>
  <si>
    <t xml:space="preserve">&gt;40 (40-50 negotiating)</t>
  </si>
  <si>
    <t xml:space="preserve">mgmt comment</t>
  </si>
  <si>
    <t xml:space="preserve">A201 Johor off-take, &gt;$1.7B / 5 yrs / &gt;70% of ~21.7 MW (~15.2 MW)</t>
  </si>
  <si>
    <t xml:space="preserve">&lt;= 22.4</t>
  </si>
  <si>
    <t xml:space="preserve">signed contract, disclosed MW (ceiling)</t>
  </si>
  <si>
    <t xml:space="preserve">CEILING: contracted MW is a floor (100% contracted = 15.7); GPU-inclusive GB300 cloud, not powered shell; 5-yr; unnamed customers; MW basis unstated in primary (IT per secondary only). Source: GPU Market agent MidTerm_20M_Search.</t>
  </si>
  <si>
    <t xml:space="preserve">LOCKED non-MSFT hurdle (peer comparator)</t>
  </si>
  <si>
    <t xml:space="preserve">27.63</t>
  </si>
  <si>
    <t xml:space="preserve">required, not a print</t>
  </si>
  <si>
    <t xml:space="preserve">Model Drivers!B9: (Street $12.3B - Microsoft $2,643.8M) / (531.84 - 182.33) billed IT MW. Above every disclosed contract and above mgmt's $20-25M.</t>
  </si>
  <si>
    <t xml:space="preserve">NB-MODEL</t>
  </si>
  <si>
    <t xml:space="preserve">LOCKED clear-spot BASE (PT = $237.15)</t>
  </si>
  <si>
    <t xml:space="preserve">24.51</t>
  </si>
  <si>
    <t xml:space="preserve">Model Drivers!B6 (= Judge_Slide!B8): uncontracted GB300 price per billed IT MW at which the base path's self-consistent PT equals the $237.15 close.</t>
  </si>
  <si>
    <t xml:space="preserve">LOCKED clear-spot HIGH</t>
  </si>
  <si>
    <t xml:space="preserve">22.68</t>
  </si>
  <si>
    <t xml:space="preserve">Model Debate_Grid!A18 ('high-path clear-spot'; Drivers!A58).</t>
  </si>
  <si>
    <t xml:space="preserve">MEMO (separate from the non-MSFT hurdle): $23.13M = Street FY27 ÷ our 531.8 billed MW, all customers [D]</t>
  </si>
  <si>
    <t xml:space="preserve">23.13</t>
  </si>
  <si>
    <t xml:space="preserve">memo</t>
  </si>
  <si>
    <t xml:space="preserve">Model Drivers!B10 = INDEX(Cons_Rev,1,2027-FYBase)/B34 = $12,300M / 531.84 (= Judge_Slide!B16 'supporting line'); includes the $14.5M Microsoft anchor.</t>
  </si>
  <si>
    <t xml:space="preserve">YE26 guide low / YE26 base billed</t>
  </si>
  <si>
    <t xml:space="preserve">27.16</t>
  </si>
  <si>
    <t xml:space="preserve">Run-rate ARR guide ($7B) over YE26 base billed 257.7 IT MW.</t>
  </si>
  <si>
    <t xml:space="preserve">NB-LOCK</t>
  </si>
  <si>
    <t xml:space="preserve">YE26 guide high / YE26 high billed</t>
  </si>
  <si>
    <t xml:space="preserve">31.67</t>
  </si>
  <si>
    <t xml:space="preserve">$9B over 284.2 IT MW.</t>
  </si>
  <si>
    <t xml:space="preserve">Street FY27 ex-MSFT / FY27 HIGH billed</t>
  </si>
  <si>
    <t xml:space="preserve">20.25</t>
  </si>
  <si>
    <t xml:space="preserve">High billed path (659.16) ex-Vineland.</t>
  </si>
  <si>
    <t xml:space="preserve">Not &gt;= $20M: Nebius-Microsoft house 14.49 [E] (model Contracts!E12); Nebius-Meta #1 11.52 [E, MW is a team estimate of ~50 IT MW]. Turn-positive (locked, &lt; $20M): base 17.05 (Debate_Grid!A13) / high 16.70 (Debate_Grid!A10). Bitdeer A102 &gt;16.8 (floor).</t>
  </si>
  <si>
    <t xml:space="preserve">Document</t>
  </si>
  <si>
    <t xml:space="preserve">URL / path</t>
  </si>
  <si>
    <t xml:space="preserve">Accessed</t>
  </si>
  <si>
    <t xml:space="preserve">CoreWeave 8-K 2025-09-30 (Meta up to $14.2B through Dec-2031)</t>
  </si>
  <si>
    <t xml:space="preserve">https://www.sec.gov/cgi-bin/browse-edgar?action=getcompany&amp;CIK=0001769628&amp;type=8-K</t>
  </si>
  <si>
    <t xml:space="preserve">2026-10-05..10-09 (team packs); Lambda/Crusoe re-checked 2026-10-09</t>
  </si>
  <si>
    <t xml:space="preserve">CoreWeave 8-K 2026-04-09 (Meta up to $21.0B)</t>
  </si>
  <si>
    <t xml:space="preserve">CoreWeave 8-Ks 2025-03-10 / 05-15 / 09-25 (OpenAI $11.9B + $4.0B + $6.5B); reused via parts/contract_economics.xlsx P6-P8</t>
  </si>
  <si>
    <t xml:space="preserve">local:/workspace/nebius/parts/contract_economics.xlsx</t>
  </si>
  <si>
    <t xml:space="preserve">CoreWeave PR 2026-04-15 (Jane Street $6B; term/MW n/d)</t>
  </si>
  <si>
    <t xml:space="preserve">https://www.coreweave.com/news/jane-street-signs-6-billion-ai-cloud-agreement-with-coreweave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</si>
  <si>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</si>
  <si>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</si>
  <si>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</si>
  <si>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</si>
  <si>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</si>
  <si>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</si>
  <si>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</si>
  <si>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</si>
  <si>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</si>
  <si>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</si>
  <si>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</si>
  <si>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</si>
  <si>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</si>
  <si>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</si>
  <si>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</si>
  <si>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</si>
  <si>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</si>
  <si>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</si>
  <si>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Bloomberg/Reuters 2025-09-19; CNBC 2025-10-16 (Meta ~$20B, talks) - press</t>
  </si>
  <si>
    <t xml:space="preserve">https://www.cnbc.com/</t>
  </si>
  <si>
    <t xml:space="preserve">FT via DCD 2026-10-01 (Tencent ~100k GPUs, ~$7B / 5 yrs) - press, unconfirmed</t>
  </si>
  <si>
    <t xml:space="preserve">https://www.datacenterdynamics.com/en/news/tencent-signs-on-for-100000-gpus-via-oracle-report/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</si>
  <si>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</si>
  <si>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</si>
  <si>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</si>
  <si>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</si>
  <si>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</si>
  <si>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</si>
  <si>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</si>
  <si>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</si>
  <si>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</si>
  <si>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</si>
  <si>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</si>
  <si>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</si>
  <si>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</si>
  <si>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</si>
  <si>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</si>
  <si>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</si>
  <si>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</si>
  <si>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</si>
  <si>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</si>
  <si>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Lambda PR 2025-11-03 (Microsoft 'multibillion-dollar'; no TCV/MW)</t>
  </si>
  <si>
    <t xml:space="preserve">https://lambda.ai/blog/lambda-announces-multibillion-dollar-agreement-with-microsoft-to-deploy-ai-infrastructure-powered-by-tens-of-thousands-of-nvidia-gpus</t>
  </si>
  <si>
    <t xml:space="preserve">DCD citing The Information 2025-09-08 (NVIDIA $1.5B / ~18k GPU 4-yr leaseback; $1.3B/10k tranche) - press</t>
  </si>
  <si>
    <t xml:space="preserve">https://www.datacenterdynamics.com/en/news/nvidia-signs-15bn-deal-to-lease-its-gpus-back-from-lambda-report/</t>
  </si>
  <si>
    <t xml:space="preserve">LM-BKLG</t>
  </si>
  <si>
    <t xml:space="preserve">TechCrunch / WSJ 2026-10-06 (investor letter: backlog $15B Jun-26 -&gt; $50B Sep-26) - press</t>
  </si>
  <si>
    <t xml:space="preserve">https://techcrunch.com/2026/10/06/ai-computing-startup-lambda-to-raise-4b-ahead-of-planned-ipo/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</si>
  <si>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</si>
  <si>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</si>
  <si>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</si>
  <si>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</si>
  <si>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</si>
  <si>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</si>
  <si>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</si>
  <si>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</si>
  <si>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</si>
  <si>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</si>
  <si>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</si>
  <si>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</si>
  <si>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</si>
  <si>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</si>
  <si>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</si>
  <si>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</si>
  <si>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Nebius 6-K 2025-11-12 (Meta $3B / 5 yrs) and 6-K 2026-03-16 (Meta $12B dedicated + up to $15B contingent); MW not stated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</si>
  <si>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</si>
  <si>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</si>
  <si>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Model v0.9e: model/nebius_model.xlsx Drivers B9/B10/B30-B34/C34, Judge_Slide B33-B35, Inputs F111 ($14.5M) via peers/nebius_locks.py; peers/comparison.xlsx Nebius_Inputs</t>
  </si>
  <si>
    <t xml:space="preserve">local:/workspace/nebius/model/nebius_model.xlsx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</si>
  <si>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</si>
  <si>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</si>
  <si>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local:/workspace/nebius/capacity/nebius_capacity.xlsx</t>
  </si>
  <si>
    <t xml:space="preserve">NB-SITE</t>
  </si>
  <si>
    <t xml:space="preserve">capacity/site_verification.md s.1 + vineland_site_appendix (NJ Governor 2026-09-22; NJDEP order; Vineland stop-construction 8/6, 8/10; Planning Board 8/17; Oct 14 agenda)</t>
  </si>
  <si>
    <t xml:space="preserve">https://www.nj.gov/governor/news/2026/20260922a.shtml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</si>
  <si>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</si>
  <si>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</si>
  <si>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</si>
  <si>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</si>
  <si>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</si>
  <si>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</si>
  <si>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</si>
  <si>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</si>
  <si>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Bitdeer AI PR 2026-08-31 (A102 Malaysia 9.5 MW sold out, &gt;$800M / 5 yrs; revenue from Q1 2027) via market/contract_economics.xlsx MidTerm_20M_Search row 25</t>
  </si>
  <si>
    <t xml:space="preserve">https://www.globenewswire.com/news-release/2026/08/31/3353668/0/en/</t>
  </si>
  <si>
    <t xml:space="preserve">Bitdeer AI release 2026-10-08 via TMCnet (A103 Cyberjaya 60 MW IT, 8-yr data-center services agreement, energize Q1 2028, no value; secured 333.5 MW) - peer watch 10/9</t>
  </si>
  <si>
    <t xml:space="preserve">https://www.tmcnet.com/usubmit/-bitdeer-ai-secures-60mw-a103-facility-its-existing-/2026/10/08/10460312.htm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</si>
  <si>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</si>
  <si>
    <t xml:space="preserve">MKT-PT</t>
  </si>
  <si>
    <t xml:space="preserve">GPU Market agent: market/contract_economics.xlsx Print_Table A (eight band prints; #3 Meta-Nebius #1 = 11.52 [E], ~50 MW 'not disclosed; estimate only', Low); same file in parts/</t>
  </si>
  <si>
    <t xml:space="preserve">MKT-SLIDE</t>
  </si>
  <si>
    <t xml:space="preserve">GPU Market final contract band slide: market/charts/contract_band_slide_final.png (bar 'Meta-Nebius #1, MW not disclosed (~50 est.)' $11.52M [E], hatched = MW estimated; band $9.7-16.7M as reported)</t>
  </si>
  <si>
    <t xml:space="preserve">local:/workspace/nebius/market/charts/contract_band_slide_final.png</t>
  </si>
  <si>
    <t xml:space="preserve">NB-CAPMETA</t>
  </si>
  <si>
    <t xml:space="preserve">Capacity: capacity/nebius_capacity.xlsx 'Capacity tranches' A3:H3 (Meta #1, 2 tranches, MW stated n/d, IT n/d - Capacity sizes no Meta #1 MW); team MW estimate = model v0.9e Contracts!D23+D24 = 24.0 + 24.0 = 48.0 IT MW (ACV-derived) ~ 50</t>
  </si>
  <si>
    <t xml:space="preserve">MKT-20</t>
  </si>
  <si>
    <t xml:space="preserve">parts/contract_economics.xlsx MidTerm_20M_Search (GPU Market agent; re-swept 2026-10-09 08:50 ET: no mid-term deal &gt;=$20M/IT MW-yr with disclosed MW)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</si>
</sst>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8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28.3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28.35" hidden="false" customHeight="false" outlineLevel="0" collapsed="false">
      <c r="A5" s="1" t="s">
        <v>4</v>
      </c>
    </row>
    <row r="6" customFormat="false" ht="28.35" hidden="false" customHeight="false" outlineLevel="0" collapsed="false">
      <c r="A6" s="1" t="s">
        <v>5</v>
      </c>
    </row>
    <row r="7" customFormat="false" ht="28.35" hidden="false" customHeight="false" outlineLevel="0" collapsed="false">
      <c r="A7" s="1" t="s">
        <v>6</v>
      </c>
    </row>
    <row r="8" customFormat="false" ht="28.3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28.3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48"/>
    <col collapsed="false" customWidth="true" hidden="false" outlineLevel="0" max="10" min="10" style="0" width="9"/>
    <col collapsed="false" customWidth="true" hidden="false" outlineLevel="0" max="11" min="11" style="0" width="50"/>
    <col collapsed="false" customWidth="true" hidden="false" outlineLevel="0" max="12" min="12" style="0" width="9"/>
    <col collapsed="false" customWidth="true" hidden="false" outlineLevel="0" max="13" min="13" style="0" width="5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2" t="s">
        <v>11</v>
      </c>
    </row>
    <row r="3" customFormat="false" ht="28.3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</row>
    <row r="4" customFormat="false" ht="55.2" hidden="false" customHeight="false" outlineLevel="0" collapsed="false">
      <c r="A4" s="4" t="s">
        <v>26</v>
      </c>
      <c r="B4" s="4" t="s">
        <v>27</v>
      </c>
      <c r="C4" s="5" t="s">
        <v>28</v>
      </c>
      <c r="D4" s="4" t="s">
        <v>29</v>
      </c>
      <c r="E4" s="4" t="s">
        <v>30</v>
      </c>
      <c r="F4" s="6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</row>
    <row r="5" customFormat="false" ht="41.75" hidden="false" customHeight="false" outlineLevel="0" collapsed="false">
      <c r="A5" s="4" t="s">
        <v>40</v>
      </c>
      <c r="B5" s="4" t="s">
        <v>41</v>
      </c>
      <c r="C5" s="5" t="s">
        <v>42</v>
      </c>
      <c r="D5" s="4" t="s">
        <v>29</v>
      </c>
      <c r="E5" s="4" t="s">
        <v>43</v>
      </c>
      <c r="F5" s="6" t="s">
        <v>44</v>
      </c>
      <c r="G5" s="4" t="s">
        <v>45</v>
      </c>
      <c r="H5" s="4" t="s">
        <v>33</v>
      </c>
      <c r="I5" s="4" t="s">
        <v>46</v>
      </c>
      <c r="J5" s="4" t="s">
        <v>35</v>
      </c>
      <c r="K5" s="4" t="s">
        <v>47</v>
      </c>
      <c r="L5" s="4" t="s">
        <v>48</v>
      </c>
      <c r="M5" s="4" t="s">
        <v>49</v>
      </c>
      <c r="N5" s="4" t="s">
        <v>50</v>
      </c>
    </row>
    <row r="6" customFormat="false" ht="55.2" hidden="false" customHeight="false" outlineLevel="0" collapsed="false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62</v>
      </c>
      <c r="M6" s="4" t="s">
        <v>63</v>
      </c>
      <c r="N6" s="4" t="s">
        <v>64</v>
      </c>
    </row>
    <row r="7" customFormat="false" ht="55.2" hidden="false" customHeight="false" outlineLevel="0" collapsed="false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56</v>
      </c>
      <c r="G7" s="4" t="s">
        <v>70</v>
      </c>
      <c r="H7" s="4" t="s">
        <v>29</v>
      </c>
      <c r="I7" s="4" t="s">
        <v>71</v>
      </c>
      <c r="J7" s="4" t="s">
        <v>35</v>
      </c>
      <c r="K7" s="4" t="s">
        <v>72</v>
      </c>
      <c r="L7" s="4" t="s">
        <v>62</v>
      </c>
      <c r="M7" s="4" t="s">
        <v>73</v>
      </c>
      <c r="N7" s="4" t="s">
        <v>74</v>
      </c>
    </row>
    <row r="8" customFormat="false" ht="55.2" hidden="false" customHeight="false" outlineLevel="0" collapsed="false">
      <c r="A8" s="4" t="s">
        <v>75</v>
      </c>
      <c r="B8" s="4" t="s">
        <v>76</v>
      </c>
      <c r="C8" s="4" t="s">
        <v>77</v>
      </c>
      <c r="D8" s="4" t="s">
        <v>62</v>
      </c>
      <c r="E8" s="4" t="s">
        <v>78</v>
      </c>
      <c r="F8" s="4" t="s">
        <v>56</v>
      </c>
      <c r="G8" s="4" t="s">
        <v>79</v>
      </c>
      <c r="H8" s="4" t="s">
        <v>58</v>
      </c>
      <c r="I8" s="4" t="s">
        <v>80</v>
      </c>
      <c r="J8" s="4" t="s">
        <v>62</v>
      </c>
      <c r="K8" s="4" t="s">
        <v>81</v>
      </c>
      <c r="L8" s="4" t="s">
        <v>35</v>
      </c>
      <c r="M8" s="4" t="s">
        <v>82</v>
      </c>
      <c r="N8" s="4" t="s">
        <v>83</v>
      </c>
    </row>
    <row r="9" customFormat="false" ht="55.2" hidden="false" customHeight="false" outlineLevel="0" collapsed="false">
      <c r="A9" s="4" t="s">
        <v>84</v>
      </c>
      <c r="B9" s="4" t="s">
        <v>85</v>
      </c>
      <c r="C9" s="5" t="s">
        <v>86</v>
      </c>
      <c r="D9" s="4" t="s">
        <v>68</v>
      </c>
      <c r="E9" s="4" t="s">
        <v>87</v>
      </c>
      <c r="F9" s="6" t="s">
        <v>88</v>
      </c>
      <c r="G9" s="4" t="s">
        <v>89</v>
      </c>
      <c r="H9" s="4" t="s">
        <v>33</v>
      </c>
      <c r="I9" s="4" t="s">
        <v>90</v>
      </c>
      <c r="J9" s="4" t="s">
        <v>60</v>
      </c>
      <c r="K9" s="4" t="s">
        <v>91</v>
      </c>
      <c r="L9" s="4" t="s">
        <v>60</v>
      </c>
      <c r="M9" s="4" t="s">
        <v>92</v>
      </c>
      <c r="N9" s="4" t="s">
        <v>93</v>
      </c>
    </row>
    <row r="10" customFormat="false" ht="55.2" hidden="false" customHeight="false" outlineLevel="0" collapsed="false">
      <c r="A10" s="4" t="s">
        <v>94</v>
      </c>
      <c r="B10" s="4" t="s">
        <v>95</v>
      </c>
      <c r="C10" s="5" t="s">
        <v>96</v>
      </c>
      <c r="D10" s="4" t="s">
        <v>97</v>
      </c>
      <c r="E10" s="4" t="s">
        <v>98</v>
      </c>
      <c r="F10" s="6" t="s">
        <v>99</v>
      </c>
      <c r="G10" s="4" t="s">
        <v>100</v>
      </c>
      <c r="H10" s="4" t="s">
        <v>101</v>
      </c>
      <c r="I10" s="4" t="s">
        <v>102</v>
      </c>
      <c r="J10" s="4" t="s">
        <v>35</v>
      </c>
      <c r="K10" s="4" t="s">
        <v>103</v>
      </c>
      <c r="L10" s="4"/>
      <c r="M10" s="4" t="s">
        <v>104</v>
      </c>
      <c r="N10" s="4" t="s">
        <v>105</v>
      </c>
    </row>
    <row r="11" customFormat="false" ht="122.35" hidden="false" customHeight="false" outlineLevel="0" collapsed="false">
      <c r="A11" s="4" t="s">
        <v>106</v>
      </c>
      <c r="B11" s="4" t="s">
        <v>107</v>
      </c>
      <c r="C11" s="5" t="s">
        <v>108</v>
      </c>
      <c r="D11" s="4" t="s">
        <v>109</v>
      </c>
      <c r="E11" s="4" t="s">
        <v>110</v>
      </c>
      <c r="F11" s="6" t="s">
        <v>111</v>
      </c>
      <c r="G11" s="4" t="s">
        <v>112</v>
      </c>
      <c r="H11" s="4" t="s">
        <v>113</v>
      </c>
      <c r="I11" s="4" t="s">
        <v>114</v>
      </c>
      <c r="J11" s="4" t="s">
        <v>115</v>
      </c>
      <c r="K11" s="4" t="s">
        <v>116</v>
      </c>
      <c r="L11" s="4" t="s">
        <v>35</v>
      </c>
      <c r="M11" s="4" t="s">
        <v>117</v>
      </c>
      <c r="N11" s="4" t="s">
        <v>118</v>
      </c>
    </row>
    <row r="13" customFormat="false" ht="15" hidden="false" customHeight="false" outlineLevel="0" collapsed="false">
      <c r="A13" s="7" t="s">
        <v>119</v>
      </c>
    </row>
    <row r="14" customFormat="false" ht="15" hidden="false" customHeight="false" outlineLevel="0" collapsed="false">
      <c r="A14" s="0" t="s">
        <v>120</v>
      </c>
    </row>
    <row r="15" customFormat="false" ht="15" hidden="false" customHeight="false" outlineLevel="0" collapsed="false">
      <c r="A15" s="0" t="s">
        <v>121</v>
      </c>
    </row>
    <row r="16" customFormat="false" ht="15" hidden="false" customHeight="false" outlineLevel="0" collapsed="false">
      <c r="A16" s="0" t="s">
        <v>122</v>
      </c>
    </row>
    <row r="17" customFormat="false" ht="15" hidden="false" customHeight="false" outlineLevel="0" collapsed="false">
      <c r="A17" s="0" t="s">
        <v>123</v>
      </c>
    </row>
    <row r="18" customFormat="false" ht="15" hidden="false" customHeight="false" outlineLevel="0" collapsed="false">
      <c r="A18" s="0" t="s">
        <v>124</v>
      </c>
    </row>
    <row r="19" customFormat="false" ht="15" hidden="false" customHeight="false" outlineLevel="0" collapsed="false">
      <c r="A19" s="0" t="s">
        <v>125</v>
      </c>
    </row>
    <row r="20" customFormat="false" ht="15" hidden="false" customHeight="false" outlineLevel="0" collapsed="false">
      <c r="A20" s="0" t="s">
        <v>126</v>
      </c>
    </row>
    <row r="21" customFormat="false" ht="15" hidden="false" customHeight="false" outlineLevel="0" collapsed="false">
      <c r="A21" s="0" t="s">
        <v>127</v>
      </c>
    </row>
    <row r="22" customFormat="false" ht="15" hidden="false" customHeight="false" outlineLevel="0" collapsed="false">
      <c r="A22" s="0" t="s">
        <v>128</v>
      </c>
    </row>
    <row r="23" customFormat="false" ht="15" hidden="false" customHeight="false" outlineLevel="0" collapsed="false">
      <c r="A23" s="0" t="s">
        <v>129</v>
      </c>
    </row>
    <row r="24" customFormat="false" ht="15" hidden="false" customHeight="false" outlineLevel="0" collapsed="false">
      <c r="A24" s="0" t="s">
        <v>130</v>
      </c>
    </row>
    <row r="25" customFormat="false" ht="15" hidden="false" customHeight="false" outlineLevel="0" collapsed="false">
      <c r="A25" s="0" t="s">
        <v>131</v>
      </c>
    </row>
    <row r="26" customFormat="false" ht="15" hidden="false" customHeight="false" outlineLevel="0" collapsed="false">
      <c r="A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36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8" t="s">
        <v>133</v>
      </c>
    </row>
    <row r="3" customFormat="false" ht="41.75" hidden="false" customHeight="false" outlineLevel="0" collapsed="false">
      <c r="A3" s="3" t="s">
        <v>134</v>
      </c>
      <c r="B3" s="3" t="s">
        <v>12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144</v>
      </c>
      <c r="M3" s="3" t="s">
        <v>145</v>
      </c>
      <c r="N3" s="3" t="s">
        <v>146</v>
      </c>
      <c r="O3" s="3" t="s">
        <v>147</v>
      </c>
      <c r="P3" s="3" t="s">
        <v>25</v>
      </c>
      <c r="Q3" s="3" t="s">
        <v>148</v>
      </c>
    </row>
    <row r="4" customFormat="false" ht="28.35" hidden="false" customHeight="false" outlineLevel="0" collapsed="false">
      <c r="A4" s="4" t="s">
        <v>149</v>
      </c>
      <c r="B4" s="4" t="s">
        <v>26</v>
      </c>
      <c r="C4" s="4" t="s">
        <v>150</v>
      </c>
      <c r="D4" s="4" t="n">
        <v>14200</v>
      </c>
      <c r="E4" s="4" t="s">
        <v>35</v>
      </c>
      <c r="F4" s="4" t="n">
        <v>6.22</v>
      </c>
      <c r="G4" s="4" t="s">
        <v>35</v>
      </c>
      <c r="H4" s="4" t="s">
        <v>151</v>
      </c>
      <c r="I4" s="4" t="s">
        <v>151</v>
      </c>
      <c r="J4" s="4" t="s">
        <v>151</v>
      </c>
      <c r="K4" s="9" t="str">
        <f aca="false">IF(AND(ISNUMBER(D4),ISNUMBER(F4),ISNUMBER(H4)),D4/F4/H4,"n/d")</f>
        <v>n/d</v>
      </c>
      <c r="L4" s="4" t="s">
        <v>151</v>
      </c>
      <c r="M4" s="4" t="s">
        <v>152</v>
      </c>
      <c r="N4" s="4" t="s">
        <v>153</v>
      </c>
      <c r="O4" s="4" t="str">
        <f aca="false">IF(ISNUMBER(K4),IF(K4&gt;=20,"FLAG &gt;=20","&lt;20"),"n/d")</f>
        <v>n/d</v>
      </c>
      <c r="P4" s="4" t="s">
        <v>154</v>
      </c>
      <c r="Q4" s="9"/>
    </row>
    <row r="5" customFormat="false" ht="28.35" hidden="false" customHeight="false" outlineLevel="0" collapsed="false">
      <c r="A5" s="4" t="s">
        <v>155</v>
      </c>
      <c r="B5" s="4" t="s">
        <v>26</v>
      </c>
      <c r="C5" s="4" t="s">
        <v>156</v>
      </c>
      <c r="D5" s="4" t="n">
        <v>21000</v>
      </c>
      <c r="E5" s="4" t="s">
        <v>35</v>
      </c>
      <c r="F5" s="4" t="n">
        <v>6.73</v>
      </c>
      <c r="G5" s="4" t="s">
        <v>35</v>
      </c>
      <c r="H5" s="4" t="s">
        <v>151</v>
      </c>
      <c r="I5" s="4" t="s">
        <v>151</v>
      </c>
      <c r="J5" s="4" t="s">
        <v>151</v>
      </c>
      <c r="K5" s="9" t="str">
        <f aca="false">IF(AND(ISNUMBER(D5),ISNUMBER(F5),ISNUMBER(H5)),D5/F5/H5,"n/d")</f>
        <v>n/d</v>
      </c>
      <c r="L5" s="4" t="s">
        <v>151</v>
      </c>
      <c r="M5" s="4" t="s">
        <v>152</v>
      </c>
      <c r="N5" s="4" t="s">
        <v>157</v>
      </c>
      <c r="O5" s="4" t="str">
        <f aca="false">IF(ISNUMBER(K5),IF(K5&gt;=20,"FLAG &gt;=20","&lt;20"),"n/d")</f>
        <v>n/d</v>
      </c>
      <c r="P5" s="4" t="s">
        <v>158</v>
      </c>
      <c r="Q5" s="9"/>
    </row>
    <row r="6" customFormat="false" ht="28.35" hidden="false" customHeight="false" outlineLevel="0" collapsed="false">
      <c r="A6" s="4" t="s">
        <v>159</v>
      </c>
      <c r="B6" s="4" t="s">
        <v>26</v>
      </c>
      <c r="C6" s="4" t="s">
        <v>160</v>
      </c>
      <c r="D6" s="4" t="n">
        <v>22400</v>
      </c>
      <c r="E6" s="4" t="s">
        <v>35</v>
      </c>
      <c r="F6" s="4" t="s">
        <v>151</v>
      </c>
      <c r="G6" s="4" t="s">
        <v>161</v>
      </c>
      <c r="H6" s="4" t="s">
        <v>151</v>
      </c>
      <c r="I6" s="4" t="s">
        <v>151</v>
      </c>
      <c r="J6" s="4" t="s">
        <v>151</v>
      </c>
      <c r="K6" s="9" t="str">
        <f aca="false">IF(AND(ISNUMBER(D6),ISNUMBER(F6),ISNUMBER(H6)),D6/F6/H6,"n/d")</f>
        <v>n/d</v>
      </c>
      <c r="L6" s="4" t="s">
        <v>151</v>
      </c>
      <c r="M6" s="4" t="s">
        <v>152</v>
      </c>
      <c r="N6" s="4" t="s">
        <v>162</v>
      </c>
      <c r="O6" s="4" t="str">
        <f aca="false">IF(ISNUMBER(K6),IF(K6&gt;=20,"FLAG &gt;=20","&lt;20"),"n/d")</f>
        <v>n/d</v>
      </c>
      <c r="P6" s="4" t="s">
        <v>163</v>
      </c>
      <c r="Q6" s="9"/>
    </row>
    <row r="7" customFormat="false" ht="28.35" hidden="false" customHeight="false" outlineLevel="0" collapsed="false">
      <c r="A7" s="4" t="s">
        <v>164</v>
      </c>
      <c r="B7" s="4" t="s">
        <v>26</v>
      </c>
      <c r="C7" s="4" t="s">
        <v>165</v>
      </c>
      <c r="D7" s="4" t="n">
        <v>6000</v>
      </c>
      <c r="E7" s="4" t="s">
        <v>35</v>
      </c>
      <c r="F7" s="4" t="s">
        <v>151</v>
      </c>
      <c r="G7" s="4" t="s">
        <v>151</v>
      </c>
      <c r="H7" s="4" t="s">
        <v>151</v>
      </c>
      <c r="I7" s="4" t="s">
        <v>151</v>
      </c>
      <c r="J7" s="4" t="s">
        <v>151</v>
      </c>
      <c r="K7" s="9" t="str">
        <f aca="false">IF(AND(ISNUMBER(D7),ISNUMBER(F7),ISNUMBER(H7)),D7/F7/H7,"n/d")</f>
        <v>n/d</v>
      </c>
      <c r="L7" s="4" t="s">
        <v>151</v>
      </c>
      <c r="M7" s="4" t="s">
        <v>152</v>
      </c>
      <c r="N7" s="4" t="s">
        <v>166</v>
      </c>
      <c r="O7" s="4" t="str">
        <f aca="false">IF(ISNUMBER(K7),IF(K7&gt;=20,"FLAG &gt;=20","&lt;20"),"n/d")</f>
        <v>n/d</v>
      </c>
      <c r="P7" s="4" t="s">
        <v>167</v>
      </c>
      <c r="Q7" s="9"/>
    </row>
    <row r="8" customFormat="false" ht="15" hidden="false" customHeight="false" outlineLevel="0" collapsed="false">
      <c r="A8" s="4" t="s">
        <v>168</v>
      </c>
      <c r="B8" s="4" t="s">
        <v>40</v>
      </c>
      <c r="C8" s="4" t="s">
        <v>169</v>
      </c>
      <c r="D8" s="4" t="n">
        <v>9700</v>
      </c>
      <c r="E8" s="4" t="s">
        <v>35</v>
      </c>
      <c r="F8" s="4" t="n">
        <v>5</v>
      </c>
      <c r="G8" s="4" t="s">
        <v>35</v>
      </c>
      <c r="H8" s="4" t="n">
        <v>200</v>
      </c>
      <c r="I8" s="4" t="s">
        <v>170</v>
      </c>
      <c r="J8" s="4" t="s">
        <v>35</v>
      </c>
      <c r="K8" s="9" t="n">
        <f aca="false">IF(AND(ISNUMBER(D8),ISNUMBER(F8),ISNUMBER(H8)),D8/F8/H8,"n/d")</f>
        <v>9.7</v>
      </c>
      <c r="L8" s="4" t="s">
        <v>171</v>
      </c>
      <c r="M8" s="4" t="s">
        <v>172</v>
      </c>
      <c r="N8" s="4" t="s">
        <v>173</v>
      </c>
      <c r="O8" s="4" t="str">
        <f aca="false">IF(ISNUMBER(K8),IF(K8&gt;=20,"FLAG &gt;=20","&lt;20"),"n/d")</f>
        <v>&lt;20</v>
      </c>
      <c r="P8" s="4" t="s">
        <v>174</v>
      </c>
      <c r="Q8" s="9" t="n">
        <v>9.7</v>
      </c>
    </row>
    <row r="9" customFormat="false" ht="28.35" hidden="false" customHeight="false" outlineLevel="0" collapsed="false">
      <c r="A9" s="4" t="s">
        <v>175</v>
      </c>
      <c r="B9" s="4" t="s">
        <v>40</v>
      </c>
      <c r="C9" s="4" t="s">
        <v>176</v>
      </c>
      <c r="D9" s="4" t="n">
        <v>3400</v>
      </c>
      <c r="E9" s="4" t="s">
        <v>35</v>
      </c>
      <c r="F9" s="4" t="n">
        <v>5</v>
      </c>
      <c r="G9" s="4" t="s">
        <v>35</v>
      </c>
      <c r="H9" s="4" t="n">
        <v>60</v>
      </c>
      <c r="I9" s="4" t="s">
        <v>177</v>
      </c>
      <c r="J9" s="4" t="s">
        <v>35</v>
      </c>
      <c r="K9" s="9" t="n">
        <f aca="false">IF(AND(ISNUMBER(D9),ISNUMBER(F9),ISNUMBER(H9)),D9/F9/H9,"n/d")</f>
        <v>11.3333333333333</v>
      </c>
      <c r="L9" s="4" t="s">
        <v>171</v>
      </c>
      <c r="M9" s="4" t="s">
        <v>152</v>
      </c>
      <c r="N9" s="4" t="s">
        <v>178</v>
      </c>
      <c r="O9" s="4" t="str">
        <f aca="false">IF(ISNUMBER(K9),IF(K9&gt;=20,"FLAG &gt;=20","&lt;20"),"n/d")</f>
        <v>&lt;20</v>
      </c>
      <c r="P9" s="4" t="s">
        <v>179</v>
      </c>
      <c r="Q9" s="9" t="n">
        <v>11.3333333333333</v>
      </c>
    </row>
    <row r="10" customFormat="false" ht="28.35" hidden="false" customHeight="false" outlineLevel="0" collapsed="false">
      <c r="A10" s="4" t="s">
        <v>180</v>
      </c>
      <c r="B10" s="4" t="s">
        <v>181</v>
      </c>
      <c r="C10" s="4" t="s">
        <v>182</v>
      </c>
      <c r="D10" s="4" t="n">
        <v>300000</v>
      </c>
      <c r="E10" s="4" t="s">
        <v>54</v>
      </c>
      <c r="F10" s="4" t="n">
        <v>5</v>
      </c>
      <c r="G10" s="4" t="s">
        <v>54</v>
      </c>
      <c r="H10" s="4" t="n">
        <v>4500</v>
      </c>
      <c r="I10" s="4" t="s">
        <v>183</v>
      </c>
      <c r="J10" s="4" t="s">
        <v>54</v>
      </c>
      <c r="K10" s="9" t="n">
        <f aca="false">IF(AND(ISNUMBER(D10),ISNUMBER(F10),ISNUMBER(H10)),D10/F10/H10,"n/d")</f>
        <v>13.3333333333333</v>
      </c>
      <c r="L10" s="4" t="s">
        <v>54</v>
      </c>
      <c r="M10" s="4" t="s">
        <v>152</v>
      </c>
      <c r="N10" s="4" t="s">
        <v>184</v>
      </c>
      <c r="O10" s="4" t="str">
        <f aca="false">IF(ISNUMBER(K10),IF(K10&gt;=20,"FLAG &gt;=20","&lt;20"),"n/d")</f>
        <v>&lt;20</v>
      </c>
      <c r="P10" s="4" t="s">
        <v>185</v>
      </c>
      <c r="Q10" s="9" t="n">
        <v>13.3333333333333</v>
      </c>
    </row>
    <row r="11" customFormat="false" ht="28.35" hidden="false" customHeight="false" outlineLevel="0" collapsed="false">
      <c r="A11" s="4" t="s">
        <v>186</v>
      </c>
      <c r="B11" s="4" t="s">
        <v>181</v>
      </c>
      <c r="C11" s="4" t="s">
        <v>187</v>
      </c>
      <c r="D11" s="4" t="n">
        <v>300000</v>
      </c>
      <c r="E11" s="4" t="s">
        <v>54</v>
      </c>
      <c r="F11" s="4" t="n">
        <v>5</v>
      </c>
      <c r="G11" s="4" t="s">
        <v>54</v>
      </c>
      <c r="H11" s="4" t="n">
        <v>3750</v>
      </c>
      <c r="I11" s="4" t="s">
        <v>188</v>
      </c>
      <c r="J11" s="4" t="s">
        <v>171</v>
      </c>
      <c r="K11" s="9" t="n">
        <f aca="false">IF(AND(ISNUMBER(D11),ISNUMBER(F11),ISNUMBER(H11)),D11/F11/H11,"n/d")</f>
        <v>16</v>
      </c>
      <c r="L11" s="4" t="s">
        <v>54</v>
      </c>
      <c r="M11" s="4" t="s">
        <v>172</v>
      </c>
      <c r="N11" s="4" t="s">
        <v>189</v>
      </c>
      <c r="O11" s="4" t="str">
        <f aca="false">IF(ISNUMBER(K11),IF(K11&gt;=20,"FLAG &gt;=20","&lt;20"),"n/d")</f>
        <v>&lt;20</v>
      </c>
      <c r="P11" s="4" t="s">
        <v>185</v>
      </c>
      <c r="Q11" s="9" t="n">
        <v>16</v>
      </c>
    </row>
    <row r="12" customFormat="false" ht="28.35" hidden="false" customHeight="false" outlineLevel="0" collapsed="false">
      <c r="A12" s="4" t="s">
        <v>190</v>
      </c>
      <c r="B12" s="4" t="s">
        <v>181</v>
      </c>
      <c r="C12" s="4" t="s">
        <v>191</v>
      </c>
      <c r="D12" s="4" t="n">
        <v>20000</v>
      </c>
      <c r="E12" s="4" t="s">
        <v>54</v>
      </c>
      <c r="F12" s="4" t="s">
        <v>151</v>
      </c>
      <c r="G12" s="4" t="s">
        <v>151</v>
      </c>
      <c r="H12" s="4" t="s">
        <v>151</v>
      </c>
      <c r="I12" s="4" t="s">
        <v>151</v>
      </c>
      <c r="J12" s="4" t="s">
        <v>151</v>
      </c>
      <c r="K12" s="9" t="str">
        <f aca="false">IF(AND(ISNUMBER(D12),ISNUMBER(F12),ISNUMBER(H12)),D12/F12/H12,"n/d")</f>
        <v>n/d</v>
      </c>
      <c r="L12" s="4" t="s">
        <v>151</v>
      </c>
      <c r="M12" s="4" t="s">
        <v>152</v>
      </c>
      <c r="N12" s="4" t="s">
        <v>192</v>
      </c>
      <c r="O12" s="4" t="str">
        <f aca="false">IF(ISNUMBER(K12),IF(K12&gt;=20,"FLAG &gt;=20","&lt;20"),"n/d")</f>
        <v>n/d</v>
      </c>
      <c r="P12" s="4" t="s">
        <v>193</v>
      </c>
      <c r="Q12" s="9"/>
    </row>
    <row r="13" customFormat="false" ht="28.35" hidden="false" customHeight="false" outlineLevel="0" collapsed="false">
      <c r="A13" s="4" t="s">
        <v>194</v>
      </c>
      <c r="B13" s="4" t="s">
        <v>181</v>
      </c>
      <c r="C13" s="4" t="s">
        <v>195</v>
      </c>
      <c r="D13" s="4" t="n">
        <v>7000</v>
      </c>
      <c r="E13" s="4" t="s">
        <v>54</v>
      </c>
      <c r="F13" s="4" t="n">
        <v>5</v>
      </c>
      <c r="G13" s="4" t="s">
        <v>54</v>
      </c>
      <c r="H13" s="4" t="s">
        <v>151</v>
      </c>
      <c r="I13" s="4" t="s">
        <v>151</v>
      </c>
      <c r="J13" s="4" t="s">
        <v>151</v>
      </c>
      <c r="K13" s="9" t="str">
        <f aca="false">IF(AND(ISNUMBER(D13),ISNUMBER(F13),ISNUMBER(H13)),D13/F13/H13,"n/d")</f>
        <v>n/d</v>
      </c>
      <c r="L13" s="4" t="s">
        <v>151</v>
      </c>
      <c r="M13" s="4" t="s">
        <v>152</v>
      </c>
      <c r="N13" s="4" t="s">
        <v>196</v>
      </c>
      <c r="O13" s="4" t="str">
        <f aca="false">IF(ISNUMBER(K13),IF(K13&gt;=20,"FLAG &gt;=20","&lt;20"),"n/d")</f>
        <v>n/d</v>
      </c>
      <c r="P13" s="4" t="s">
        <v>197</v>
      </c>
      <c r="Q13" s="9"/>
    </row>
    <row r="14" customFormat="false" ht="28.35" hidden="false" customHeight="false" outlineLevel="0" collapsed="false">
      <c r="A14" s="4" t="s">
        <v>198</v>
      </c>
      <c r="B14" s="4" t="s">
        <v>65</v>
      </c>
      <c r="C14" s="4" t="s">
        <v>199</v>
      </c>
      <c r="D14" s="4" t="n">
        <v>44600</v>
      </c>
      <c r="E14" s="4" t="s">
        <v>35</v>
      </c>
      <c r="F14" s="4" t="n">
        <v>6</v>
      </c>
      <c r="G14" s="4" t="s">
        <v>54</v>
      </c>
      <c r="H14" s="4" t="n">
        <v>460</v>
      </c>
      <c r="I14" s="4" t="s">
        <v>200</v>
      </c>
      <c r="J14" s="4" t="s">
        <v>35</v>
      </c>
      <c r="K14" s="9" t="n">
        <f aca="false">IF(AND(ISNUMBER(D14),ISNUMBER(F14),ISNUMBER(H14)),D14/F14/H14,"n/d")</f>
        <v>16.1594202898551</v>
      </c>
      <c r="L14" s="4" t="s">
        <v>54</v>
      </c>
      <c r="M14" s="4" t="s">
        <v>172</v>
      </c>
      <c r="N14" s="4" t="s">
        <v>201</v>
      </c>
      <c r="O14" s="4" t="str">
        <f aca="false">IF(ISNUMBER(K14),IF(K14&gt;=20,"FLAG &gt;=20","&lt;20"),"n/d")</f>
        <v>&lt;20</v>
      </c>
      <c r="P14" s="4" t="s">
        <v>202</v>
      </c>
      <c r="Q14" s="9" t="n">
        <v>16.1594202898551</v>
      </c>
    </row>
    <row r="15" customFormat="false" ht="28.35" hidden="false" customHeight="false" outlineLevel="0" collapsed="false">
      <c r="A15" s="4" t="s">
        <v>203</v>
      </c>
      <c r="B15" s="4" t="s">
        <v>65</v>
      </c>
      <c r="C15" s="4" t="s">
        <v>204</v>
      </c>
      <c r="D15" s="4" t="n">
        <v>43800</v>
      </c>
      <c r="E15" s="4" t="s">
        <v>35</v>
      </c>
      <c r="F15" s="4" t="n">
        <v>5.5</v>
      </c>
      <c r="G15" s="4" t="s">
        <v>54</v>
      </c>
      <c r="H15" s="4" t="n">
        <v>596.474</v>
      </c>
      <c r="I15" s="4" t="s">
        <v>205</v>
      </c>
      <c r="J15" s="4" t="s">
        <v>171</v>
      </c>
      <c r="K15" s="9" t="n">
        <f aca="false">IF(AND(ISNUMBER(D15),ISNUMBER(F15),ISNUMBER(H15)),D15/F15/H15,"n/d")</f>
        <v>13.3511877527543</v>
      </c>
      <c r="L15" s="4" t="s">
        <v>54</v>
      </c>
      <c r="M15" s="4" t="s">
        <v>172</v>
      </c>
      <c r="N15" s="4" t="s">
        <v>206</v>
      </c>
      <c r="O15" s="4" t="str">
        <f aca="false">IF(ISNUMBER(K15),IF(K15&gt;=20,"FLAG &gt;=20","&lt;20"),"n/d")</f>
        <v>&lt;20</v>
      </c>
      <c r="P15" s="4" t="s">
        <v>202</v>
      </c>
      <c r="Q15" s="9" t="n">
        <v>13.3511877527543</v>
      </c>
    </row>
    <row r="16" customFormat="false" ht="15" hidden="false" customHeight="false" outlineLevel="0" collapsed="false">
      <c r="A16" s="4" t="s">
        <v>207</v>
      </c>
      <c r="B16" s="4" t="s">
        <v>65</v>
      </c>
      <c r="C16" s="4" t="s">
        <v>208</v>
      </c>
      <c r="D16" s="4" t="n">
        <v>6200</v>
      </c>
      <c r="E16" s="4" t="s">
        <v>35</v>
      </c>
      <c r="F16" s="4" t="n">
        <v>5</v>
      </c>
      <c r="G16" s="4" t="s">
        <v>35</v>
      </c>
      <c r="H16" s="4" t="n">
        <v>105.906</v>
      </c>
      <c r="I16" s="4" t="s">
        <v>209</v>
      </c>
      <c r="J16" s="4" t="s">
        <v>171</v>
      </c>
      <c r="K16" s="9" t="n">
        <f aca="false">IF(AND(ISNUMBER(D16),ISNUMBER(F16),ISNUMBER(H16)),D16/F16/H16,"n/d")</f>
        <v>11.7084962136234</v>
      </c>
      <c r="L16" s="4" t="s">
        <v>171</v>
      </c>
      <c r="M16" s="4" t="s">
        <v>172</v>
      </c>
      <c r="N16" s="4" t="s">
        <v>210</v>
      </c>
      <c r="O16" s="4" t="str">
        <f aca="false">IF(ISNUMBER(K16),IF(K16&gt;=20,"FLAG &gt;=20","&lt;20"),"n/d")</f>
        <v>&lt;20</v>
      </c>
      <c r="P16" s="4" t="s">
        <v>211</v>
      </c>
      <c r="Q16" s="9" t="n">
        <v>11.7084962136234</v>
      </c>
    </row>
    <row r="17" customFormat="false" ht="28.35" hidden="false" customHeight="false" outlineLevel="0" collapsed="false">
      <c r="A17" s="4" t="s">
        <v>212</v>
      </c>
      <c r="B17" s="4" t="s">
        <v>75</v>
      </c>
      <c r="C17" s="4" t="s">
        <v>213</v>
      </c>
      <c r="D17" s="4" t="n">
        <v>35000</v>
      </c>
      <c r="E17" s="4" t="s">
        <v>54</v>
      </c>
      <c r="F17" s="4" t="n">
        <v>6</v>
      </c>
      <c r="G17" s="4" t="s">
        <v>54</v>
      </c>
      <c r="H17" s="4" t="n">
        <v>350</v>
      </c>
      <c r="I17" s="4" t="s">
        <v>214</v>
      </c>
      <c r="J17" s="4" t="s">
        <v>54</v>
      </c>
      <c r="K17" s="9" t="n">
        <f aca="false">IF(AND(ISNUMBER(D17),ISNUMBER(F17),ISNUMBER(H17)),D17/F17/H17,"n/d")</f>
        <v>16.6666666666667</v>
      </c>
      <c r="L17" s="4" t="s">
        <v>54</v>
      </c>
      <c r="M17" s="4" t="s">
        <v>152</v>
      </c>
      <c r="N17" s="4" t="s">
        <v>215</v>
      </c>
      <c r="O17" s="4" t="str">
        <f aca="false">IF(ISNUMBER(K17),IF(K17&gt;=20,"FLAG &gt;=20","&lt;20"),"n/d")</f>
        <v>&lt;20</v>
      </c>
      <c r="P17" s="4" t="s">
        <v>216</v>
      </c>
      <c r="Q17" s="9" t="n">
        <v>16.6666666666667</v>
      </c>
    </row>
    <row r="18" customFormat="false" ht="41.75" hidden="false" customHeight="false" outlineLevel="0" collapsed="false">
      <c r="A18" s="4" t="s">
        <v>217</v>
      </c>
      <c r="B18" s="4" t="s">
        <v>75</v>
      </c>
      <c r="C18" s="4" t="s">
        <v>169</v>
      </c>
      <c r="D18" s="4" t="s">
        <v>151</v>
      </c>
      <c r="E18" s="4" t="s">
        <v>218</v>
      </c>
      <c r="F18" s="4" t="s">
        <v>151</v>
      </c>
      <c r="G18" s="4" t="s">
        <v>151</v>
      </c>
      <c r="H18" s="4" t="s">
        <v>151</v>
      </c>
      <c r="I18" s="4" t="s">
        <v>151</v>
      </c>
      <c r="J18" s="4" t="s">
        <v>151</v>
      </c>
      <c r="K18" s="9" t="str">
        <f aca="false">IF(AND(ISNUMBER(D18),ISNUMBER(F18),ISNUMBER(H18)),D18/F18/H18,"n/d")</f>
        <v>n/d</v>
      </c>
      <c r="L18" s="4" t="s">
        <v>151</v>
      </c>
      <c r="M18" s="4" t="s">
        <v>152</v>
      </c>
      <c r="N18" s="4" t="s">
        <v>219</v>
      </c>
      <c r="O18" s="4" t="str">
        <f aca="false">IF(ISNUMBER(K18),IF(K18&gt;=20,"FLAG &gt;=20","&lt;20"),"n/d")</f>
        <v>n/d</v>
      </c>
      <c r="P18" s="4" t="s">
        <v>220</v>
      </c>
      <c r="Q18" s="9"/>
    </row>
    <row r="19" customFormat="false" ht="28.35" hidden="false" customHeight="false" outlineLevel="0" collapsed="false">
      <c r="A19" s="4" t="s">
        <v>221</v>
      </c>
      <c r="B19" s="4" t="s">
        <v>75</v>
      </c>
      <c r="C19" s="4" t="s">
        <v>222</v>
      </c>
      <c r="D19" s="4" t="n">
        <v>1300</v>
      </c>
      <c r="E19" s="4" t="s">
        <v>54</v>
      </c>
      <c r="F19" s="4" t="n">
        <v>4</v>
      </c>
      <c r="G19" s="4" t="s">
        <v>54</v>
      </c>
      <c r="H19" s="4" t="s">
        <v>151</v>
      </c>
      <c r="I19" s="4" t="s">
        <v>223</v>
      </c>
      <c r="J19" s="4" t="s">
        <v>151</v>
      </c>
      <c r="K19" s="9" t="str">
        <f aca="false">IF(AND(ISNUMBER(D19),ISNUMBER(F19),ISNUMBER(H19)),D19/F19/H19,"n/d")</f>
        <v>n/d</v>
      </c>
      <c r="L19" s="4" t="s">
        <v>151</v>
      </c>
      <c r="M19" s="4" t="s">
        <v>152</v>
      </c>
      <c r="N19" s="4" t="s">
        <v>224</v>
      </c>
      <c r="O19" s="4" t="str">
        <f aca="false">IF(ISNUMBER(K19),IF(K19&gt;=20,"FLAG &gt;=20","&lt;20"),"n/d")</f>
        <v>n/d</v>
      </c>
      <c r="P19" s="4" t="s">
        <v>225</v>
      </c>
      <c r="Q19" s="9"/>
    </row>
    <row r="20" customFormat="false" ht="28.35" hidden="false" customHeight="false" outlineLevel="0" collapsed="false">
      <c r="A20" s="4" t="s">
        <v>226</v>
      </c>
      <c r="B20" s="4" t="s">
        <v>84</v>
      </c>
      <c r="C20" s="4" t="s">
        <v>227</v>
      </c>
      <c r="D20" s="4" t="s">
        <v>151</v>
      </c>
      <c r="E20" s="4" t="s">
        <v>151</v>
      </c>
      <c r="F20" s="4" t="s">
        <v>151</v>
      </c>
      <c r="G20" s="4" t="s">
        <v>151</v>
      </c>
      <c r="H20" s="4" t="n">
        <v>1200</v>
      </c>
      <c r="I20" s="4" t="s">
        <v>228</v>
      </c>
      <c r="J20" s="4" t="s">
        <v>35</v>
      </c>
      <c r="K20" s="9" t="str">
        <f aca="false">IF(AND(ISNUMBER(D20),ISNUMBER(F20),ISNUMBER(H20)),D20/F20/H20,"n/d")</f>
        <v>n/d</v>
      </c>
      <c r="L20" s="4" t="s">
        <v>151</v>
      </c>
      <c r="M20" s="4" t="s">
        <v>228</v>
      </c>
      <c r="N20" s="4" t="s">
        <v>229</v>
      </c>
      <c r="O20" s="4" t="str">
        <f aca="false">IF(ISNUMBER(K20),IF(K20&gt;=20,"FLAG &gt;=20","&lt;20"),"n/d")</f>
        <v>n/d</v>
      </c>
      <c r="P20" s="4" t="s">
        <v>230</v>
      </c>
      <c r="Q20" s="9"/>
    </row>
    <row r="21" customFormat="false" ht="28.35" hidden="false" customHeight="false" outlineLevel="0" collapsed="false">
      <c r="A21" s="4" t="s">
        <v>231</v>
      </c>
      <c r="B21" s="4" t="s">
        <v>84</v>
      </c>
      <c r="C21" s="4" t="s">
        <v>232</v>
      </c>
      <c r="D21" s="4" t="s">
        <v>151</v>
      </c>
      <c r="E21" s="4" t="s">
        <v>151</v>
      </c>
      <c r="F21" s="4" t="s">
        <v>151</v>
      </c>
      <c r="G21" s="4" t="s">
        <v>151</v>
      </c>
      <c r="H21" s="4" t="n">
        <v>672</v>
      </c>
      <c r="I21" s="4" t="s">
        <v>233</v>
      </c>
      <c r="J21" s="4" t="s">
        <v>35</v>
      </c>
      <c r="K21" s="9" t="str">
        <f aca="false">IF(AND(ISNUMBER(D21),ISNUMBER(F21),ISNUMBER(H21)),D21/F21/H21,"n/d")</f>
        <v>n/d</v>
      </c>
      <c r="L21" s="4" t="s">
        <v>151</v>
      </c>
      <c r="M21" s="4" t="s">
        <v>172</v>
      </c>
      <c r="N21" s="4" t="s">
        <v>234</v>
      </c>
      <c r="O21" s="4" t="str">
        <f aca="false">IF(ISNUMBER(K21),IF(K21&gt;=20,"FLAG &gt;=20","&lt;20"),"n/d")</f>
        <v>n/d</v>
      </c>
      <c r="P21" s="4" t="s">
        <v>230</v>
      </c>
      <c r="Q21" s="9"/>
    </row>
    <row r="22" customFormat="false" ht="28.35" hidden="false" customHeight="false" outlineLevel="0" collapsed="false">
      <c r="A22" s="4" t="s">
        <v>235</v>
      </c>
      <c r="B22" s="4" t="s">
        <v>84</v>
      </c>
      <c r="C22" s="4" t="s">
        <v>236</v>
      </c>
      <c r="D22" s="4" t="s">
        <v>151</v>
      </c>
      <c r="E22" s="4" t="s">
        <v>151</v>
      </c>
      <c r="F22" s="4" t="s">
        <v>151</v>
      </c>
      <c r="G22" s="4" t="s">
        <v>151</v>
      </c>
      <c r="H22" s="4" t="n">
        <v>1600</v>
      </c>
      <c r="I22" s="4" t="s">
        <v>237</v>
      </c>
      <c r="J22" s="4" t="s">
        <v>54</v>
      </c>
      <c r="K22" s="9" t="str">
        <f aca="false">IF(AND(ISNUMBER(D22),ISNUMBER(F22),ISNUMBER(H22)),D22/F22/H22,"n/d")</f>
        <v>n/d</v>
      </c>
      <c r="L22" s="4" t="s">
        <v>151</v>
      </c>
      <c r="M22" s="4" t="s">
        <v>152</v>
      </c>
      <c r="N22" s="4" t="s">
        <v>238</v>
      </c>
      <c r="O22" s="4" t="str">
        <f aca="false">IF(ISNUMBER(K22),IF(K22&gt;=20,"FLAG &gt;=20","&lt;20"),"n/d")</f>
        <v>n/d</v>
      </c>
      <c r="P22" s="4" t="s">
        <v>230</v>
      </c>
      <c r="Q22" s="9"/>
    </row>
    <row r="23" customFormat="false" ht="28.35" hidden="false" customHeight="false" outlineLevel="0" collapsed="false">
      <c r="A23" s="4" t="s">
        <v>239</v>
      </c>
      <c r="B23" s="4" t="s">
        <v>84</v>
      </c>
      <c r="C23" s="4" t="s">
        <v>165</v>
      </c>
      <c r="D23" s="4" t="n">
        <v>13000</v>
      </c>
      <c r="E23" s="4" t="s">
        <v>54</v>
      </c>
      <c r="F23" s="4" t="n">
        <v>5</v>
      </c>
      <c r="G23" s="4" t="s">
        <v>54</v>
      </c>
      <c r="H23" s="4" t="s">
        <v>151</v>
      </c>
      <c r="I23" s="4" t="s">
        <v>151</v>
      </c>
      <c r="J23" s="4" t="s">
        <v>151</v>
      </c>
      <c r="K23" s="9" t="str">
        <f aca="false">IF(AND(ISNUMBER(D23),ISNUMBER(F23),ISNUMBER(H23)),D23/F23/H23,"n/d")</f>
        <v>n/d</v>
      </c>
      <c r="L23" s="4" t="s">
        <v>151</v>
      </c>
      <c r="M23" s="4" t="s">
        <v>152</v>
      </c>
      <c r="N23" s="4" t="s">
        <v>240</v>
      </c>
      <c r="O23" s="4" t="str">
        <f aca="false">IF(ISNUMBER(K23),IF(K23&gt;=20,"FLAG &gt;=20","&lt;20"),"n/d")</f>
        <v>n/d</v>
      </c>
      <c r="P23" s="4" t="s">
        <v>230</v>
      </c>
      <c r="Q23" s="9"/>
    </row>
    <row r="24" customFormat="false" ht="41.75" hidden="false" customHeight="false" outlineLevel="0" collapsed="false">
      <c r="A24" s="4" t="s">
        <v>241</v>
      </c>
      <c r="B24" s="4" t="s">
        <v>94</v>
      </c>
      <c r="C24" s="4" t="s">
        <v>242</v>
      </c>
      <c r="D24" s="4" t="n">
        <v>1700</v>
      </c>
      <c r="E24" s="4" t="s">
        <v>243</v>
      </c>
      <c r="F24" s="4" t="n">
        <v>5</v>
      </c>
      <c r="G24" s="4" t="s">
        <v>35</v>
      </c>
      <c r="H24" s="4" t="n">
        <v>15.19</v>
      </c>
      <c r="I24" s="4" t="s">
        <v>244</v>
      </c>
      <c r="J24" s="4" t="s">
        <v>245</v>
      </c>
      <c r="K24" s="9" t="n">
        <f aca="false">IF(AND(ISNUMBER(D24),ISNUMBER(F24),ISNUMBER(H24)),D24/F24/H24,"n/d")</f>
        <v>22.3831468071099</v>
      </c>
      <c r="L24" s="4" t="s">
        <v>246</v>
      </c>
      <c r="M24" s="4" t="s">
        <v>152</v>
      </c>
      <c r="N24" s="4" t="s">
        <v>247</v>
      </c>
      <c r="O24" s="4" t="str">
        <f aca="false">IF(ISNUMBER(K24),IF(K24&gt;=20,"FLAG &gt;=20","&lt;20"),"n/d")</f>
        <v>FLAG &gt;=20</v>
      </c>
      <c r="P24" s="4" t="s">
        <v>248</v>
      </c>
      <c r="Q24" s="9" t="n">
        <v>22.3831468071099</v>
      </c>
    </row>
    <row r="25" customFormat="false" ht="41.75" hidden="false" customHeight="false" outlineLevel="0" collapsed="false">
      <c r="A25" s="4" t="s">
        <v>249</v>
      </c>
      <c r="B25" s="4" t="s">
        <v>94</v>
      </c>
      <c r="C25" s="4" t="s">
        <v>250</v>
      </c>
      <c r="D25" s="4" t="n">
        <v>800</v>
      </c>
      <c r="E25" s="4" t="s">
        <v>251</v>
      </c>
      <c r="F25" s="4" t="n">
        <v>5</v>
      </c>
      <c r="G25" s="4" t="s">
        <v>35</v>
      </c>
      <c r="H25" s="4" t="n">
        <v>9.5</v>
      </c>
      <c r="I25" s="4" t="s">
        <v>237</v>
      </c>
      <c r="J25" s="4" t="s">
        <v>35</v>
      </c>
      <c r="K25" s="9" t="n">
        <f aca="false">IF(AND(ISNUMBER(D25),ISNUMBER(F25),ISNUMBER(H25)),D25/F25/H25,"n/d")</f>
        <v>16.8421052631579</v>
      </c>
      <c r="L25" s="4" t="s">
        <v>171</v>
      </c>
      <c r="M25" s="4" t="s">
        <v>152</v>
      </c>
      <c r="N25" s="4" t="s">
        <v>252</v>
      </c>
      <c r="O25" s="4" t="str">
        <f aca="false">IF(ISNUMBER(K25),IF(K25&gt;=20,"FLAG &gt;=20","&lt;20"),"n/d")</f>
        <v>&lt;20</v>
      </c>
      <c r="P25" s="4" t="s">
        <v>253</v>
      </c>
      <c r="Q25" s="9" t="n">
        <v>16.8421052631579</v>
      </c>
    </row>
    <row r="26" customFormat="false" ht="28.35" hidden="false" customHeight="false" outlineLevel="0" collapsed="false">
      <c r="A26" s="4" t="s">
        <v>254</v>
      </c>
      <c r="B26" s="4" t="s">
        <v>94</v>
      </c>
      <c r="C26" s="4" t="s">
        <v>255</v>
      </c>
      <c r="D26" s="4" t="s">
        <v>151</v>
      </c>
      <c r="E26" s="4" t="s">
        <v>151</v>
      </c>
      <c r="F26" s="4" t="n">
        <v>8</v>
      </c>
      <c r="G26" s="4" t="s">
        <v>35</v>
      </c>
      <c r="H26" s="4" t="n">
        <v>60</v>
      </c>
      <c r="I26" s="4" t="s">
        <v>256</v>
      </c>
      <c r="J26" s="4" t="s">
        <v>35</v>
      </c>
      <c r="K26" s="9" t="str">
        <f aca="false">IF(AND(ISNUMBER(D26),ISNUMBER(F26),ISNUMBER(H26)),D26/F26/H26,"n/d")</f>
        <v>n/d</v>
      </c>
      <c r="L26" s="4" t="s">
        <v>151</v>
      </c>
      <c r="M26" s="4" t="s">
        <v>172</v>
      </c>
      <c r="N26" s="4" t="s">
        <v>257</v>
      </c>
      <c r="O26" s="4" t="str">
        <f aca="false">IF(ISNUMBER(K26),IF(K26&gt;=20,"FLAG &gt;=20","&lt;20"),"n/d")</f>
        <v>n/d</v>
      </c>
      <c r="P26" s="4" t="s">
        <v>254</v>
      </c>
      <c r="Q26" s="9"/>
    </row>
    <row r="27" customFormat="false" ht="41.75" hidden="false" customHeight="false" outlineLevel="0" collapsed="false">
      <c r="A27" s="4" t="s">
        <v>258</v>
      </c>
      <c r="B27" s="4" t="s">
        <v>106</v>
      </c>
      <c r="C27" s="4" t="s">
        <v>259</v>
      </c>
      <c r="D27" s="4" t="n">
        <v>17392.9</v>
      </c>
      <c r="E27" s="4" t="s">
        <v>35</v>
      </c>
      <c r="F27" s="4" t="n">
        <v>5</v>
      </c>
      <c r="G27" s="4" t="s">
        <v>35</v>
      </c>
      <c r="H27" s="4" t="n">
        <v>240</v>
      </c>
      <c r="I27" s="4" t="s">
        <v>260</v>
      </c>
      <c r="J27" s="4" t="s">
        <v>261</v>
      </c>
      <c r="K27" s="9" t="n">
        <f aca="false">IF(AND(ISNUMBER(D27),ISNUMBER(F27),ISNUMBER(H27)),D27/F27/H27,"n/d")</f>
        <v>14.4940833333333</v>
      </c>
      <c r="L27" s="4" t="s">
        <v>262</v>
      </c>
      <c r="M27" s="4" t="s">
        <v>172</v>
      </c>
      <c r="N27" s="4" t="s">
        <v>263</v>
      </c>
      <c r="O27" s="4" t="str">
        <f aca="false">IF(ISNUMBER(K27),IF(K27&gt;=20,"FLAG &gt;=20","&lt;20"),"n/d")</f>
        <v>&lt;20</v>
      </c>
      <c r="P27" s="4" t="s">
        <v>264</v>
      </c>
      <c r="Q27" s="9" t="n">
        <v>14.4940833333333</v>
      </c>
    </row>
    <row r="28" customFormat="false" ht="55.2" hidden="false" customHeight="false" outlineLevel="0" collapsed="false">
      <c r="A28" s="4" t="s">
        <v>265</v>
      </c>
      <c r="B28" s="4" t="s">
        <v>106</v>
      </c>
      <c r="C28" s="4" t="s">
        <v>150</v>
      </c>
      <c r="D28" s="4" t="n">
        <v>2880.7</v>
      </c>
      <c r="E28" s="4" t="s">
        <v>35</v>
      </c>
      <c r="F28" s="4" t="n">
        <v>5</v>
      </c>
      <c r="G28" s="4" t="s">
        <v>35</v>
      </c>
      <c r="H28" s="4" t="n">
        <v>50</v>
      </c>
      <c r="I28" s="4" t="s">
        <v>266</v>
      </c>
      <c r="J28" s="4" t="s">
        <v>261</v>
      </c>
      <c r="K28" s="9" t="n">
        <f aca="false">IF(AND(ISNUMBER(D28),ISNUMBER(F28),ISNUMBER(H28)),D28/F28/H28,"n/d")</f>
        <v>11.5228</v>
      </c>
      <c r="L28" s="4" t="s">
        <v>261</v>
      </c>
      <c r="M28" s="4" t="s">
        <v>172</v>
      </c>
      <c r="N28" s="4" t="s">
        <v>267</v>
      </c>
      <c r="O28" s="4" t="str">
        <f aca="false">IF(ISNUMBER(K28),IF(K28&gt;=20,"FLAG &gt;=20","&lt;20"),"n/d")</f>
        <v>&lt;20</v>
      </c>
      <c r="P28" s="4" t="s">
        <v>268</v>
      </c>
      <c r="Q28" s="9" t="n">
        <v>11.5228</v>
      </c>
    </row>
    <row r="29" customFormat="false" ht="28.35" hidden="false" customHeight="false" outlineLevel="0" collapsed="false">
      <c r="A29" s="4" t="s">
        <v>269</v>
      </c>
      <c r="B29" s="4" t="s">
        <v>106</v>
      </c>
      <c r="C29" s="4" t="s">
        <v>270</v>
      </c>
      <c r="D29" s="4" t="n">
        <v>12000</v>
      </c>
      <c r="E29" s="4" t="s">
        <v>35</v>
      </c>
      <c r="F29" s="4" t="n">
        <v>5</v>
      </c>
      <c r="G29" s="4" t="s">
        <v>35</v>
      </c>
      <c r="H29" s="4" t="s">
        <v>151</v>
      </c>
      <c r="I29" s="4" t="s">
        <v>151</v>
      </c>
      <c r="J29" s="4" t="s">
        <v>151</v>
      </c>
      <c r="K29" s="9" t="str">
        <f aca="false">IF(AND(ISNUMBER(D29),ISNUMBER(F29),ISNUMBER(H29)),D29/F29/H29,"n/d")</f>
        <v>n/d</v>
      </c>
      <c r="L29" s="4" t="s">
        <v>151</v>
      </c>
      <c r="M29" s="4" t="s">
        <v>152</v>
      </c>
      <c r="N29" s="4" t="s">
        <v>271</v>
      </c>
      <c r="O29" s="4" t="str">
        <f aca="false">IF(ISNUMBER(K29),IF(K29&gt;=20,"FLAG &gt;=20","&lt;20"),"n/d")</f>
        <v>n/d</v>
      </c>
      <c r="P29" s="4" t="s">
        <v>272</v>
      </c>
      <c r="Q29" s="9"/>
    </row>
  </sheetData>
  <conditionalFormatting sqref="K4:K29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10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7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8" t="s">
        <v>273</v>
      </c>
    </row>
    <row r="3" customFormat="false" ht="41.75" hidden="false" customHeight="false" outlineLevel="0" collapsed="false">
      <c r="A3" s="3" t="s">
        <v>134</v>
      </c>
      <c r="B3" s="3" t="s">
        <v>12</v>
      </c>
      <c r="C3" s="3" t="s">
        <v>274</v>
      </c>
      <c r="D3" s="3" t="s">
        <v>275</v>
      </c>
      <c r="E3" s="3" t="s">
        <v>276</v>
      </c>
      <c r="F3" s="3" t="s">
        <v>277</v>
      </c>
      <c r="G3" s="3" t="s">
        <v>141</v>
      </c>
      <c r="H3" s="3" t="s">
        <v>147</v>
      </c>
      <c r="I3" s="3" t="s">
        <v>278</v>
      </c>
      <c r="J3" s="3" t="s">
        <v>25</v>
      </c>
    </row>
    <row r="4" customFormat="false" ht="28.35" hidden="false" customHeight="false" outlineLevel="0" collapsed="false">
      <c r="A4" s="4" t="s">
        <v>279</v>
      </c>
      <c r="B4" s="4" t="s">
        <v>26</v>
      </c>
      <c r="C4" s="4" t="s">
        <v>280</v>
      </c>
      <c r="D4" s="10" t="n">
        <v>40</v>
      </c>
      <c r="E4" s="10" t="n">
        <v>40</v>
      </c>
      <c r="F4" s="4" t="s">
        <v>35</v>
      </c>
      <c r="G4" s="4" t="s">
        <v>281</v>
      </c>
      <c r="H4" s="4" t="str">
        <f aca="false">IF(ISNUMBER(E4),IF(E4&gt;=20,"FLAG &gt;=20","&lt;20"),"n/d")</f>
        <v>FLAG &gt;=20</v>
      </c>
      <c r="I4" s="4" t="s">
        <v>282</v>
      </c>
      <c r="J4" s="4" t="s">
        <v>283</v>
      </c>
    </row>
    <row r="5" customFormat="false" ht="28.35" hidden="false" customHeight="false" outlineLevel="0" collapsed="false">
      <c r="A5" s="4" t="s">
        <v>284</v>
      </c>
      <c r="B5" s="4" t="s">
        <v>26</v>
      </c>
      <c r="C5" s="4" t="s">
        <v>285</v>
      </c>
      <c r="D5" s="10" t="n">
        <v>1.4</v>
      </c>
      <c r="E5" s="10" t="n">
        <v>1.4</v>
      </c>
      <c r="F5" s="4" t="s">
        <v>171</v>
      </c>
      <c r="G5" s="4" t="s">
        <v>286</v>
      </c>
      <c r="H5" s="4" t="str">
        <f aca="false">IF(ISNUMBER(E5),IF(E5&gt;=20,"FLAG &gt;=20","&lt;20"),"n/d")</f>
        <v>&lt;20</v>
      </c>
      <c r="I5" s="4"/>
      <c r="J5" s="4" t="s">
        <v>287</v>
      </c>
    </row>
    <row r="6" customFormat="false" ht="28.35" hidden="false" customHeight="false" outlineLevel="0" collapsed="false">
      <c r="A6" s="4" t="s">
        <v>288</v>
      </c>
      <c r="B6" s="4" t="s">
        <v>40</v>
      </c>
      <c r="C6" s="4" t="s">
        <v>289</v>
      </c>
      <c r="D6" s="10" t="n">
        <v>20</v>
      </c>
      <c r="E6" s="10" t="n">
        <v>20</v>
      </c>
      <c r="F6" s="4" t="s">
        <v>35</v>
      </c>
      <c r="G6" s="4" t="s">
        <v>290</v>
      </c>
      <c r="H6" s="4" t="str">
        <f aca="false">IF(ISNUMBER(E6),IF(E6&gt;=20,"FLAG &gt;=20","&lt;20"),"n/d")</f>
        <v>FLAG &gt;=20</v>
      </c>
      <c r="I6" s="4" t="s">
        <v>291</v>
      </c>
      <c r="J6" s="4" t="s">
        <v>292</v>
      </c>
    </row>
    <row r="7" customFormat="false" ht="15" hidden="false" customHeight="false" outlineLevel="0" collapsed="false">
      <c r="A7" s="4" t="s">
        <v>293</v>
      </c>
      <c r="B7" s="4" t="s">
        <v>40</v>
      </c>
      <c r="C7" s="4" t="s">
        <v>294</v>
      </c>
      <c r="D7" s="10" t="n">
        <v>25</v>
      </c>
      <c r="E7" s="10" t="n">
        <v>25</v>
      </c>
      <c r="F7" s="4" t="s">
        <v>35</v>
      </c>
      <c r="G7" s="4" t="s">
        <v>295</v>
      </c>
      <c r="H7" s="4" t="str">
        <f aca="false">IF(ISNUMBER(E7),IF(E7&gt;=20,"FLAG &gt;=20","&lt;20"),"n/d")</f>
        <v>FLAG &gt;=20</v>
      </c>
      <c r="I7" s="4" t="s">
        <v>296</v>
      </c>
      <c r="J7" s="4" t="s">
        <v>292</v>
      </c>
    </row>
    <row r="8" customFormat="false" ht="41.75" hidden="false" customHeight="false" outlineLevel="0" collapsed="false">
      <c r="A8" s="4" t="s">
        <v>297</v>
      </c>
      <c r="B8" s="4" t="s">
        <v>84</v>
      </c>
      <c r="C8" s="4" t="s">
        <v>298</v>
      </c>
      <c r="D8" s="10" t="n">
        <f aca="false">140000/6000</f>
        <v>23.3333333333333</v>
      </c>
      <c r="E8" s="10" t="n">
        <f aca="false">D8</f>
        <v>23.3333333333333</v>
      </c>
      <c r="F8" s="4" t="s">
        <v>171</v>
      </c>
      <c r="G8" s="4" t="s">
        <v>299</v>
      </c>
      <c r="H8" s="4" t="str">
        <f aca="false">IF(ISNUMBER(E8),IF(E8&gt;=20,"FLAG &gt;=20","&lt;20"),"n/d")</f>
        <v>FLAG &gt;=20</v>
      </c>
      <c r="I8" s="4" t="s">
        <v>300</v>
      </c>
      <c r="J8" s="4" t="s">
        <v>301</v>
      </c>
    </row>
    <row r="9" customFormat="false" ht="28.35" hidden="false" customHeight="false" outlineLevel="0" collapsed="false">
      <c r="A9" s="4" t="s">
        <v>302</v>
      </c>
      <c r="B9" s="4" t="s">
        <v>106</v>
      </c>
      <c r="C9" s="4" t="s">
        <v>303</v>
      </c>
      <c r="D9" s="10" t="n">
        <v>20</v>
      </c>
      <c r="E9" s="10" t="n">
        <v>25</v>
      </c>
      <c r="F9" s="4" t="s">
        <v>35</v>
      </c>
      <c r="G9" s="4" t="s">
        <v>304</v>
      </c>
      <c r="H9" s="4" t="str">
        <f aca="false">IF(ISNUMBER(E9),IF(E9&gt;=20,"FLAG &gt;=20","&lt;20"),"n/d")</f>
        <v>FLAG &gt;=20</v>
      </c>
      <c r="I9" s="4" t="s">
        <v>305</v>
      </c>
      <c r="J9" s="4" t="s">
        <v>306</v>
      </c>
    </row>
    <row r="10" customFormat="false" ht="55.2" hidden="false" customHeight="false" outlineLevel="0" collapsed="false">
      <c r="A10" s="4" t="s">
        <v>307</v>
      </c>
      <c r="B10" s="4" t="s">
        <v>106</v>
      </c>
      <c r="C10" s="4" t="s">
        <v>308</v>
      </c>
      <c r="D10" s="10" t="n">
        <v>40</v>
      </c>
      <c r="E10" s="10" t="n">
        <v>50</v>
      </c>
      <c r="F10" s="4" t="s">
        <v>35</v>
      </c>
      <c r="G10" s="4" t="s">
        <v>309</v>
      </c>
      <c r="H10" s="4" t="str">
        <f aca="false">IF(ISNUMBER(E10),IF(E10&gt;=20,"FLAG &gt;=20","&lt;20"),"n/d")</f>
        <v>FLAG &gt;=20</v>
      </c>
      <c r="I10" s="4" t="s">
        <v>310</v>
      </c>
      <c r="J10" s="4" t="s">
        <v>311</v>
      </c>
    </row>
    <row r="11" customFormat="false" ht="15" hidden="false" customHeight="false" outlineLevel="0" collapsed="false">
      <c r="A11" s="4" t="s">
        <v>312</v>
      </c>
      <c r="B11" s="4" t="s">
        <v>106</v>
      </c>
      <c r="C11" s="4" t="s">
        <v>313</v>
      </c>
      <c r="D11" s="10" t="n">
        <v>12</v>
      </c>
      <c r="E11" s="10" t="n">
        <v>12</v>
      </c>
      <c r="F11" s="4" t="s">
        <v>35</v>
      </c>
      <c r="G11" s="4" t="s">
        <v>309</v>
      </c>
      <c r="H11" s="4" t="str">
        <f aca="false">IF(ISNUMBER(E11),IF(E11&gt;=20,"FLAG &gt;=20","&lt;20"),"n/d")</f>
        <v>&lt;20</v>
      </c>
      <c r="I11" s="4"/>
      <c r="J11" s="4" t="s">
        <v>306</v>
      </c>
    </row>
  </sheetData>
  <conditionalFormatting sqref="D4:E11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8" t="s">
        <v>314</v>
      </c>
    </row>
    <row r="3" customFormat="false" ht="15" hidden="false" customHeight="false" outlineLevel="0" collapsed="false">
      <c r="A3" s="3" t="s">
        <v>315</v>
      </c>
      <c r="B3" s="3" t="s">
        <v>316</v>
      </c>
      <c r="C3" s="3" t="s">
        <v>317</v>
      </c>
      <c r="D3" s="3" t="s">
        <v>318</v>
      </c>
      <c r="E3" s="3" t="s">
        <v>277</v>
      </c>
      <c r="F3" s="3" t="s">
        <v>319</v>
      </c>
    </row>
    <row r="4" customFormat="false" ht="15" hidden="false" customHeight="false" outlineLevel="0" collapsed="false">
      <c r="A4" s="11" t="s">
        <v>320</v>
      </c>
      <c r="B4" s="11" t="s">
        <v>321</v>
      </c>
      <c r="C4" s="11" t="n">
        <v>2643.77364301215</v>
      </c>
      <c r="D4" s="11" t="s">
        <v>322</v>
      </c>
      <c r="E4" s="11" t="s">
        <v>171</v>
      </c>
      <c r="F4" s="11" t="s">
        <v>323</v>
      </c>
    </row>
    <row r="5" customFormat="false" ht="15" hidden="false" customHeight="false" outlineLevel="0" collapsed="false">
      <c r="A5" s="11" t="s">
        <v>324</v>
      </c>
      <c r="B5" s="11" t="s">
        <v>325</v>
      </c>
      <c r="C5" s="11" t="n">
        <v>182.329216759459</v>
      </c>
      <c r="D5" s="11" t="s">
        <v>326</v>
      </c>
      <c r="E5" s="11" t="s">
        <v>171</v>
      </c>
      <c r="F5" s="11" t="s">
        <v>327</v>
      </c>
    </row>
    <row r="6" customFormat="false" ht="15" hidden="false" customHeight="false" outlineLevel="0" collapsed="false">
      <c r="A6" s="11" t="s">
        <v>328</v>
      </c>
      <c r="B6" s="11" t="s">
        <v>329</v>
      </c>
      <c r="C6" s="11" t="n">
        <v>12300</v>
      </c>
      <c r="D6" s="11" t="s">
        <v>322</v>
      </c>
      <c r="E6" s="11" t="s">
        <v>261</v>
      </c>
      <c r="F6" s="11" t="s">
        <v>330</v>
      </c>
    </row>
    <row r="7" customFormat="false" ht="15" hidden="false" customHeight="false" outlineLevel="0" collapsed="false">
      <c r="A7" s="11" t="s">
        <v>331</v>
      </c>
      <c r="B7" s="11" t="s">
        <v>332</v>
      </c>
      <c r="C7" s="11" t="n">
        <v>531.840979259459</v>
      </c>
      <c r="D7" s="11" t="s">
        <v>326</v>
      </c>
      <c r="E7" s="11" t="s">
        <v>171</v>
      </c>
      <c r="F7" s="11" t="s">
        <v>333</v>
      </c>
    </row>
    <row r="8" customFormat="false" ht="15" hidden="false" customHeight="false" outlineLevel="0" collapsed="false">
      <c r="A8" s="11" t="s">
        <v>334</v>
      </c>
      <c r="B8" s="11" t="s">
        <v>335</v>
      </c>
      <c r="C8" s="11" t="n">
        <v>659.157004259459</v>
      </c>
      <c r="D8" s="11" t="s">
        <v>326</v>
      </c>
      <c r="E8" s="11" t="s">
        <v>171</v>
      </c>
      <c r="F8" s="11" t="s">
        <v>336</v>
      </c>
    </row>
    <row r="9" customFormat="false" ht="15" hidden="false" customHeight="false" outlineLevel="0" collapsed="false">
      <c r="A9" s="11" t="s">
        <v>337</v>
      </c>
      <c r="B9" s="11" t="s">
        <v>338</v>
      </c>
      <c r="C9" s="11" t="n">
        <v>257.7</v>
      </c>
      <c r="D9" s="11" t="s">
        <v>326</v>
      </c>
      <c r="E9" s="11" t="s">
        <v>171</v>
      </c>
      <c r="F9" s="11" t="s">
        <v>339</v>
      </c>
    </row>
    <row r="10" customFormat="false" ht="15" hidden="false" customHeight="false" outlineLevel="0" collapsed="false">
      <c r="A10" s="11" t="s">
        <v>340</v>
      </c>
      <c r="B10" s="11" t="s">
        <v>341</v>
      </c>
      <c r="C10" s="11" t="n">
        <v>284.2</v>
      </c>
      <c r="D10" s="11" t="s">
        <v>326</v>
      </c>
      <c r="E10" s="11" t="s">
        <v>171</v>
      </c>
      <c r="F10" s="11" t="s">
        <v>342</v>
      </c>
    </row>
    <row r="11" customFormat="false" ht="15" hidden="false" customHeight="false" outlineLevel="0" collapsed="false">
      <c r="A11" s="11" t="s">
        <v>343</v>
      </c>
      <c r="B11" s="11" t="s">
        <v>344</v>
      </c>
      <c r="C11" s="11" t="n">
        <v>7000</v>
      </c>
      <c r="D11" s="11" t="s">
        <v>322</v>
      </c>
      <c r="E11" s="11" t="s">
        <v>35</v>
      </c>
      <c r="F11" s="11" t="s">
        <v>345</v>
      </c>
    </row>
    <row r="12" customFormat="false" ht="15" hidden="false" customHeight="false" outlineLevel="0" collapsed="false">
      <c r="A12" s="11" t="s">
        <v>346</v>
      </c>
      <c r="B12" s="11" t="s">
        <v>347</v>
      </c>
      <c r="C12" s="11" t="n">
        <v>9000</v>
      </c>
      <c r="D12" s="11" t="s">
        <v>322</v>
      </c>
      <c r="E12" s="11" t="s">
        <v>35</v>
      </c>
      <c r="F12" s="11" t="s">
        <v>345</v>
      </c>
    </row>
    <row r="13" customFormat="false" ht="15" hidden="false" customHeight="false" outlineLevel="0" collapsed="false">
      <c r="A13" s="11" t="s">
        <v>348</v>
      </c>
      <c r="B13" s="11" t="s">
        <v>349</v>
      </c>
      <c r="C13" s="11" t="n">
        <v>181.5</v>
      </c>
      <c r="D13" s="11" t="s">
        <v>350</v>
      </c>
      <c r="E13" s="11" t="s">
        <v>261</v>
      </c>
      <c r="F13" s="11" t="s">
        <v>351</v>
      </c>
    </row>
    <row r="14" customFormat="false" ht="15" hidden="false" customHeight="false" outlineLevel="0" collapsed="false">
      <c r="A14" s="11" t="s">
        <v>352</v>
      </c>
      <c r="B14" s="11" t="s">
        <v>353</v>
      </c>
      <c r="C14" s="11" t="n">
        <v>193</v>
      </c>
      <c r="D14" s="11" t="s">
        <v>350</v>
      </c>
      <c r="E14" s="11" t="s">
        <v>261</v>
      </c>
      <c r="F14" s="11" t="s">
        <v>354</v>
      </c>
    </row>
    <row r="15" customFormat="false" ht="15" hidden="false" customHeight="false" outlineLevel="0" collapsed="false">
      <c r="A15" s="11" t="s">
        <v>355</v>
      </c>
      <c r="B15" s="11" t="s">
        <v>356</v>
      </c>
      <c r="C15" s="11" t="n">
        <v>3500</v>
      </c>
      <c r="D15" s="11" t="s">
        <v>350</v>
      </c>
      <c r="E15" s="11" t="s">
        <v>35</v>
      </c>
      <c r="F15" s="11" t="s">
        <v>357</v>
      </c>
    </row>
    <row r="17" customFormat="false" ht="15" hidden="false" customHeight="false" outlineLevel="0" collapsed="false">
      <c r="A17" s="7" t="s">
        <v>358</v>
      </c>
    </row>
    <row r="18" customFormat="false" ht="28.35" hidden="false" customHeight="false" outlineLevel="0" collapsed="false">
      <c r="A18" s="3" t="s">
        <v>315</v>
      </c>
      <c r="B18" s="3" t="s">
        <v>316</v>
      </c>
      <c r="C18" s="3" t="s">
        <v>359</v>
      </c>
      <c r="D18" s="3" t="s">
        <v>318</v>
      </c>
      <c r="E18" s="3" t="s">
        <v>277</v>
      </c>
      <c r="F18" s="3" t="s">
        <v>360</v>
      </c>
      <c r="G18" s="3" t="s">
        <v>148</v>
      </c>
    </row>
    <row r="19" customFormat="false" ht="15" hidden="false" customHeight="false" outlineLevel="0" collapsed="false">
      <c r="A19" s="11" t="s">
        <v>361</v>
      </c>
      <c r="B19" s="11" t="s">
        <v>362</v>
      </c>
      <c r="C19" s="12" t="n">
        <f aca="false">(C6-C4)/(C7-C5)</f>
        <v>27.627757898385</v>
      </c>
      <c r="D19" s="11" t="s">
        <v>363</v>
      </c>
      <c r="E19" s="11" t="s">
        <v>171</v>
      </c>
      <c r="F19" s="11" t="str">
        <f aca="false">IF(C19&gt;=20,"FLAG &gt;=20","&lt;20")</f>
        <v>FLAG &gt;=20</v>
      </c>
      <c r="G19" s="12" t="n">
        <v>27.627757898385</v>
      </c>
    </row>
    <row r="20" customFormat="false" ht="15" hidden="false" customHeight="false" outlineLevel="0" collapsed="false">
      <c r="A20" s="11" t="s">
        <v>364</v>
      </c>
      <c r="B20" s="11" t="s">
        <v>365</v>
      </c>
      <c r="C20" s="12" t="n">
        <f aca="false">C6/C7</f>
        <v>23.1272137343133</v>
      </c>
      <c r="D20" s="11" t="s">
        <v>363</v>
      </c>
      <c r="E20" s="11" t="s">
        <v>171</v>
      </c>
      <c r="F20" s="11" t="str">
        <f aca="false">IF(C20&gt;=20,"FLAG &gt;=20","&lt;20")</f>
        <v>FLAG &gt;=20</v>
      </c>
      <c r="G20" s="12" t="n">
        <v>23.1272137343133</v>
      </c>
    </row>
    <row r="21" customFormat="false" ht="15" hidden="false" customHeight="false" outlineLevel="0" collapsed="false">
      <c r="A21" s="11" t="s">
        <v>366</v>
      </c>
      <c r="B21" s="11" t="s">
        <v>367</v>
      </c>
      <c r="C21" s="12" t="n">
        <f aca="false">(C6-C4)/(C8-C5)</f>
        <v>20.2509723848421</v>
      </c>
      <c r="D21" s="11" t="s">
        <v>363</v>
      </c>
      <c r="E21" s="11" t="s">
        <v>171</v>
      </c>
      <c r="F21" s="11" t="str">
        <f aca="false">IF(C21&gt;=20,"FLAG &gt;=20","&lt;20")</f>
        <v>FLAG &gt;=20</v>
      </c>
      <c r="G21" s="12" t="n">
        <v>20.2509723848421</v>
      </c>
    </row>
    <row r="22" customFormat="false" ht="15" hidden="false" customHeight="false" outlineLevel="0" collapsed="false">
      <c r="A22" s="11" t="s">
        <v>368</v>
      </c>
      <c r="B22" s="11" t="s">
        <v>369</v>
      </c>
      <c r="C22" s="12" t="n">
        <f aca="false">C6/C8</f>
        <v>18.6601976775148</v>
      </c>
      <c r="D22" s="11" t="s">
        <v>363</v>
      </c>
      <c r="E22" s="11" t="s">
        <v>171</v>
      </c>
      <c r="F22" s="11" t="str">
        <f aca="false">IF(C22&gt;=20,"FLAG &gt;=20","&lt;20")</f>
        <v>&lt;20</v>
      </c>
      <c r="G22" s="12" t="n">
        <v>18.6601976775149</v>
      </c>
    </row>
    <row r="23" customFormat="false" ht="15" hidden="false" customHeight="false" outlineLevel="0" collapsed="false">
      <c r="A23" s="11" t="s">
        <v>370</v>
      </c>
      <c r="B23" s="11" t="s">
        <v>371</v>
      </c>
      <c r="C23" s="12" t="n">
        <f aca="false">C11/C9</f>
        <v>27.163368257664</v>
      </c>
      <c r="D23" s="11" t="s">
        <v>363</v>
      </c>
      <c r="E23" s="11" t="s">
        <v>171</v>
      </c>
      <c r="F23" s="11" t="str">
        <f aca="false">IF(C23&gt;=20,"FLAG &gt;=20","&lt;20")</f>
        <v>FLAG &gt;=20</v>
      </c>
      <c r="G23" s="12" t="n">
        <v>27.163368257664</v>
      </c>
    </row>
    <row r="24" customFormat="false" ht="15" hidden="false" customHeight="false" outlineLevel="0" collapsed="false">
      <c r="A24" s="11" t="s">
        <v>372</v>
      </c>
      <c r="B24" s="11" t="s">
        <v>373</v>
      </c>
      <c r="C24" s="12" t="n">
        <f aca="false">C12/C10</f>
        <v>31.667839549613</v>
      </c>
      <c r="D24" s="11" t="s">
        <v>363</v>
      </c>
      <c r="E24" s="11" t="s">
        <v>171</v>
      </c>
      <c r="F24" s="11" t="str">
        <f aca="false">IF(C24&gt;=20,"FLAG &gt;=20","&lt;20")</f>
        <v>FLAG &gt;=20</v>
      </c>
      <c r="G24" s="12" t="n">
        <v>31.667839549613</v>
      </c>
    </row>
    <row r="26" customFormat="false" ht="15" hidden="false" customHeight="false" outlineLevel="0" collapsed="false">
      <c r="A26" s="0" t="s">
        <v>374</v>
      </c>
    </row>
    <row r="28" customFormat="false" ht="15" hidden="false" customHeight="false" outlineLevel="0" collapsed="false">
      <c r="A28" s="7" t="s">
        <v>375</v>
      </c>
    </row>
    <row r="29" customFormat="false" ht="28.35" hidden="false" customHeight="false" outlineLevel="0" collapsed="false">
      <c r="A29" s="3" t="s">
        <v>315</v>
      </c>
      <c r="B29" s="3" t="s">
        <v>316</v>
      </c>
      <c r="C29" s="3" t="s">
        <v>376</v>
      </c>
      <c r="D29" s="3" t="s">
        <v>377</v>
      </c>
      <c r="E29" s="3" t="s">
        <v>378</v>
      </c>
      <c r="F29" s="3" t="s">
        <v>379</v>
      </c>
      <c r="G29" s="3" t="s">
        <v>380</v>
      </c>
    </row>
    <row r="30" customFormat="false" ht="28.35" hidden="false" customHeight="false" outlineLevel="0" collapsed="false">
      <c r="A30" s="4" t="s">
        <v>381</v>
      </c>
      <c r="B30" s="4" t="s">
        <v>382</v>
      </c>
      <c r="C30" s="13" t="n">
        <v>27.627757898385</v>
      </c>
      <c r="D30" s="4" t="s">
        <v>383</v>
      </c>
      <c r="E30" s="4" t="n">
        <v>27.6</v>
      </c>
      <c r="F30" s="13" t="n">
        <f aca="false">C30-E30</f>
        <v>0.0277578983849978</v>
      </c>
      <c r="G30" s="4" t="s">
        <v>384</v>
      </c>
    </row>
    <row r="31" customFormat="false" ht="28.35" hidden="false" customHeight="false" outlineLevel="0" collapsed="false">
      <c r="A31" s="4" t="s">
        <v>385</v>
      </c>
      <c r="B31" s="4" t="s">
        <v>386</v>
      </c>
      <c r="C31" s="13" t="n">
        <v>24.5120139678627</v>
      </c>
      <c r="D31" s="4" t="s">
        <v>387</v>
      </c>
      <c r="E31" s="4" t="n">
        <v>24.51</v>
      </c>
      <c r="F31" s="13" t="n">
        <f aca="false">C31-E31</f>
        <v>0.00201396786269825</v>
      </c>
      <c r="G31" s="4" t="s">
        <v>388</v>
      </c>
    </row>
    <row r="32" customFormat="false" ht="15" hidden="false" customHeight="false" outlineLevel="0" collapsed="false">
      <c r="A32" s="4" t="s">
        <v>389</v>
      </c>
      <c r="B32" s="4" t="s">
        <v>390</v>
      </c>
      <c r="C32" s="13" t="n">
        <v>22.68</v>
      </c>
      <c r="D32" s="4" t="s">
        <v>391</v>
      </c>
      <c r="E32" s="4" t="n">
        <v>22.68</v>
      </c>
      <c r="F32" s="13" t="n">
        <f aca="false">C32-E32</f>
        <v>0</v>
      </c>
      <c r="G32" s="4" t="s">
        <v>392</v>
      </c>
    </row>
    <row r="33" customFormat="false" ht="15" hidden="false" customHeight="false" outlineLevel="0" collapsed="false">
      <c r="A33" s="4" t="s">
        <v>393</v>
      </c>
      <c r="B33" s="4" t="s">
        <v>394</v>
      </c>
      <c r="C33" s="13" t="n">
        <v>17.0464</v>
      </c>
      <c r="D33" s="4" t="s">
        <v>395</v>
      </c>
      <c r="E33" s="4" t="n">
        <v>17.05</v>
      </c>
      <c r="F33" s="13" t="n">
        <f aca="false">C33-E33</f>
        <v>-0.00360000000000227</v>
      </c>
      <c r="G33" s="4" t="s">
        <v>396</v>
      </c>
    </row>
    <row r="34" customFormat="false" ht="15" hidden="false" customHeight="false" outlineLevel="0" collapsed="false">
      <c r="A34" s="4" t="s">
        <v>397</v>
      </c>
      <c r="B34" s="4" t="s">
        <v>398</v>
      </c>
      <c r="C34" s="13" t="n">
        <v>16.7008</v>
      </c>
      <c r="D34" s="4" t="s">
        <v>399</v>
      </c>
      <c r="E34" s="4" t="n">
        <v>16.7</v>
      </c>
      <c r="F34" s="13" t="n">
        <f aca="false">C34-E34</f>
        <v>0.000800000000001688</v>
      </c>
      <c r="G34" s="4" t="s">
        <v>400</v>
      </c>
    </row>
    <row r="35" customFormat="false" ht="28.35" hidden="false" customHeight="false" outlineLevel="0" collapsed="false">
      <c r="A35" s="4" t="s">
        <v>401</v>
      </c>
      <c r="B35" s="4" t="s">
        <v>402</v>
      </c>
      <c r="C35" s="13" t="n">
        <v>23.1272137343133</v>
      </c>
      <c r="D35" s="4" t="s">
        <v>403</v>
      </c>
      <c r="E35" s="4" t="n">
        <v>23.13</v>
      </c>
      <c r="F35" s="13" t="n">
        <f aca="false">C35-E35</f>
        <v>-0.00278626568669793</v>
      </c>
      <c r="G35" s="4" t="s">
        <v>404</v>
      </c>
    </row>
  </sheetData>
  <conditionalFormatting sqref="C19:C24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405</v>
      </c>
    </row>
    <row r="3" customFormat="false" ht="28.35" hidden="false" customHeight="false" outlineLevel="0" collapsed="false">
      <c r="A3" s="3" t="s">
        <v>134</v>
      </c>
      <c r="B3" s="3" t="s">
        <v>406</v>
      </c>
      <c r="C3" s="3" t="s">
        <v>407</v>
      </c>
      <c r="D3" s="3" t="s">
        <v>277</v>
      </c>
    </row>
    <row r="4" customFormat="false" ht="15" hidden="false" customHeight="false" outlineLevel="0" collapsed="false">
      <c r="A4" s="0" t="s">
        <v>168</v>
      </c>
      <c r="B4" s="0" t="s">
        <v>408</v>
      </c>
      <c r="C4" s="14" t="n">
        <v>9.7</v>
      </c>
      <c r="D4" s="0" t="s">
        <v>409</v>
      </c>
    </row>
    <row r="5" customFormat="false" ht="15" hidden="false" customHeight="false" outlineLevel="0" collapsed="false">
      <c r="A5" s="0" t="s">
        <v>175</v>
      </c>
      <c r="B5" s="0" t="s">
        <v>410</v>
      </c>
      <c r="C5" s="14" t="n">
        <v>11.3333333333333</v>
      </c>
      <c r="D5" s="0" t="s">
        <v>409</v>
      </c>
    </row>
    <row r="6" customFormat="false" ht="15" hidden="false" customHeight="false" outlineLevel="0" collapsed="false">
      <c r="A6" s="0" t="s">
        <v>203</v>
      </c>
      <c r="B6" s="0" t="s">
        <v>411</v>
      </c>
      <c r="C6" s="14" t="n">
        <v>13.3511877527543</v>
      </c>
      <c r="D6" s="0" t="s">
        <v>412</v>
      </c>
    </row>
    <row r="7" customFormat="false" ht="15" hidden="false" customHeight="false" outlineLevel="0" collapsed="false">
      <c r="A7" s="0" t="s">
        <v>198</v>
      </c>
      <c r="B7" s="0" t="s">
        <v>413</v>
      </c>
      <c r="C7" s="14" t="n">
        <v>16.1594202898551</v>
      </c>
      <c r="D7" s="0" t="s">
        <v>412</v>
      </c>
    </row>
    <row r="8" customFormat="false" ht="15" hidden="false" customHeight="false" outlineLevel="0" collapsed="false">
      <c r="A8" s="0" t="s">
        <v>212</v>
      </c>
      <c r="B8" s="0" t="s">
        <v>414</v>
      </c>
      <c r="C8" s="14" t="n">
        <v>16.6666666666667</v>
      </c>
      <c r="D8" s="0" t="s">
        <v>54</v>
      </c>
    </row>
    <row r="9" customFormat="false" ht="15" hidden="false" customHeight="false" outlineLevel="0" collapsed="false">
      <c r="A9" s="0" t="s">
        <v>180</v>
      </c>
      <c r="B9" s="0" t="s">
        <v>415</v>
      </c>
      <c r="C9" s="14" t="n">
        <v>16</v>
      </c>
      <c r="D9" s="0" t="s">
        <v>54</v>
      </c>
    </row>
    <row r="11" customFormat="false" ht="15" hidden="false" customHeight="false" outlineLevel="0" collapsed="false">
      <c r="B11" s="0" t="s">
        <v>416</v>
      </c>
      <c r="C11" s="14" t="n">
        <f aca="false">MIN(C4:C9)</f>
        <v>9.7</v>
      </c>
    </row>
    <row r="12" customFormat="false" ht="15" hidden="false" customHeight="false" outlineLevel="0" collapsed="false">
      <c r="B12" s="0" t="s">
        <v>417</v>
      </c>
      <c r="C12" s="14" t="n">
        <f aca="false">MAX(C4:C9)</f>
        <v>16.6666666666667</v>
      </c>
    </row>
    <row r="14" customFormat="false" ht="15" hidden="false" customHeight="false" outlineLevel="0" collapsed="false">
      <c r="A14" s="7" t="s">
        <v>418</v>
      </c>
    </row>
    <row r="15" customFormat="false" ht="28.35" hidden="false" customHeight="false" outlineLevel="0" collapsed="false">
      <c r="A15" s="3" t="s">
        <v>419</v>
      </c>
      <c r="B15" s="3" t="s">
        <v>274</v>
      </c>
      <c r="C15" s="3" t="s">
        <v>420</v>
      </c>
      <c r="D15" s="3" t="s">
        <v>277</v>
      </c>
    </row>
    <row r="16" customFormat="false" ht="15" hidden="false" customHeight="false" outlineLevel="0" collapsed="false">
      <c r="A16" s="0" t="n">
        <v>1</v>
      </c>
      <c r="B16" s="0" t="s">
        <v>421</v>
      </c>
      <c r="C16" s="14" t="n">
        <v>9.7</v>
      </c>
      <c r="D16" s="0" t="s">
        <v>422</v>
      </c>
    </row>
    <row r="17" customFormat="false" ht="15" hidden="false" customHeight="false" outlineLevel="0" collapsed="false">
      <c r="A17" s="0" t="n">
        <v>2</v>
      </c>
      <c r="B17" s="0" t="s">
        <v>423</v>
      </c>
      <c r="C17" s="14" t="n">
        <v>11.71</v>
      </c>
      <c r="D17" s="0" t="s">
        <v>171</v>
      </c>
    </row>
    <row r="18" customFormat="false" ht="15" hidden="false" customHeight="false" outlineLevel="0" collapsed="false">
      <c r="A18" s="0" t="n">
        <v>3</v>
      </c>
      <c r="B18" s="0" t="s">
        <v>424</v>
      </c>
      <c r="C18" s="14" t="n">
        <v>11.52</v>
      </c>
      <c r="D18" s="0" t="s">
        <v>261</v>
      </c>
    </row>
    <row r="19" customFormat="false" ht="15" hidden="false" customHeight="false" outlineLevel="0" collapsed="false">
      <c r="A19" s="0" t="n">
        <v>4</v>
      </c>
      <c r="B19" s="0" t="s">
        <v>425</v>
      </c>
      <c r="C19" s="14" t="n">
        <v>13.35</v>
      </c>
      <c r="D19" s="0" t="s">
        <v>171</v>
      </c>
    </row>
    <row r="20" customFormat="false" ht="15" hidden="false" customHeight="false" outlineLevel="0" collapsed="false">
      <c r="A20" s="0" t="n">
        <v>5</v>
      </c>
      <c r="B20" s="0" t="s">
        <v>426</v>
      </c>
      <c r="C20" s="14" t="n">
        <v>14.49</v>
      </c>
      <c r="D20" s="0" t="s">
        <v>427</v>
      </c>
    </row>
    <row r="21" customFormat="false" ht="15" hidden="false" customHeight="false" outlineLevel="0" collapsed="false">
      <c r="A21" s="0" t="n">
        <v>6</v>
      </c>
      <c r="B21" s="0" t="s">
        <v>428</v>
      </c>
      <c r="C21" s="14" t="n">
        <v>16</v>
      </c>
      <c r="D21" s="0" t="s">
        <v>261</v>
      </c>
    </row>
    <row r="22" customFormat="false" ht="15" hidden="false" customHeight="false" outlineLevel="0" collapsed="false">
      <c r="A22" s="0" t="n">
        <v>7</v>
      </c>
      <c r="B22" s="0" t="s">
        <v>429</v>
      </c>
      <c r="C22" s="14" t="n">
        <v>16.16</v>
      </c>
      <c r="D22" s="0" t="s">
        <v>422</v>
      </c>
    </row>
    <row r="23" customFormat="false" ht="15" hidden="false" customHeight="false" outlineLevel="0" collapsed="false">
      <c r="A23" s="0" t="n">
        <v>8</v>
      </c>
      <c r="B23" s="0" t="s">
        <v>430</v>
      </c>
      <c r="C23" s="14" t="n">
        <v>16.67</v>
      </c>
      <c r="D23" s="0" t="s">
        <v>431</v>
      </c>
    </row>
    <row r="24" customFormat="false" ht="15" hidden="false" customHeight="false" outlineLevel="0" collapsed="false">
      <c r="B24" s="0" t="s">
        <v>432</v>
      </c>
      <c r="C24" s="14" t="n">
        <f aca="false">MIN(C16:C23)</f>
        <v>9.7</v>
      </c>
    </row>
    <row r="25" customFormat="false" ht="15" hidden="false" customHeight="false" outlineLevel="0" collapsed="false">
      <c r="B25" s="0" t="s">
        <v>433</v>
      </c>
      <c r="C25" s="14" t="n">
        <f aca="false">MAX(C16:C23)</f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9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5" t="s">
        <v>434</v>
      </c>
    </row>
    <row r="3" customFormat="false" ht="28.35" hidden="false" customHeight="false" outlineLevel="0" collapsed="false">
      <c r="A3" s="3" t="s">
        <v>12</v>
      </c>
      <c r="B3" s="3" t="s">
        <v>274</v>
      </c>
      <c r="C3" s="3" t="s">
        <v>435</v>
      </c>
      <c r="D3" s="3" t="s">
        <v>277</v>
      </c>
      <c r="E3" s="3" t="s">
        <v>436</v>
      </c>
      <c r="F3" s="3" t="s">
        <v>437</v>
      </c>
      <c r="G3" s="3" t="s">
        <v>25</v>
      </c>
    </row>
    <row r="4" customFormat="false" ht="28.35" hidden="false" customHeight="false" outlineLevel="0" collapsed="false">
      <c r="A4" s="4" t="s">
        <v>26</v>
      </c>
      <c r="B4" s="4" t="s">
        <v>438</v>
      </c>
      <c r="C4" s="6" t="s">
        <v>439</v>
      </c>
      <c r="D4" s="4" t="s">
        <v>35</v>
      </c>
      <c r="E4" s="4" t="s">
        <v>440</v>
      </c>
      <c r="F4" s="4" t="s">
        <v>282</v>
      </c>
      <c r="G4" s="4" t="s">
        <v>283</v>
      </c>
    </row>
    <row r="5" customFormat="false" ht="28.35" hidden="false" customHeight="false" outlineLevel="0" collapsed="false">
      <c r="A5" s="4" t="s">
        <v>40</v>
      </c>
      <c r="B5" s="4" t="s">
        <v>441</v>
      </c>
      <c r="C5" s="6" t="s">
        <v>442</v>
      </c>
      <c r="D5" s="4" t="s">
        <v>35</v>
      </c>
      <c r="E5" s="4" t="s">
        <v>440</v>
      </c>
      <c r="F5" s="4" t="s">
        <v>291</v>
      </c>
      <c r="G5" s="4" t="s">
        <v>292</v>
      </c>
    </row>
    <row r="6" customFormat="false" ht="15" hidden="false" customHeight="false" outlineLevel="0" collapsed="false">
      <c r="A6" s="4" t="s">
        <v>40</v>
      </c>
      <c r="B6" s="4" t="s">
        <v>443</v>
      </c>
      <c r="C6" s="6" t="s">
        <v>444</v>
      </c>
      <c r="D6" s="4" t="s">
        <v>35</v>
      </c>
      <c r="E6" s="4" t="s">
        <v>440</v>
      </c>
      <c r="F6" s="4" t="s">
        <v>296</v>
      </c>
      <c r="G6" s="4" t="s">
        <v>292</v>
      </c>
    </row>
    <row r="7" customFormat="false" ht="28.35" hidden="false" customHeight="false" outlineLevel="0" collapsed="false">
      <c r="A7" s="4" t="s">
        <v>84</v>
      </c>
      <c r="B7" s="4" t="s">
        <v>445</v>
      </c>
      <c r="C7" s="6" t="s">
        <v>446</v>
      </c>
      <c r="D7" s="4" t="s">
        <v>171</v>
      </c>
      <c r="E7" s="4" t="s">
        <v>447</v>
      </c>
      <c r="F7" s="4" t="s">
        <v>300</v>
      </c>
      <c r="G7" s="4" t="s">
        <v>301</v>
      </c>
    </row>
    <row r="8" customFormat="false" ht="28.35" hidden="false" customHeight="false" outlineLevel="0" collapsed="false">
      <c r="A8" s="4" t="s">
        <v>106</v>
      </c>
      <c r="B8" s="4" t="s">
        <v>448</v>
      </c>
      <c r="C8" s="6" t="s">
        <v>449</v>
      </c>
      <c r="D8" s="4" t="s">
        <v>35</v>
      </c>
      <c r="E8" s="4" t="s">
        <v>440</v>
      </c>
      <c r="F8" s="4" t="s">
        <v>305</v>
      </c>
      <c r="G8" s="4" t="s">
        <v>306</v>
      </c>
    </row>
    <row r="9" customFormat="false" ht="55.2" hidden="false" customHeight="false" outlineLevel="0" collapsed="false">
      <c r="A9" s="4" t="s">
        <v>106</v>
      </c>
      <c r="B9" s="4" t="s">
        <v>450</v>
      </c>
      <c r="C9" s="6" t="s">
        <v>451</v>
      </c>
      <c r="D9" s="4" t="s">
        <v>35</v>
      </c>
      <c r="E9" s="4" t="s">
        <v>452</v>
      </c>
      <c r="F9" s="4" t="s">
        <v>310</v>
      </c>
      <c r="G9" s="4" t="s">
        <v>311</v>
      </c>
    </row>
    <row r="10" customFormat="false" ht="41.75" hidden="false" customHeight="false" outlineLevel="0" collapsed="false">
      <c r="A10" s="4" t="s">
        <v>94</v>
      </c>
      <c r="B10" s="4" t="s">
        <v>453</v>
      </c>
      <c r="C10" s="6" t="s">
        <v>454</v>
      </c>
      <c r="D10" s="4" t="s">
        <v>246</v>
      </c>
      <c r="E10" s="4" t="s">
        <v>455</v>
      </c>
      <c r="F10" s="4" t="s">
        <v>456</v>
      </c>
      <c r="G10" s="4" t="s">
        <v>248</v>
      </c>
    </row>
    <row r="11" customFormat="false" ht="28.35" hidden="false" customHeight="false" outlineLevel="0" collapsed="false">
      <c r="A11" s="4" t="s">
        <v>106</v>
      </c>
      <c r="B11" s="4" t="s">
        <v>457</v>
      </c>
      <c r="C11" s="6" t="s">
        <v>458</v>
      </c>
      <c r="D11" s="4" t="s">
        <v>171</v>
      </c>
      <c r="E11" s="4" t="s">
        <v>459</v>
      </c>
      <c r="F11" s="4" t="s">
        <v>460</v>
      </c>
      <c r="G11" s="4" t="s">
        <v>461</v>
      </c>
    </row>
    <row r="12" customFormat="false" ht="28.35" hidden="false" customHeight="false" outlineLevel="0" collapsed="false">
      <c r="A12" s="4" t="s">
        <v>106</v>
      </c>
      <c r="B12" s="4" t="s">
        <v>462</v>
      </c>
      <c r="C12" s="6" t="s">
        <v>463</v>
      </c>
      <c r="D12" s="4" t="s">
        <v>171</v>
      </c>
      <c r="E12" s="4" t="s">
        <v>459</v>
      </c>
      <c r="F12" s="4" t="s">
        <v>464</v>
      </c>
      <c r="G12" s="4" t="s">
        <v>461</v>
      </c>
    </row>
    <row r="13" customFormat="false" ht="15" hidden="false" customHeight="false" outlineLevel="0" collapsed="false">
      <c r="A13" s="4" t="s">
        <v>106</v>
      </c>
      <c r="B13" s="4" t="s">
        <v>465</v>
      </c>
      <c r="C13" s="6" t="s">
        <v>466</v>
      </c>
      <c r="D13" s="4" t="s">
        <v>171</v>
      </c>
      <c r="E13" s="4" t="s">
        <v>459</v>
      </c>
      <c r="F13" s="4" t="s">
        <v>467</v>
      </c>
      <c r="G13" s="4" t="s">
        <v>461</v>
      </c>
    </row>
    <row r="14" customFormat="false" ht="41.75" hidden="false" customHeight="false" outlineLevel="0" collapsed="false">
      <c r="A14" s="4" t="s">
        <v>106</v>
      </c>
      <c r="B14" s="4" t="s">
        <v>468</v>
      </c>
      <c r="C14" s="6" t="s">
        <v>469</v>
      </c>
      <c r="D14" s="4" t="s">
        <v>171</v>
      </c>
      <c r="E14" s="4" t="s">
        <v>470</v>
      </c>
      <c r="F14" s="4" t="s">
        <v>471</v>
      </c>
      <c r="G14" s="4" t="s">
        <v>461</v>
      </c>
    </row>
    <row r="15" customFormat="false" ht="15" hidden="false" customHeight="false" outlineLevel="0" collapsed="false">
      <c r="A15" s="4" t="s">
        <v>106</v>
      </c>
      <c r="B15" s="4" t="s">
        <v>472</v>
      </c>
      <c r="C15" s="6" t="s">
        <v>473</v>
      </c>
      <c r="D15" s="4" t="s">
        <v>171</v>
      </c>
      <c r="E15" s="4" t="s">
        <v>459</v>
      </c>
      <c r="F15" s="4" t="s">
        <v>474</v>
      </c>
      <c r="G15" s="4" t="s">
        <v>475</v>
      </c>
    </row>
    <row r="16" customFormat="false" ht="15" hidden="false" customHeight="false" outlineLevel="0" collapsed="false">
      <c r="A16" s="4" t="s">
        <v>106</v>
      </c>
      <c r="B16" s="4" t="s">
        <v>476</v>
      </c>
      <c r="C16" s="6" t="s">
        <v>477</v>
      </c>
      <c r="D16" s="4" t="s">
        <v>171</v>
      </c>
      <c r="E16" s="4" t="s">
        <v>459</v>
      </c>
      <c r="F16" s="4" t="s">
        <v>478</v>
      </c>
      <c r="G16" s="4" t="s">
        <v>475</v>
      </c>
    </row>
    <row r="17" customFormat="false" ht="15" hidden="false" customHeight="false" outlineLevel="0" collapsed="false">
      <c r="A17" s="4" t="s">
        <v>106</v>
      </c>
      <c r="B17" s="4" t="s">
        <v>479</v>
      </c>
      <c r="C17" s="6" t="s">
        <v>480</v>
      </c>
      <c r="D17" s="4" t="s">
        <v>171</v>
      </c>
      <c r="E17" s="4" t="s">
        <v>459</v>
      </c>
      <c r="F17" s="4" t="s">
        <v>481</v>
      </c>
      <c r="G17" s="4" t="s">
        <v>475</v>
      </c>
    </row>
    <row r="19" customFormat="false" ht="15" hidden="false" customHeight="false" outlineLevel="0" collapsed="false">
      <c r="A19" s="0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0"/>
    <col collapsed="false" customWidth="true" hidden="false" outlineLevel="0" max="3" min="3" style="0" width="9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315</v>
      </c>
      <c r="B1" s="3" t="s">
        <v>483</v>
      </c>
      <c r="C1" s="3" t="s">
        <v>484</v>
      </c>
      <c r="D1" s="3" t="s">
        <v>485</v>
      </c>
    </row>
    <row r="2" customFormat="false" ht="15" hidden="false" customHeight="false" outlineLevel="0" collapsed="false">
      <c r="A2" s="0" t="s">
        <v>154</v>
      </c>
      <c r="B2" s="16" t="s">
        <v>486</v>
      </c>
      <c r="C2" s="0" t="s">
        <v>487</v>
      </c>
      <c r="D2" s="0" t="s">
        <v>488</v>
      </c>
    </row>
    <row r="3" customFormat="false" ht="15" hidden="false" customHeight="false" outlineLevel="0" collapsed="false">
      <c r="A3" s="0" t="s">
        <v>158</v>
      </c>
      <c r="B3" s="16" t="s">
        <v>489</v>
      </c>
      <c r="C3" s="0" t="s">
        <v>487</v>
      </c>
      <c r="D3" s="0" t="s">
        <v>488</v>
      </c>
    </row>
    <row r="4" customFormat="false" ht="15" hidden="false" customHeight="false" outlineLevel="0" collapsed="false">
      <c r="A4" s="0" t="s">
        <v>163</v>
      </c>
      <c r="B4" s="16" t="s">
        <v>490</v>
      </c>
      <c r="C4" s="0" t="s">
        <v>491</v>
      </c>
      <c r="D4" s="0" t="s">
        <v>488</v>
      </c>
    </row>
    <row r="5" customFormat="false" ht="15" hidden="false" customHeight="false" outlineLevel="0" collapsed="false">
      <c r="A5" s="0" t="s">
        <v>167</v>
      </c>
      <c r="B5" s="16" t="s">
        <v>492</v>
      </c>
      <c r="C5" s="0" t="s">
        <v>493</v>
      </c>
      <c r="D5" s="0" t="s">
        <v>488</v>
      </c>
    </row>
    <row r="6" customFormat="false" ht="28.35" hidden="false" customHeight="false" outlineLevel="0" collapsed="false">
      <c r="A6" s="0" t="s">
        <v>283</v>
      </c>
      <c r="B6" s="16" t="s">
        <v>494</v>
      </c>
      <c r="C6" s="0" t="s">
        <v>495</v>
      </c>
      <c r="D6" s="0" t="s">
        <v>488</v>
      </c>
    </row>
    <row r="7" customFormat="false" ht="28.35" hidden="false" customHeight="false" outlineLevel="0" collapsed="false">
      <c r="A7" s="0" t="s">
        <v>496</v>
      </c>
      <c r="B7" s="16" t="s">
        <v>497</v>
      </c>
      <c r="C7" s="0" t="s">
        <v>498</v>
      </c>
      <c r="D7" s="0" t="s">
        <v>488</v>
      </c>
    </row>
    <row r="8" customFormat="false" ht="28.35" hidden="false" customHeight="false" outlineLevel="0" collapsed="false">
      <c r="A8" s="0" t="s">
        <v>287</v>
      </c>
      <c r="B8" s="16" t="s">
        <v>499</v>
      </c>
      <c r="C8" s="0" t="s">
        <v>500</v>
      </c>
      <c r="D8" s="0" t="s">
        <v>488</v>
      </c>
    </row>
    <row r="9" customFormat="false" ht="15" hidden="false" customHeight="false" outlineLevel="0" collapsed="false">
      <c r="A9" s="0" t="s">
        <v>174</v>
      </c>
      <c r="B9" s="16" t="s">
        <v>501</v>
      </c>
      <c r="C9" s="0" t="s">
        <v>502</v>
      </c>
      <c r="D9" s="0" t="s">
        <v>488</v>
      </c>
    </row>
    <row r="10" customFormat="false" ht="15" hidden="false" customHeight="false" outlineLevel="0" collapsed="false">
      <c r="A10" s="0" t="s">
        <v>179</v>
      </c>
      <c r="B10" s="16" t="s">
        <v>503</v>
      </c>
      <c r="C10" s="0" t="s">
        <v>504</v>
      </c>
      <c r="D10" s="0" t="s">
        <v>488</v>
      </c>
    </row>
    <row r="11" customFormat="false" ht="28.35" hidden="false" customHeight="false" outlineLevel="0" collapsed="false">
      <c r="A11" s="0" t="s">
        <v>292</v>
      </c>
      <c r="B11" s="16" t="s">
        <v>505</v>
      </c>
      <c r="C11" s="0" t="s">
        <v>506</v>
      </c>
      <c r="D11" s="0" t="s">
        <v>488</v>
      </c>
    </row>
    <row r="12" customFormat="false" ht="28.35" hidden="false" customHeight="false" outlineLevel="0" collapsed="false">
      <c r="A12" s="0" t="s">
        <v>507</v>
      </c>
      <c r="B12" s="16" t="s">
        <v>508</v>
      </c>
      <c r="C12" s="0" t="s">
        <v>509</v>
      </c>
      <c r="D12" s="0" t="s">
        <v>488</v>
      </c>
    </row>
    <row r="13" customFormat="false" ht="15" hidden="false" customHeight="false" outlineLevel="0" collapsed="false">
      <c r="A13" s="0" t="s">
        <v>185</v>
      </c>
      <c r="B13" s="16" t="s">
        <v>510</v>
      </c>
      <c r="C13" s="0" t="s">
        <v>511</v>
      </c>
      <c r="D13" s="0" t="s">
        <v>488</v>
      </c>
    </row>
    <row r="14" customFormat="false" ht="15" hidden="false" customHeight="false" outlineLevel="0" collapsed="false">
      <c r="A14" s="0" t="s">
        <v>193</v>
      </c>
      <c r="B14" s="16" t="s">
        <v>512</v>
      </c>
      <c r="C14" s="0" t="s">
        <v>513</v>
      </c>
      <c r="D14" s="0" t="s">
        <v>488</v>
      </c>
    </row>
    <row r="15" customFormat="false" ht="15" hidden="false" customHeight="false" outlineLevel="0" collapsed="false">
      <c r="A15" s="0" t="s">
        <v>197</v>
      </c>
      <c r="B15" s="16" t="s">
        <v>514</v>
      </c>
      <c r="C15" s="0" t="s">
        <v>515</v>
      </c>
      <c r="D15" s="0" t="s">
        <v>488</v>
      </c>
    </row>
    <row r="16" customFormat="false" ht="28.35" hidden="false" customHeight="false" outlineLevel="0" collapsed="false">
      <c r="A16" s="0" t="s">
        <v>516</v>
      </c>
      <c r="B16" s="16" t="s">
        <v>517</v>
      </c>
      <c r="C16" s="0" t="s">
        <v>518</v>
      </c>
      <c r="D16" s="0" t="s">
        <v>488</v>
      </c>
    </row>
    <row r="17" customFormat="false" ht="28.35" hidden="false" customHeight="false" outlineLevel="0" collapsed="false">
      <c r="A17" s="0" t="s">
        <v>519</v>
      </c>
      <c r="B17" s="16" t="s">
        <v>520</v>
      </c>
      <c r="C17" s="0" t="s">
        <v>521</v>
      </c>
      <c r="D17" s="0" t="s">
        <v>488</v>
      </c>
    </row>
    <row r="18" customFormat="false" ht="28.35" hidden="false" customHeight="false" outlineLevel="0" collapsed="false">
      <c r="A18" s="0" t="s">
        <v>522</v>
      </c>
      <c r="B18" s="16" t="s">
        <v>523</v>
      </c>
      <c r="C18" s="0" t="s">
        <v>524</v>
      </c>
      <c r="D18" s="0" t="s">
        <v>488</v>
      </c>
    </row>
    <row r="19" customFormat="false" ht="28.35" hidden="false" customHeight="false" outlineLevel="0" collapsed="false">
      <c r="A19" s="0" t="s">
        <v>525</v>
      </c>
      <c r="B19" s="16" t="s">
        <v>526</v>
      </c>
      <c r="C19" s="0" t="s">
        <v>527</v>
      </c>
      <c r="D19" s="0" t="s">
        <v>488</v>
      </c>
    </row>
    <row r="20" customFormat="false" ht="15" hidden="false" customHeight="false" outlineLevel="0" collapsed="false">
      <c r="A20" s="0" t="s">
        <v>211</v>
      </c>
      <c r="B20" s="16" t="s">
        <v>528</v>
      </c>
      <c r="C20" s="0" t="s">
        <v>529</v>
      </c>
      <c r="D20" s="0" t="s">
        <v>488</v>
      </c>
    </row>
    <row r="21" customFormat="false" ht="28.35" hidden="false" customHeight="false" outlineLevel="0" collapsed="false">
      <c r="A21" s="0" t="s">
        <v>530</v>
      </c>
      <c r="B21" s="16" t="s">
        <v>531</v>
      </c>
      <c r="C21" s="0" t="s">
        <v>532</v>
      </c>
      <c r="D21" s="0" t="s">
        <v>488</v>
      </c>
    </row>
    <row r="22" customFormat="false" ht="28.35" hidden="false" customHeight="false" outlineLevel="0" collapsed="false">
      <c r="A22" s="0" t="s">
        <v>216</v>
      </c>
      <c r="B22" s="16" t="s">
        <v>533</v>
      </c>
      <c r="C22" s="0" t="s">
        <v>534</v>
      </c>
      <c r="D22" s="0" t="s">
        <v>488</v>
      </c>
    </row>
    <row r="23" customFormat="false" ht="15" hidden="false" customHeight="false" outlineLevel="0" collapsed="false">
      <c r="A23" s="0" t="s">
        <v>220</v>
      </c>
      <c r="B23" s="16" t="s">
        <v>535</v>
      </c>
      <c r="C23" s="0" t="s">
        <v>536</v>
      </c>
      <c r="D23" s="0" t="s">
        <v>488</v>
      </c>
    </row>
    <row r="24" customFormat="false" ht="15" hidden="false" customHeight="false" outlineLevel="0" collapsed="false">
      <c r="A24" s="0" t="s">
        <v>225</v>
      </c>
      <c r="B24" s="16" t="s">
        <v>537</v>
      </c>
      <c r="C24" s="0" t="s">
        <v>538</v>
      </c>
      <c r="D24" s="0" t="s">
        <v>488</v>
      </c>
    </row>
    <row r="25" customFormat="false" ht="15" hidden="false" customHeight="false" outlineLevel="0" collapsed="false">
      <c r="A25" s="0" t="s">
        <v>539</v>
      </c>
      <c r="B25" s="16" t="s">
        <v>540</v>
      </c>
      <c r="C25" s="0" t="s">
        <v>541</v>
      </c>
      <c r="D25" s="0" t="s">
        <v>488</v>
      </c>
    </row>
    <row r="26" customFormat="false" ht="28.35" hidden="false" customHeight="false" outlineLevel="0" collapsed="false">
      <c r="A26" s="0" t="s">
        <v>542</v>
      </c>
      <c r="B26" s="16" t="s">
        <v>543</v>
      </c>
      <c r="C26" s="0" t="s">
        <v>544</v>
      </c>
      <c r="D26" s="0" t="s">
        <v>488</v>
      </c>
    </row>
    <row r="27" customFormat="false" ht="28.35" hidden="false" customHeight="false" outlineLevel="0" collapsed="false">
      <c r="A27" s="0" t="s">
        <v>545</v>
      </c>
      <c r="B27" s="16" t="s">
        <v>546</v>
      </c>
      <c r="C27" s="0" t="s">
        <v>547</v>
      </c>
      <c r="D27" s="0" t="s">
        <v>488</v>
      </c>
    </row>
    <row r="28" customFormat="false" ht="15" hidden="false" customHeight="false" outlineLevel="0" collapsed="false">
      <c r="A28" s="0" t="s">
        <v>301</v>
      </c>
      <c r="B28" s="16" t="s">
        <v>548</v>
      </c>
      <c r="C28" s="0" t="s">
        <v>549</v>
      </c>
      <c r="D28" s="0" t="s">
        <v>488</v>
      </c>
    </row>
    <row r="29" customFormat="false" ht="28.35" hidden="false" customHeight="false" outlineLevel="0" collapsed="false">
      <c r="A29" s="0" t="s">
        <v>230</v>
      </c>
      <c r="B29" s="16" t="s">
        <v>550</v>
      </c>
      <c r="C29" s="0" t="s">
        <v>551</v>
      </c>
      <c r="D29" s="0" t="s">
        <v>488</v>
      </c>
    </row>
    <row r="30" customFormat="false" ht="28.35" hidden="false" customHeight="false" outlineLevel="0" collapsed="false">
      <c r="A30" s="0" t="s">
        <v>552</v>
      </c>
      <c r="B30" s="16" t="s">
        <v>553</v>
      </c>
      <c r="C30" s="0" t="s">
        <v>554</v>
      </c>
      <c r="D30" s="0" t="s">
        <v>488</v>
      </c>
    </row>
    <row r="31" customFormat="false" ht="15" hidden="false" customHeight="false" outlineLevel="0" collapsed="false">
      <c r="A31" s="0" t="s">
        <v>555</v>
      </c>
      <c r="B31" s="16" t="s">
        <v>556</v>
      </c>
      <c r="C31" s="0" t="s">
        <v>557</v>
      </c>
      <c r="D31" s="0" t="s">
        <v>488</v>
      </c>
    </row>
    <row r="32" customFormat="false" ht="15" hidden="false" customHeight="false" outlineLevel="0" collapsed="false">
      <c r="A32" s="0" t="s">
        <v>272</v>
      </c>
      <c r="B32" s="16" t="s">
        <v>558</v>
      </c>
      <c r="C32" s="0" t="s">
        <v>557</v>
      </c>
      <c r="D32" s="0" t="s">
        <v>488</v>
      </c>
    </row>
    <row r="33" customFormat="false" ht="41.75" hidden="false" customHeight="false" outlineLevel="0" collapsed="false">
      <c r="A33" s="0" t="s">
        <v>306</v>
      </c>
      <c r="B33" s="16" t="s">
        <v>559</v>
      </c>
      <c r="C33" s="0" t="s">
        <v>560</v>
      </c>
      <c r="D33" s="0" t="s">
        <v>488</v>
      </c>
    </row>
    <row r="34" customFormat="false" ht="28.35" hidden="false" customHeight="false" outlineLevel="0" collapsed="false">
      <c r="A34" s="0" t="s">
        <v>475</v>
      </c>
      <c r="B34" s="16" t="s">
        <v>561</v>
      </c>
      <c r="C34" s="0" t="s">
        <v>562</v>
      </c>
      <c r="D34" s="0" t="s">
        <v>488</v>
      </c>
    </row>
    <row r="35" customFormat="false" ht="28.35" hidden="false" customHeight="false" outlineLevel="0" collapsed="false">
      <c r="A35" s="0" t="s">
        <v>563</v>
      </c>
      <c r="B35" s="16" t="s">
        <v>564</v>
      </c>
      <c r="C35" s="0" t="s">
        <v>565</v>
      </c>
      <c r="D35" s="0" t="s">
        <v>488</v>
      </c>
    </row>
    <row r="36" customFormat="false" ht="28.35" hidden="false" customHeight="false" outlineLevel="0" collapsed="false">
      <c r="A36" s="0" t="s">
        <v>566</v>
      </c>
      <c r="B36" s="16" t="s">
        <v>567</v>
      </c>
      <c r="C36" s="0" t="s">
        <v>568</v>
      </c>
      <c r="D36" s="0" t="s">
        <v>488</v>
      </c>
    </row>
    <row r="37" customFormat="false" ht="41.75" hidden="false" customHeight="false" outlineLevel="0" collapsed="false">
      <c r="A37" s="0" t="s">
        <v>569</v>
      </c>
      <c r="B37" s="16" t="s">
        <v>570</v>
      </c>
      <c r="C37" s="0" t="s">
        <v>571</v>
      </c>
      <c r="D37" s="0" t="s">
        <v>488</v>
      </c>
    </row>
    <row r="38" customFormat="false" ht="28.35" hidden="false" customHeight="false" outlineLevel="0" collapsed="false">
      <c r="A38" s="0" t="s">
        <v>241</v>
      </c>
      <c r="B38" s="16" t="s">
        <v>572</v>
      </c>
      <c r="C38" s="0" t="s">
        <v>573</v>
      </c>
      <c r="D38" s="0" t="s">
        <v>488</v>
      </c>
    </row>
    <row r="39" customFormat="false" ht="55.2" hidden="false" customHeight="false" outlineLevel="0" collapsed="false">
      <c r="A39" s="0" t="s">
        <v>574</v>
      </c>
      <c r="B39" s="16" t="s">
        <v>575</v>
      </c>
      <c r="C39" s="0" t="s">
        <v>576</v>
      </c>
      <c r="D39" s="0" t="s">
        <v>488</v>
      </c>
    </row>
    <row r="40" customFormat="false" ht="28.35" hidden="false" customHeight="false" outlineLevel="0" collapsed="false">
      <c r="A40" s="0" t="s">
        <v>249</v>
      </c>
      <c r="B40" s="16" t="s">
        <v>577</v>
      </c>
      <c r="C40" s="0" t="s">
        <v>578</v>
      </c>
      <c r="D40" s="0" t="s">
        <v>488</v>
      </c>
    </row>
    <row r="41" customFormat="false" ht="28.35" hidden="false" customHeight="false" outlineLevel="0" collapsed="false">
      <c r="A41" s="0" t="s">
        <v>254</v>
      </c>
      <c r="B41" s="16" t="s">
        <v>579</v>
      </c>
      <c r="C41" s="0" t="s">
        <v>580</v>
      </c>
      <c r="D41" s="0" t="s">
        <v>488</v>
      </c>
    </row>
    <row r="42" customFormat="false" ht="41.75" hidden="false" customHeight="false" outlineLevel="0" collapsed="false">
      <c r="A42" s="0" t="s">
        <v>461</v>
      </c>
      <c r="B42" s="16" t="s">
        <v>581</v>
      </c>
      <c r="C42" s="0" t="s">
        <v>562</v>
      </c>
      <c r="D42" s="0" t="s">
        <v>488</v>
      </c>
    </row>
    <row r="43" customFormat="false" ht="28.35" hidden="false" customHeight="false" outlineLevel="0" collapsed="false">
      <c r="A43" s="0" t="s">
        <v>582</v>
      </c>
      <c r="B43" s="16" t="s">
        <v>583</v>
      </c>
      <c r="C43" s="0" t="s">
        <v>576</v>
      </c>
      <c r="D43" s="0" t="s">
        <v>488</v>
      </c>
    </row>
    <row r="44" customFormat="false" ht="28.35" hidden="false" customHeight="false" outlineLevel="0" collapsed="false">
      <c r="A44" s="0" t="s">
        <v>584</v>
      </c>
      <c r="B44" s="16" t="s">
        <v>585</v>
      </c>
      <c r="C44" s="0" t="s">
        <v>586</v>
      </c>
      <c r="D44" s="0" t="s">
        <v>488</v>
      </c>
    </row>
    <row r="45" customFormat="false" ht="28.35" hidden="false" customHeight="false" outlineLevel="0" collapsed="false">
      <c r="A45" s="0" t="s">
        <v>587</v>
      </c>
      <c r="B45" s="16" t="s">
        <v>588</v>
      </c>
      <c r="C45" s="0" t="s">
        <v>565</v>
      </c>
      <c r="D45" s="0" t="s">
        <v>488</v>
      </c>
    </row>
    <row r="46" customFormat="false" ht="28.35" hidden="false" customHeight="false" outlineLevel="0" collapsed="false">
      <c r="A46" s="0" t="s">
        <v>589</v>
      </c>
      <c r="B46" s="16" t="s">
        <v>590</v>
      </c>
      <c r="C46" s="0" t="s">
        <v>491</v>
      </c>
      <c r="D46" s="0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2026-10-09T18:42:10Z</dcterms:created>
  <dc:creator>openpyxl</dc:creator>
  <dc:description/>
  <dc:language>en-US</dc:language>
  <cp:lastModifiedBy/>
  <dcterms:modified xsi:type="dcterms:W3CDTF">2026-10-09T18:42:10Z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