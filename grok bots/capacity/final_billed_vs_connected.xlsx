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Final_Table" sheetId="2" state="visible" r:id="rId4"/>
    <sheet name="Quarterly_IT" sheetId="3" state="visible" r:id="rId5"/>
    <sheet name="Definitions" sheetId="4" state="visible" r:id="rId6"/>
    <sheet name="Change_vs_Oct5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<sst xmlns="http://schemas.openxmlformats.org/spreadsheetml/2006/main" count="614" uniqueCount="354">
  <si>
    <t xml:space="preserve">Nebius Capacity &amp; Power — FINAL billed IT MW vs connected MW (YE26 / FY27) — locked for Sunday</t>
  </si>
  <si>
    <t xml:space="preserve">Built: Thu Oct 8 2026 ~9:45 AM ET (re-cut v4: FY27 engine-linked v0.9e). Public sources only; nobody contacted. Tags: R Reported / D Derived / E Estimated.</t>
  </si>
  <si>
    <t xml:space="preserve">FOR JUDGES: Connected is not billing. We estimate ~941 MW connected at YE26 (E; mgmt guide 800 MW–1 GW, R) but only ~258 MW of IT billing (D), about 27%. Revenue runs on billed MW.</t>
  </si>
  <si>
    <t xml:space="preserve">Company totals tie to locked anchors (see Final_Table checks): YE26 billed 257.7 base / 284.2 high; FY27 avg billed 531.8 base / 659.2 high (v0.9e engine-linked; Vineland 182.3 MW-yr; supersede 536.5 / 663.8, 475.0 / 645.4); YE26 energized IT 301.7; YE26 connected 941 base / 561 low.</t>
  </si>
  <si>
    <t xml:space="preserve">NON-TIE flagged: site YE26 connected HIGH sums to 1,156 vs company 1,195 (39 MW residual = France 2nd n/d + range; not invented).</t>
  </si>
  <si>
    <t xml:space="preserve">Method (site billed, D): replicates the two locked methods exactly.</t>
  </si>
  <si>
    <t xml:space="preserve">  YE26 billed (base/high) = capacity v2 row 147 method: other sites' IT-normalized energized at Q3'26 (1-quarter lag) + Vineland at billed tranches (4 delivered x 26.7 IT, E).</t>
  </si>
  <si>
    <t xml:space="preserve">  FY27 avg billed: Vineland (base and high) = engine-linked 182.3 MW-yr (v0.9e Contracts MS_Rev FY27 $2,643.8M ÷ ~$14.5M; Judge_Slide A19). Other sites = model v0.9d method (Revenue!F12 'Active IT MW (average)', Judge_Slide B25): IT-normalized energized lagged 1Q, quarter-average of start/end, averaged over Q1-Q4'27 = (E_Q3'26 + 2E_Q4'26 + 2E_Q1'27 + 2E_Q2'27 + E_Q3'27)/8 per site.</t>
  </si>
  <si>
    <t xml:space="preserve">  IT-normalized = energized / Gross-IT factor where the site figure is treated as gross; else as stated (nebius_capacity.xlsx Basis).</t>
  </si>
  <si>
    <t xml:space="preserve">  Connected is on gross/shell (facility power) basis; billed is on IT basis. On a like-for-like IT basis, 941 connected ≈ 697–784 IT MW (÷1.20–1.35, D) — still ~2.7–3.0x billing.</t>
  </si>
  <si>
    <t xml:space="preserve">Q3 results: late Oct–mid Nov (Oct 22 or Nov 10 per third-party calendars; not company-announced) [E]. Short form: late Oct–mid Nov (est.). It may land before the ~Nov 6–9 NJDEP genset filing deadline.</t>
  </si>
  <si>
    <t xml:space="preserve">Inputs in blue (static copies of Derived/Estimated values from capacity v2, ye26_active_vs_connected.xlsx, model v0.9d); formulas in black.</t>
  </si>
  <si>
    <t xml:space="preserve">Tabs: Final_Table, Quarterly_IT, Definitions, Change_vs_Oct5, Sources.</t>
  </si>
  <si>
    <t xml:space="preserve">FINAL: YE26 / FY27 billed IT MW vs connected MW by site (locked for Sunday)</t>
  </si>
  <si>
    <t xml:space="preserve">Thu Oct 8 2026 ~9:45 AM ET (re-cut v4: FY27 engine-linked v0.9e). Billed = revenue-generating IT MW (D). Connected = built &amp; equipped halls with power, gross/shell basis (E). Q3 results: late Oct–mid Nov (est.).</t>
  </si>
  <si>
    <t xml:space="preserve">FOR JUDGES: Connected is not billing. ~941 MW connected at YE26 (E; guide 800 MW–1 GW, R) vs ~258 MW billing (D), about 27%. Revenue runs on billed MW.</t>
  </si>
  <si>
    <t xml:space="preserve">Site</t>
  </si>
  <si>
    <t xml:space="preserve">Owned/leased</t>
  </si>
  <si>
    <t xml:space="preserve">Customer</t>
  </si>
  <si>
    <t xml:space="preserve">YE26 connected LOW (E)</t>
  </si>
  <si>
    <t xml:space="preserve">YE26 connected BASE (E)</t>
  </si>
  <si>
    <t xml:space="preserve">YE26 connected HIGH (E)</t>
  </si>
  <si>
    <t xml:space="preserve">YE26 energized IT base (ref, D)</t>
  </si>
  <si>
    <t xml:space="preserve">YE26 billed IT BASE (D)</t>
  </si>
  <si>
    <t xml:space="preserve">YE26 billed IT HIGH (D)</t>
  </si>
  <si>
    <t xml:space="preserve">FY27 avg billed IT BASE (D; Vineland engine-linked 182.3)</t>
  </si>
  <si>
    <t xml:space="preserve">FY27 avg billed IT HIGH (D; Vineland engine-linked 182.3)</t>
  </si>
  <si>
    <t xml:space="preserve">YE27 connected (E; fixed sites only)</t>
  </si>
  <si>
    <t xml:space="preserve">YE26 gap: connected base − billed base</t>
  </si>
  <si>
    <t xml:space="preserve">Confidence</t>
  </si>
  <si>
    <t xml:space="preserve">One-line reason</t>
  </si>
  <si>
    <t xml:space="preserve">R/D/E tag</t>
  </si>
  <si>
    <t xml:space="preserve">Source</t>
  </si>
  <si>
    <t xml:space="preserve">Vineland NJ (DataOne)</t>
  </si>
  <si>
    <t xml:space="preserve">leased (build-to-suit)</t>
  </si>
  <si>
    <t xml:space="preserve">Microsoft</t>
  </si>
  <si>
    <t xml:space="preserve">Med (YE26) / Low-Med (FY27)</t>
  </si>
  <si>
    <t xml:space="preserve">4 of 9 tranches delivered (R); MW/tranche E (26.7 IT). YE26 billed-tranche 106.7; FY27 engine-linked 182.3 MW-yr (v0.9e); FY27 hinges on Bloom T5–T9 (Case B -$966M @~35%); smaller early tranches cut revenue and MW together</t>
  </si>
  <si>
    <t xml:space="preserve">Connected E (site split); billed D on E site inputs; Vineland tranches delivered R, MW/tranche E</t>
  </si>
  <si>
    <t xml:space="preserve">20-F; Q2'26 letter/call; nebius_capacity.xlsx Vineland tranche track; vineland_watch.md</t>
  </si>
  <si>
    <t xml:space="preserve">Independence MO (Eastgate)</t>
  </si>
  <si>
    <t xml:space="preserve">owned</t>
  </si>
  <si>
    <t xml:space="preserve">unassigned (Meta #2 candidate, assumed)</t>
  </si>
  <si>
    <t xml:space="preserve">n/d</t>
  </si>
  <si>
    <t xml:space="preserve">High (billed) / Low (connected)</t>
  </si>
  <si>
    <t xml:space="preserve">No IT before ~Q3'27, so YE26 billed 0 is solid; YE26 connected 100 = utility feed/shell plug only</t>
  </si>
  <si>
    <t xml:space="preserve">Connected E (site split); billed D on E site inputs</t>
  </si>
  <si>
    <t xml:space="preserve">owned_campus_power_path.md; Independence city FAQs/deck</t>
  </si>
  <si>
    <t xml:space="preserve">Butler Twp PA (Highridge)</t>
  </si>
  <si>
    <t xml:space="preserve">unassigned</t>
  </si>
  <si>
    <t xml:space="preserve">High</t>
  </si>
  <si>
    <t xml:space="preserve">PPL 230 kV switchyard/laterals late-2027 to 2029; nothing bills through FY27</t>
  </si>
  <si>
    <t xml:space="preserve">owned_campus_power_path.md; PPL filings</t>
  </si>
  <si>
    <t xml:space="preserve">Birmingham AL (BHM01, Oxmoor)</t>
  </si>
  <si>
    <t xml:space="preserve">Med</t>
  </si>
  <si>
    <t xml:space="preserve">115 kV NLT Dec 31 2026, 230 kV Oct 2027 (R); first revenue MW 2027; litigation Mar 2027</t>
  </si>
  <si>
    <t xml:space="preserve">owned_campus_power_path.md; Alabama Power filings</t>
  </si>
  <si>
    <t xml:space="preserve">Bethune FR (Azur Datacenter, ex-Bridgestone)</t>
  </si>
  <si>
    <t xml:space="preserve">leased</t>
  </si>
  <si>
    <t xml:space="preserve">Meta (likely, press)</t>
  </si>
  <si>
    <t xml:space="preserve">Low-Med</t>
  </si>
  <si>
    <t xml:space="preserve">Mgmt says 120 MW by YE26 (R) vs model energized 30; ICPE decision pending; 1Q lag puts YE26 billed at 0</t>
  </si>
  <si>
    <t xml:space="preserve">nebius_capacity.xlsx; CCO remarks; unseen_capacity.md</t>
  </si>
  <si>
    <t xml:space="preserve">Lappeenranta FI (Pajarila / Polarnode)</t>
  </si>
  <si>
    <t xml:space="preserve">First building H1'27; substation spring 2027</t>
  </si>
  <si>
    <t xml:space="preserve">site_tracker_wed.xlsx; Fira/Polarnode</t>
  </si>
  <si>
    <t xml:space="preserve">Mantsala FI #1</t>
  </si>
  <si>
    <t xml:space="preserve">self-serve (assumed)</t>
  </si>
  <si>
    <t xml:space="preserve">75 MW built early 2026 (R); IT-normalized at PUE 1.1 (E)</t>
  </si>
  <si>
    <t xml:space="preserve">20-F; nebius_capacity.xlsx</t>
  </si>
  <si>
    <t xml:space="preserve">Mantsala FI #2 (Kapuli)</t>
  </si>
  <si>
    <t xml:space="preserve">Substation autumn 2027; nothing bills in FY27 on 1Q lag</t>
  </si>
  <si>
    <t xml:space="preserve">site_tracker_wed.xlsx</t>
  </si>
  <si>
    <t xml:space="preserve">Kansas City MO (Patmos)</t>
  </si>
  <si>
    <t xml:space="preserve">Operational; Nebius share of facility not disclosed (5-35 range)</t>
  </si>
  <si>
    <t xml:space="preserve">nebius_capacity.xlsx; Patmos</t>
  </si>
  <si>
    <t xml:space="preserve">Paris (Equinix PA10)</t>
  </si>
  <si>
    <t xml:space="preserve">Operational; 5 MW is third-party figure</t>
  </si>
  <si>
    <t xml:space="preserve">Keflavik IS (Verne)</t>
  </si>
  <si>
    <t xml:space="preserve">10 MW live since Mar 2025 (R)</t>
  </si>
  <si>
    <t xml:space="preserve">London Longcross (Ark LP01)</t>
  </si>
  <si>
    <t xml:space="preserve">16-&gt;19 MW contract (R); stated basis treated as gross (/1.3)</t>
  </si>
  <si>
    <t xml:space="preserve">nebius_capacity.xlsx Basis</t>
  </si>
  <si>
    <t xml:space="preserve">Harlow UK (Kao Data KLON-02/03)</t>
  </si>
  <si>
    <t xml:space="preserve">22 MW contract (R); ramp timing E</t>
  </si>
  <si>
    <t xml:space="preserve">unseen_capacity.md; Kao Data</t>
  </si>
  <si>
    <t xml:space="preserve">Newport UK (Vantage CWL1)</t>
  </si>
  <si>
    <t xml:space="preserve">Low</t>
  </si>
  <si>
    <t xml:space="preserve">Nebius MW not disclosed; UK residual 43 MW (D) split E</t>
  </si>
  <si>
    <t xml:space="preserve">site_tracker_wed.md</t>
  </si>
  <si>
    <t xml:space="preserve">UK 3rd new deployment (lead: Green Mountain LON-East, Romford)</t>
  </si>
  <si>
    <t xml:space="preserve">leased (if confirmed)</t>
  </si>
  <si>
    <t xml:space="preserve">Site identity unconfirmed (GM 14 MW to unnamed neocloud)</t>
  </si>
  <si>
    <t xml:space="preserve">Modi'in IL (Mega Or)</t>
  </si>
  <si>
    <t xml:space="preserve">8 MW live Oct 2025 (R)</t>
  </si>
  <si>
    <t xml:space="preserve">Masmiyya IL (Mega DC)</t>
  </si>
  <si>
    <t xml:space="preserve">22 MW contracted (R); ramp E</t>
  </si>
  <si>
    <t xml:space="preserve">unseen_capacity.md</t>
  </si>
  <si>
    <t xml:space="preserve">Beit Shemesh IL (Mega DC)</t>
  </si>
  <si>
    <t xml:space="preserve">58 MW; landlord completion Q2'27 (R)</t>
  </si>
  <si>
    <t xml:space="preserve">Madrid-Getafe ES (Merlin Edged)</t>
  </si>
  <si>
    <t xml:space="preserve">18 MW contract (R); ramp E</t>
  </si>
  <si>
    <t xml:space="preserve">Tallinn EE (Greenergy Huuru)</t>
  </si>
  <si>
    <t xml:space="preserve">22 MW first phase later 2026 (R)</t>
  </si>
  <si>
    <t xml:space="preserve">Minnesota colo (us-north1, Woodbury)</t>
  </si>
  <si>
    <t xml:space="preserve">Tenant MW n/d; IronGate MSP01 inference</t>
  </si>
  <si>
    <t xml:space="preserve">Oklahoma colo (unnamed)</t>
  </si>
  <si>
    <t xml:space="preserve">Map '&gt;100 MW' category only; town/landlord n/d</t>
  </si>
  <si>
    <t xml:space="preserve">France 2nd colo (unnamed; possibly eu-west2)</t>
  </si>
  <si>
    <t xml:space="preserve">Region live (R) but site/MW not disclosed; not invented</t>
  </si>
  <si>
    <t xml:space="preserve">AIB CLT1 (Moore, Spartanburg County SC; Lockhart Power)</t>
  </si>
  <si>
    <t xml:space="preserve">50 MW critical IT (R, AIB PR Sep 30 2026); halls ~2027</t>
  </si>
  <si>
    <t xml:space="preserve">AIB PR Sep 30 2026</t>
  </si>
  <si>
    <t xml:space="preserve">COMPANY TOTAL (sites; France 2nd n/d excluded)</t>
  </si>
  <si>
    <t xml:space="preserve">n/d (company 1,882 base, see below)</t>
  </si>
  <si>
    <t xml:space="preserve">see checks</t>
  </si>
  <si>
    <t xml:space="preserve">E / D</t>
  </si>
  <si>
    <t xml:space="preserve">LOCKED COMPANY ANCHORS and TIE CHECKS</t>
  </si>
  <si>
    <t xml:space="preserve">Anchor</t>
  </si>
  <si>
    <t xml:space="preserve">Locked value</t>
  </si>
  <si>
    <t xml:space="preserve">Tag</t>
  </si>
  <si>
    <t xml:space="preserve">Site-sum (formula)</t>
  </si>
  <si>
    <t xml:space="preserve">Diff</t>
  </si>
  <si>
    <t xml:space="preserve">Tie?</t>
  </si>
  <si>
    <t xml:space="preserve">YE26 billed IT BASE</t>
  </si>
  <si>
    <t xml:space="preserve">D (team lock; workbook 257.66)</t>
  </si>
  <si>
    <t xml:space="preserve">vineland_watch.md §0c; capacity v2 row 147; model Judge_Slide B34</t>
  </si>
  <si>
    <t xml:space="preserve">YE26 billed IT HIGH</t>
  </si>
  <si>
    <t xml:space="preserve">D (team lock)</t>
  </si>
  <si>
    <t xml:space="preserve">model Judge_Slide B35</t>
  </si>
  <si>
    <t xml:space="preserve">FY27 avg billed IT BASE</t>
  </si>
  <si>
    <t xml:space="preserve">D (team lock v0.9e, engine-linked)</t>
  </si>
  <si>
    <t xml:space="preserve">nebius_model.xlsx v0.9e Judge_Slide B25 (=Drivers!B34) 531.841; non-Vineland 349.5 + Vineland engine 182.3</t>
  </si>
  <si>
    <t xml:space="preserve">FY27 avg billed IT HIGH</t>
  </si>
  <si>
    <t xml:space="preserve">nebius_model.xlsx v0.9e Judge_Slide B26 (=Drivers!C34) 659.157; non-Vineland high 476.8 + Vineland engine 182.3</t>
  </si>
  <si>
    <t xml:space="preserve">YE26 energized IT BASE</t>
  </si>
  <si>
    <t xml:space="preserve">D</t>
  </si>
  <si>
    <t xml:space="preserve">capacity v2 Quarterly MW row 136</t>
  </si>
  <si>
    <t xml:space="preserve">YE26 connected BASE</t>
  </si>
  <si>
    <t xml:space="preserve">E</t>
  </si>
  <si>
    <t xml:space="preserve">capacity v2 Quarterly MW row 142; unseen_capacity.md</t>
  </si>
  <si>
    <t xml:space="preserve">YE26 connected LOW</t>
  </si>
  <si>
    <t xml:space="preserve">capacity v2 row 141</t>
  </si>
  <si>
    <t xml:space="preserve">YE26 connected HIGH</t>
  </si>
  <si>
    <t xml:space="preserve">capacity v2 row 143 — residual ~39 MW not attributed (France 2nd n/d + range)</t>
  </si>
  <si>
    <t xml:space="preserve">MEMO — superseded Oct 8 ~9:50 ET: A19 typed $2,711M, pre engine link — FY27 BASE 536.48</t>
  </si>
  <si>
    <t xml:space="preserve">D (superseded)</t>
  </si>
  <si>
    <t xml:space="preserve">MEMO — superseded Oct 8 ~9:50 ET: A19 typed $2,711M, pre engine link — FY27 HIGH 663.80</t>
  </si>
  <si>
    <t xml:space="preserve">MEMO — SUPERSEDED Oct 8: FY27 avg billed BASE 474.96 (energized-lagged basis, did not match revenue engine)</t>
  </si>
  <si>
    <t xml:space="preserve">MEMO — SUPERSEDED Oct 8: FY27 avg billed HIGH 645.4 (Vineland energized-lagged in high)</t>
  </si>
  <si>
    <t xml:space="preserve">MEMO — BULL Bloom timing (engine basis): FY27 HIGH with T5–T6 from Q1'27, T7–T9 from Q2'27 (Vineland ≈ 182.3 + 33.3 = 215.7)</t>
  </si>
  <si>
    <t xml:space="preserve">D (approx.)</t>
  </si>
  <si>
    <t xml:space="preserve">MEMO — BULL Bloom timing on superseded A19-typed basis (Vineland 220.0) — 696.8</t>
  </si>
  <si>
    <t xml:space="preserve">D (superseded basis)</t>
  </si>
  <si>
    <t xml:space="preserve">MEMO — FY27 HIGH per Judge_Slide A27 (Vineland quarter-avg of quarter-end tranches = 170.0)</t>
  </si>
  <si>
    <t xml:space="preserve">D (model shows 646.9)</t>
  </si>
  <si>
    <t xml:space="preserve">MEMO — Non-Vineland FY27 avg billed BASE: new (col D) / old slide-implied 475 − 187 (col E)</t>
  </si>
  <si>
    <t xml:space="preserve">col F = change in slide-implied non-Vineland $/MW (~$33.3M -&gt; ~$27.4M; Modeling to confirm $)</t>
  </si>
  <si>
    <t xml:space="preserve">MEMO — Street FY27 $12.3B ÷ FY27 avg billed BASE ($M/MW): new (col D) / old (col E)</t>
  </si>
  <si>
    <t xml:space="preserve">D (consensus $12.3B, E)</t>
  </si>
  <si>
    <t xml:space="preserve">old basis ~$25.9M -&gt; v0.9e engine-linked ~$23.1M</t>
  </si>
  <si>
    <t xml:space="preserve">MW NEEDED AT $16M (D; Street FY27 and $16M are blue inputs)</t>
  </si>
  <si>
    <t xml:space="preserve">Street FY27 revenue consensus ($M)</t>
  </si>
  <si>
    <t xml:space="preserve">E (consensus, per Filings/Modeling)</t>
  </si>
  <si>
    <t xml:space="preserve">Comps price ($M per billed IT MW-yr)</t>
  </si>
  <si>
    <t xml:space="preserve">E (top of disclosed comps band $9.7–16.7M as reported; hurdles per IT MW)</t>
  </si>
  <si>
    <t xml:space="preserve">FY27 avg billed MW needed = Street ÷ $16M</t>
  </si>
  <si>
    <t xml:space="preserve">Path</t>
  </si>
  <si>
    <t xml:space="preserve">FY27 avg billed MW</t>
  </si>
  <si>
    <t xml:space="preserve">Gap MW (needed − path)</t>
  </si>
  <si>
    <t xml:space="preserve">Needed ÷ path</t>
  </si>
  <si>
    <t xml:space="preserve">Base (engine-linked v0.9e)</t>
  </si>
  <si>
    <t xml:space="preserve">High (engine-linked v0.9e)</t>
  </si>
  <si>
    <t xml:space="preserve">Bull Bloom timing (memo, engine basis approx.)</t>
  </si>
  <si>
    <t xml:space="preserve">NOTE: v0.9e accepted — A19 now linked to the model engine (Contracts MS_Rev FY27 $2,643.8M ÷ ~$14.5M = 182.3 MW-yr). Final pair 531.8 / 659.2 replaces 536.5 / 663.8 (A19 typed $2,711M).</t>
  </si>
  <si>
    <t xml:space="preserve">Non-Microsoft hurdle: Street FY27 less engine Microsoft revenue ÷ non-Vineland billed MW ($M per billed MW)</t>
  </si>
  <si>
    <t xml:space="preserve">D (Modeling v0.9e Judge_Slide B20 = Drivers!B9; static copy)</t>
  </si>
  <si>
    <t xml:space="preserve">  check: (Street − engine MSFT revenue) ÷ (FY27 base − Vineland engine MW)</t>
  </si>
  <si>
    <t xml:space="preserve">D (cross-check)</t>
  </si>
  <si>
    <t xml:space="preserve">Mgmt YE26 connected guide (MW)</t>
  </si>
  <si>
    <t xml:space="preserve">800–1,000</t>
  </si>
  <si>
    <t xml:space="preserve">R</t>
  </si>
  <si>
    <t xml:space="preserve">Q1'26/Q2'26 letters; Q2'26 call</t>
  </si>
  <si>
    <t xml:space="preserve">YE26 energized IT LOW / HIGH (company)</t>
  </si>
  <si>
    <t xml:space="preserve">189.5 / 414.0</t>
  </si>
  <si>
    <t xml:space="preserve">capacity v2 rows 135/137</t>
  </si>
  <si>
    <t xml:space="preserve">YE27 connected LOW / BASE / HIGH (company)</t>
  </si>
  <si>
    <t xml:space="preserve">1,249 / 1,882 / 2,517</t>
  </si>
  <si>
    <t xml:space="preserve">capacity v2 rows 141-143, Q4 2027</t>
  </si>
  <si>
    <t xml:space="preserve">Contracted power (land + power), contrast only</t>
  </si>
  <si>
    <t xml:space="preserve">~5 GW</t>
  </si>
  <si>
    <t xml:space="preserve">Company target; NOT 'connected'</t>
  </si>
  <si>
    <t xml:space="preserve">DERIVED RATIOS (D)</t>
  </si>
  <si>
    <t xml:space="preserve">YE26 billed base ÷ connected base</t>
  </si>
  <si>
    <t xml:space="preserve">YE26 connected base − billed base (MW)</t>
  </si>
  <si>
    <t xml:space="preserve">YE26 connected base, IT-equivalent at ÷1.35 / ÷1.20</t>
  </si>
  <si>
    <t xml:space="preserve">FY27 avg billed base ÷ YE27 connected base (1,882)</t>
  </si>
  <si>
    <t xml:space="preserve">BASIS FLAGS (read before quoting site numbers)</t>
  </si>
  <si>
    <t xml:space="preserve">1) Vineland YE26 billed 106.7 (4 delivered tranches × 26.7 IT, E) &gt; YE26 energized base 81.8 (genset-midpoint). The lock bills delivered tranches; if early tranches are smaller (Q2'26 top-customer 24% check), true billed is nearer ~82. Locked pair for the deck stays 300 connected vs ~82 active.</t>
  </si>
  <si>
    <t xml:space="preserve">2) RESOLVED Oct 8 (v0.9e engine-linked): Vineland FY27 = 182.3 MW-yr from the model engine; FY27 = 531.8 / 659.2; $16M needs 768.75 = 1.45x base / 1.17x high; non-Microsoft hurdle ~$27.6M/billed MW. HISTORY: FY27 revenue and MW first moved to billed-tranche basis. Vineland FY27 = 187.0 (T1–T4 107 MW full year + T5–T9 $1,159.5M ÷ $14.5M), replacing 125.5; FY27 base = 536.5 (was 475.0). Non-Vineland MW rises ~288 → ~349.5, so the slide's implied non-Vineland $/MW falls ~17.6% (~$33.3M → ~$27.4M, Modeling to confirm). HIGH now also on tranche basis (Oct 8 team decision): 663.8 (base Bloom timing; 645.4 superseded; 696.8 bull-timing memo; A27 memo 646.9 used quarter-avg of quarter-end tranches). Contracts-engine cross-check: MSFT 2027 billing MW avg 185.6; revenue $2,643.8M (T3–T4 ramp + Q1'27 genset cap) ≈ 182 MW-yr at $14.49M. 26.7 IT/tranche is E: if early tranches are smaller, revenue and MW fall together.</t>
  </si>
  <si>
    <t xml:space="preserve">3) Connected is gross/shell basis; billed is IT basis (PUE ~1.1–1.35). The gap partly reflects the basis difference. Even IT-equivalent connected (~697–784) is ~2.7–3.0x billed.</t>
  </si>
  <si>
    <t xml:space="preserve">4) Site-level billed is Derived from Estimated site paths; only company totals are locks. Nebius discloses no per-site connected, active or billed MW.</t>
  </si>
  <si>
    <t xml:space="preserve">Treated as</t>
  </si>
  <si>
    <t xml:space="preserve">Gross/IT factor</t>
  </si>
  <si>
    <t xml:space="preserve">Base IT Q3'26</t>
  </si>
  <si>
    <t xml:space="preserve">Base IT Q4'26</t>
  </si>
  <si>
    <t xml:space="preserve">Base IT Q1'27</t>
  </si>
  <si>
    <t xml:space="preserve">Base IT Q2'27</t>
  </si>
  <si>
    <t xml:space="preserve">Base IT Q3'27</t>
  </si>
  <si>
    <t xml:space="preserve">Base IT Q4'27</t>
  </si>
  <si>
    <t xml:space="preserve">High IT Q3'26</t>
  </si>
  <si>
    <t xml:space="preserve">High IT Q4'26</t>
  </si>
  <si>
    <t xml:space="preserve">High IT Q1'27</t>
  </si>
  <si>
    <t xml:space="preserve">High IT Q2'27</t>
  </si>
  <si>
    <t xml:space="preserve">High IT Q3'27</t>
  </si>
  <si>
    <t xml:space="preserve">High IT Q4'27</t>
  </si>
  <si>
    <t xml:space="preserve">IT</t>
  </si>
  <si>
    <t xml:space="preserve">D (from E site energized paths)</t>
  </si>
  <si>
    <t xml:space="preserve">nebius_capacity.xlsx 'Quarterly MW' energized base/high ÷ Basis factor</t>
  </si>
  <si>
    <t xml:space="preserve">gross</t>
  </si>
  <si>
    <t xml:space="preserve">Vineland billed tranches (YE26)</t>
  </si>
  <si>
    <t xml:space="preserve">Tranches delivered by YE26 (T1 Nov-25, T2 Feb-26, T3-T4 Jul/Aug-26)</t>
  </si>
  <si>
    <t xml:space="preserve">R (20-F; Q2-26 letter/call)</t>
  </si>
  <si>
    <t xml:space="preserve">IT MW per tranche (240 IT / 9, equal split)</t>
  </si>
  <si>
    <t xml:space="preserve">E (sizes not disclosed)</t>
  </si>
  <si>
    <t xml:space="preserve">Vineland YE26 billed IT MW</t>
  </si>
  <si>
    <t xml:space="preserve">Vineland FY27 avg billed — billed-tranche basis (same as revenue engine / Judge_Slide A19)</t>
  </si>
  <si>
    <t xml:space="preserve">T1–T4 IT MW billed full year 2027</t>
  </si>
  <si>
    <t xml:space="preserve">D (model v0.9d Judge_Slide A19: 107 MW x $14.5M = $1,551.5M; 4 x 26.7 E)</t>
  </si>
  <si>
    <t xml:space="preserve">T5–T9 2027 revenue $M (T5–T6 from Q2'27, T7–T9 from Q3'27)</t>
  </si>
  <si>
    <t xml:space="preserve">D (vineland_watch.md §2; Judge_Slide A19)</t>
  </si>
  <si>
    <t xml:space="preserve">Microsoft rate $M per IT MW-yr</t>
  </si>
  <si>
    <t xml:space="preserve">D ($17,392.9M / 5 yrs / 240 IT MW)</t>
  </si>
  <si>
    <t xml:space="preserve">Vineland FY27 avg billed IT MW (tranche basis) — USED IN FINAL TABLE</t>
  </si>
  <si>
    <t xml:space="preserve">memo: same, from tranche months (4x26.67 full yr + 26.67x(2x9+3x6)/12)</t>
  </si>
  <si>
    <t xml:space="preserve">D (0.3 MW rounding vs 107)</t>
  </si>
  <si>
    <t xml:space="preserve">memo: BULL tranche timing (T5–T6 from Q1'27, T7–T9 from Q2'27)</t>
  </si>
  <si>
    <t xml:space="preserve">D (tranche track bull starts)</t>
  </si>
  <si>
    <t xml:space="preserve">memo: Judge_Slide A27 basis (quarter-average of quarter-end delivered tranches 106.7/106.7/160/240/240)</t>
  </si>
  <si>
    <t xml:space="preserve">memo: SUPERSEDED Oct 8 — Vineland FY27 on energized-lagged basis (did not match revenue engine)</t>
  </si>
  <si>
    <t xml:space="preserve">memo: Contracts engine cross-check (model v0.9d Contracts r141/r142): MSFT 2027 billing IT MW quarter avg 185.6; 2027 revenue capped $2,643.8M (T3–T4 ramp, Q1'27 genset cap 102.4)</t>
  </si>
  <si>
    <t xml:space="preserve">D (static copy)</t>
  </si>
  <si>
    <t xml:space="preserve">memo: SUPERSEDED Oct 8 — Vineland FY27 HIGH on energized-lagged basis</t>
  </si>
  <si>
    <t xml:space="preserve">Vineland FY27 billed MW-yr — ENGINE-LINKED (v0.9e lock): engine Microsoft FY27 revenue ÷ $/IT MW-yr — USED IN FINAL TABLE</t>
  </si>
  <si>
    <t xml:space="preserve">D (static copy of /workspace/nebius/model/nebius_model.xlsx v0.9e Judge_Slide B19 = Drivers!B33; Contracts MS_Rev FY27)</t>
  </si>
  <si>
    <t xml:space="preserve">memo: engine Microsoft FY27 revenue $M (Contracts tab, capped; T3–T4 ramp + Q1'27 genset cap)</t>
  </si>
  <si>
    <t xml:space="preserve">D (v0.9e Contracts; ~$14.5M/IT MW-yr)</t>
  </si>
  <si>
    <t xml:space="preserve">memo: engine-basis BULL Bloom timing ≈ engine + (bull − base tranche-months) = +33.3 MW-yr for one-quarter-earlier T5–T9 starts</t>
  </si>
  <si>
    <t xml:space="preserve">D (approx.; assumes engine ramp/cap unchanged)</t>
  </si>
  <si>
    <t xml:space="preserve">Term</t>
  </si>
  <si>
    <t xml:space="preserve">Definition (one line)</t>
  </si>
  <si>
    <t xml:space="preserve">connected</t>
  </si>
  <si>
    <t xml:space="preserve">Power delivered into fully built and equipped data-center halls (shell + fit-out ready); can sit idle until GPUs arrive. NOT contracted land+power (~5 GW); NOT substation/grid access alone; NOT billing.</t>
  </si>
  <si>
    <t xml:space="preserve">R (definition); E (941 and site splits)</t>
  </si>
  <si>
    <t xml:space="preserve">Q2'25 letter ('fully provisioned… can be activated immediately upon GPU installation'); Q3'25 letter ('power connected to built data centers'); Q1'26 letter</t>
  </si>
  <si>
    <t xml:space="preserve">active</t>
  </si>
  <si>
    <t xml:space="preserve">Power consumed by installed, operational IT.</t>
  </si>
  <si>
    <t xml:space="preserve">R (definition); D (site MW)</t>
  </si>
  <si>
    <t xml:space="preserve">Q1'26 letter; nebius_capacity.xlsx</t>
  </si>
  <si>
    <t xml:space="preserve">billed</t>
  </si>
  <si>
    <t xml:space="preserve">Revenue-generating IT MW (team metric): active IT lagged ~1 quarter for onboarding/acceptance; Vineland at delivered Microsoft tranches.</t>
  </si>
  <si>
    <t xml:space="preserve">vineland_watch.md §0c; model v0.9d</t>
  </si>
  <si>
    <t xml:space="preserve">contracted (contrast)</t>
  </si>
  <si>
    <t xml:space="preserve">Land plus power rights (~5 GW target). Not connected, not billing.</t>
  </si>
  <si>
    <t xml:space="preserve">Company materials; Filings</t>
  </si>
  <si>
    <t xml:space="preserve">YE26 connected guide</t>
  </si>
  <si>
    <t xml:space="preserve">800 MW–1 GW (management). Our 941 is an Estimated reconstruction inside the guide.</t>
  </si>
  <si>
    <t xml:space="preserve">R (guide) / E (941)</t>
  </si>
  <si>
    <t xml:space="preserve">Q1'26 / Q2'26 letters; Q2'26 call</t>
  </si>
  <si>
    <t xml:space="preserve">Item</t>
  </si>
  <si>
    <t xml:space="preserve">Oct 5 value</t>
  </si>
  <si>
    <t xml:space="preserve">Oct 8 final</t>
  </si>
  <si>
    <t xml:space="preserve">Changed?</t>
  </si>
  <si>
    <t xml:space="preserve">Note</t>
  </si>
  <si>
    <t xml:space="preserve">YE26 billed base / high</t>
  </si>
  <si>
    <t xml:space="preserve">~258 / ~284 (257.7 / 284.2)</t>
  </si>
  <si>
    <t xml:space="preserve">257.7 / 284.2</t>
  </si>
  <si>
    <t xml:space="preserve">No</t>
  </si>
  <si>
    <t xml:space="preserve">Now split by site (new); totals tie</t>
  </si>
  <si>
    <t xml:space="preserve">FY27 avg billed BASE / HIGH (v0.9e engine-linked)</t>
  </si>
  <si>
    <t xml:space="preserve">~475 / ~645</t>
  </si>
  <si>
    <t xml:space="preserve">531.8 / 659.2 (531.84 / 659.16)</t>
  </si>
  <si>
    <t xml:space="preserve">YES (v0.9e lock Oct 8 ~9:50 ET)</t>
  </si>
  <si>
    <t xml:space="preserve">Vineland 182.3 MW-yr engine-linked; 536.5 / 663.8 superseded (A19 typed $2,711M)</t>
  </si>
  <si>
    <t xml:space="preserve">FY27 avg billed BASE (interim)</t>
  </si>
  <si>
    <t xml:space="preserve">~475 (474.96)</t>
  </si>
  <si>
    <t xml:space="preserve">536.5 (536.48) — superseded ~9:50 ET</t>
  </si>
  <si>
    <t xml:space="preserve">interim</t>
  </si>
  <si>
    <t xml:space="preserve">Vineland moved to billed-tranche basis (125.5 → 187.0) to match revenue engine; 475 kept as superseded memo</t>
  </si>
  <si>
    <t xml:space="preserve">FY27 avg billed HIGH</t>
  </si>
  <si>
    <t xml:space="preserve">~645 (645.4)</t>
  </si>
  <si>
    <t xml:space="preserve">663.8 (663.80)</t>
  </si>
  <si>
    <t xml:space="preserve">YES (team decision Oct 8)</t>
  </si>
  <si>
    <t xml:space="preserve">Vineland in high moved to billed-tranche basis (168.5 → 187.0, base Bloom timing); 645.4 superseded memo; 696.8 bull memo</t>
  </si>
  <si>
    <t xml:space="preserve">MW needed at $16M vs paths</t>
  </si>
  <si>
    <t xml:space="preserve">gap vs high 645 ≈ 123</t>
  </si>
  <si>
    <t xml:space="preserve">768.75 needed: gap 232 (base, 1.43x) / 105 (high, 1.16x) / 72 (bull)</t>
  </si>
  <si>
    <t xml:space="preserve">Derived change</t>
  </si>
  <si>
    <t xml:space="preserve">Street $12.3B (E) ÷ $16M (E)</t>
  </si>
  <si>
    <t xml:space="preserve">YE26 energized IT base / low / high</t>
  </si>
  <si>
    <t xml:space="preserve">301.7 / 189.5 / 414.0</t>
  </si>
  <si>
    <t xml:space="preserve">same</t>
  </si>
  <si>
    <t xml:space="preserve">YE26 connected low / base / high</t>
  </si>
  <si>
    <t xml:space="preserve">561 / 941 / 1,195 (E)</t>
  </si>
  <si>
    <t xml:space="preserve">Site high sum 1,156: 39 MW residual still unattributed</t>
  </si>
  <si>
    <t xml:space="preserve">Vineland pair</t>
  </si>
  <si>
    <t xml:space="preserve">300 connected vs ~82 active</t>
  </si>
  <si>
    <t xml:space="preserve">218 is only the gap; ~107 IT = T1–T4 genset ceiling</t>
  </si>
  <si>
    <t xml:space="preserve">MSFT tranches</t>
  </si>
  <si>
    <t xml:space="preserve">4 of 9 live; T5–T9 Bloom-gated</t>
  </si>
  <si>
    <t xml:space="preserve">Oct 8 refresh: no new primary evidence</t>
  </si>
  <si>
    <t xml:space="preserve">Case B</t>
  </si>
  <si>
    <t xml:space="preserve">≈ −$966M 2027 revenue @ ~35%</t>
  </si>
  <si>
    <t xml:space="preserve">YE27 connected (company)</t>
  </si>
  <si>
    <t xml:space="preserve">1,882 base (E)</t>
  </si>
  <si>
    <t xml:space="preserve">Site-level only for fixed/fully built sites; others n/d</t>
  </si>
  <si>
    <t xml:space="preserve">Q3 results date</t>
  </si>
  <si>
    <t xml:space="preserve">~Nov 10 (est.)</t>
  </si>
  <si>
    <t xml:space="preserve">late Oct–mid Nov (Oct 22 or Nov 10 per third-party calendars; not company-announced)</t>
  </si>
  <si>
    <t xml:space="preserve">Convention only</t>
  </si>
  <si>
    <t xml:space="preserve">Team lock Oct 8: may precede Nov 6–9 NJDEP deadline</t>
  </si>
  <si>
    <t xml:space="preserve">Street FY27 $/billed MW (base)</t>
  </si>
  <si>
    <t xml:space="preserve">~$25.9M</t>
  </si>
  <si>
    <t xml:space="preserve">~$22.9M</t>
  </si>
  <si>
    <t xml:space="preserve">$12.3B consensus (E) ÷ 536.5; Modeling to confirm</t>
  </si>
  <si>
    <t xml:space="preserve">Non-Vineland FY27 avg billed base</t>
  </si>
  <si>
    <t xml:space="preserve">~288 (slide-implied)</t>
  </si>
  <si>
    <t xml:space="preserve">~349.5</t>
  </si>
  <si>
    <t xml:space="preserve">Slide-implied non-Vineland $/MW ~−17.6%</t>
  </si>
  <si>
    <t xml:space="preserve">Final_Table!C54 band label</t>
  </si>
  <si>
    <t xml:space="preserve">E (top of disclosed comps band $9.7–16.2M)</t>
  </si>
  <si>
    <t xml:space="preserve">E (top of disclosed comps band $9.7–16.7M)</t>
  </si>
  <si>
    <t xml:space="preserve">Text only</t>
  </si>
  <si>
    <t xml:space="preserve">Oct 8 3:25 PM, per Grok: band label updated to the locked $9.7–16.7M; no values or formulas changed</t>
  </si>
  <si>
    <t xml:space="preserve">Oct 9 AM, per Grok Oct 8 11:44 PM: added "as reported" (Lambda/Bitdeer MW basis unstated); no values or formulas changed</t>
  </si>
  <si>
    <t xml:space="preserve">Used for</t>
  </si>
  <si>
    <t xml:space="preserve">/workspace/nebius/capacity/nebius_capacity.xlsx (v2)</t>
  </si>
  <si>
    <t xml:space="preserve">Quarterly MW energized base/high per site, Basis factors, rows 135-148 company series, Vineland tranche track</t>
  </si>
  <si>
    <t xml:space="preserve">/workspace/nebius/capacity/ye26_active_vs_connected.xlsx (Oct 5)</t>
  </si>
  <si>
    <t xml:space="preserve">YE26 connected L/B/H site splits (E) summing to 941</t>
  </si>
  <si>
    <t xml:space="preserve">/workspace/nebius/capacity/site_tracker_wed.xlsx/.md</t>
  </si>
  <si>
    <t xml:space="preserve">Owned/leased, customer, colo MW gaps, billing lock notes</t>
  </si>
  <si>
    <t xml:space="preserve">/workspace/nebius/capacity/owned_campus_power_path.md</t>
  </si>
  <si>
    <t xml:space="preserve">Independence / Butler / Birmingham power path; connected = feed/shell not IT</t>
  </si>
  <si>
    <t xml:space="preserve">/workspace/nebius/capacity/gpu_mw_capex.xlsx</t>
  </si>
  <si>
    <t xml:space="preserve">PUE / IT-gross conversion context</t>
  </si>
  <si>
    <t xml:space="preserve">/workspace/nebius/capacity/uncontracted_split.csv</t>
  </si>
  <si>
    <t xml:space="preserve">Contracted vs uncontracted flags (context)</t>
  </si>
  <si>
    <t xml:space="preserve">/workspace/nebius/model/nebius_model_recalc_preview_v09d.xlsx</t>
  </si>
  <si>
    <t xml:space="preserve">Judge_Slide B25/B26/B34/B35 locks; Revenue!F12 quarter-average method</t>
  </si>
  <si>
    <t xml:space="preserve">/workspace/nebius/capacity/vineland_watch.md (§0c, §1c Oct 8)</t>
  </si>
  <si>
    <t xml:space="preserve">Locked billing path; Vineland status Oct 8</t>
  </si>
  <si>
    <t xml:space="preserve">Nebius Q2'25, Q3'25, Q1'26, Q2'26 shareholder letters; FY25 20-F</t>
  </si>
  <si>
    <t xml:space="preserve">Connected definition; YE26 guide 800 MW–1 GW; Microsoft 9 tranches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</si>
</sst>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\x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color rgb="FFC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1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1" t="s">
        <v>4</v>
      </c>
    </row>
    <row r="8" customFormat="false" ht="15" hidden="false" customHeight="true" outlineLevel="0" collapsed="false">
      <c r="A8" s="1" t="s">
        <v>5</v>
      </c>
    </row>
    <row r="9" customFormat="false" ht="15" hidden="false" customHeight="true" outlineLevel="0" collapsed="false">
      <c r="A9" s="1" t="s">
        <v>6</v>
      </c>
    </row>
    <row r="10" customFormat="false" ht="15" hidden="false" customHeight="true" outlineLevel="0" collapsed="false">
      <c r="A10" s="1" t="s">
        <v>7</v>
      </c>
    </row>
    <row r="11" customFormat="false" ht="15" hidden="false" customHeight="true" outlineLevel="0" collapsed="false">
      <c r="A11" s="1" t="s">
        <v>8</v>
      </c>
    </row>
    <row r="12" customFormat="false" ht="15" hidden="false" customHeight="true" outlineLevel="0" collapsed="false">
      <c r="A12" s="1" t="s">
        <v>9</v>
      </c>
    </row>
    <row r="14" customFormat="false" ht="15" hidden="false" customHeight="true" outlineLevel="0" collapsed="false">
      <c r="A14" s="1" t="s">
        <v>10</v>
      </c>
    </row>
    <row r="15" customFormat="false" ht="15" hidden="false" customHeight="true" outlineLevel="0" collapsed="false">
      <c r="A15" s="1" t="s">
        <v>11</v>
      </c>
    </row>
    <row r="16" customFormat="false" ht="15" hidden="false" customHeight="true" outlineLevel="0" collapsed="false">
      <c r="A16" s="1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6" min="4" style="1" width="11"/>
    <col collapsed="false" customWidth="true" hidden="false" outlineLevel="0" max="7" min="7" style="1" width="12"/>
    <col collapsed="false" customWidth="true" hidden="false" outlineLevel="0" max="9" min="8" style="1" width="11"/>
    <col collapsed="false" customWidth="true" hidden="false" outlineLevel="0" max="11" min="10" style="1" width="12"/>
    <col collapsed="false" customWidth="true" hidden="false" outlineLevel="0" max="13" min="12" style="1" width="13"/>
    <col collapsed="false" customWidth="true" hidden="false" outlineLevel="0" max="14" min="14" style="1" width="14"/>
    <col collapsed="false" customWidth="true" hidden="false" outlineLevel="0" max="15" min="15" style="1" width="70"/>
    <col collapsed="false" customWidth="true" hidden="false" outlineLevel="0" max="16" min="16" style="1" width="30"/>
    <col collapsed="false" customWidth="true" hidden="false" outlineLevel="0" max="17" min="17" style="1" width="45"/>
  </cols>
  <sheetData>
    <row r="1" customFormat="false" ht="15.75" hidden="false" customHeight="true" outlineLevel="0" collapsed="false">
      <c r="A1" s="2" t="s">
        <v>13</v>
      </c>
    </row>
    <row r="2" customFormat="false" ht="15" hidden="false" customHeight="true" outlineLevel="0" collapsed="false">
      <c r="A2" s="1" t="s">
        <v>14</v>
      </c>
    </row>
    <row r="3" customFormat="false" ht="15" hidden="false" customHeight="true" outlineLevel="0" collapsed="false">
      <c r="A3" s="3" t="s">
        <v>15</v>
      </c>
    </row>
    <row r="5" customFormat="false" ht="95.25" hidden="false" customHeight="tru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4" t="s">
        <v>29</v>
      </c>
      <c r="O5" s="4" t="s">
        <v>30</v>
      </c>
      <c r="P5" s="4" t="s">
        <v>31</v>
      </c>
      <c r="Q5" s="4" t="s">
        <v>32</v>
      </c>
    </row>
    <row r="6" customFormat="false" ht="15" hidden="false" customHeight="true" outlineLevel="0" collapsed="false">
      <c r="A6" s="1" t="s">
        <v>33</v>
      </c>
      <c r="B6" s="1" t="s">
        <v>34</v>
      </c>
      <c r="C6" s="1" t="s">
        <v>35</v>
      </c>
      <c r="D6" s="5" t="n">
        <v>300</v>
      </c>
      <c r="E6" s="5" t="n">
        <v>300</v>
      </c>
      <c r="F6" s="5" t="n">
        <v>300</v>
      </c>
      <c r="G6" s="1" t="n">
        <f aca="false">Quarterly_IT!E2</f>
        <v>81.8</v>
      </c>
      <c r="H6" s="1" t="n">
        <f aca="false">Quarterly_IT!$B$30</f>
        <v>106.666666666667</v>
      </c>
      <c r="I6" s="1" t="n">
        <f aca="false">Quarterly_IT!$B$30</f>
        <v>106.666666666667</v>
      </c>
      <c r="J6" s="1" t="n">
        <f aca="false">Quarterly_IT!$B$44</f>
        <v>182.329216759459</v>
      </c>
      <c r="K6" s="1" t="n">
        <f aca="false">Quarterly_IT!$B$44</f>
        <v>182.329216759459</v>
      </c>
      <c r="L6" s="5" t="n">
        <v>300</v>
      </c>
      <c r="M6" s="1" t="n">
        <f aca="false">IF(ISNUMBER(E6),E6-IF(ISNUMBER(H6),H6,0),"n/d")</f>
        <v>193.333333333333</v>
      </c>
      <c r="N6" s="1" t="s">
        <v>36</v>
      </c>
      <c r="O6" s="1" t="s">
        <v>37</v>
      </c>
      <c r="P6" s="1" t="s">
        <v>38</v>
      </c>
      <c r="Q6" s="1" t="s">
        <v>39</v>
      </c>
    </row>
    <row r="7" customFormat="false" ht="15" hidden="false" customHeight="true" outlineLevel="0" collapsed="false">
      <c r="A7" s="1" t="s">
        <v>40</v>
      </c>
      <c r="B7" s="1" t="s">
        <v>41</v>
      </c>
      <c r="C7" s="1" t="s">
        <v>42</v>
      </c>
      <c r="D7" s="5" t="n">
        <v>0</v>
      </c>
      <c r="E7" s="5" t="n">
        <v>100</v>
      </c>
      <c r="F7" s="5" t="n">
        <v>200</v>
      </c>
      <c r="G7" s="1" t="n">
        <f aca="false">Quarterly_IT!E3</f>
        <v>0</v>
      </c>
      <c r="H7" s="1" t="n">
        <f aca="false">Quarterly_IT!D3</f>
        <v>0</v>
      </c>
      <c r="I7" s="1" t="n">
        <f aca="false">Quarterly_IT!J3</f>
        <v>0</v>
      </c>
      <c r="J7" s="1" t="n">
        <f aca="false">(Quarterly_IT!D3+2*Quarterly_IT!E3+2*Quarterly_IT!F3+2*Quarterly_IT!G3+Quarterly_IT!H3)/8</f>
        <v>4.629625</v>
      </c>
      <c r="K7" s="1" t="n">
        <f aca="false">(Quarterly_IT!J3+2*Quarterly_IT!K3+2*Quarterly_IT!L3+2*Quarterly_IT!M3+Quarterly_IT!N3)/8</f>
        <v>9.2592625</v>
      </c>
      <c r="L7" s="1" t="s">
        <v>43</v>
      </c>
      <c r="M7" s="1" t="n">
        <f aca="false">IF(ISNUMBER(E7),E7-IF(ISNUMBER(H7),H7,0),"n/d")</f>
        <v>100</v>
      </c>
      <c r="N7" s="1" t="s">
        <v>44</v>
      </c>
      <c r="O7" s="1" t="s">
        <v>45</v>
      </c>
      <c r="P7" s="1" t="s">
        <v>46</v>
      </c>
      <c r="Q7" s="1" t="s">
        <v>47</v>
      </c>
    </row>
    <row r="8" customFormat="false" ht="15" hidden="false" customHeight="true" outlineLevel="0" collapsed="false">
      <c r="A8" s="1" t="s">
        <v>48</v>
      </c>
      <c r="B8" s="1" t="s">
        <v>41</v>
      </c>
      <c r="C8" s="1" t="s">
        <v>49</v>
      </c>
      <c r="D8" s="5" t="n">
        <v>0</v>
      </c>
      <c r="E8" s="5" t="n">
        <v>0</v>
      </c>
      <c r="F8" s="5" t="n">
        <v>0</v>
      </c>
      <c r="G8" s="1" t="n">
        <f aca="false">Quarterly_IT!E4</f>
        <v>0</v>
      </c>
      <c r="H8" s="1" t="n">
        <f aca="false">Quarterly_IT!D4</f>
        <v>0</v>
      </c>
      <c r="I8" s="1" t="n">
        <f aca="false">Quarterly_IT!J4</f>
        <v>0</v>
      </c>
      <c r="J8" s="1" t="n">
        <f aca="false">(Quarterly_IT!D4+2*Quarterly_IT!E4+2*Quarterly_IT!F4+2*Quarterly_IT!G4+Quarterly_IT!H4)/8</f>
        <v>0</v>
      </c>
      <c r="K8" s="1" t="n">
        <f aca="false">(Quarterly_IT!J4+2*Quarterly_IT!K4+2*Quarterly_IT!L4+2*Quarterly_IT!M4+Quarterly_IT!N4)/8</f>
        <v>0</v>
      </c>
      <c r="L8" s="1" t="s">
        <v>43</v>
      </c>
      <c r="M8" s="1" t="n">
        <f aca="false">IF(ISNUMBER(E8),E8-IF(ISNUMBER(H8),H8,0),"n/d")</f>
        <v>0</v>
      </c>
      <c r="N8" s="1" t="s">
        <v>50</v>
      </c>
      <c r="O8" s="1" t="s">
        <v>51</v>
      </c>
      <c r="P8" s="1" t="s">
        <v>46</v>
      </c>
      <c r="Q8" s="1" t="s">
        <v>52</v>
      </c>
    </row>
    <row r="9" customFormat="false" ht="15" hidden="false" customHeight="true" outlineLevel="0" collapsed="false">
      <c r="A9" s="1" t="s">
        <v>53</v>
      </c>
      <c r="B9" s="1" t="s">
        <v>41</v>
      </c>
      <c r="C9" s="1" t="s">
        <v>49</v>
      </c>
      <c r="D9" s="5" t="n">
        <v>0</v>
      </c>
      <c r="E9" s="5" t="n">
        <v>50</v>
      </c>
      <c r="F9" s="5" t="n">
        <v>100</v>
      </c>
      <c r="G9" s="1" t="n">
        <f aca="false">Quarterly_IT!E5</f>
        <v>0</v>
      </c>
      <c r="H9" s="1" t="n">
        <f aca="false">Quarterly_IT!D5</f>
        <v>0</v>
      </c>
      <c r="I9" s="1" t="n">
        <f aca="false">Quarterly_IT!J5</f>
        <v>0</v>
      </c>
      <c r="J9" s="1" t="n">
        <f aca="false">(Quarterly_IT!D5+2*Quarterly_IT!E5+2*Quarterly_IT!F5+2*Quarterly_IT!G5+Quarterly_IT!H5)/8</f>
        <v>11.574075</v>
      </c>
      <c r="K9" s="1" t="n">
        <f aca="false">(Quarterly_IT!J5+2*Quarterly_IT!K5+2*Quarterly_IT!L5+2*Quarterly_IT!M5+Quarterly_IT!N5)/8</f>
        <v>20.833325</v>
      </c>
      <c r="L9" s="1" t="s">
        <v>43</v>
      </c>
      <c r="M9" s="1" t="n">
        <f aca="false">IF(ISNUMBER(E9),E9-IF(ISNUMBER(H9),H9,0),"n/d")</f>
        <v>50</v>
      </c>
      <c r="N9" s="1" t="s">
        <v>54</v>
      </c>
      <c r="O9" s="1" t="s">
        <v>55</v>
      </c>
      <c r="P9" s="1" t="s">
        <v>46</v>
      </c>
      <c r="Q9" s="1" t="s">
        <v>56</v>
      </c>
    </row>
    <row r="10" customFormat="false" ht="15" hidden="false" customHeight="true" outlineLevel="0" collapsed="false">
      <c r="A10" s="1" t="s">
        <v>57</v>
      </c>
      <c r="B10" s="1" t="s">
        <v>58</v>
      </c>
      <c r="C10" s="1" t="s">
        <v>59</v>
      </c>
      <c r="D10" s="5" t="n">
        <v>30</v>
      </c>
      <c r="E10" s="5" t="n">
        <v>120</v>
      </c>
      <c r="F10" s="5" t="n">
        <v>120</v>
      </c>
      <c r="G10" s="1" t="n">
        <f aca="false">Quarterly_IT!E6</f>
        <v>23.0769</v>
      </c>
      <c r="H10" s="1" t="n">
        <f aca="false">Quarterly_IT!D6</f>
        <v>0</v>
      </c>
      <c r="I10" s="1" t="n">
        <f aca="false">Quarterly_IT!J6</f>
        <v>0</v>
      </c>
      <c r="J10" s="1" t="n">
        <f aca="false">(Quarterly_IT!D6+2*Quarterly_IT!E6+2*Quarterly_IT!F6+2*Quarterly_IT!G6+Quarterly_IT!H6)/8</f>
        <v>54.5192375</v>
      </c>
      <c r="K10" s="1" t="n">
        <f aca="false">(Quarterly_IT!J6+2*Quarterly_IT!K6+2*Quarterly_IT!L6+2*Quarterly_IT!M6+Quarterly_IT!N6)/8</f>
        <v>86.5384375</v>
      </c>
      <c r="L10" s="1" t="s">
        <v>43</v>
      </c>
      <c r="M10" s="1" t="n">
        <f aca="false">IF(ISNUMBER(E10),E10-IF(ISNUMBER(H10),H10,0),"n/d")</f>
        <v>120</v>
      </c>
      <c r="N10" s="1" t="s">
        <v>60</v>
      </c>
      <c r="O10" s="1" t="s">
        <v>61</v>
      </c>
      <c r="P10" s="1" t="s">
        <v>46</v>
      </c>
      <c r="Q10" s="1" t="s">
        <v>62</v>
      </c>
    </row>
    <row r="11" customFormat="false" ht="15" hidden="false" customHeight="true" outlineLevel="0" collapsed="false">
      <c r="A11" s="1" t="s">
        <v>63</v>
      </c>
      <c r="B11" s="1" t="s">
        <v>41</v>
      </c>
      <c r="C11" s="1" t="s">
        <v>49</v>
      </c>
      <c r="D11" s="5" t="n">
        <v>0</v>
      </c>
      <c r="E11" s="5" t="n">
        <v>0</v>
      </c>
      <c r="F11" s="5" t="n">
        <v>0</v>
      </c>
      <c r="G11" s="1" t="n">
        <f aca="false">Quarterly_IT!E7</f>
        <v>0</v>
      </c>
      <c r="H11" s="1" t="n">
        <f aca="false">Quarterly_IT!D7</f>
        <v>0</v>
      </c>
      <c r="I11" s="1" t="n">
        <f aca="false">Quarterly_IT!J7</f>
        <v>0</v>
      </c>
      <c r="J11" s="1" t="n">
        <f aca="false">(Quarterly_IT!D7+2*Quarterly_IT!E7+2*Quarterly_IT!F7+2*Quarterly_IT!G7+Quarterly_IT!H7)/8</f>
        <v>7.6087</v>
      </c>
      <c r="K11" s="1" t="n">
        <f aca="false">(Quarterly_IT!J7+2*Quarterly_IT!K7+2*Quarterly_IT!L7+2*Quarterly_IT!M7+Quarterly_IT!N7)/8</f>
        <v>15.2174</v>
      </c>
      <c r="L11" s="1" t="s">
        <v>43</v>
      </c>
      <c r="M11" s="1" t="n">
        <f aca="false">IF(ISNUMBER(E11),E11-IF(ISNUMBER(H11),H11,0),"n/d")</f>
        <v>0</v>
      </c>
      <c r="N11" s="1" t="s">
        <v>54</v>
      </c>
      <c r="O11" s="1" t="s">
        <v>64</v>
      </c>
      <c r="P11" s="1" t="s">
        <v>46</v>
      </c>
      <c r="Q11" s="1" t="s">
        <v>65</v>
      </c>
    </row>
    <row r="12" customFormat="false" ht="15" hidden="false" customHeight="true" outlineLevel="0" collapsed="false">
      <c r="A12" s="1" t="s">
        <v>66</v>
      </c>
      <c r="B12" s="1" t="s">
        <v>41</v>
      </c>
      <c r="C12" s="1" t="s">
        <v>67</v>
      </c>
      <c r="D12" s="5" t="n">
        <v>75</v>
      </c>
      <c r="E12" s="5" t="n">
        <v>75</v>
      </c>
      <c r="F12" s="5" t="n">
        <v>75</v>
      </c>
      <c r="G12" s="1" t="n">
        <f aca="false">Quarterly_IT!E8</f>
        <v>68.1818</v>
      </c>
      <c r="H12" s="1" t="n">
        <f aca="false">Quarterly_IT!D8</f>
        <v>68.1818</v>
      </c>
      <c r="I12" s="1" t="n">
        <f aca="false">Quarterly_IT!J8</f>
        <v>68.1818</v>
      </c>
      <c r="J12" s="1" t="n">
        <f aca="false">(Quarterly_IT!D8+2*Quarterly_IT!E8+2*Quarterly_IT!F8+2*Quarterly_IT!G8+Quarterly_IT!H8)/8</f>
        <v>68.1818</v>
      </c>
      <c r="K12" s="1" t="n">
        <f aca="false">(Quarterly_IT!J8+2*Quarterly_IT!K8+2*Quarterly_IT!L8+2*Quarterly_IT!M8+Quarterly_IT!N8)/8</f>
        <v>68.1818</v>
      </c>
      <c r="L12" s="5" t="n">
        <v>75</v>
      </c>
      <c r="M12" s="1" t="n">
        <f aca="false">IF(ISNUMBER(E12),E12-IF(ISNUMBER(H12),H12,0),"n/d")</f>
        <v>6.8182</v>
      </c>
      <c r="N12" s="1" t="s">
        <v>50</v>
      </c>
      <c r="O12" s="1" t="s">
        <v>68</v>
      </c>
      <c r="P12" s="1" t="s">
        <v>46</v>
      </c>
      <c r="Q12" s="1" t="s">
        <v>69</v>
      </c>
    </row>
    <row r="13" customFormat="false" ht="15" hidden="false" customHeight="true" outlineLevel="0" collapsed="false">
      <c r="A13" s="1" t="s">
        <v>70</v>
      </c>
      <c r="B13" s="1" t="s">
        <v>41</v>
      </c>
      <c r="C13" s="1" t="s">
        <v>49</v>
      </c>
      <c r="D13" s="5" t="n">
        <v>0</v>
      </c>
      <c r="E13" s="5" t="n">
        <v>0</v>
      </c>
      <c r="F13" s="5" t="n">
        <v>0</v>
      </c>
      <c r="G13" s="1" t="n">
        <f aca="false">Quarterly_IT!E9</f>
        <v>0</v>
      </c>
      <c r="H13" s="1" t="n">
        <f aca="false">Quarterly_IT!D9</f>
        <v>0</v>
      </c>
      <c r="I13" s="1" t="n">
        <f aca="false">Quarterly_IT!J9</f>
        <v>0</v>
      </c>
      <c r="J13" s="1" t="n">
        <f aca="false">(Quarterly_IT!D9+2*Quarterly_IT!E9+2*Quarterly_IT!F9+2*Quarterly_IT!G9+Quarterly_IT!H9)/8</f>
        <v>0</v>
      </c>
      <c r="K13" s="1" t="n">
        <f aca="false">(Quarterly_IT!J9+2*Quarterly_IT!K9+2*Quarterly_IT!L9+2*Quarterly_IT!M9+Quarterly_IT!N9)/8</f>
        <v>0</v>
      </c>
      <c r="L13" s="1" t="s">
        <v>43</v>
      </c>
      <c r="M13" s="1" t="n">
        <f aca="false">IF(ISNUMBER(E13),E13-IF(ISNUMBER(H13),H13,0),"n/d")</f>
        <v>0</v>
      </c>
      <c r="N13" s="1" t="s">
        <v>54</v>
      </c>
      <c r="O13" s="1" t="s">
        <v>71</v>
      </c>
      <c r="P13" s="1" t="s">
        <v>46</v>
      </c>
      <c r="Q13" s="1" t="s">
        <v>72</v>
      </c>
    </row>
    <row r="14" customFormat="false" ht="15" hidden="false" customHeight="true" outlineLevel="0" collapsed="false">
      <c r="A14" s="1" t="s">
        <v>73</v>
      </c>
      <c r="B14" s="1" t="s">
        <v>58</v>
      </c>
      <c r="C14" s="1" t="s">
        <v>67</v>
      </c>
      <c r="D14" s="5" t="n">
        <v>20</v>
      </c>
      <c r="E14" s="5" t="n">
        <v>40</v>
      </c>
      <c r="F14" s="5" t="n">
        <v>40</v>
      </c>
      <c r="G14" s="1" t="n">
        <f aca="false">Quarterly_IT!E10</f>
        <v>20</v>
      </c>
      <c r="H14" s="1" t="n">
        <f aca="false">Quarterly_IT!D10</f>
        <v>20</v>
      </c>
      <c r="I14" s="1" t="n">
        <f aca="false">Quarterly_IT!J10</f>
        <v>35</v>
      </c>
      <c r="J14" s="1" t="n">
        <f aca="false">(Quarterly_IT!D10+2*Quarterly_IT!E10+2*Quarterly_IT!F10+2*Quarterly_IT!G10+Quarterly_IT!H10)/8</f>
        <v>20</v>
      </c>
      <c r="K14" s="1" t="n">
        <f aca="false">(Quarterly_IT!J10+2*Quarterly_IT!K10+2*Quarterly_IT!L10+2*Quarterly_IT!M10+Quarterly_IT!N10)/8</f>
        <v>35</v>
      </c>
      <c r="L14" s="1" t="s">
        <v>43</v>
      </c>
      <c r="M14" s="1" t="n">
        <f aca="false">IF(ISNUMBER(E14),E14-IF(ISNUMBER(H14),H14,0),"n/d")</f>
        <v>20</v>
      </c>
      <c r="N14" s="1" t="s">
        <v>54</v>
      </c>
      <c r="O14" s="1" t="s">
        <v>74</v>
      </c>
      <c r="P14" s="1" t="s">
        <v>46</v>
      </c>
      <c r="Q14" s="1" t="s">
        <v>75</v>
      </c>
    </row>
    <row r="15" customFormat="false" ht="15" hidden="false" customHeight="true" outlineLevel="0" collapsed="false">
      <c r="A15" s="1" t="s">
        <v>76</v>
      </c>
      <c r="B15" s="1" t="s">
        <v>58</v>
      </c>
      <c r="C15" s="1" t="s">
        <v>67</v>
      </c>
      <c r="D15" s="5" t="n">
        <v>5</v>
      </c>
      <c r="E15" s="5" t="n">
        <v>5</v>
      </c>
      <c r="F15" s="5" t="n">
        <v>5</v>
      </c>
      <c r="G15" s="1" t="n">
        <f aca="false">Quarterly_IT!E11</f>
        <v>5</v>
      </c>
      <c r="H15" s="1" t="n">
        <f aca="false">Quarterly_IT!D11</f>
        <v>5</v>
      </c>
      <c r="I15" s="1" t="n">
        <f aca="false">Quarterly_IT!J11</f>
        <v>5</v>
      </c>
      <c r="J15" s="1" t="n">
        <f aca="false">(Quarterly_IT!D11+2*Quarterly_IT!E11+2*Quarterly_IT!F11+2*Quarterly_IT!G11+Quarterly_IT!H11)/8</f>
        <v>5</v>
      </c>
      <c r="K15" s="1" t="n">
        <f aca="false">(Quarterly_IT!J11+2*Quarterly_IT!K11+2*Quarterly_IT!L11+2*Quarterly_IT!M11+Quarterly_IT!N11)/8</f>
        <v>5</v>
      </c>
      <c r="L15" s="5" t="n">
        <v>5</v>
      </c>
      <c r="M15" s="1" t="n">
        <f aca="false">IF(ISNUMBER(E15),E15-IF(ISNUMBER(H15),H15,0),"n/d")</f>
        <v>0</v>
      </c>
      <c r="N15" s="1" t="s">
        <v>54</v>
      </c>
      <c r="O15" s="1" t="s">
        <v>77</v>
      </c>
      <c r="P15" s="1" t="s">
        <v>46</v>
      </c>
      <c r="Q15" s="1" t="s">
        <v>72</v>
      </c>
    </row>
    <row r="16" customFormat="false" ht="15" hidden="false" customHeight="true" outlineLevel="0" collapsed="false">
      <c r="A16" s="1" t="s">
        <v>78</v>
      </c>
      <c r="B16" s="1" t="s">
        <v>58</v>
      </c>
      <c r="C16" s="1" t="s">
        <v>67</v>
      </c>
      <c r="D16" s="5" t="n">
        <v>10</v>
      </c>
      <c r="E16" s="5" t="n">
        <v>10</v>
      </c>
      <c r="F16" s="5" t="n">
        <v>10</v>
      </c>
      <c r="G16" s="1" t="n">
        <f aca="false">Quarterly_IT!E12</f>
        <v>10</v>
      </c>
      <c r="H16" s="1" t="n">
        <f aca="false">Quarterly_IT!D12</f>
        <v>10</v>
      </c>
      <c r="I16" s="1" t="n">
        <f aca="false">Quarterly_IT!J12</f>
        <v>10</v>
      </c>
      <c r="J16" s="1" t="n">
        <f aca="false">(Quarterly_IT!D12+2*Quarterly_IT!E12+2*Quarterly_IT!F12+2*Quarterly_IT!G12+Quarterly_IT!H12)/8</f>
        <v>10</v>
      </c>
      <c r="K16" s="1" t="n">
        <f aca="false">(Quarterly_IT!J12+2*Quarterly_IT!K12+2*Quarterly_IT!L12+2*Quarterly_IT!M12+Quarterly_IT!N12)/8</f>
        <v>10</v>
      </c>
      <c r="L16" s="5" t="n">
        <v>10</v>
      </c>
      <c r="M16" s="1" t="n">
        <f aca="false">IF(ISNUMBER(E16),E16-IF(ISNUMBER(H16),H16,0),"n/d")</f>
        <v>0</v>
      </c>
      <c r="N16" s="1" t="s">
        <v>50</v>
      </c>
      <c r="O16" s="1" t="s">
        <v>79</v>
      </c>
      <c r="P16" s="1" t="s">
        <v>46</v>
      </c>
      <c r="Q16" s="1" t="s">
        <v>72</v>
      </c>
    </row>
    <row r="17" customFormat="false" ht="15" hidden="false" customHeight="true" outlineLevel="0" collapsed="false">
      <c r="A17" s="1" t="s">
        <v>80</v>
      </c>
      <c r="B17" s="1" t="s">
        <v>58</v>
      </c>
      <c r="C17" s="1" t="s">
        <v>67</v>
      </c>
      <c r="D17" s="5" t="n">
        <v>16</v>
      </c>
      <c r="E17" s="5" t="n">
        <v>19</v>
      </c>
      <c r="F17" s="5" t="n">
        <v>19</v>
      </c>
      <c r="G17" s="1" t="n">
        <f aca="false">Quarterly_IT!E13</f>
        <v>13.4615</v>
      </c>
      <c r="H17" s="1" t="n">
        <f aca="false">Quarterly_IT!D13</f>
        <v>12.3077</v>
      </c>
      <c r="I17" s="1" t="n">
        <f aca="false">Quarterly_IT!J13</f>
        <v>12.3077</v>
      </c>
      <c r="J17" s="1" t="n">
        <f aca="false">(Quarterly_IT!D13+2*Quarterly_IT!E13+2*Quarterly_IT!F13+2*Quarterly_IT!G13+Quarterly_IT!H13)/8</f>
        <v>14.0384625</v>
      </c>
      <c r="K17" s="1" t="n">
        <f aca="false">(Quarterly_IT!J13+2*Quarterly_IT!K13+2*Quarterly_IT!L13+2*Quarterly_IT!M13+Quarterly_IT!N13)/8</f>
        <v>14.3269375</v>
      </c>
      <c r="L17" s="5" t="n">
        <v>19</v>
      </c>
      <c r="M17" s="1" t="n">
        <f aca="false">IF(ISNUMBER(E17),E17-IF(ISNUMBER(H17),H17,0),"n/d")</f>
        <v>6.6923</v>
      </c>
      <c r="N17" s="1" t="s">
        <v>50</v>
      </c>
      <c r="O17" s="1" t="s">
        <v>81</v>
      </c>
      <c r="P17" s="1" t="s">
        <v>46</v>
      </c>
      <c r="Q17" s="1" t="s">
        <v>82</v>
      </c>
    </row>
    <row r="18" customFormat="false" ht="15" hidden="false" customHeight="true" outlineLevel="0" collapsed="false">
      <c r="A18" s="1" t="s">
        <v>83</v>
      </c>
      <c r="B18" s="1" t="s">
        <v>58</v>
      </c>
      <c r="C18" s="1" t="s">
        <v>43</v>
      </c>
      <c r="D18" s="5" t="n">
        <v>2.2</v>
      </c>
      <c r="E18" s="5" t="n">
        <v>22</v>
      </c>
      <c r="F18" s="5" t="n">
        <v>22</v>
      </c>
      <c r="G18" s="1" t="n">
        <f aca="false">Quarterly_IT!E14</f>
        <v>2.2</v>
      </c>
      <c r="H18" s="1" t="n">
        <f aca="false">Quarterly_IT!D14</f>
        <v>0</v>
      </c>
      <c r="I18" s="1" t="n">
        <f aca="false">Quarterly_IT!J14</f>
        <v>0</v>
      </c>
      <c r="J18" s="1" t="n">
        <f aca="false">(Quarterly_IT!D14+2*Quarterly_IT!E14+2*Quarterly_IT!F14+2*Quarterly_IT!G14+Quarterly_IT!H14)/8</f>
        <v>9.9</v>
      </c>
      <c r="K18" s="1" t="n">
        <f aca="false">(Quarterly_IT!J14+2*Quarterly_IT!K14+2*Quarterly_IT!L14+2*Quarterly_IT!M14+Quarterly_IT!N14)/8</f>
        <v>14.85</v>
      </c>
      <c r="L18" s="1" t="s">
        <v>43</v>
      </c>
      <c r="M18" s="1" t="n">
        <f aca="false">IF(ISNUMBER(E18),E18-IF(ISNUMBER(H18),H18,0),"n/d")</f>
        <v>22</v>
      </c>
      <c r="N18" s="1" t="s">
        <v>54</v>
      </c>
      <c r="O18" s="1" t="s">
        <v>84</v>
      </c>
      <c r="P18" s="1" t="s">
        <v>46</v>
      </c>
      <c r="Q18" s="1" t="s">
        <v>85</v>
      </c>
    </row>
    <row r="19" customFormat="false" ht="15" hidden="false" customHeight="true" outlineLevel="0" collapsed="false">
      <c r="A19" s="1" t="s">
        <v>86</v>
      </c>
      <c r="B19" s="1" t="s">
        <v>58</v>
      </c>
      <c r="C19" s="1" t="s">
        <v>43</v>
      </c>
      <c r="D19" s="5" t="n">
        <v>0</v>
      </c>
      <c r="E19" s="5" t="n">
        <v>10</v>
      </c>
      <c r="F19" s="5" t="n">
        <v>20</v>
      </c>
      <c r="G19" s="1" t="n">
        <f aca="false">Quarterly_IT!E15</f>
        <v>5</v>
      </c>
      <c r="H19" s="1" t="n">
        <f aca="false">Quarterly_IT!D15</f>
        <v>0</v>
      </c>
      <c r="I19" s="1" t="n">
        <f aca="false">Quarterly_IT!J15</f>
        <v>0</v>
      </c>
      <c r="J19" s="1" t="n">
        <f aca="false">(Quarterly_IT!D15+2*Quarterly_IT!E15+2*Quarterly_IT!F15+2*Quarterly_IT!G15+Quarterly_IT!H15)/8</f>
        <v>14.25</v>
      </c>
      <c r="K19" s="1" t="n">
        <f aca="false">(Quarterly_IT!J15+2*Quarterly_IT!K15+2*Quarterly_IT!L15+2*Quarterly_IT!M15+Quarterly_IT!N15)/8</f>
        <v>22.875</v>
      </c>
      <c r="L19" s="1" t="s">
        <v>43</v>
      </c>
      <c r="M19" s="1" t="n">
        <f aca="false">IF(ISNUMBER(E19),E19-IF(ISNUMBER(H19),H19,0),"n/d")</f>
        <v>10</v>
      </c>
      <c r="N19" s="1" t="s">
        <v>87</v>
      </c>
      <c r="O19" s="1" t="s">
        <v>88</v>
      </c>
      <c r="P19" s="1" t="s">
        <v>46</v>
      </c>
      <c r="Q19" s="1" t="s">
        <v>89</v>
      </c>
    </row>
    <row r="20" customFormat="false" ht="15" hidden="false" customHeight="true" outlineLevel="0" collapsed="false">
      <c r="A20" s="1" t="s">
        <v>90</v>
      </c>
      <c r="B20" s="1" t="s">
        <v>91</v>
      </c>
      <c r="C20" s="1" t="s">
        <v>43</v>
      </c>
      <c r="D20" s="5" t="n">
        <v>0</v>
      </c>
      <c r="E20" s="5" t="n">
        <v>5</v>
      </c>
      <c r="F20" s="5" t="n">
        <v>10</v>
      </c>
      <c r="G20" s="1" t="n">
        <f aca="false">Quarterly_IT!E16</f>
        <v>0</v>
      </c>
      <c r="H20" s="1" t="n">
        <f aca="false">Quarterly_IT!D16</f>
        <v>0</v>
      </c>
      <c r="I20" s="1" t="n">
        <f aca="false">Quarterly_IT!J16</f>
        <v>0</v>
      </c>
      <c r="J20" s="1" t="n">
        <f aca="false">(Quarterly_IT!D16+2*Quarterly_IT!E16+2*Quarterly_IT!F16+2*Quarterly_IT!G16+Quarterly_IT!H16)/8</f>
        <v>1.375</v>
      </c>
      <c r="K20" s="1" t="n">
        <f aca="false">(Quarterly_IT!J16+2*Quarterly_IT!K16+2*Quarterly_IT!L16+2*Quarterly_IT!M16+Quarterly_IT!N16)/8</f>
        <v>2.75</v>
      </c>
      <c r="L20" s="1" t="s">
        <v>43</v>
      </c>
      <c r="M20" s="1" t="n">
        <f aca="false">IF(ISNUMBER(E20),E20-IF(ISNUMBER(H20),H20,0),"n/d")</f>
        <v>5</v>
      </c>
      <c r="N20" s="1" t="s">
        <v>87</v>
      </c>
      <c r="O20" s="1" t="s">
        <v>92</v>
      </c>
      <c r="P20" s="1" t="s">
        <v>46</v>
      </c>
      <c r="Q20" s="1" t="s">
        <v>89</v>
      </c>
    </row>
    <row r="21" customFormat="false" ht="15" hidden="false" customHeight="true" outlineLevel="0" collapsed="false">
      <c r="A21" s="1" t="s">
        <v>93</v>
      </c>
      <c r="B21" s="1" t="s">
        <v>58</v>
      </c>
      <c r="C21" s="1" t="s">
        <v>43</v>
      </c>
      <c r="D21" s="5" t="n">
        <v>8</v>
      </c>
      <c r="E21" s="5" t="n">
        <v>8</v>
      </c>
      <c r="F21" s="5" t="n">
        <v>8</v>
      </c>
      <c r="G21" s="1" t="n">
        <f aca="false">Quarterly_IT!E17</f>
        <v>8</v>
      </c>
      <c r="H21" s="1" t="n">
        <f aca="false">Quarterly_IT!D17</f>
        <v>8</v>
      </c>
      <c r="I21" s="1" t="n">
        <f aca="false">Quarterly_IT!J17</f>
        <v>8</v>
      </c>
      <c r="J21" s="1" t="n">
        <f aca="false">(Quarterly_IT!D17+2*Quarterly_IT!E17+2*Quarterly_IT!F17+2*Quarterly_IT!G17+Quarterly_IT!H17)/8</f>
        <v>8</v>
      </c>
      <c r="K21" s="1" t="n">
        <f aca="false">(Quarterly_IT!J17+2*Quarterly_IT!K17+2*Quarterly_IT!L17+2*Quarterly_IT!M17+Quarterly_IT!N17)/8</f>
        <v>8</v>
      </c>
      <c r="L21" s="5" t="n">
        <v>8</v>
      </c>
      <c r="M21" s="1" t="n">
        <f aca="false">IF(ISNUMBER(E21),E21-IF(ISNUMBER(H21),H21,0),"n/d")</f>
        <v>0</v>
      </c>
      <c r="N21" s="1" t="s">
        <v>50</v>
      </c>
      <c r="O21" s="1" t="s">
        <v>94</v>
      </c>
      <c r="P21" s="1" t="s">
        <v>46</v>
      </c>
      <c r="Q21" s="1" t="s">
        <v>72</v>
      </c>
    </row>
    <row r="22" customFormat="false" ht="15" hidden="false" customHeight="true" outlineLevel="0" collapsed="false">
      <c r="A22" s="1" t="s">
        <v>95</v>
      </c>
      <c r="B22" s="1" t="s">
        <v>58</v>
      </c>
      <c r="C22" s="1" t="s">
        <v>43</v>
      </c>
      <c r="D22" s="5" t="n">
        <v>5.5</v>
      </c>
      <c r="E22" s="5" t="n">
        <v>22</v>
      </c>
      <c r="F22" s="5" t="n">
        <v>22</v>
      </c>
      <c r="G22" s="1" t="n">
        <f aca="false">Quarterly_IT!E18</f>
        <v>5.5</v>
      </c>
      <c r="H22" s="1" t="n">
        <f aca="false">Quarterly_IT!D18</f>
        <v>0</v>
      </c>
      <c r="I22" s="1" t="n">
        <f aca="false">Quarterly_IT!J18</f>
        <v>0</v>
      </c>
      <c r="J22" s="1" t="n">
        <f aca="false">(Quarterly_IT!D18+2*Quarterly_IT!E18+2*Quarterly_IT!F18+2*Quarterly_IT!G18+Quarterly_IT!H18)/8</f>
        <v>11</v>
      </c>
      <c r="K22" s="1" t="n">
        <f aca="false">(Quarterly_IT!J18+2*Quarterly_IT!K18+2*Quarterly_IT!L18+2*Quarterly_IT!M18+Quarterly_IT!N18)/8</f>
        <v>16.5</v>
      </c>
      <c r="L22" s="1" t="s">
        <v>43</v>
      </c>
      <c r="M22" s="1" t="n">
        <f aca="false">IF(ISNUMBER(E22),E22-IF(ISNUMBER(H22),H22,0),"n/d")</f>
        <v>22</v>
      </c>
      <c r="N22" s="1" t="s">
        <v>54</v>
      </c>
      <c r="O22" s="1" t="s">
        <v>96</v>
      </c>
      <c r="P22" s="1" t="s">
        <v>46</v>
      </c>
      <c r="Q22" s="1" t="s">
        <v>97</v>
      </c>
    </row>
    <row r="23" customFormat="false" ht="15" hidden="false" customHeight="true" outlineLevel="0" collapsed="false">
      <c r="A23" s="1" t="s">
        <v>98</v>
      </c>
      <c r="B23" s="1" t="s">
        <v>58</v>
      </c>
      <c r="C23" s="1" t="s">
        <v>43</v>
      </c>
      <c r="D23" s="5" t="n">
        <v>0</v>
      </c>
      <c r="E23" s="5" t="n">
        <v>0</v>
      </c>
      <c r="F23" s="5" t="n">
        <v>0</v>
      </c>
      <c r="G23" s="1" t="n">
        <f aca="false">Quarterly_IT!E19</f>
        <v>0</v>
      </c>
      <c r="H23" s="1" t="n">
        <f aca="false">Quarterly_IT!D19</f>
        <v>0</v>
      </c>
      <c r="I23" s="1" t="n">
        <f aca="false">Quarterly_IT!J19</f>
        <v>0</v>
      </c>
      <c r="J23" s="1" t="n">
        <f aca="false">(Quarterly_IT!D19+2*Quarterly_IT!E19+2*Quarterly_IT!F19+2*Quarterly_IT!G19+Quarterly_IT!H19)/8</f>
        <v>15.9375</v>
      </c>
      <c r="K23" s="1" t="n">
        <f aca="false">(Quarterly_IT!J19+2*Quarterly_IT!K19+2*Quarterly_IT!L19+2*Quarterly_IT!M19+Quarterly_IT!N19)/8</f>
        <v>22</v>
      </c>
      <c r="L23" s="1" t="s">
        <v>43</v>
      </c>
      <c r="M23" s="1" t="n">
        <f aca="false">IF(ISNUMBER(E23),E23-IF(ISNUMBER(H23),H23,0),"n/d")</f>
        <v>0</v>
      </c>
      <c r="N23" s="1" t="s">
        <v>54</v>
      </c>
      <c r="O23" s="1" t="s">
        <v>99</v>
      </c>
      <c r="P23" s="1" t="s">
        <v>46</v>
      </c>
      <c r="Q23" s="1" t="s">
        <v>72</v>
      </c>
    </row>
    <row r="24" customFormat="false" ht="15" hidden="false" customHeight="true" outlineLevel="0" collapsed="false">
      <c r="A24" s="1" t="s">
        <v>100</v>
      </c>
      <c r="B24" s="1" t="s">
        <v>58</v>
      </c>
      <c r="C24" s="1" t="s">
        <v>43</v>
      </c>
      <c r="D24" s="5" t="n">
        <v>13.5</v>
      </c>
      <c r="E24" s="5" t="n">
        <v>18</v>
      </c>
      <c r="F24" s="5" t="n">
        <v>18</v>
      </c>
      <c r="G24" s="1" t="n">
        <f aca="false">Quarterly_IT!E20</f>
        <v>13.5</v>
      </c>
      <c r="H24" s="1" t="n">
        <f aca="false">Quarterly_IT!D20</f>
        <v>7.5</v>
      </c>
      <c r="I24" s="1" t="n">
        <f aca="false">Quarterly_IT!J20</f>
        <v>9</v>
      </c>
      <c r="J24" s="1" t="n">
        <f aca="false">(Quarterly_IT!D20+2*Quarterly_IT!E20+2*Quarterly_IT!F20+2*Quarterly_IT!G20+Quarterly_IT!H20)/8</f>
        <v>15.5625</v>
      </c>
      <c r="K24" s="1" t="n">
        <f aca="false">(Quarterly_IT!J20+2*Quarterly_IT!K20+2*Quarterly_IT!L20+2*Quarterly_IT!M20+Quarterly_IT!N20)/8</f>
        <v>16.875</v>
      </c>
      <c r="L24" s="1" t="s">
        <v>43</v>
      </c>
      <c r="M24" s="1" t="n">
        <f aca="false">IF(ISNUMBER(E24),E24-IF(ISNUMBER(H24),H24,0),"n/d")</f>
        <v>10.5</v>
      </c>
      <c r="N24" s="1" t="s">
        <v>54</v>
      </c>
      <c r="O24" s="1" t="s">
        <v>101</v>
      </c>
      <c r="P24" s="1" t="s">
        <v>46</v>
      </c>
      <c r="Q24" s="1" t="s">
        <v>97</v>
      </c>
    </row>
    <row r="25" customFormat="false" ht="15" hidden="false" customHeight="true" outlineLevel="0" collapsed="false">
      <c r="A25" s="1" t="s">
        <v>102</v>
      </c>
      <c r="B25" s="1" t="s">
        <v>58</v>
      </c>
      <c r="C25" s="1" t="s">
        <v>43</v>
      </c>
      <c r="D25" s="5" t="n">
        <v>11</v>
      </c>
      <c r="E25" s="5" t="n">
        <v>22</v>
      </c>
      <c r="F25" s="5" t="n">
        <v>22</v>
      </c>
      <c r="G25" s="1" t="n">
        <f aca="false">Quarterly_IT!E21</f>
        <v>11</v>
      </c>
      <c r="H25" s="1" t="n">
        <f aca="false">Quarterly_IT!D21</f>
        <v>0</v>
      </c>
      <c r="I25" s="1" t="n">
        <f aca="false">Quarterly_IT!J21</f>
        <v>0</v>
      </c>
      <c r="J25" s="1" t="n">
        <f aca="false">(Quarterly_IT!D21+2*Quarterly_IT!E21+2*Quarterly_IT!F21+2*Quarterly_IT!G21+Quarterly_IT!H21)/8</f>
        <v>15.125</v>
      </c>
      <c r="K25" s="1" t="n">
        <f aca="false">(Quarterly_IT!J21+2*Quarterly_IT!K21+2*Quarterly_IT!L21+2*Quarterly_IT!M21+Quarterly_IT!N21)/8</f>
        <v>19.25</v>
      </c>
      <c r="L25" s="1" t="s">
        <v>43</v>
      </c>
      <c r="M25" s="1" t="n">
        <f aca="false">IF(ISNUMBER(E25),E25-IF(ISNUMBER(H25),H25,0),"n/d")</f>
        <v>22</v>
      </c>
      <c r="N25" s="1" t="s">
        <v>54</v>
      </c>
      <c r="O25" s="1" t="s">
        <v>103</v>
      </c>
      <c r="P25" s="1" t="s">
        <v>46</v>
      </c>
      <c r="Q25" s="1" t="s">
        <v>97</v>
      </c>
    </row>
    <row r="26" customFormat="false" ht="15" hidden="false" customHeight="true" outlineLevel="0" collapsed="false">
      <c r="A26" s="1" t="s">
        <v>104</v>
      </c>
      <c r="B26" s="1" t="s">
        <v>58</v>
      </c>
      <c r="C26" s="1" t="s">
        <v>43</v>
      </c>
      <c r="D26" s="5" t="n">
        <v>15</v>
      </c>
      <c r="E26" s="5" t="n">
        <v>15</v>
      </c>
      <c r="F26" s="5" t="n">
        <v>15</v>
      </c>
      <c r="G26" s="1" t="n">
        <f aca="false">Quarterly_IT!E22</f>
        <v>10</v>
      </c>
      <c r="H26" s="1" t="n">
        <f aca="false">Quarterly_IT!D22</f>
        <v>10</v>
      </c>
      <c r="I26" s="1" t="n">
        <f aca="false">Quarterly_IT!J22</f>
        <v>15</v>
      </c>
      <c r="J26" s="1" t="n">
        <f aca="false">(Quarterly_IT!D22+2*Quarterly_IT!E22+2*Quarterly_IT!F22+2*Quarterly_IT!G22+Quarterly_IT!H22)/8</f>
        <v>10</v>
      </c>
      <c r="K26" s="1" t="n">
        <f aca="false">(Quarterly_IT!J22+2*Quarterly_IT!K22+2*Quarterly_IT!L22+2*Quarterly_IT!M22+Quarterly_IT!N22)/8</f>
        <v>15</v>
      </c>
      <c r="L26" s="1" t="s">
        <v>43</v>
      </c>
      <c r="M26" s="1" t="n">
        <f aca="false">IF(ISNUMBER(E26),E26-IF(ISNUMBER(H26),H26,0),"n/d")</f>
        <v>5</v>
      </c>
      <c r="N26" s="1" t="s">
        <v>87</v>
      </c>
      <c r="O26" s="1" t="s">
        <v>105</v>
      </c>
      <c r="P26" s="1" t="s">
        <v>46</v>
      </c>
      <c r="Q26" s="1" t="s">
        <v>89</v>
      </c>
    </row>
    <row r="27" customFormat="false" ht="15" hidden="false" customHeight="true" outlineLevel="0" collapsed="false">
      <c r="A27" s="1" t="s">
        <v>106</v>
      </c>
      <c r="B27" s="1" t="s">
        <v>58</v>
      </c>
      <c r="C27" s="1" t="s">
        <v>43</v>
      </c>
      <c r="D27" s="5" t="n">
        <v>50</v>
      </c>
      <c r="E27" s="5" t="n">
        <v>100</v>
      </c>
      <c r="F27" s="5" t="n">
        <v>150</v>
      </c>
      <c r="G27" s="1" t="n">
        <f aca="false">Quarterly_IT!E23</f>
        <v>25</v>
      </c>
      <c r="H27" s="1" t="n">
        <f aca="false">Quarterly_IT!D23</f>
        <v>10</v>
      </c>
      <c r="I27" s="1" t="n">
        <f aca="false">Quarterly_IT!J23</f>
        <v>15</v>
      </c>
      <c r="J27" s="1" t="n">
        <f aca="false">(Quarterly_IT!D23+2*Quarterly_IT!E23+2*Quarterly_IT!F23+2*Quarterly_IT!G23+Quarterly_IT!H23)/8</f>
        <v>51.25</v>
      </c>
      <c r="K27" s="1" t="n">
        <f aca="false">(Quarterly_IT!J23+2*Quarterly_IT!K23+2*Quarterly_IT!L23+2*Quarterly_IT!M23+Quarterly_IT!N23)/8</f>
        <v>71.25</v>
      </c>
      <c r="L27" s="1" t="s">
        <v>43</v>
      </c>
      <c r="M27" s="1" t="n">
        <f aca="false">IF(ISNUMBER(E27),E27-IF(ISNUMBER(H27),H27,0),"n/d")</f>
        <v>90</v>
      </c>
      <c r="N27" s="1" t="s">
        <v>87</v>
      </c>
      <c r="O27" s="1" t="s">
        <v>107</v>
      </c>
      <c r="P27" s="1" t="s">
        <v>46</v>
      </c>
      <c r="Q27" s="1" t="s">
        <v>89</v>
      </c>
    </row>
    <row r="28" customFormat="false" ht="15" hidden="false" customHeight="true" outlineLevel="0" collapsed="false">
      <c r="A28" s="1" t="s">
        <v>108</v>
      </c>
      <c r="B28" s="1" t="s">
        <v>58</v>
      </c>
      <c r="C28" s="1" t="s">
        <v>43</v>
      </c>
      <c r="D28" s="5" t="s">
        <v>43</v>
      </c>
      <c r="E28" s="5" t="s">
        <v>43</v>
      </c>
      <c r="F28" s="5" t="s">
        <v>43</v>
      </c>
      <c r="G28" s="1" t="s">
        <v>43</v>
      </c>
      <c r="H28" s="1" t="s">
        <v>43</v>
      </c>
      <c r="I28" s="1" t="s">
        <v>43</v>
      </c>
      <c r="J28" s="1" t="s">
        <v>43</v>
      </c>
      <c r="K28" s="1" t="s">
        <v>43</v>
      </c>
      <c r="L28" s="1" t="s">
        <v>43</v>
      </c>
      <c r="M28" s="1" t="str">
        <f aca="false">IF(ISNUMBER(E28),E28-IF(ISNUMBER(H28),H28,0),"n/d")</f>
        <v>n/d</v>
      </c>
      <c r="N28" s="1" t="s">
        <v>43</v>
      </c>
      <c r="O28" s="1" t="s">
        <v>109</v>
      </c>
      <c r="P28" s="1" t="s">
        <v>46</v>
      </c>
      <c r="Q28" s="1" t="s">
        <v>89</v>
      </c>
    </row>
    <row r="29" customFormat="false" ht="15" hidden="false" customHeight="true" outlineLevel="0" collapsed="false">
      <c r="A29" s="1" t="s">
        <v>110</v>
      </c>
      <c r="B29" s="1" t="s">
        <v>58</v>
      </c>
      <c r="C29" s="1" t="s">
        <v>43</v>
      </c>
      <c r="D29" s="5" t="n">
        <v>0</v>
      </c>
      <c r="E29" s="5" t="n">
        <v>0</v>
      </c>
      <c r="F29" s="5" t="n">
        <v>0</v>
      </c>
      <c r="G29" s="1" t="n">
        <f aca="false">Quarterly_IT!E25</f>
        <v>0</v>
      </c>
      <c r="H29" s="1" t="n">
        <f aca="false">Quarterly_IT!D25</f>
        <v>0</v>
      </c>
      <c r="I29" s="1" t="n">
        <f aca="false">Quarterly_IT!J25</f>
        <v>0</v>
      </c>
      <c r="J29" s="1" t="n">
        <f aca="false">(Quarterly_IT!D25+2*Quarterly_IT!E25+2*Quarterly_IT!F25+2*Quarterly_IT!G25+Quarterly_IT!H25)/8</f>
        <v>1.5625</v>
      </c>
      <c r="K29" s="1" t="n">
        <f aca="false">(Quarterly_IT!J25+2*Quarterly_IT!K25+2*Quarterly_IT!L25+2*Quarterly_IT!M25+Quarterly_IT!N25)/8</f>
        <v>3.125</v>
      </c>
      <c r="L29" s="1" t="s">
        <v>43</v>
      </c>
      <c r="M29" s="1" t="n">
        <f aca="false">IF(ISNUMBER(E29),E29-IF(ISNUMBER(H29),H29,0),"n/d")</f>
        <v>0</v>
      </c>
      <c r="N29" s="1" t="s">
        <v>54</v>
      </c>
      <c r="O29" s="1" t="s">
        <v>111</v>
      </c>
      <c r="P29" s="1" t="s">
        <v>46</v>
      </c>
      <c r="Q29" s="1" t="s">
        <v>112</v>
      </c>
    </row>
    <row r="30" customFormat="false" ht="15" hidden="false" customHeight="true" outlineLevel="0" collapsed="false">
      <c r="A30" s="6" t="s">
        <v>113</v>
      </c>
      <c r="D30" s="6" t="n">
        <f aca="false">SUM(D6:D29)</f>
        <v>561.2</v>
      </c>
      <c r="E30" s="6" t="n">
        <f aca="false">SUM(E6:E29)</f>
        <v>941</v>
      </c>
      <c r="F30" s="6" t="n">
        <f aca="false">SUM(F6:F29)</f>
        <v>1156</v>
      </c>
      <c r="G30" s="6" t="n">
        <f aca="false">SUM(G6:G29)</f>
        <v>301.7202</v>
      </c>
      <c r="H30" s="6" t="n">
        <f aca="false">SUM(H6:H29)</f>
        <v>257.656166666667</v>
      </c>
      <c r="I30" s="6" t="n">
        <f aca="false">SUM(I6:I29)</f>
        <v>284.156166666667</v>
      </c>
      <c r="J30" s="6" t="n">
        <f aca="false">SUM(J6:J29)</f>
        <v>531.843616759459</v>
      </c>
      <c r="K30" s="6" t="n">
        <f aca="false">SUM(K6:K29)</f>
        <v>659.161379259459</v>
      </c>
      <c r="L30" s="6" t="s">
        <v>114</v>
      </c>
      <c r="M30" s="6" t="n">
        <f aca="false">SUM(M6:M29)</f>
        <v>683.343833333333</v>
      </c>
      <c r="N30" s="1" t="s">
        <v>115</v>
      </c>
      <c r="P30" s="1" t="s">
        <v>116</v>
      </c>
    </row>
    <row r="32" customFormat="false" ht="15" hidden="false" customHeight="true" outlineLevel="0" collapsed="false">
      <c r="A32" s="6" t="s">
        <v>117</v>
      </c>
    </row>
    <row r="33" customFormat="false" ht="15" hidden="false" customHeight="true" outlineLevel="0" collapsed="false">
      <c r="A33" s="6" t="s">
        <v>118</v>
      </c>
      <c r="B33" s="6" t="s">
        <v>119</v>
      </c>
      <c r="C33" s="6" t="s">
        <v>120</v>
      </c>
      <c r="D33" s="6" t="s">
        <v>121</v>
      </c>
      <c r="E33" s="6" t="s">
        <v>122</v>
      </c>
      <c r="F33" s="6" t="s">
        <v>123</v>
      </c>
      <c r="G33" s="6" t="s">
        <v>32</v>
      </c>
    </row>
    <row r="34" customFormat="false" ht="15" hidden="false" customHeight="true" outlineLevel="0" collapsed="false">
      <c r="A34" s="1" t="s">
        <v>124</v>
      </c>
      <c r="B34" s="5" t="n">
        <v>257.7</v>
      </c>
      <c r="C34" s="1" t="s">
        <v>125</v>
      </c>
      <c r="D34" s="1" t="n">
        <f aca="false">H30</f>
        <v>257.656166666667</v>
      </c>
      <c r="E34" s="1" t="n">
        <f aca="false">D34-B34</f>
        <v>-0.0438333333333389</v>
      </c>
      <c r="F34" s="1" t="str">
        <f aca="false">IF(ABS(E34)&lt;0.5,"TIE","NON-TIE (flagged)")</f>
        <v>TIE</v>
      </c>
      <c r="G34" s="1" t="s">
        <v>126</v>
      </c>
    </row>
    <row r="35" customFormat="false" ht="15" hidden="false" customHeight="true" outlineLevel="0" collapsed="false">
      <c r="A35" s="1" t="s">
        <v>127</v>
      </c>
      <c r="B35" s="5" t="n">
        <v>284.2</v>
      </c>
      <c r="C35" s="1" t="s">
        <v>128</v>
      </c>
      <c r="D35" s="1" t="n">
        <f aca="false">I30</f>
        <v>284.156166666667</v>
      </c>
      <c r="E35" s="1" t="n">
        <f aca="false">D35-B35</f>
        <v>-0.0438333333333389</v>
      </c>
      <c r="F35" s="1" t="str">
        <f aca="false">IF(ABS(E35)&lt;0.5,"TIE","NON-TIE (flagged)")</f>
        <v>TIE</v>
      </c>
      <c r="G35" s="1" t="s">
        <v>129</v>
      </c>
    </row>
    <row r="36" customFormat="false" ht="15" hidden="false" customHeight="true" outlineLevel="0" collapsed="false">
      <c r="A36" s="1" t="s">
        <v>130</v>
      </c>
      <c r="B36" s="5" t="n">
        <v>531.84</v>
      </c>
      <c r="C36" s="1" t="s">
        <v>131</v>
      </c>
      <c r="D36" s="1" t="n">
        <f aca="false">J30</f>
        <v>531.843616759459</v>
      </c>
      <c r="E36" s="1" t="n">
        <f aca="false">D36-B36</f>
        <v>0.00361675945896423</v>
      </c>
      <c r="F36" s="1" t="str">
        <f aca="false">IF(ABS(E36)&lt;0.5,"TIE","NON-TIE (flagged)")</f>
        <v>TIE</v>
      </c>
      <c r="G36" s="1" t="s">
        <v>132</v>
      </c>
    </row>
    <row r="37" customFormat="false" ht="15" hidden="false" customHeight="true" outlineLevel="0" collapsed="false">
      <c r="A37" s="1" t="s">
        <v>133</v>
      </c>
      <c r="B37" s="5" t="n">
        <v>659.16</v>
      </c>
      <c r="C37" s="1" t="s">
        <v>131</v>
      </c>
      <c r="D37" s="1" t="n">
        <f aca="false">K30</f>
        <v>659.161379259459</v>
      </c>
      <c r="E37" s="1" t="n">
        <f aca="false">D37-B37</f>
        <v>0.00137925945898587</v>
      </c>
      <c r="F37" s="1" t="str">
        <f aca="false">IF(ABS(E37)&lt;0.5,"TIE","NON-TIE (flagged)")</f>
        <v>TIE</v>
      </c>
      <c r="G37" s="1" t="s">
        <v>134</v>
      </c>
    </row>
    <row r="38" customFormat="false" ht="15" hidden="false" customHeight="true" outlineLevel="0" collapsed="false">
      <c r="A38" s="1" t="s">
        <v>135</v>
      </c>
      <c r="B38" s="5" t="n">
        <v>301.72</v>
      </c>
      <c r="C38" s="1" t="s">
        <v>136</v>
      </c>
      <c r="D38" s="1" t="n">
        <f aca="false">G30</f>
        <v>301.7202</v>
      </c>
      <c r="E38" s="1" t="n">
        <f aca="false">D38-B38</f>
        <v>0.000199999999949796</v>
      </c>
      <c r="F38" s="1" t="str">
        <f aca="false">IF(ABS(E38)&lt;0.5,"TIE","NON-TIE (flagged)")</f>
        <v>TIE</v>
      </c>
      <c r="G38" s="1" t="s">
        <v>137</v>
      </c>
    </row>
    <row r="39" customFormat="false" ht="15" hidden="false" customHeight="true" outlineLevel="0" collapsed="false">
      <c r="A39" s="1" t="s">
        <v>138</v>
      </c>
      <c r="B39" s="5" t="n">
        <v>941</v>
      </c>
      <c r="C39" s="1" t="s">
        <v>139</v>
      </c>
      <c r="D39" s="1" t="n">
        <f aca="false">E30</f>
        <v>941</v>
      </c>
      <c r="E39" s="1" t="n">
        <f aca="false">D39-B39</f>
        <v>0</v>
      </c>
      <c r="F39" s="1" t="str">
        <f aca="false">IF(ABS(E39)&lt;0.5,"TIE","NON-TIE (flagged)")</f>
        <v>TIE</v>
      </c>
      <c r="G39" s="1" t="s">
        <v>140</v>
      </c>
    </row>
    <row r="40" customFormat="false" ht="15" hidden="false" customHeight="true" outlineLevel="0" collapsed="false">
      <c r="A40" s="1" t="s">
        <v>141</v>
      </c>
      <c r="B40" s="5" t="n">
        <v>561</v>
      </c>
      <c r="C40" s="1" t="s">
        <v>139</v>
      </c>
      <c r="D40" s="1" t="n">
        <f aca="false">D30</f>
        <v>561.2</v>
      </c>
      <c r="E40" s="1" t="n">
        <f aca="false">D40-B40</f>
        <v>0.200000000000045</v>
      </c>
      <c r="F40" s="1" t="str">
        <f aca="false">IF(ABS(E40)&lt;0.5,"TIE","NON-TIE (flagged)")</f>
        <v>TIE</v>
      </c>
      <c r="G40" s="1" t="s">
        <v>142</v>
      </c>
    </row>
    <row r="41" customFormat="false" ht="15" hidden="false" customHeight="true" outlineLevel="0" collapsed="false">
      <c r="A41" s="1" t="s">
        <v>143</v>
      </c>
      <c r="B41" s="5" t="n">
        <v>1195</v>
      </c>
      <c r="C41" s="1" t="s">
        <v>139</v>
      </c>
      <c r="D41" s="1" t="n">
        <f aca="false">F30</f>
        <v>1156</v>
      </c>
      <c r="E41" s="1" t="n">
        <f aca="false">D41-B41</f>
        <v>-39</v>
      </c>
      <c r="F41" s="1" t="str">
        <f aca="false">IF(ABS(E41)&lt;0.5,"TIE","NON-TIE (flagged)")</f>
        <v>NON-TIE (flagged)</v>
      </c>
      <c r="G41" s="1" t="s">
        <v>144</v>
      </c>
    </row>
    <row r="42" customFormat="false" ht="15" hidden="false" customHeight="true" outlineLevel="0" collapsed="false">
      <c r="A42" s="7" t="s">
        <v>145</v>
      </c>
      <c r="C42" s="1" t="s">
        <v>146</v>
      </c>
      <c r="D42" s="1" t="n">
        <f aca="false">J30-J6+Quarterly_IT!$B$36</f>
        <v>536.479917241379</v>
      </c>
    </row>
    <row r="43" customFormat="false" ht="15" hidden="false" customHeight="true" outlineLevel="0" collapsed="false">
      <c r="A43" s="7" t="s">
        <v>147</v>
      </c>
      <c r="C43" s="1" t="s">
        <v>146</v>
      </c>
      <c r="D43" s="1" t="n">
        <f aca="false">K30-K6+Quarterly_IT!$B$36</f>
        <v>663.797679741379</v>
      </c>
    </row>
    <row r="44" customFormat="false" ht="15" hidden="false" customHeight="true" outlineLevel="0" collapsed="false">
      <c r="A44" s="7" t="s">
        <v>148</v>
      </c>
      <c r="C44" s="1" t="s">
        <v>146</v>
      </c>
      <c r="D44" s="1" t="n">
        <f aca="false">J30-J6+Quarterly_IT!$B$40</f>
        <v>474.9644</v>
      </c>
    </row>
    <row r="45" customFormat="false" ht="15" hidden="false" customHeight="true" outlineLevel="0" collapsed="false">
      <c r="A45" s="7" t="s">
        <v>149</v>
      </c>
      <c r="C45" s="1" t="s">
        <v>146</v>
      </c>
      <c r="D45" s="1" t="n">
        <f aca="false">K30-K6+Quarterly_IT!$B$42</f>
        <v>645.3571625</v>
      </c>
    </row>
    <row r="46" customFormat="false" ht="15" hidden="false" customHeight="true" outlineLevel="0" collapsed="false">
      <c r="A46" s="7" t="s">
        <v>150</v>
      </c>
      <c r="C46" s="1" t="s">
        <v>151</v>
      </c>
      <c r="D46" s="1" t="n">
        <f aca="false">K30-K6+Quarterly_IT!$B$46</f>
        <v>692.494712592792</v>
      </c>
    </row>
    <row r="47" customFormat="false" ht="15" hidden="false" customHeight="true" outlineLevel="0" collapsed="false">
      <c r="A47" s="7" t="s">
        <v>152</v>
      </c>
      <c r="C47" s="1" t="s">
        <v>153</v>
      </c>
      <c r="D47" s="1" t="n">
        <f aca="false">K30-K6+Quarterly_IT!$B$38</f>
        <v>696.8321625</v>
      </c>
    </row>
    <row r="48" customFormat="false" ht="15" hidden="false" customHeight="true" outlineLevel="0" collapsed="false">
      <c r="A48" s="7" t="s">
        <v>154</v>
      </c>
      <c r="C48" s="1" t="s">
        <v>155</v>
      </c>
      <c r="D48" s="1" t="n">
        <f aca="false">K30-K6+Quarterly_IT!$B$39</f>
        <v>646.8322875</v>
      </c>
    </row>
    <row r="49" customFormat="false" ht="15" hidden="false" customHeight="true" outlineLevel="0" collapsed="false">
      <c r="A49" s="7" t="s">
        <v>156</v>
      </c>
      <c r="C49" s="1" t="s">
        <v>136</v>
      </c>
      <c r="D49" s="1" t="n">
        <f aca="false">J30-J6</f>
        <v>349.5144</v>
      </c>
      <c r="E49" s="1" t="n">
        <f aca="false">474.96-Quarterly_IT!$B$36</f>
        <v>287.994482758621</v>
      </c>
      <c r="F49" s="8" t="n">
        <f aca="false">E49/D49-1</f>
        <v>-0.176015400914467</v>
      </c>
      <c r="G49" s="1" t="s">
        <v>157</v>
      </c>
    </row>
    <row r="50" customFormat="false" ht="15" hidden="false" customHeight="true" outlineLevel="0" collapsed="false">
      <c r="A50" s="7" t="s">
        <v>158</v>
      </c>
      <c r="C50" s="1" t="s">
        <v>159</v>
      </c>
      <c r="D50" s="1" t="n">
        <f aca="false">12300/J30</f>
        <v>23.1270990426553</v>
      </c>
      <c r="E50" s="1" t="n">
        <f aca="false">12300/474.96</f>
        <v>25.8969176351693</v>
      </c>
      <c r="G50" s="1" t="s">
        <v>160</v>
      </c>
    </row>
    <row r="52" customFormat="false" ht="15" hidden="false" customHeight="true" outlineLevel="0" collapsed="false">
      <c r="A52" s="6" t="s">
        <v>161</v>
      </c>
    </row>
    <row r="53" customFormat="false" ht="15" hidden="false" customHeight="true" outlineLevel="0" collapsed="false">
      <c r="A53" s="1" t="s">
        <v>162</v>
      </c>
      <c r="B53" s="5" t="n">
        <v>12300</v>
      </c>
      <c r="C53" s="1" t="s">
        <v>163</v>
      </c>
    </row>
    <row r="54" customFormat="false" ht="15" hidden="false" customHeight="true" outlineLevel="0" collapsed="false">
      <c r="A54" s="1" t="s">
        <v>164</v>
      </c>
      <c r="B54" s="5" t="n">
        <v>16</v>
      </c>
      <c r="C54" s="1" t="s">
        <v>165</v>
      </c>
    </row>
    <row r="55" customFormat="false" ht="15" hidden="false" customHeight="true" outlineLevel="0" collapsed="false">
      <c r="A55" s="1" t="s">
        <v>166</v>
      </c>
      <c r="B55" s="1" t="n">
        <f aca="false">B53/B54</f>
        <v>768.75</v>
      </c>
      <c r="C55" s="1" t="s">
        <v>136</v>
      </c>
    </row>
    <row r="56" customFormat="false" ht="15" hidden="false" customHeight="true" outlineLevel="0" collapsed="false">
      <c r="A56" s="6" t="s">
        <v>167</v>
      </c>
      <c r="B56" s="6" t="s">
        <v>168</v>
      </c>
      <c r="C56" s="6" t="s">
        <v>169</v>
      </c>
      <c r="D56" s="6" t="s">
        <v>170</v>
      </c>
    </row>
    <row r="57" customFormat="false" ht="15" hidden="false" customHeight="true" outlineLevel="0" collapsed="false">
      <c r="A57" s="1" t="s">
        <v>171</v>
      </c>
      <c r="B57" s="1" t="n">
        <f aca="false">J30</f>
        <v>531.843616759459</v>
      </c>
      <c r="C57" s="1" t="n">
        <f aca="false">$B$55-B57</f>
        <v>236.906383240541</v>
      </c>
      <c r="D57" s="9" t="n">
        <f aca="false">$B$55/B57</f>
        <v>1.44544369016595</v>
      </c>
    </row>
    <row r="58" customFormat="false" ht="15" hidden="false" customHeight="true" outlineLevel="0" collapsed="false">
      <c r="A58" s="1" t="s">
        <v>172</v>
      </c>
      <c r="B58" s="1" t="n">
        <f aca="false">K30</f>
        <v>659.161379259459</v>
      </c>
      <c r="C58" s="1" t="n">
        <f aca="false">$B$55-B58</f>
        <v>109.588620740541</v>
      </c>
      <c r="D58" s="9" t="n">
        <f aca="false">$B$55/B58</f>
        <v>1.16625461410324</v>
      </c>
    </row>
    <row r="59" customFormat="false" ht="15" hidden="false" customHeight="true" outlineLevel="0" collapsed="false">
      <c r="A59" s="1" t="s">
        <v>173</v>
      </c>
      <c r="B59" s="1" t="n">
        <f aca="false">K30-K6+Quarterly_IT!$B$46</f>
        <v>692.494712592792</v>
      </c>
      <c r="C59" s="1" t="n">
        <f aca="false">$B$55-B59</f>
        <v>76.2552874072077</v>
      </c>
      <c r="D59" s="9" t="n">
        <f aca="false">$B$55/B59</f>
        <v>1.11011677926276</v>
      </c>
    </row>
    <row r="60" customFormat="false" ht="15" hidden="false" customHeight="true" outlineLevel="0" collapsed="false">
      <c r="A60" s="10" t="s">
        <v>174</v>
      </c>
    </row>
    <row r="61" customFormat="false" ht="15" hidden="false" customHeight="true" outlineLevel="0" collapsed="false">
      <c r="A61" s="1" t="s">
        <v>175</v>
      </c>
      <c r="B61" s="5" t="n">
        <v>27.627757898385</v>
      </c>
      <c r="C61" s="1" t="s">
        <v>176</v>
      </c>
    </row>
    <row r="62" customFormat="false" ht="15" hidden="false" customHeight="true" outlineLevel="0" collapsed="false">
      <c r="A62" s="1" t="s">
        <v>177</v>
      </c>
      <c r="B62" s="1" t="n">
        <f aca="false">(B53-Quarterly_IT!$B$45)/(J30-J6)</f>
        <v>27.6275884484302</v>
      </c>
      <c r="C62" s="1" t="s">
        <v>178</v>
      </c>
    </row>
    <row r="64" customFormat="false" ht="15" hidden="false" customHeight="true" outlineLevel="0" collapsed="false">
      <c r="A64" s="1" t="s">
        <v>179</v>
      </c>
      <c r="B64" s="5" t="s">
        <v>180</v>
      </c>
      <c r="C64" s="1" t="s">
        <v>181</v>
      </c>
      <c r="G64" s="1" t="s">
        <v>182</v>
      </c>
    </row>
    <row r="65" customFormat="false" ht="15" hidden="false" customHeight="true" outlineLevel="0" collapsed="false">
      <c r="A65" s="1" t="s">
        <v>183</v>
      </c>
      <c r="B65" s="5" t="s">
        <v>184</v>
      </c>
      <c r="C65" s="1" t="s">
        <v>136</v>
      </c>
      <c r="G65" s="1" t="s">
        <v>185</v>
      </c>
    </row>
    <row r="66" customFormat="false" ht="15" hidden="false" customHeight="true" outlineLevel="0" collapsed="false">
      <c r="A66" s="1" t="s">
        <v>186</v>
      </c>
      <c r="B66" s="5" t="s">
        <v>187</v>
      </c>
      <c r="C66" s="1" t="s">
        <v>139</v>
      </c>
      <c r="G66" s="1" t="s">
        <v>188</v>
      </c>
    </row>
    <row r="67" customFormat="false" ht="15" hidden="false" customHeight="true" outlineLevel="0" collapsed="false">
      <c r="A67" s="1" t="s">
        <v>189</v>
      </c>
      <c r="B67" s="5" t="s">
        <v>190</v>
      </c>
      <c r="C67" s="1" t="s">
        <v>181</v>
      </c>
      <c r="G67" s="1" t="s">
        <v>191</v>
      </c>
    </row>
    <row r="69" customFormat="false" ht="15" hidden="false" customHeight="true" outlineLevel="0" collapsed="false">
      <c r="A69" s="6" t="s">
        <v>192</v>
      </c>
    </row>
    <row r="70" customFormat="false" ht="15" hidden="false" customHeight="true" outlineLevel="0" collapsed="false">
      <c r="A70" s="1" t="s">
        <v>193</v>
      </c>
      <c r="B70" s="11" t="n">
        <f aca="false">H30/E30</f>
        <v>0.273811016648955</v>
      </c>
    </row>
    <row r="71" customFormat="false" ht="15" hidden="false" customHeight="true" outlineLevel="0" collapsed="false">
      <c r="A71" s="1" t="s">
        <v>194</v>
      </c>
      <c r="B71" s="1" t="n">
        <f aca="false">E30-H30</f>
        <v>683.343833333333</v>
      </c>
    </row>
    <row r="72" customFormat="false" ht="15" hidden="false" customHeight="true" outlineLevel="0" collapsed="false">
      <c r="A72" s="1" t="s">
        <v>195</v>
      </c>
      <c r="B72" s="1" t="n">
        <f aca="false">E30/1.35</f>
        <v>697.037037037037</v>
      </c>
      <c r="C72" s="1" t="n">
        <f aca="false">E30/1.2</f>
        <v>784.166666666667</v>
      </c>
    </row>
    <row r="73" customFormat="false" ht="15" hidden="false" customHeight="true" outlineLevel="0" collapsed="false">
      <c r="A73" s="1" t="s">
        <v>196</v>
      </c>
      <c r="B73" s="11" t="n">
        <f aca="false">J30/1882</f>
        <v>0.282594907948703</v>
      </c>
    </row>
    <row r="75" customFormat="false" ht="15" hidden="false" customHeight="true" outlineLevel="0" collapsed="false">
      <c r="A75" s="3" t="s">
        <v>197</v>
      </c>
    </row>
    <row r="76" customFormat="false" ht="15" hidden="false" customHeight="true" outlineLevel="0" collapsed="false">
      <c r="A76" s="1" t="s">
        <v>198</v>
      </c>
    </row>
    <row r="77" customFormat="false" ht="15" hidden="false" customHeight="true" outlineLevel="0" collapsed="false">
      <c r="A77" s="1" t="s">
        <v>199</v>
      </c>
    </row>
    <row r="78" customFormat="false" ht="15" hidden="false" customHeight="true" outlineLevel="0" collapsed="false">
      <c r="A78" s="1" t="s">
        <v>200</v>
      </c>
    </row>
    <row r="79" customFormat="false" ht="15" hidden="false" customHeight="true" outlineLevel="0" collapsed="false">
      <c r="A79" s="1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0"/>
  </cols>
  <sheetData>
    <row r="1" customFormat="false" ht="15" hidden="false" customHeight="true" outlineLevel="0" collapsed="false">
      <c r="A1" s="6" t="s">
        <v>16</v>
      </c>
      <c r="B1" s="6" t="s">
        <v>202</v>
      </c>
      <c r="C1" s="6" t="s">
        <v>203</v>
      </c>
      <c r="D1" s="6" t="s">
        <v>204</v>
      </c>
      <c r="E1" s="6" t="s">
        <v>205</v>
      </c>
      <c r="F1" s="6" t="s">
        <v>206</v>
      </c>
      <c r="G1" s="6" t="s">
        <v>207</v>
      </c>
      <c r="H1" s="6" t="s">
        <v>208</v>
      </c>
      <c r="I1" s="6" t="s">
        <v>209</v>
      </c>
      <c r="J1" s="6" t="s">
        <v>210</v>
      </c>
      <c r="K1" s="6" t="s">
        <v>211</v>
      </c>
      <c r="L1" s="6" t="s">
        <v>212</v>
      </c>
      <c r="M1" s="6" t="s">
        <v>213</v>
      </c>
      <c r="N1" s="6" t="s">
        <v>214</v>
      </c>
      <c r="O1" s="6" t="s">
        <v>215</v>
      </c>
      <c r="P1" s="6" t="s">
        <v>120</v>
      </c>
      <c r="Q1" s="6" t="s">
        <v>32</v>
      </c>
    </row>
    <row r="2" customFormat="false" ht="15" hidden="false" customHeight="true" outlineLevel="0" collapsed="false">
      <c r="A2" s="1" t="s">
        <v>33</v>
      </c>
      <c r="B2" s="1" t="s">
        <v>216</v>
      </c>
      <c r="C2" s="5" t="n">
        <v>1.2</v>
      </c>
      <c r="D2" s="5" t="n">
        <v>66</v>
      </c>
      <c r="E2" s="5" t="n">
        <v>81.8</v>
      </c>
      <c r="F2" s="5" t="n">
        <v>118.5</v>
      </c>
      <c r="G2" s="5" t="n">
        <v>168.5</v>
      </c>
      <c r="H2" s="5" t="n">
        <v>200</v>
      </c>
      <c r="I2" s="5" t="n">
        <v>235</v>
      </c>
      <c r="J2" s="5" t="n">
        <v>75</v>
      </c>
      <c r="K2" s="5" t="n">
        <v>106.6</v>
      </c>
      <c r="L2" s="5" t="n">
        <v>180</v>
      </c>
      <c r="M2" s="5" t="n">
        <v>230</v>
      </c>
      <c r="N2" s="5" t="n">
        <v>240</v>
      </c>
      <c r="O2" s="5" t="n">
        <v>240</v>
      </c>
      <c r="P2" s="1" t="s">
        <v>217</v>
      </c>
      <c r="Q2" s="1" t="s">
        <v>218</v>
      </c>
    </row>
    <row r="3" customFormat="false" ht="15" hidden="false" customHeight="true" outlineLevel="0" collapsed="false">
      <c r="A3" s="1" t="s">
        <v>40</v>
      </c>
      <c r="B3" s="1" t="s">
        <v>219</v>
      </c>
      <c r="C3" s="5" t="n">
        <v>1.35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37.037</v>
      </c>
      <c r="I3" s="5" t="n">
        <v>92.5926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74.0741</v>
      </c>
      <c r="O3" s="5" t="n">
        <v>148.1481</v>
      </c>
      <c r="P3" s="1" t="s">
        <v>217</v>
      </c>
      <c r="Q3" s="1" t="s">
        <v>218</v>
      </c>
    </row>
    <row r="4" customFormat="false" ht="15" hidden="false" customHeight="true" outlineLevel="0" collapsed="false">
      <c r="A4" s="1" t="s">
        <v>48</v>
      </c>
      <c r="B4" s="1" t="s">
        <v>219</v>
      </c>
      <c r="C4" s="5" t="n">
        <v>1.35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48.1481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96.2963</v>
      </c>
      <c r="P4" s="1" t="s">
        <v>217</v>
      </c>
      <c r="Q4" s="1" t="s">
        <v>218</v>
      </c>
    </row>
    <row r="5" customFormat="false" ht="15" hidden="false" customHeight="true" outlineLevel="0" collapsed="false">
      <c r="A5" s="1" t="s">
        <v>53</v>
      </c>
      <c r="B5" s="1" t="s">
        <v>219</v>
      </c>
      <c r="C5" s="5" t="n">
        <v>1.35</v>
      </c>
      <c r="D5" s="5" t="n">
        <v>0</v>
      </c>
      <c r="E5" s="5" t="n">
        <v>0</v>
      </c>
      <c r="F5" s="5" t="n">
        <v>9.2593</v>
      </c>
      <c r="G5" s="5" t="n">
        <v>18.5185</v>
      </c>
      <c r="H5" s="5" t="n">
        <v>37.037</v>
      </c>
      <c r="I5" s="5" t="n">
        <v>55.5556</v>
      </c>
      <c r="J5" s="5" t="n">
        <v>0</v>
      </c>
      <c r="K5" s="5" t="n">
        <v>0</v>
      </c>
      <c r="L5" s="5" t="n">
        <v>18.5185</v>
      </c>
      <c r="M5" s="5" t="n">
        <v>37.037</v>
      </c>
      <c r="N5" s="5" t="n">
        <v>55.5556</v>
      </c>
      <c r="O5" s="5" t="n">
        <v>74.0741</v>
      </c>
      <c r="P5" s="1" t="s">
        <v>217</v>
      </c>
      <c r="Q5" s="1" t="s">
        <v>218</v>
      </c>
    </row>
    <row r="6" customFormat="false" ht="15" hidden="false" customHeight="true" outlineLevel="0" collapsed="false">
      <c r="A6" s="1" t="s">
        <v>57</v>
      </c>
      <c r="B6" s="1" t="s">
        <v>219</v>
      </c>
      <c r="C6" s="5" t="n">
        <v>1.3</v>
      </c>
      <c r="D6" s="5" t="n">
        <v>0</v>
      </c>
      <c r="E6" s="5" t="n">
        <v>23.0769</v>
      </c>
      <c r="F6" s="5" t="n">
        <v>56.5385</v>
      </c>
      <c r="G6" s="5" t="n">
        <v>92.3077</v>
      </c>
      <c r="H6" s="5" t="n">
        <v>92.3077</v>
      </c>
      <c r="I6" s="5" t="n">
        <v>138.4615</v>
      </c>
      <c r="J6" s="5" t="n">
        <v>0</v>
      </c>
      <c r="K6" s="5" t="n">
        <v>46.1538</v>
      </c>
      <c r="L6" s="5" t="n">
        <v>92.3077</v>
      </c>
      <c r="M6" s="5" t="n">
        <v>138.4615</v>
      </c>
      <c r="N6" s="5" t="n">
        <v>138.4615</v>
      </c>
      <c r="O6" s="5" t="n">
        <v>184.6154</v>
      </c>
      <c r="P6" s="1" t="s">
        <v>217</v>
      </c>
      <c r="Q6" s="1" t="s">
        <v>218</v>
      </c>
    </row>
    <row r="7" customFormat="false" ht="15" hidden="false" customHeight="true" outlineLevel="0" collapsed="false">
      <c r="A7" s="1" t="s">
        <v>63</v>
      </c>
      <c r="B7" s="1" t="s">
        <v>219</v>
      </c>
      <c r="C7" s="5" t="n">
        <v>1.15</v>
      </c>
      <c r="D7" s="5" t="n">
        <v>0</v>
      </c>
      <c r="E7" s="5" t="n">
        <v>0</v>
      </c>
      <c r="F7" s="5" t="n">
        <v>0</v>
      </c>
      <c r="G7" s="5" t="n">
        <v>15.2174</v>
      </c>
      <c r="H7" s="5" t="n">
        <v>30.4348</v>
      </c>
      <c r="I7" s="5" t="n">
        <v>45.6522</v>
      </c>
      <c r="J7" s="5" t="n">
        <v>0</v>
      </c>
      <c r="K7" s="5" t="n">
        <v>0</v>
      </c>
      <c r="L7" s="5" t="n">
        <v>0</v>
      </c>
      <c r="M7" s="5" t="n">
        <v>30.4348</v>
      </c>
      <c r="N7" s="5" t="n">
        <v>60.8696</v>
      </c>
      <c r="O7" s="5" t="n">
        <v>60.8696</v>
      </c>
      <c r="P7" s="1" t="s">
        <v>217</v>
      </c>
      <c r="Q7" s="1" t="s">
        <v>218</v>
      </c>
    </row>
    <row r="8" customFormat="false" ht="15" hidden="false" customHeight="true" outlineLevel="0" collapsed="false">
      <c r="A8" s="1" t="s">
        <v>66</v>
      </c>
      <c r="B8" s="1" t="s">
        <v>219</v>
      </c>
      <c r="C8" s="5" t="n">
        <v>1.1</v>
      </c>
      <c r="D8" s="5" t="n">
        <v>68.1818</v>
      </c>
      <c r="E8" s="5" t="n">
        <v>68.1818</v>
      </c>
      <c r="F8" s="5" t="n">
        <v>68.1818</v>
      </c>
      <c r="G8" s="5" t="n">
        <v>68.1818</v>
      </c>
      <c r="H8" s="5" t="n">
        <v>68.1818</v>
      </c>
      <c r="I8" s="5" t="n">
        <v>68.1818</v>
      </c>
      <c r="J8" s="5" t="n">
        <v>68.1818</v>
      </c>
      <c r="K8" s="5" t="n">
        <v>68.1818</v>
      </c>
      <c r="L8" s="5" t="n">
        <v>68.1818</v>
      </c>
      <c r="M8" s="5" t="n">
        <v>68.1818</v>
      </c>
      <c r="N8" s="5" t="n">
        <v>68.1818</v>
      </c>
      <c r="O8" s="5" t="n">
        <v>68.1818</v>
      </c>
      <c r="P8" s="1" t="s">
        <v>217</v>
      </c>
      <c r="Q8" s="1" t="s">
        <v>218</v>
      </c>
    </row>
    <row r="9" customFormat="false" ht="15" hidden="false" customHeight="true" outlineLevel="0" collapsed="false">
      <c r="A9" s="1" t="s">
        <v>70</v>
      </c>
      <c r="B9" s="1" t="s">
        <v>219</v>
      </c>
      <c r="C9" s="5" t="n">
        <v>1.15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15.2174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30.4348</v>
      </c>
      <c r="P9" s="1" t="s">
        <v>217</v>
      </c>
      <c r="Q9" s="1" t="s">
        <v>218</v>
      </c>
    </row>
    <row r="10" customFormat="false" ht="15" hidden="false" customHeight="true" outlineLevel="0" collapsed="false">
      <c r="A10" s="1" t="s">
        <v>73</v>
      </c>
      <c r="B10" s="1" t="s">
        <v>216</v>
      </c>
      <c r="C10" s="5" t="n">
        <v>1.35</v>
      </c>
      <c r="D10" s="5" t="n">
        <v>20</v>
      </c>
      <c r="E10" s="5" t="n">
        <v>20</v>
      </c>
      <c r="F10" s="5" t="n">
        <v>20</v>
      </c>
      <c r="G10" s="5" t="n">
        <v>20</v>
      </c>
      <c r="H10" s="5" t="n">
        <v>20</v>
      </c>
      <c r="I10" s="5" t="n">
        <v>30</v>
      </c>
      <c r="J10" s="5" t="n">
        <v>35</v>
      </c>
      <c r="K10" s="5" t="n">
        <v>35</v>
      </c>
      <c r="L10" s="5" t="n">
        <v>35</v>
      </c>
      <c r="M10" s="5" t="n">
        <v>35</v>
      </c>
      <c r="N10" s="5" t="n">
        <v>35</v>
      </c>
      <c r="O10" s="5" t="n">
        <v>40</v>
      </c>
      <c r="P10" s="1" t="s">
        <v>217</v>
      </c>
      <c r="Q10" s="1" t="s">
        <v>218</v>
      </c>
    </row>
    <row r="11" customFormat="false" ht="15" hidden="false" customHeight="true" outlineLevel="0" collapsed="false">
      <c r="A11" s="1" t="s">
        <v>76</v>
      </c>
      <c r="B11" s="1" t="s">
        <v>216</v>
      </c>
      <c r="C11" s="5" t="n">
        <v>1.35</v>
      </c>
      <c r="D11" s="5" t="n">
        <v>5</v>
      </c>
      <c r="E11" s="5" t="n">
        <v>5</v>
      </c>
      <c r="F11" s="5" t="n">
        <v>5</v>
      </c>
      <c r="G11" s="5" t="n">
        <v>5</v>
      </c>
      <c r="H11" s="5" t="n">
        <v>5</v>
      </c>
      <c r="I11" s="5" t="n">
        <v>5</v>
      </c>
      <c r="J11" s="5" t="n">
        <v>5</v>
      </c>
      <c r="K11" s="5" t="n">
        <v>5</v>
      </c>
      <c r="L11" s="5" t="n">
        <v>5</v>
      </c>
      <c r="M11" s="5" t="n">
        <v>5</v>
      </c>
      <c r="N11" s="5" t="n">
        <v>5</v>
      </c>
      <c r="O11" s="5" t="n">
        <v>5</v>
      </c>
      <c r="P11" s="1" t="s">
        <v>217</v>
      </c>
      <c r="Q11" s="1" t="s">
        <v>218</v>
      </c>
    </row>
    <row r="12" customFormat="false" ht="15" hidden="false" customHeight="true" outlineLevel="0" collapsed="false">
      <c r="A12" s="1" t="s">
        <v>78</v>
      </c>
      <c r="B12" s="1" t="s">
        <v>216</v>
      </c>
      <c r="C12" s="5" t="n">
        <v>1.15</v>
      </c>
      <c r="D12" s="5" t="n">
        <v>10</v>
      </c>
      <c r="E12" s="5" t="n">
        <v>10</v>
      </c>
      <c r="F12" s="5" t="n">
        <v>10</v>
      </c>
      <c r="G12" s="5" t="n">
        <v>10</v>
      </c>
      <c r="H12" s="5" t="n">
        <v>10</v>
      </c>
      <c r="I12" s="5" t="n">
        <v>10</v>
      </c>
      <c r="J12" s="5" t="n">
        <v>10</v>
      </c>
      <c r="K12" s="5" t="n">
        <v>10</v>
      </c>
      <c r="L12" s="5" t="n">
        <v>10</v>
      </c>
      <c r="M12" s="5" t="n">
        <v>10</v>
      </c>
      <c r="N12" s="5" t="n">
        <v>10</v>
      </c>
      <c r="O12" s="5" t="n">
        <v>10</v>
      </c>
      <c r="P12" s="1" t="s">
        <v>217</v>
      </c>
      <c r="Q12" s="1" t="s">
        <v>218</v>
      </c>
    </row>
    <row r="13" customFormat="false" ht="15" hidden="false" customHeight="true" outlineLevel="0" collapsed="false">
      <c r="A13" s="1" t="s">
        <v>80</v>
      </c>
      <c r="B13" s="1" t="s">
        <v>219</v>
      </c>
      <c r="C13" s="5" t="n">
        <v>1.3</v>
      </c>
      <c r="D13" s="5" t="n">
        <v>12.3077</v>
      </c>
      <c r="E13" s="5" t="n">
        <v>13.4615</v>
      </c>
      <c r="F13" s="5" t="n">
        <v>14.6154</v>
      </c>
      <c r="G13" s="5" t="n">
        <v>14.6154</v>
      </c>
      <c r="H13" s="5" t="n">
        <v>14.6154</v>
      </c>
      <c r="I13" s="5" t="n">
        <v>14.6154</v>
      </c>
      <c r="J13" s="5" t="n">
        <v>12.3077</v>
      </c>
      <c r="K13" s="5" t="n">
        <v>14.6154</v>
      </c>
      <c r="L13" s="5" t="n">
        <v>14.6154</v>
      </c>
      <c r="M13" s="5" t="n">
        <v>14.6154</v>
      </c>
      <c r="N13" s="5" t="n">
        <v>14.6154</v>
      </c>
      <c r="O13" s="5" t="n">
        <v>14.6154</v>
      </c>
      <c r="P13" s="1" t="s">
        <v>217</v>
      </c>
      <c r="Q13" s="1" t="s">
        <v>218</v>
      </c>
    </row>
    <row r="14" customFormat="false" ht="15" hidden="false" customHeight="true" outlineLevel="0" collapsed="false">
      <c r="A14" s="1" t="s">
        <v>83</v>
      </c>
      <c r="B14" s="1" t="s">
        <v>216</v>
      </c>
      <c r="C14" s="5" t="n">
        <v>1.2</v>
      </c>
      <c r="D14" s="5" t="n">
        <v>0</v>
      </c>
      <c r="E14" s="5" t="n">
        <v>2.2</v>
      </c>
      <c r="F14" s="5" t="n">
        <v>13.2</v>
      </c>
      <c r="G14" s="5" t="n">
        <v>13.2</v>
      </c>
      <c r="H14" s="5" t="n">
        <v>22</v>
      </c>
      <c r="I14" s="5" t="n">
        <v>22</v>
      </c>
      <c r="J14" s="5" t="n">
        <v>0</v>
      </c>
      <c r="K14" s="5" t="n">
        <v>4.4</v>
      </c>
      <c r="L14" s="5" t="n">
        <v>22</v>
      </c>
      <c r="M14" s="5" t="n">
        <v>22</v>
      </c>
      <c r="N14" s="5" t="n">
        <v>22</v>
      </c>
      <c r="O14" s="5" t="n">
        <v>22</v>
      </c>
      <c r="P14" s="1" t="s">
        <v>217</v>
      </c>
      <c r="Q14" s="1" t="s">
        <v>218</v>
      </c>
    </row>
    <row r="15" customFormat="false" ht="15" hidden="false" customHeight="true" outlineLevel="0" collapsed="false">
      <c r="A15" s="1" t="s">
        <v>86</v>
      </c>
      <c r="B15" s="1" t="s">
        <v>216</v>
      </c>
      <c r="C15" s="5" t="n">
        <v>1.25</v>
      </c>
      <c r="D15" s="5" t="n">
        <v>0</v>
      </c>
      <c r="E15" s="5" t="n">
        <v>5</v>
      </c>
      <c r="F15" s="5" t="n">
        <v>15</v>
      </c>
      <c r="G15" s="5" t="n">
        <v>22.5</v>
      </c>
      <c r="H15" s="5" t="n">
        <v>29</v>
      </c>
      <c r="I15" s="5" t="n">
        <v>31.5</v>
      </c>
      <c r="J15" s="5" t="n">
        <v>0</v>
      </c>
      <c r="K15" s="5" t="n">
        <v>10</v>
      </c>
      <c r="L15" s="5" t="n">
        <v>25</v>
      </c>
      <c r="M15" s="5" t="n">
        <v>35</v>
      </c>
      <c r="N15" s="5" t="n">
        <v>43</v>
      </c>
      <c r="O15" s="5" t="n">
        <v>43</v>
      </c>
      <c r="P15" s="1" t="s">
        <v>217</v>
      </c>
      <c r="Q15" s="1" t="s">
        <v>218</v>
      </c>
    </row>
    <row r="16" customFormat="false" ht="15" hidden="false" customHeight="true" outlineLevel="0" collapsed="false">
      <c r="A16" s="1" t="s">
        <v>90</v>
      </c>
      <c r="B16" s="1" t="s">
        <v>216</v>
      </c>
      <c r="C16" s="5" t="n">
        <v>1.25</v>
      </c>
      <c r="D16" s="5" t="n">
        <v>0</v>
      </c>
      <c r="E16" s="5" t="n">
        <v>0</v>
      </c>
      <c r="F16" s="5" t="n">
        <v>0</v>
      </c>
      <c r="G16" s="5" t="n">
        <v>2.5</v>
      </c>
      <c r="H16" s="5" t="n">
        <v>6</v>
      </c>
      <c r="I16" s="5" t="n">
        <v>7</v>
      </c>
      <c r="J16" s="5" t="n">
        <v>0</v>
      </c>
      <c r="K16" s="5" t="n">
        <v>0</v>
      </c>
      <c r="L16" s="5" t="n">
        <v>0</v>
      </c>
      <c r="M16" s="5" t="n">
        <v>5</v>
      </c>
      <c r="N16" s="5" t="n">
        <v>12</v>
      </c>
      <c r="O16" s="5" t="n">
        <v>14</v>
      </c>
      <c r="P16" s="1" t="s">
        <v>217</v>
      </c>
      <c r="Q16" s="1" t="s">
        <v>218</v>
      </c>
    </row>
    <row r="17" customFormat="false" ht="15" hidden="false" customHeight="true" outlineLevel="0" collapsed="false">
      <c r="A17" s="1" t="s">
        <v>93</v>
      </c>
      <c r="B17" s="1" t="s">
        <v>216</v>
      </c>
      <c r="C17" s="5" t="n">
        <v>1.3</v>
      </c>
      <c r="D17" s="5" t="n">
        <v>8</v>
      </c>
      <c r="E17" s="5" t="n">
        <v>8</v>
      </c>
      <c r="F17" s="5" t="n">
        <v>8</v>
      </c>
      <c r="G17" s="5" t="n">
        <v>8</v>
      </c>
      <c r="H17" s="5" t="n">
        <v>8</v>
      </c>
      <c r="I17" s="5" t="n">
        <v>8</v>
      </c>
      <c r="J17" s="5" t="n">
        <v>8</v>
      </c>
      <c r="K17" s="5" t="n">
        <v>8</v>
      </c>
      <c r="L17" s="5" t="n">
        <v>8</v>
      </c>
      <c r="M17" s="5" t="n">
        <v>8</v>
      </c>
      <c r="N17" s="5" t="n">
        <v>8</v>
      </c>
      <c r="O17" s="5" t="n">
        <v>8</v>
      </c>
      <c r="P17" s="1" t="s">
        <v>217</v>
      </c>
      <c r="Q17" s="1" t="s">
        <v>218</v>
      </c>
    </row>
    <row r="18" customFormat="false" ht="15" hidden="false" customHeight="true" outlineLevel="0" collapsed="false">
      <c r="A18" s="1" t="s">
        <v>95</v>
      </c>
      <c r="B18" s="1" t="s">
        <v>216</v>
      </c>
      <c r="C18" s="5" t="n">
        <v>1.3</v>
      </c>
      <c r="D18" s="5" t="n">
        <v>0</v>
      </c>
      <c r="E18" s="5" t="n">
        <v>5.5</v>
      </c>
      <c r="F18" s="5" t="n">
        <v>11</v>
      </c>
      <c r="G18" s="5" t="n">
        <v>16.5</v>
      </c>
      <c r="H18" s="5" t="n">
        <v>22</v>
      </c>
      <c r="I18" s="5" t="n">
        <v>22</v>
      </c>
      <c r="J18" s="5" t="n">
        <v>0</v>
      </c>
      <c r="K18" s="5" t="n">
        <v>11</v>
      </c>
      <c r="L18" s="5" t="n">
        <v>22</v>
      </c>
      <c r="M18" s="5" t="n">
        <v>22</v>
      </c>
      <c r="N18" s="5" t="n">
        <v>22</v>
      </c>
      <c r="O18" s="5" t="n">
        <v>22</v>
      </c>
      <c r="P18" s="1" t="s">
        <v>217</v>
      </c>
      <c r="Q18" s="1" t="s">
        <v>218</v>
      </c>
    </row>
    <row r="19" customFormat="false" ht="15" hidden="false" customHeight="true" outlineLevel="0" collapsed="false">
      <c r="A19" s="1" t="s">
        <v>98</v>
      </c>
      <c r="B19" s="1" t="s">
        <v>216</v>
      </c>
      <c r="C19" s="5" t="n">
        <v>1.3</v>
      </c>
      <c r="D19" s="5" t="n">
        <v>0</v>
      </c>
      <c r="E19" s="5" t="n">
        <v>0</v>
      </c>
      <c r="F19" s="5" t="n">
        <v>10</v>
      </c>
      <c r="G19" s="5" t="n">
        <v>29.5</v>
      </c>
      <c r="H19" s="5" t="n">
        <v>48.5</v>
      </c>
      <c r="I19" s="5" t="n">
        <v>58</v>
      </c>
      <c r="J19" s="5" t="n">
        <v>0</v>
      </c>
      <c r="K19" s="5" t="n">
        <v>0</v>
      </c>
      <c r="L19" s="5" t="n">
        <v>20</v>
      </c>
      <c r="M19" s="5" t="n">
        <v>39</v>
      </c>
      <c r="N19" s="5" t="n">
        <v>58</v>
      </c>
      <c r="O19" s="5" t="n">
        <v>58</v>
      </c>
      <c r="P19" s="1" t="s">
        <v>217</v>
      </c>
      <c r="Q19" s="1" t="s">
        <v>218</v>
      </c>
    </row>
    <row r="20" customFormat="false" ht="15" hidden="false" customHeight="true" outlineLevel="0" collapsed="false">
      <c r="A20" s="1" t="s">
        <v>100</v>
      </c>
      <c r="B20" s="1" t="s">
        <v>216</v>
      </c>
      <c r="C20" s="5" t="n">
        <v>1.3</v>
      </c>
      <c r="D20" s="5" t="n">
        <v>7.5</v>
      </c>
      <c r="E20" s="5" t="n">
        <v>13.5</v>
      </c>
      <c r="F20" s="5" t="n">
        <v>18</v>
      </c>
      <c r="G20" s="5" t="n">
        <v>18</v>
      </c>
      <c r="H20" s="5" t="n">
        <v>18</v>
      </c>
      <c r="I20" s="5" t="n">
        <v>18</v>
      </c>
      <c r="J20" s="5" t="n">
        <v>9</v>
      </c>
      <c r="K20" s="5" t="n">
        <v>18</v>
      </c>
      <c r="L20" s="5" t="n">
        <v>18</v>
      </c>
      <c r="M20" s="5" t="n">
        <v>18</v>
      </c>
      <c r="N20" s="5" t="n">
        <v>18</v>
      </c>
      <c r="O20" s="5" t="n">
        <v>18</v>
      </c>
      <c r="P20" s="1" t="s">
        <v>217</v>
      </c>
      <c r="Q20" s="1" t="s">
        <v>218</v>
      </c>
    </row>
    <row r="21" customFormat="false" ht="15" hidden="false" customHeight="true" outlineLevel="0" collapsed="false">
      <c r="A21" s="1" t="s">
        <v>102</v>
      </c>
      <c r="B21" s="1" t="s">
        <v>216</v>
      </c>
      <c r="C21" s="5" t="n">
        <v>1.2</v>
      </c>
      <c r="D21" s="5" t="n">
        <v>0</v>
      </c>
      <c r="E21" s="5" t="n">
        <v>11</v>
      </c>
      <c r="F21" s="5" t="n">
        <v>16.5</v>
      </c>
      <c r="G21" s="5" t="n">
        <v>22</v>
      </c>
      <c r="H21" s="5" t="n">
        <v>22</v>
      </c>
      <c r="I21" s="5" t="n">
        <v>22</v>
      </c>
      <c r="J21" s="5" t="n">
        <v>0</v>
      </c>
      <c r="K21" s="5" t="n">
        <v>22</v>
      </c>
      <c r="L21" s="5" t="n">
        <v>22</v>
      </c>
      <c r="M21" s="5" t="n">
        <v>22</v>
      </c>
      <c r="N21" s="5" t="n">
        <v>22</v>
      </c>
      <c r="O21" s="5" t="n">
        <v>22</v>
      </c>
      <c r="P21" s="1" t="s">
        <v>217</v>
      </c>
      <c r="Q21" s="1" t="s">
        <v>218</v>
      </c>
    </row>
    <row r="22" customFormat="false" ht="15" hidden="false" customHeight="true" outlineLevel="0" collapsed="false">
      <c r="A22" s="1" t="s">
        <v>104</v>
      </c>
      <c r="B22" s="1" t="s">
        <v>216</v>
      </c>
      <c r="C22" s="5" t="n">
        <v>1.3</v>
      </c>
      <c r="D22" s="5" t="n">
        <v>10</v>
      </c>
      <c r="E22" s="5" t="n">
        <v>10</v>
      </c>
      <c r="F22" s="5" t="n">
        <v>10</v>
      </c>
      <c r="G22" s="5" t="n">
        <v>10</v>
      </c>
      <c r="H22" s="5" t="n">
        <v>10</v>
      </c>
      <c r="I22" s="5" t="n">
        <v>10</v>
      </c>
      <c r="J22" s="5" t="n">
        <v>15</v>
      </c>
      <c r="K22" s="5" t="n">
        <v>15</v>
      </c>
      <c r="L22" s="5" t="n">
        <v>15</v>
      </c>
      <c r="M22" s="5" t="n">
        <v>15</v>
      </c>
      <c r="N22" s="5" t="n">
        <v>15</v>
      </c>
      <c r="O22" s="5" t="n">
        <v>15</v>
      </c>
      <c r="P22" s="1" t="s">
        <v>217</v>
      </c>
      <c r="Q22" s="1" t="s">
        <v>218</v>
      </c>
    </row>
    <row r="23" customFormat="false" ht="15" hidden="false" customHeight="true" outlineLevel="0" collapsed="false">
      <c r="A23" s="1" t="s">
        <v>106</v>
      </c>
      <c r="B23" s="1" t="s">
        <v>216</v>
      </c>
      <c r="C23" s="5" t="n">
        <v>1.3</v>
      </c>
      <c r="D23" s="5" t="n">
        <v>10</v>
      </c>
      <c r="E23" s="5" t="n">
        <v>25</v>
      </c>
      <c r="F23" s="5" t="n">
        <v>50</v>
      </c>
      <c r="G23" s="5" t="n">
        <v>75</v>
      </c>
      <c r="H23" s="5" t="n">
        <v>100</v>
      </c>
      <c r="I23" s="5" t="n">
        <v>100</v>
      </c>
      <c r="J23" s="5" t="n">
        <v>15</v>
      </c>
      <c r="K23" s="5" t="n">
        <v>40</v>
      </c>
      <c r="L23" s="5" t="n">
        <v>75</v>
      </c>
      <c r="M23" s="5" t="n">
        <v>100</v>
      </c>
      <c r="N23" s="5" t="n">
        <v>125</v>
      </c>
      <c r="O23" s="5" t="n">
        <v>125</v>
      </c>
      <c r="P23" s="1" t="s">
        <v>217</v>
      </c>
      <c r="Q23" s="1" t="s">
        <v>218</v>
      </c>
    </row>
    <row r="24" customFormat="false" ht="15" hidden="false" customHeight="true" outlineLevel="0" collapsed="false">
      <c r="A24" s="1" t="s">
        <v>108</v>
      </c>
      <c r="B24" s="1" t="s">
        <v>216</v>
      </c>
      <c r="C24" s="5" t="n">
        <v>1.3</v>
      </c>
      <c r="D24" s="5" t="s">
        <v>43</v>
      </c>
      <c r="E24" s="5" t="s">
        <v>43</v>
      </c>
      <c r="F24" s="5" t="s">
        <v>43</v>
      </c>
      <c r="G24" s="5" t="s">
        <v>43</v>
      </c>
      <c r="H24" s="5" t="s">
        <v>43</v>
      </c>
      <c r="I24" s="5" t="s">
        <v>43</v>
      </c>
      <c r="J24" s="5" t="s">
        <v>43</v>
      </c>
      <c r="K24" s="5" t="s">
        <v>43</v>
      </c>
      <c r="L24" s="5" t="s">
        <v>43</v>
      </c>
      <c r="M24" s="5" t="s">
        <v>43</v>
      </c>
      <c r="N24" s="5" t="s">
        <v>43</v>
      </c>
      <c r="O24" s="5" t="s">
        <v>43</v>
      </c>
      <c r="P24" s="1" t="s">
        <v>217</v>
      </c>
      <c r="Q24" s="1" t="s">
        <v>218</v>
      </c>
    </row>
    <row r="25" customFormat="false" ht="15" hidden="false" customHeight="true" outlineLevel="0" collapsed="false">
      <c r="A25" s="1" t="s">
        <v>110</v>
      </c>
      <c r="B25" s="1" t="s">
        <v>216</v>
      </c>
      <c r="C25" s="5" t="n">
        <v>1.3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12.5</v>
      </c>
      <c r="I25" s="5" t="n">
        <v>25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25</v>
      </c>
      <c r="O25" s="5" t="n">
        <v>50</v>
      </c>
      <c r="P25" s="1" t="s">
        <v>217</v>
      </c>
      <c r="Q25" s="1" t="s">
        <v>218</v>
      </c>
    </row>
    <row r="27" customFormat="false" ht="15" hidden="false" customHeight="true" outlineLevel="0" collapsed="false">
      <c r="A27" s="6" t="s">
        <v>220</v>
      </c>
    </row>
    <row r="28" customFormat="false" ht="15" hidden="false" customHeight="true" outlineLevel="0" collapsed="false">
      <c r="A28" s="1" t="s">
        <v>221</v>
      </c>
      <c r="B28" s="5" t="n">
        <v>4</v>
      </c>
      <c r="C28" s="1" t="s">
        <v>222</v>
      </c>
    </row>
    <row r="29" customFormat="false" ht="15" hidden="false" customHeight="true" outlineLevel="0" collapsed="false">
      <c r="A29" s="1" t="s">
        <v>223</v>
      </c>
      <c r="B29" s="1" t="n">
        <f aca="false">240/9</f>
        <v>26.6666666666667</v>
      </c>
      <c r="C29" s="1" t="s">
        <v>224</v>
      </c>
    </row>
    <row r="30" customFormat="false" ht="15" hidden="false" customHeight="true" outlineLevel="0" collapsed="false">
      <c r="A30" s="1" t="s">
        <v>225</v>
      </c>
      <c r="B30" s="1" t="n">
        <f aca="false">B28*B29</f>
        <v>106.666666666667</v>
      </c>
      <c r="C30" s="1" t="s">
        <v>136</v>
      </c>
    </row>
    <row r="32" customFormat="false" ht="15" hidden="false" customHeight="true" outlineLevel="0" collapsed="false">
      <c r="A32" s="6" t="s">
        <v>226</v>
      </c>
    </row>
    <row r="33" customFormat="false" ht="15" hidden="false" customHeight="true" outlineLevel="0" collapsed="false">
      <c r="A33" s="1" t="s">
        <v>227</v>
      </c>
      <c r="B33" s="5" t="n">
        <v>107</v>
      </c>
      <c r="C33" s="1" t="s">
        <v>228</v>
      </c>
    </row>
    <row r="34" customFormat="false" ht="15" hidden="false" customHeight="true" outlineLevel="0" collapsed="false">
      <c r="A34" s="1" t="s">
        <v>229</v>
      </c>
      <c r="B34" s="5" t="n">
        <v>1159.5</v>
      </c>
      <c r="C34" s="1" t="s">
        <v>230</v>
      </c>
    </row>
    <row r="35" customFormat="false" ht="15" hidden="false" customHeight="true" outlineLevel="0" collapsed="false">
      <c r="A35" s="1" t="s">
        <v>231</v>
      </c>
      <c r="B35" s="5" t="n">
        <v>14.5</v>
      </c>
      <c r="C35" s="1" t="s">
        <v>232</v>
      </c>
    </row>
    <row r="36" customFormat="false" ht="15" hidden="false" customHeight="true" outlineLevel="0" collapsed="false">
      <c r="A36" s="6" t="s">
        <v>233</v>
      </c>
      <c r="B36" s="1" t="n">
        <f aca="false">B33+B34/B35</f>
        <v>186.965517241379</v>
      </c>
      <c r="C36" s="1" t="s">
        <v>136</v>
      </c>
    </row>
    <row r="37" customFormat="false" ht="15" hidden="false" customHeight="true" outlineLevel="0" collapsed="false">
      <c r="A37" s="1" t="s">
        <v>234</v>
      </c>
      <c r="B37" s="1" t="n">
        <f aca="false">4*B29+B29*(2*9+3*6)/12</f>
        <v>186.666666666667</v>
      </c>
      <c r="C37" s="1" t="s">
        <v>235</v>
      </c>
    </row>
    <row r="38" customFormat="false" ht="15" hidden="false" customHeight="true" outlineLevel="0" collapsed="false">
      <c r="A38" s="1" t="s">
        <v>236</v>
      </c>
      <c r="B38" s="1" t="n">
        <f aca="false">4*B29+B29*(2*12+3*9)/12</f>
        <v>220</v>
      </c>
      <c r="C38" s="1" t="s">
        <v>237</v>
      </c>
    </row>
    <row r="39" customFormat="false" ht="15" hidden="false" customHeight="true" outlineLevel="0" collapsed="false">
      <c r="A39" s="1" t="s">
        <v>238</v>
      </c>
      <c r="B39" s="1" t="n">
        <f aca="false">((106.667+106.667)/2+(106.667+160)/2+(160+240)/2+(240+240)/2)/4</f>
        <v>170.000125</v>
      </c>
      <c r="C39" s="1" t="s">
        <v>136</v>
      </c>
    </row>
    <row r="40" customFormat="false" ht="15" hidden="false" customHeight="true" outlineLevel="0" collapsed="false">
      <c r="A40" s="1" t="s">
        <v>239</v>
      </c>
      <c r="B40" s="1" t="n">
        <f aca="false">(D2+2*E2+2*F2+2*G2+H2)/8</f>
        <v>125.45</v>
      </c>
      <c r="C40" s="1" t="s">
        <v>146</v>
      </c>
    </row>
    <row r="41" customFormat="false" ht="15" hidden="false" customHeight="true" outlineLevel="0" collapsed="false">
      <c r="A41" s="1" t="s">
        <v>240</v>
      </c>
      <c r="B41" s="5" t="n">
        <v>185.605</v>
      </c>
      <c r="C41" s="1" t="s">
        <v>241</v>
      </c>
    </row>
    <row r="42" customFormat="false" ht="15" hidden="false" customHeight="true" outlineLevel="0" collapsed="false">
      <c r="A42" s="1" t="s">
        <v>242</v>
      </c>
      <c r="B42" s="1" t="n">
        <f aca="false">(J2+2*K2+2*L2+2*M2+N2)/8</f>
        <v>168.525</v>
      </c>
      <c r="C42" s="1" t="s">
        <v>146</v>
      </c>
    </row>
    <row r="44" customFormat="false" ht="15" hidden="false" customHeight="true" outlineLevel="0" collapsed="false">
      <c r="A44" s="6" t="s">
        <v>243</v>
      </c>
      <c r="B44" s="5" t="n">
        <v>182.329216759459</v>
      </c>
      <c r="C44" s="1" t="s">
        <v>244</v>
      </c>
    </row>
    <row r="45" customFormat="false" ht="15" hidden="false" customHeight="true" outlineLevel="0" collapsed="false">
      <c r="A45" s="1" t="s">
        <v>245</v>
      </c>
      <c r="B45" s="5" t="n">
        <v>2643.76</v>
      </c>
      <c r="C45" s="1" t="s">
        <v>246</v>
      </c>
    </row>
    <row r="46" customFormat="false" ht="15" hidden="false" customHeight="true" outlineLevel="0" collapsed="false">
      <c r="A46" s="1" t="s">
        <v>247</v>
      </c>
      <c r="B46" s="1" t="n">
        <f aca="false">B44+(B38-B37)</f>
        <v>215.662550092792</v>
      </c>
      <c r="C46" s="1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  <col collapsed="false" customWidth="true" hidden="false" outlineLevel="0" max="3" min="3" style="1" width="28"/>
    <col collapsed="false" customWidth="true" hidden="false" outlineLevel="0" max="4" min="4" style="1" width="80"/>
  </cols>
  <sheetData>
    <row r="1" customFormat="false" ht="15" hidden="false" customHeight="true" outlineLevel="0" collapsed="false">
      <c r="A1" s="6" t="s">
        <v>249</v>
      </c>
      <c r="B1" s="6" t="s">
        <v>250</v>
      </c>
      <c r="C1" s="6" t="s">
        <v>120</v>
      </c>
      <c r="D1" s="6" t="s">
        <v>32</v>
      </c>
    </row>
    <row r="2" customFormat="false" ht="15" hidden="false" customHeight="true" outlineLevel="0" collapsed="false">
      <c r="A2" s="1" t="s">
        <v>251</v>
      </c>
      <c r="B2" s="1" t="s">
        <v>252</v>
      </c>
      <c r="C2" s="1" t="s">
        <v>253</v>
      </c>
      <c r="D2" s="1" t="s">
        <v>254</v>
      </c>
    </row>
    <row r="3" customFormat="false" ht="15" hidden="false" customHeight="true" outlineLevel="0" collapsed="false">
      <c r="A3" s="1" t="s">
        <v>255</v>
      </c>
      <c r="B3" s="1" t="s">
        <v>256</v>
      </c>
      <c r="C3" s="1" t="s">
        <v>257</v>
      </c>
      <c r="D3" s="1" t="s">
        <v>258</v>
      </c>
    </row>
    <row r="4" customFormat="false" ht="15" hidden="false" customHeight="true" outlineLevel="0" collapsed="false">
      <c r="A4" s="1" t="s">
        <v>259</v>
      </c>
      <c r="B4" s="1" t="s">
        <v>260</v>
      </c>
      <c r="C4" s="1" t="s">
        <v>136</v>
      </c>
      <c r="D4" s="1" t="s">
        <v>261</v>
      </c>
    </row>
    <row r="5" customFormat="false" ht="15" hidden="false" customHeight="true" outlineLevel="0" collapsed="false">
      <c r="A5" s="1" t="s">
        <v>262</v>
      </c>
      <c r="B5" s="1" t="s">
        <v>263</v>
      </c>
      <c r="C5" s="1" t="s">
        <v>181</v>
      </c>
      <c r="D5" s="1" t="s">
        <v>264</v>
      </c>
    </row>
    <row r="6" customFormat="false" ht="15" hidden="false" customHeight="true" outlineLevel="0" collapsed="false">
      <c r="A6" s="1" t="s">
        <v>265</v>
      </c>
      <c r="B6" s="1" t="s">
        <v>266</v>
      </c>
      <c r="C6" s="1" t="s">
        <v>267</v>
      </c>
      <c r="D6" s="1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50"/>
    <col collapsed="false" customWidth="true" hidden="false" outlineLevel="0" max="4" min="4" style="1" width="16"/>
    <col collapsed="false" customWidth="true" hidden="false" outlineLevel="0" max="5" min="5" style="1" width="70"/>
  </cols>
  <sheetData>
    <row r="1" customFormat="false" ht="15" hidden="false" customHeight="true" outlineLevel="0" collapsed="false">
      <c r="A1" s="6" t="s">
        <v>269</v>
      </c>
      <c r="B1" s="6" t="s">
        <v>270</v>
      </c>
      <c r="C1" s="6" t="s">
        <v>271</v>
      </c>
      <c r="D1" s="6" t="s">
        <v>272</v>
      </c>
      <c r="E1" s="6" t="s">
        <v>273</v>
      </c>
    </row>
    <row r="2" customFormat="false" ht="15" hidden="false" customHeight="true" outlineLevel="0" collapsed="false">
      <c r="A2" s="1" t="s">
        <v>274</v>
      </c>
      <c r="B2" s="1" t="s">
        <v>275</v>
      </c>
      <c r="C2" s="1" t="s">
        <v>276</v>
      </c>
      <c r="D2" s="1" t="s">
        <v>277</v>
      </c>
      <c r="E2" s="1" t="s">
        <v>278</v>
      </c>
    </row>
    <row r="3" customFormat="false" ht="15" hidden="false" customHeight="true" outlineLevel="0" collapsed="false">
      <c r="A3" s="1" t="s">
        <v>279</v>
      </c>
      <c r="B3" s="1" t="s">
        <v>280</v>
      </c>
      <c r="C3" s="1" t="s">
        <v>281</v>
      </c>
      <c r="D3" s="1" t="s">
        <v>282</v>
      </c>
      <c r="E3" s="1" t="s">
        <v>283</v>
      </c>
    </row>
    <row r="4" customFormat="false" ht="15" hidden="false" customHeight="true" outlineLevel="0" collapsed="false">
      <c r="A4" s="1" t="s">
        <v>284</v>
      </c>
      <c r="B4" s="1" t="s">
        <v>285</v>
      </c>
      <c r="C4" s="1" t="s">
        <v>286</v>
      </c>
      <c r="D4" s="1" t="s">
        <v>287</v>
      </c>
      <c r="E4" s="1" t="s">
        <v>288</v>
      </c>
    </row>
    <row r="5" customFormat="false" ht="15" hidden="false" customHeight="true" outlineLevel="0" collapsed="false">
      <c r="A5" s="1" t="s">
        <v>289</v>
      </c>
      <c r="B5" s="1" t="s">
        <v>290</v>
      </c>
      <c r="C5" s="1" t="s">
        <v>291</v>
      </c>
      <c r="D5" s="1" t="s">
        <v>292</v>
      </c>
      <c r="E5" s="1" t="s">
        <v>293</v>
      </c>
    </row>
    <row r="6" customFormat="false" ht="15" hidden="false" customHeight="true" outlineLevel="0" collapsed="false">
      <c r="A6" s="1" t="s">
        <v>294</v>
      </c>
      <c r="B6" s="1" t="s">
        <v>295</v>
      </c>
      <c r="C6" s="1" t="s">
        <v>296</v>
      </c>
      <c r="D6" s="1" t="s">
        <v>297</v>
      </c>
      <c r="E6" s="1" t="s">
        <v>298</v>
      </c>
    </row>
    <row r="7" customFormat="false" ht="15" hidden="false" customHeight="true" outlineLevel="0" collapsed="false">
      <c r="A7" s="1" t="s">
        <v>299</v>
      </c>
      <c r="B7" s="1" t="s">
        <v>300</v>
      </c>
      <c r="C7" s="1" t="s">
        <v>301</v>
      </c>
      <c r="D7" s="1" t="s">
        <v>277</v>
      </c>
    </row>
    <row r="8" customFormat="false" ht="15" hidden="false" customHeight="true" outlineLevel="0" collapsed="false">
      <c r="A8" s="1" t="s">
        <v>302</v>
      </c>
      <c r="B8" s="1" t="s">
        <v>303</v>
      </c>
      <c r="C8" s="1" t="s">
        <v>301</v>
      </c>
      <c r="D8" s="1" t="s">
        <v>277</v>
      </c>
      <c r="E8" s="1" t="s">
        <v>304</v>
      </c>
    </row>
    <row r="9" customFormat="false" ht="15" hidden="false" customHeight="true" outlineLevel="0" collapsed="false">
      <c r="A9" s="1" t="s">
        <v>305</v>
      </c>
      <c r="B9" s="1" t="s">
        <v>306</v>
      </c>
      <c r="C9" s="1" t="s">
        <v>301</v>
      </c>
      <c r="D9" s="1" t="s">
        <v>277</v>
      </c>
      <c r="E9" s="1" t="s">
        <v>307</v>
      </c>
    </row>
    <row r="10" customFormat="false" ht="15" hidden="false" customHeight="true" outlineLevel="0" collapsed="false">
      <c r="A10" s="1" t="s">
        <v>308</v>
      </c>
      <c r="B10" s="1" t="s">
        <v>309</v>
      </c>
      <c r="C10" s="1" t="s">
        <v>301</v>
      </c>
      <c r="D10" s="1" t="s">
        <v>277</v>
      </c>
      <c r="E10" s="1" t="s">
        <v>310</v>
      </c>
    </row>
    <row r="11" customFormat="false" ht="15" hidden="false" customHeight="true" outlineLevel="0" collapsed="false">
      <c r="A11" s="1" t="s">
        <v>311</v>
      </c>
      <c r="B11" s="1" t="s">
        <v>312</v>
      </c>
      <c r="C11" s="1" t="s">
        <v>301</v>
      </c>
      <c r="D11" s="1" t="s">
        <v>277</v>
      </c>
    </row>
    <row r="12" customFormat="false" ht="15" hidden="false" customHeight="true" outlineLevel="0" collapsed="false">
      <c r="A12" s="1" t="s">
        <v>313</v>
      </c>
      <c r="B12" s="1" t="s">
        <v>314</v>
      </c>
      <c r="C12" s="1" t="s">
        <v>301</v>
      </c>
      <c r="D12" s="1" t="s">
        <v>277</v>
      </c>
      <c r="E12" s="1" t="s">
        <v>315</v>
      </c>
    </row>
    <row r="13" customFormat="false" ht="15" hidden="false" customHeight="true" outlineLevel="0" collapsed="false">
      <c r="A13" s="1" t="s">
        <v>316</v>
      </c>
      <c r="B13" s="1" t="s">
        <v>317</v>
      </c>
      <c r="C13" s="1" t="s">
        <v>318</v>
      </c>
      <c r="D13" s="1" t="s">
        <v>319</v>
      </c>
      <c r="E13" s="1" t="s">
        <v>320</v>
      </c>
    </row>
    <row r="14" customFormat="false" ht="15" hidden="false" customHeight="true" outlineLevel="0" collapsed="false">
      <c r="A14" s="1" t="s">
        <v>321</v>
      </c>
      <c r="B14" s="1" t="s">
        <v>322</v>
      </c>
      <c r="C14" s="1" t="s">
        <v>323</v>
      </c>
      <c r="D14" s="1" t="s">
        <v>297</v>
      </c>
      <c r="E14" s="1" t="s">
        <v>324</v>
      </c>
    </row>
    <row r="15" customFormat="false" ht="15" hidden="false" customHeight="true" outlineLevel="0" collapsed="false">
      <c r="A15" s="1" t="s">
        <v>325</v>
      </c>
      <c r="B15" s="1" t="s">
        <v>326</v>
      </c>
      <c r="C15" s="1" t="s">
        <v>327</v>
      </c>
      <c r="D15" s="1" t="s">
        <v>297</v>
      </c>
      <c r="E15" s="1" t="s">
        <v>328</v>
      </c>
    </row>
    <row r="16" customFormat="false" ht="15" hidden="false" customHeight="true" outlineLevel="0" collapsed="false">
      <c r="A16" s="1" t="s">
        <v>329</v>
      </c>
      <c r="B16" s="1" t="s">
        <v>330</v>
      </c>
      <c r="C16" s="1" t="s">
        <v>331</v>
      </c>
      <c r="D16" s="1" t="s">
        <v>332</v>
      </c>
      <c r="E16" s="1" t="s">
        <v>333</v>
      </c>
    </row>
    <row r="17" customFormat="false" ht="15" hidden="false" customHeight="false" outlineLevel="0" collapsed="false">
      <c r="A17" s="1" t="s">
        <v>329</v>
      </c>
      <c r="B17" s="1" t="s">
        <v>331</v>
      </c>
      <c r="C17" s="1" t="s">
        <v>165</v>
      </c>
      <c r="D17" s="1" t="s">
        <v>332</v>
      </c>
      <c r="E17" s="1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6" t="s">
        <v>32</v>
      </c>
      <c r="B1" s="6" t="s">
        <v>335</v>
      </c>
    </row>
    <row r="2" customFormat="false" ht="15" hidden="false" customHeight="true" outlineLevel="0" collapsed="false">
      <c r="A2" s="1" t="s">
        <v>336</v>
      </c>
      <c r="B2" s="1" t="s">
        <v>337</v>
      </c>
    </row>
    <row r="3" customFormat="false" ht="15" hidden="false" customHeight="true" outlineLevel="0" collapsed="false">
      <c r="A3" s="1" t="s">
        <v>338</v>
      </c>
      <c r="B3" s="1" t="s">
        <v>339</v>
      </c>
    </row>
    <row r="4" customFormat="false" ht="15" hidden="false" customHeight="true" outlineLevel="0" collapsed="false">
      <c r="A4" s="1" t="s">
        <v>340</v>
      </c>
      <c r="B4" s="1" t="s">
        <v>341</v>
      </c>
    </row>
    <row r="5" customFormat="false" ht="15" hidden="false" customHeight="true" outlineLevel="0" collapsed="false">
      <c r="A5" s="1" t="s">
        <v>342</v>
      </c>
      <c r="B5" s="1" t="s">
        <v>343</v>
      </c>
    </row>
    <row r="6" customFormat="false" ht="15" hidden="false" customHeight="true" outlineLevel="0" collapsed="false">
      <c r="A6" s="1" t="s">
        <v>344</v>
      </c>
      <c r="B6" s="1" t="s">
        <v>345</v>
      </c>
    </row>
    <row r="7" customFormat="false" ht="15" hidden="false" customHeight="true" outlineLevel="0" collapsed="false">
      <c r="A7" s="1" t="s">
        <v>346</v>
      </c>
      <c r="B7" s="1" t="s">
        <v>347</v>
      </c>
    </row>
    <row r="8" customFormat="false" ht="15" hidden="false" customHeight="true" outlineLevel="0" collapsed="false">
      <c r="A8" s="1" t="s">
        <v>348</v>
      </c>
      <c r="B8" s="1" t="s">
        <v>349</v>
      </c>
    </row>
    <row r="9" customFormat="false" ht="15" hidden="false" customHeight="true" outlineLevel="0" collapsed="false">
      <c r="A9" s="1" t="s">
        <v>350</v>
      </c>
      <c r="B9" s="1" t="s">
        <v>351</v>
      </c>
    </row>
    <row r="10" customFormat="false" ht="15" hidden="false" customHeight="true" outlineLevel="0" collapsed="false">
      <c r="A10" s="1" t="s">
        <v>352</v>
      </c>
      <c r="B10" s="1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2026-10-08T13:52:12Z</dcterms:created>
  <dc:creator>openpyxl</dc:creator>
  <dc:description/>
  <dc:language>en-US</dc:language>
  <cp:lastModifiedBy/>
  <dcterms:modified xsi:type="dcterms:W3CDTF">2026-10-09T12:34:05Z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