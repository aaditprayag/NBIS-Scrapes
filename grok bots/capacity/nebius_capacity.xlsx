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Summary" sheetId="2" state="visible" r:id="rId4"/>
    <sheet name="Sites" sheetId="3" state="visible" r:id="rId5"/>
    <sheet name="Quarterly MW" sheetId="4" state="visible" r:id="rId6"/>
    <sheet name="GPUs deployed" sheetId="5" state="visible" r:id="rId7"/>
    <sheet name="GPU vintage" sheetId="6" state="visible" r:id="rId8"/>
    <sheet name="Vineland tranche track" sheetId="7" state="visible" r:id="rId9"/>
    <sheet name="Tags_Sources" sheetId="8" state="visible" r:id="rId10"/>
    <sheet name="Basis" sheetId="9" state="visible" r:id="rId11"/>
    <sheet name="Capacity tranches" sheetId="10" state="visible" r:id="rId12"/>
    <sheet name="Alt path"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<sst xmlns="http://schemas.openxmlformats.org/spreadsheetml/2006/main" count="32435" uniqueCount="7928">
  <si>
    <t xml:space="preserve">Nebius (NBIS) capacity model - built 2026-10-04 (ET) by Capacity &amp; Power analyst. Public information only. Script: /workspace/nebius/capacity/build_capacity.py</t>
  </si>
  <si>
    <t xml:space="preserve">DEFINITIONS (Nebius, Q1-26 letter): contracted = power secured by contracted land and power commitments; connected = power connected into fully built and equipped DCs; active = power consumed by installed operational IT equipment, available for revenue.</t>
  </si>
  <si>
    <t xml:space="preserve">'Energized MW' in this workbook = my estimate of power physically live at the site (closest to 'active'). It is NOT 'connected' (built-and-equipped, may not be powered) and NOT 'contracted'.</t>
  </si>
  <si>
    <t xml:space="preserve">MW BASIS: Nebius never states IT vs gross. Site rows use the stated basis (mostly unknown/gross). Vineland energized rows are IT MW (alt-data power-bounded); Modi'in and AIB are IT. Company totals therefore mix bases (1.1-1.45x PUE ambiguity).</t>
  </si>
  <si>
    <t xml:space="preserve">MAPPING FOR MODELING: Energized low -&gt; Bear; Energized base (midpoint formula) -&gt; Base; Energized high -&gt; Bull. Contracted MW is not a revenue driver.</t>
  </si>
  <si>
    <t xml:space="preserve">BILLING LAG (Estimated): revenue/billing lags energization by &gt;= 1 quarter for new capacity (commission DC, network, clusters, platform, onboarding: Q2-26 call "takes a few months"; active through 1H27). Exception: Vineland T1-T4 billing at reported delivery dates.</t>
  </si>
  <si>
    <t xml:space="preserve">Rates context (Q2-26 letter): ~$12M/MW/yr 2026 installed base; &gt;$20M/MW Q2 new deals ($20-25M ACV/MW); &gt;$40M/MW Q3 short-term deals.</t>
  </si>
  <si>
    <t xml:space="preserve">CAPEX (corrected): FY26 capex guide $20-25B (CFO, Q2-26 call Aug 12 2026; not in an SEC filing). On +580-780 MW connected (220 -&gt; 800-1,000) = $25.6-43.1M per connected MW (Derived: 20,000/780 and 25,000/580). Earlier $16-20B figure superseded.</t>
  </si>
  <si>
    <t xml:space="preserve">YE2026 ENERGIZED (identified sites, this model): see Quarterly MW Q4 2026 company rows. Revised from prior ~330/600/800 after alt-data: Vineland capped at the generator ceiling (~107 MW IT) until Bloom is confirmed; Bethune 120 MW at risk; Birmingham/Independence revenue 2027.</t>
  </si>
  <si>
    <t xml:space="preserve">PLUG ROW: = mgmt reported/guided figure - identified base. At YE26 it shows the MW that must come from undisclosed sites (MN, OK, France 2nd, UK 3rd) or from counting built-but-unpowered halls as "connected" for the guide to be met. It is a reconciliation, not an estimate.</t>
  </si>
  <si>
    <t xml:space="preserve">GPUs: energized base MW x GPUs/MW (gpu_mw_capex.xlsx base rows; gross column for stated-basis sites, IT column for IT-basis sites). Reported GPU counts ran ahead of powered MW (delivered-not-powered): never back MW out of GPU counts.</t>
  </si>
  <si>
    <t xml:space="preserve">GPU vintage: generation per site is mostly ASSUMED (Nebius rarely discloses per site). 2027+ owned sites assumed Vera Rubin. Cohort rows = quarterly MW additions for vintage depreciation (servers 5-yr life from Jan 2026 per 20-F).</t>
  </si>
  <si>
    <t xml:space="preserve">Colours: blue font = hard-coded input; black = formula. Every input/formula cell has a tag (Reported / Derived / Estimated) and source in Tags_Sources. "n/d" = not disclosed.</t>
  </si>
  <si>
    <t xml:space="preserve">V2 (2026-10-05 ET): backup of prior file = nebius_capacity_v1.xlsx (script build_capacity_v1.py). Changes: added Newport (Vantage CWL1), UK 3rd (lead), OK and MN anchors (Estimated); KC starts Q1-25 at 5-15 MW (GPU anchor: FY24 20-F ~30,000 GPUs at Mar 31 2025, replaces ~38k); Vineland capped at 240 IT MW; Israel slipped per Mega Or Q2-26 deck; new Basis tab (IT/gross/not stated + gross/IT factor per site, peer ratios from peers/comparison.xlsx); IT- and gross-normalized energized series, connected-MW line, billing-MW rows, Bloom-slips-2Q scenario (Quarterly MW bottom rows); per-tranche tags (Vineland tranche track cols O-X; Capacity tranches tab); Alt path tab (mw_path_proposed.csv + Q4-27 split); Summary tab.</t>
  </si>
  <si>
    <t xml:space="preserve">Verification grades and rationale: /workspace/nebius/capacity/site_verification.md. Alt-data: /workspace/nebius/capacity/altdata/altdata_timelines.xlsx.</t>
  </si>
  <si>
    <t xml:space="preserve">SUMMARY (v2) - Nebius energized / connected / leased MW. Base = midpoint; IT/gross via Basis tab. All projections Estimated.</t>
  </si>
  <si>
    <t xml:space="preserve">Metric</t>
  </si>
  <si>
    <t xml:space="preserve">YE26 low</t>
  </si>
  <si>
    <t xml:space="preserve">YE26 base</t>
  </si>
  <si>
    <t xml:space="preserve">YE26 high</t>
  </si>
  <si>
    <t xml:space="preserve">YE27 low</t>
  </si>
  <si>
    <t xml:space="preserve">YE27 base</t>
  </si>
  <si>
    <t xml:space="preserve">YE27 high</t>
  </si>
  <si>
    <t xml:space="preserve">Tag</t>
  </si>
  <si>
    <t xml:space="preserve">Source / note</t>
  </si>
  <si>
    <t xml:space="preserve">Energized MW - stated basis (mixed)</t>
  </si>
  <si>
    <t xml:space="preserve">Derived/Estimated</t>
  </si>
  <si>
    <t xml:space="preserve">Energized MW - IT-normalized</t>
  </si>
  <si>
    <t xml:space="preserve">Energized MW - gross-normalized</t>
  </si>
  <si>
    <t xml:space="preserve">Connected MW (gross/shell, bottom-up)</t>
  </si>
  <si>
    <t xml:space="preserve">Modeling placeholder YE27 energized IT MW</t>
  </si>
  <si>
    <t xml:space="preserve">Ours (IT base) minus 950 placeholder</t>
  </si>
  <si>
    <t xml:space="preserve">Mgmt guide: connected</t>
  </si>
  <si>
    <t xml:space="preserve">800-1,000</t>
  </si>
  <si>
    <t xml:space="preserve">~1,800-2,000 (YE26 + &gt;1 GW/yr)</t>
  </si>
  <si>
    <t xml:space="preserve">Vineland Bloom slips 2Q: IT MW lost at YE27</t>
  </si>
  <si>
    <t xml:space="preserve">Billing MW (IT) at quarter-end: base / Bloom-slip</t>
  </si>
  <si>
    <t xml:space="preserve">LEASED vs OWNED IT MW (for Note 12 $12.05B signed-not-commenced lease check: leased IT MW x $2.0-2.5M/IT MW/yr)</t>
  </si>
  <si>
    <t xml:space="preserve">Site</t>
  </si>
  <si>
    <t xml:space="preserve">Owned/leased</t>
  </si>
  <si>
    <t xml:space="preserve">Contracted MW (stated)</t>
  </si>
  <si>
    <t xml:space="preserve">Contracted IT MW</t>
  </si>
  <si>
    <t xml:space="preserve">Energized IT YE25 (base)</t>
  </si>
  <si>
    <t xml:space="preserve">Energized IT YE26 (base)</t>
  </si>
  <si>
    <t xml:space="preserve">Energized IT YE27 (base)</t>
  </si>
  <si>
    <t xml:space="preserve">Contracted IT not yet energized at YE26</t>
  </si>
  <si>
    <t xml:space="preserve">Note</t>
  </si>
  <si>
    <t xml:space="preserve">Vineland NJ (DataOne)</t>
  </si>
  <si>
    <t xml:space="preserve">leased</t>
  </si>
  <si>
    <t xml:space="preserve">Operating PUE 1.2 for liquid-cooled GB300 (team ceiling formula); design ratio 300/240 = 1.25</t>
  </si>
  <si>
    <t xml:space="preserve">Bethune FR (Azur Datacenter, ex-Bridgestone)</t>
  </si>
  <si>
    <t xml:space="preserve">Northern France climate; peer range</t>
  </si>
  <si>
    <t xml:space="preserve">Kansas City MO (Patmos)</t>
  </si>
  <si>
    <t xml:space="preserve">Air-cooled Hopper/B200 retrofit; colo leases usually priced on critical IT</t>
  </si>
  <si>
    <t xml:space="preserve">Paris (Equinix PA10)</t>
  </si>
  <si>
    <t xml:space="preserve">Equinix urban colo</t>
  </si>
  <si>
    <t xml:space="preserve">Keflavik IS (Verne)</t>
  </si>
  <si>
    <t xml:space="preserve">Iceland free cooling</t>
  </si>
  <si>
    <t xml:space="preserve">London Longcross (Ark LP01)</t>
  </si>
  <si>
    <t xml:space="preserve">Air-cooled HGX B300</t>
  </si>
  <si>
    <t xml:space="preserve">Harlow UK (Kao Data KLON-02/03)</t>
  </si>
  <si>
    <t xml:space="preserve">Kao Data design PUE ~1.2 (Estimated)</t>
  </si>
  <si>
    <t xml:space="preserve">Newport UK (Vantage CWL1)</t>
  </si>
  <si>
    <t xml:space="preserve">UK colo</t>
  </si>
  <si>
    <t xml:space="preserve">UK 3rd new deployment (lead: Green Mountain LON-East, Romford)</t>
  </si>
  <si>
    <t xml:space="preserve">n/d</t>
  </si>
  <si>
    <t xml:space="preserve">Modi'in IL (Mega Or)</t>
  </si>
  <si>
    <t xml:space="preserve">Israel climate</t>
  </si>
  <si>
    <t xml:space="preserve">Masmiyya IL (Mega DC)</t>
  </si>
  <si>
    <t xml:space="preserve">Beit Shemesh IL (Mega DC)</t>
  </si>
  <si>
    <t xml:space="preserve">Madrid-Getafe ES (Merlin Edged)</t>
  </si>
  <si>
    <t xml:space="preserve">Madrid climate</t>
  </si>
  <si>
    <t xml:space="preserve">Tallinn EE (Greenergy Huuru)</t>
  </si>
  <si>
    <t xml:space="preserve">Baltic climate</t>
  </si>
  <si>
    <t xml:space="preserve">Minnesota colo (us-north1, Woodbury)</t>
  </si>
  <si>
    <t xml:space="preserve">US colo</t>
  </si>
  <si>
    <t xml:space="preserve">Oklahoma colo (unnamed)</t>
  </si>
  <si>
    <t xml:space="preserve">US colo, liquid cooling</t>
  </si>
  <si>
    <t xml:space="preserve">France 2nd colo (unnamed; possibly eu-west2)</t>
  </si>
  <si>
    <t xml:space="preserve">AIB CLT1 (Moore, Spartanburg County SC; Lockhart Power)</t>
  </si>
  <si>
    <t xml:space="preserve">65/50 = 1.30</t>
  </si>
  <si>
    <t xml:space="preserve">TOTAL leased</t>
  </si>
  <si>
    <t xml:space="preserve">TOTAL owned (IT-normalized energized)</t>
  </si>
  <si>
    <t xml:space="preserve">Illustrative: rent on leased contracted IT MW not yet energized at YE26, $M/yr @ $2.0M / $2.5M</t>
  </si>
  <si>
    <t xml:space="preserve">LEASES SIGNED NOT COMMENCED (Q2'26 6-K Ex.99.2 lease note) vs our leased IT MW</t>
  </si>
  <si>
    <t xml:space="preserve">Leases signed not commenced at 6/30/26, undiscounted $M</t>
  </si>
  <si>
    <t xml:space="preserve">Reported</t>
  </si>
  <si>
    <t xml:space="preserve">Q2'26 interim FS (6-K Ex.99.2) lease note; primarily DC facilities + equipment; commencing 2026-2027; terms up to 12 yrs; $612.4M prepaid</t>
  </si>
  <si>
    <t xml:space="preserve">Same at 12/31/25, $M (terms up to 11 yrs; $271.0M prepaid)</t>
  </si>
  <si>
    <t xml:space="preserve">FY25 20-F Note 8</t>
  </si>
  <si>
    <t xml:space="preserve">ROU assets 6/30/26 $M (YE25 918.8; H1 additions 996.2)</t>
  </si>
  <si>
    <t xml:space="preserve">Q2'26 interim FS lease note</t>
  </si>
  <si>
    <t xml:space="preserve">Term assumption (yrs) - Filings check uses 12 (max disclosed)</t>
  </si>
  <si>
    <t xml:space="preserve">Estimated</t>
  </si>
  <si>
    <t xml:space="preserve">Filings team check; disclosed as "up to 12 years"</t>
  </si>
  <si>
    <t xml:space="preserve">Alt term assumption (yrs)</t>
  </si>
  <si>
    <t xml:space="preserve">sensitivity: average term below the maximum</t>
  </si>
  <si>
    <t xml:space="preserve">Implied annual payments $M/yr @ 12 yrs</t>
  </si>
  <si>
    <t xml:space="preserve">Derived</t>
  </si>
  <si>
    <t xml:space="preserve">undiscounted / term</t>
  </si>
  <si>
    <t xml:space="preserve">Filings check: implied leased IT MW @ $2.0M/IT MW-yr</t>
  </si>
  <si>
    <t xml:space="preserve">Filings rough check (400-500 MW range)</t>
  </si>
  <si>
    <t xml:space="preserve">Filings check: implied leased IT MW @ $2.5M/IT MW-yr</t>
  </si>
  <si>
    <t xml:space="preserve">Filings rough check</t>
  </si>
  <si>
    <t xml:space="preserve">OURS: leased IT MW energized (commenced proxy) YE25</t>
  </si>
  <si>
    <t xml:space="preserve">sum of leased sites, IT-normalized base</t>
  </si>
  <si>
    <t xml:space="preserve">OURS: leased IT MW energized at 6/30/26 (already commenced proxy)</t>
  </si>
  <si>
    <t xml:space="preserve">OURS: leased IT MW commencing in 2026 (YE26 - YE25)</t>
  </si>
  <si>
    <t xml:space="preserve">energization as commencement proxy</t>
  </si>
  <si>
    <t xml:space="preserve">OURS: leased IT MW commencing in 2027 (YE27 - YE26)</t>
  </si>
  <si>
    <t xml:space="preserve">OURS: leased IT MW commencing 7/1/26 - 12/31/27 (comparable to the $12.05B pool)</t>
  </si>
  <si>
    <t xml:space="preserve">YE27 leased energized - 6/30/26 leased energized</t>
  </si>
  <si>
    <t xml:space="preserve">  of which excl. Vineland (build-to-suit lease may have commenced Nov-25 with T1)</t>
  </si>
  <si>
    <t xml:space="preserve">same excl. VIN</t>
  </si>
  <si>
    <t xml:space="preserve">OURS: contracted leased IT MW not energized at 6/30/26 (named sites; n/d excluded)</t>
  </si>
  <si>
    <t xml:space="preserve">contracted leased IT total - energized at 6/30/26</t>
  </si>
  <si>
    <t xml:space="preserve">Implied rent $M per IT MW-yr if OUR pool MW is right @ 12 yrs</t>
  </si>
  <si>
    <t xml:space="preserve">$12.05B / 12 / our pool MW</t>
  </si>
  <si>
    <t xml:space="preserve">Implied rent $M per IT MW-yr if OUR pool MW is right @ 10 yrs</t>
  </si>
  <si>
    <t xml:space="preserve">sensitivity</t>
  </si>
  <si>
    <t xml:space="preserve">Implied rent excl. Vineland @ 12 yrs</t>
  </si>
  <si>
    <t xml:space="preserve">if Vineland lease already commenced</t>
  </si>
  <si>
    <t xml:space="preserve">  less leases likely signed after 6/30/26 (AIB CLT1 Sep 30; Newport Aug 13; UK3 lead Sep 1) - YE27 IT MW</t>
  </si>
  <si>
    <t xml:space="preserve">excluded: cannot be in the 6/30/26 not-commenced pool</t>
  </si>
  <si>
    <t xml:space="preserve">OURS: comparable pool excl. Vineland and post-6/30 signings</t>
  </si>
  <si>
    <t xml:space="preserve">best like-for-like vs Filings 400-500</t>
  </si>
  <si>
    <t xml:space="preserve">Implied rent $M per IT MW-yr on comparable pool @ 12 yrs</t>
  </si>
  <si>
    <t xml:space="preserve">$12.05B / 12 / comparable pool</t>
  </si>
  <si>
    <t xml:space="preserve">VERDICT (Derived/Estimated): Including Vineland, our leased MW commencing 7/1/26-YE27 (~642 IT MW) is ABOVE the 400-500 MW check, i.e. not short. Like-for-like (Vineland build-to-suit likely commenced with T1 in Nov-25; AIB/Newport/UK3 signed after 6/30) our pool is ~383 IT MW, slightly BELOW 400-500, implying ~$2.6M/IT MW-yr at a 12-yr term. Leased MW and the $2.0-2.5M rent therefore bracket the disclosure; if anything the rent assumption looks slightly LOW (or more MW than modeled commence by YE27, e.g. Bethune/Beit Shemesh ahead of our base, larger OK). The pool also includes equipment leases, which would lower implied DC rent. No site-level ladder is disclosed, so this is a range check, not a reconciliation.</t>
  </si>
  <si>
    <t xml:space="preserve">Caveats: Vineland is a build-to-suit lease that has partly commenced (T1-T4); Note 12 composition by site is not disclosed; MN/OK/FR2/UK3 contracted MW n/d (excluded); AIB CLT1 rent ~&gt;=$1.3B/12y/50MW = ~$2.2M/IT MW/yr (Derived, AIB deck) is a direct check on the $2.0-2.5M range.</t>
  </si>
  <si>
    <t xml:space="preserve">Q2'26 RECONCILIATION (~190 MW implied vs model)</t>
  </si>
  <si>
    <t xml:space="preserve">Q2-26 AI cloud revenue $M</t>
  </si>
  <si>
    <t xml:space="preserve">https://www.sec.gov/Archives/edgar/data/1513845/000110465926094568/tm2622968d1_ex99-2.htm</t>
  </si>
  <si>
    <t xml:space="preserve">2026 base ACV per MW $M/yr (letter chart "ACV per MW... $12M 2026 base"; ACV = annual contract value, NOT capex)</t>
  </si>
  <si>
    <t xml:space="preserve">https://www.sec.gov/Archives/edgar/data/1513845/000110465926094568/tm2622968d1_ex99-2.htm p.1 + footnote 1</t>
  </si>
  <si>
    <t xml:space="preserve">Implied average billing MW in Q2 = rev x 4 / ACV</t>
  </si>
  <si>
    <t xml:space="preserve">June-26 exit: ARR $3.0B / $12M</t>
  </si>
  <si>
    <t xml:space="preserve">ARR = last month x 12 (letter footnote)</t>
  </si>
  <si>
    <t xml:space="preserve">v1 model Q2-26 identified base (stated basis)</t>
  </si>
  <si>
    <t xml:space="preserve">nebius_capacity_v1.xlsx</t>
  </si>
  <si>
    <t xml:space="preserve">v2 model Q2-26 identified base (stated basis)</t>
  </si>
  <si>
    <t xml:space="preserve">adds MN 10 + OK 10 (Estimated)</t>
  </si>
  <si>
    <t xml:space="preserve">v2 model Q2-26 IT-normalized base</t>
  </si>
  <si>
    <t xml:space="preserve">v2 model Q2-26 gross-normalized base</t>
  </si>
  <si>
    <t xml:space="preserve">Sensitivity: Vineland at 2 delivered tranches (2 x 26.7 IT) instead of altdata 39</t>
  </si>
  <si>
    <t xml:space="preserve">equal-split tranche MW vs thermal-bounded 39</t>
  </si>
  <si>
    <t xml:space="preserve">Result: the ~190 MW figure is a REVENUE-implied AVERAGE billing MW on Nebius's own (active = IT-consumed) basis. The gap to 173 closes mainly through MN + OK colos (~20 MW, live by Q2 per on-site jobs) -&gt; v2 Q2-26 base ~193; IT-normalizing pulls it down (owned Mantsala 75 at PUE 1.1 and Longcross gross) while Vineland at tranche-equal-split (53 vs 39 IT) would add ~14. KC (20 in Q2-26) is unchanged in Q2-26; its re-anchoring affects 2025 history.</t>
  </si>
  <si>
    <t xml:space="preserve">GPU ANCHOR CHECK (Q1'25)</t>
  </si>
  <si>
    <t xml:space="preserve">Company-stated GPUs deployed at Mar 31 2025</t>
  </si>
  <si>
    <t xml:space="preserve">Modeled GPUs Q1-25 (v2, GPUs deployed tab)</t>
  </si>
  <si>
    <t xml:space="preserve">Modeled / stated</t>
  </si>
  <si>
    <t xml:space="preserve">Energized MW Q1-25 (stated basis, v2)</t>
  </si>
  <si>
    <t xml:space="preserve">Gross MW needed for 30k Hopper at gross density</t>
  </si>
  <si>
    <t xml:space="preserve">Country</t>
  </si>
  <si>
    <t xml:space="preserve">Ownership type</t>
  </si>
  <si>
    <t xml:space="preserve">Contract tag</t>
  </si>
  <si>
    <t xml:space="preserve">Contract tag evidence</t>
  </si>
  <si>
    <t xml:space="preserve">Contracted MW</t>
  </si>
  <si>
    <t xml:space="preserve">MW basis (IT/gross/unknown)</t>
  </si>
  <si>
    <t xml:space="preserve">PUE (where disclosed)</t>
  </si>
  <si>
    <t xml:space="preserve">Mgmt go-live</t>
  </si>
  <si>
    <t xml:space="preserve">My evidence-based go-live</t>
  </si>
  <si>
    <t xml:space="preserve">Risk grade</t>
  </si>
  <si>
    <t xml:space="preserve">GPU generation</t>
  </si>
  <si>
    <t xml:space="preserve">YE26 energized low</t>
  </si>
  <si>
    <t xml:space="preserve">YE26 energized high</t>
  </si>
  <si>
    <t xml:space="preserve">YE26 energized base</t>
  </si>
  <si>
    <t xml:space="preserve">Key sources</t>
  </si>
  <si>
    <t xml:space="preserve">USA</t>
  </si>
  <si>
    <t xml:space="preserve">Build-to-suit (DataOne owns shell; Nebius tenant)</t>
  </si>
  <si>
    <t xml:space="preserve">Microsoft</t>
  </si>
  <si>
    <t xml:space="preserve">Reported: 6-K Sep 2025 / 20-F: MSFT served from Vineland</t>
  </si>
  <si>
    <t xml:space="preserve">Contracted 300 = gross (Estimated); energized rows = IT MW (altdata power-bounded)</t>
  </si>
  <si>
    <t xml:space="preserve">not disclosed (IT est. uses PUE 1.2-1.35, Estimated)</t>
  </si>
  <si>
    <t xml:space="preserve">Phase 1 summer 2025; all 9 MSFT tranches during 2025-26; Vineland in 2026 connected power (Q2-26 call)</t>
  </si>
  <si>
    <t xml:space="preserve">~107 MW IT ceiling on rented gensets through YE26; Bloom-powered remainder 1H-2H 2027</t>
  </si>
  <si>
    <t xml:space="preserve">Yellow/Red</t>
  </si>
  <si>
    <t xml:space="preserve">GB300 NVL72 (assumed; not disclosed by Nebius)</t>
  </si>
  <si>
    <t xml:space="preserve">https://www.sec.gov/Archives/edgar/data/1513845/000110465925088312/tm2525580d1_6k.htm; https://www.sec.gov/Archives/edgar/data/1513845/000110465926052948/nbis-20251231x20f.htm; https://www.sec.gov/Archives/edgar/data/1513845/000110465926094568/tm2622968d1_ex99-2.htm; https://www.fool.com/earnings/call-transcripts/2026/08/19/nebius-nbis-q2-2026-earnings-call-transcript/ (cached /workspace/nebius/src/q2t.txt); https://www.enr.com/articles/63695-inside-the-vineland-data-center-power-dispute; https://newjerseymonitor.com/2026/10/01/nj-data-center-polluted-air-for-nearly-a-year-before-regulators-intervened/; https://www.nj.gov/governor/news/2026/20260922a.shtml; https://hntrbrk.com/breaking-news/vineland; https://whyy.org/articles/vineland-planning-board-approves-data-center-plan/; /workspace/nebius/capacity/altdata/altdata_timelines.xlsx (Timeline, Vineland_MW)</t>
  </si>
  <si>
    <t xml:space="preserve">Independence MO (Eastgate)</t>
  </si>
  <si>
    <t xml:space="preserve">Owned greenfield</t>
  </si>
  <si>
    <t xml:space="preserve">unassigned (Meta #2 candidate - assumed)</t>
  </si>
  <si>
    <t xml:space="preserve">assumed: Meta #2 = multiple undisclosed locations; Phase 1 Q3-27 is after Meta #2 1H27 tranches</t>
  </si>
  <si>
    <t xml:space="preserve">unknown (likely gross/utility)</t>
  </si>
  <si>
    <t xml:space="preserve">not disclosed</t>
  </si>
  <si>
    <t xml:space="preserve">Operational 2027 (Q1-26 letter); IPL initial power 2H26</t>
  </si>
  <si>
    <t xml:space="preserve">Phase 1 ~Q3 2027; 600 MW not before 2029</t>
  </si>
  <si>
    <t xml:space="preserve">Green</t>
  </si>
  <si>
    <t xml:space="preserve">Vera Rubin NVL72 (assumed; company-level VR statement)</t>
  </si>
  <si>
    <t xml:space="preserve">https://nebius.com/independencemo; https://www.independencemo.gov/sites/default/files/2026-02/Nebius%20x%20Independence%2C%20MO.cleaned.pdf; https://citizenportal.ai/articles/7477161 (Independence PUAB: IPP PPA/ESA timeline); https://ded.mo.gov/press-room/nebius-breaks-ground-gigawatt-scale-ai-factory-independence; https://www.sec.gov/Archives/edgar/data/1513845/000110465926059872/tm2614392d1_ex99-2.htm; /workspace/nebius/capacity/altdata/altdata_timelines.xlsx (Timeline, Vineland_MW)</t>
  </si>
  <si>
    <t xml:space="preserve">Butler Twp PA (Highridge)</t>
  </si>
  <si>
    <t xml:space="preserve">unassigned</t>
  </si>
  <si>
    <t xml:space="preserve">unknown (PPL ESA = utility/gross)</t>
  </si>
  <si>
    <t xml:space="preserve">260 MW by Oct 2027; 660 MW Jan 2029; 1,000+ MW Nov 2029</t>
  </si>
  <si>
    <t xml:space="preserve">First MW Q4 2027 at best; base ~Q2 2028-2029 (PPL lines late-27 to early-29; 3-yr build)</t>
  </si>
  <si>
    <t xml:space="preserve">Red</t>
  </si>
  <si>
    <t xml:space="preserve">Vera Rubin NVL72 (assumed)</t>
  </si>
  <si>
    <t xml:space="preserve">https://nebius.com/schuylkillcountypa; https://www.republicanherald.com/2026/09/01/nebius-gets-green-light-to-expand-its-data-center-plan-in-butler-twp/; https://www.republicanherald.com/2026/04/24/butler-twp-switchyard-to-anchor-data-center-in-ppl-powerline-overhaul/; https://www.datacenterdynamics.com/en/news/nebius-details-plans-for-12gw-data-center-campus-in-pennsylvania/; /workspace/nebius/capacity/altdata/altdata_timelines.xlsx (Timeline, Vineland_MW)</t>
  </si>
  <si>
    <t xml:space="preserve">Birmingham AL (BHM01, Oxmoor)</t>
  </si>
  <si>
    <t xml:space="preserve">Owned brownfield</t>
  </si>
  <si>
    <t xml:space="preserve">unknown (300 MW is press figure, not Nebius)</t>
  </si>
  <si>
    <t xml:space="preserve">Initial-phase energization Q4 2026 (Nebius page); operational 2027 (Q1-26 letter)</t>
  </si>
  <si>
    <t xml:space="preserve">115 kV NLT Dec 31 2026; first revenue MW 2027; 230 kV Oct 2027</t>
  </si>
  <si>
    <t xml:space="preserve">Yellow</t>
  </si>
  <si>
    <t xml:space="preserve">https://nebius.com/birminghamal; https://abc3340.com/resources/pdf/9222f76a-3063-46e4-aee7-796b30ed611f-NebiusResponsestoCityLetter_Redacted.pdf; https://bhamnow.com/2026/05/18/40-million-permits-birmingham-data-center/; https://www.wbhm.org/local-news/2026-09-18/action-picks-up-in-lawsuits-targeting-birmingham-data-center; /workspace/nebius/capacity/altdata/altdata_timelines.xlsx (Timeline, Vineland_MW)</t>
  </si>
  <si>
    <t xml:space="preserve">France</t>
  </si>
  <si>
    <t xml:space="preserve">Colocation (20-F); Azur finances/builds</t>
  </si>
  <si>
    <t xml:space="preserve">Meta (#2 likely) - press</t>
  </si>
  <si>
    <t xml:space="preserve">La Voix du Nord 2026-09-24: part of site 'fera travailler l'IA de Meta' (Estimated mapping to Meta #2)</t>
  </si>
  <si>
    <t xml:space="preserve">unknown</t>
  </si>
  <si>
    <t xml:space="preserve">First capacity late summer 2026; ~120 MW YE26; 240 MW 2027</t>
  </si>
  <si>
    <t xml:space="preserve">Start Q4 2026 (~27 MW initial); 120 MW ~1H27; prefect ICPE decision pending</t>
  </si>
  <si>
    <t xml:space="preserve">GB300 NVL72 (Estimated: EUR4M/rack per press)</t>
  </si>
  <si>
    <t xml:space="preserve">https://www.reuters.com/technology/amsterdam-based-ai-firm-nebius-build-240mw-data-centre-near-lille-france-2026-02-12/; https://www.lavoixdunord.fr/1740138/article/2026-09-24/la-premiere-ia-factory-des-hauts-de-france-va-bientot-prendre-vie-bethune; https://www.nordfranceinvest.com/success-story/dutch-company-nebius-is-setting-up-the-first-ai-data-center-in-the-hauts-de-france-region/; https://presseagence.fr/bethune-numerique-un-projet-de-datacenter-soumis-a-consultation-publique/; /workspace/nebius/capacity/altdata/altdata_timelines.xlsx (Timeline, Vineland_MW)</t>
  </si>
  <si>
    <t xml:space="preserve">Lappeenranta FI (Pajarila / Polarnode)</t>
  </si>
  <si>
    <t xml:space="preserve">Finland</t>
  </si>
  <si>
    <t xml:space="preserve">Owned per Nebius; Polarnode says Nebius 'operates' its campus (conflict)</t>
  </si>
  <si>
    <t xml:space="preserve">First capacity to customers 2027</t>
  </si>
  <si>
    <t xml:space="preserve">First building H1 2027 (Fira); substation spring 2027</t>
  </si>
  <si>
    <t xml:space="preserve">Vera Rubin NVL72 (assumed; PR: Blackwell &amp; Rubin)</t>
  </si>
  <si>
    <t xml:space="preserve">https://nebius.com/newsroom/nebius-to-construct-310-mw-ai-factory-in-finland; https://fira.fi/en/tiedote/construction-and-project-development-company-fira-selected-as-main-contractor-for-one-of-europes-largest-ai-data-center-projects/; https://www.caverion.com/newsroom/releases/2026/caverion-to-deliver-eur-15-million-substation-for-nebius-data-center-in-finland-creating-jobs-for-more-than-80-professionals/</t>
  </si>
  <si>
    <t xml:space="preserve">Mantsala FI #1</t>
  </si>
  <si>
    <t xml:space="preserve">Owned</t>
  </si>
  <si>
    <t xml:space="preserve">self-serve (assumed); Meta #1 site not disclosed</t>
  </si>
  <si>
    <t xml:space="preserve">assumed</t>
  </si>
  <si>
    <t xml:space="preserve">unknown; PUE ~1.1 (company)</t>
  </si>
  <si>
    <t xml:space="preserve">~1.1 (Nebius, company statement)</t>
  </si>
  <si>
    <t xml:space="preserve">75 MW end-2025/early-2026</t>
  </si>
  <si>
    <t xml:space="preserve">75 MW built (completed early 2026)</t>
  </si>
  <si>
    <t xml:space="preserve">Hopper (first 25 MW) + GB300 NVL72 (expansion, Estimated split)</t>
  </si>
  <si>
    <t xml:space="preserve">https://assets.nebius.com/assets/6590d0a0-0fc4-4396-bc3f-f52a9ccb770e/20260331%20Nebius%20to%20construct%20310%20MW%20AI%20factory%20in%20Finland.pdf; /workspace/nebius/capacity/altdata/altdata_timelines.xlsx (Timeline, Vineland_MW)</t>
  </si>
  <si>
    <t xml:space="preserve">Mantsala FI #2 (Kapuli)</t>
  </si>
  <si>
    <t xml:space="preserve">Owned (implied)</t>
  </si>
  <si>
    <t xml:space="preserve">unknown (70 MW substation)</t>
  </si>
  <si>
    <t xml:space="preserve">Capacity 'from 2027'</t>
  </si>
  <si>
    <t xml:space="preserve">Q4 2027 earliest (substation completes autumn 2027)</t>
  </si>
  <si>
    <t xml:space="preserve">https://www.assemblincaverion.com/news-and-media/news/2026/caverion-finland-strengthens-its-position-in-the-data-centre-market-and-will-deliver-a-eur-15-million-substation-for-ai-cloud-company-nebius/; https://www.datacenterdynamics.com/en/news/nebius-expands-european-presence-announces-deployment-in-estonia-and-second-data-center-in-m%C3%A4nts%C3%A4l%C3%A4-finland/</t>
  </si>
  <si>
    <t xml:space="preserve">Colocation</t>
  </si>
  <si>
    <t xml:space="preserve">self-serve (assumed)</t>
  </si>
  <si>
    <t xml:space="preserve">5 MW live Apr 2025; expandable to 40 MW</t>
  </si>
  <si>
    <t xml:space="preserve">Operational; Nebius share of 35 MW facility not disclosed</t>
  </si>
  <si>
    <t xml:space="preserve">H200 (first 5 MW) + B200 (rest)</t>
  </si>
  <si>
    <t xml:space="preserve">https://www.datacenterdynamics.com/en/news/nebius-to-deploy-5mw-nvidia-h200-cluster-at-patmos-data-center-in-kansas-city-missouri/; https://www.datacenterdynamics.com/en/news/patmos-adds-10mw-of-capacity-at-kansas-city-data-center/; https://careers.nebius.com/?gh_jid=4975997101</t>
  </si>
  <si>
    <t xml:space="preserve">unknown; MW not disclosed (5 = 3rd-party)</t>
  </si>
  <si>
    <t xml:space="preserve">Live Nov 2024</t>
  </si>
  <si>
    <t xml:space="preserve">Operational</t>
  </si>
  <si>
    <t xml:space="preserve">Hopper H100/H200</t>
  </si>
  <si>
    <t xml:space="preserve">https://dcatlas.io/en/explore/facilities/nebius-equinix-paris (3rd-party, low confidence); https://docs.nebius.com/overview/regions (accessed 2026-10-04)</t>
  </si>
  <si>
    <t xml:space="preserve">Iceland</t>
  </si>
  <si>
    <t xml:space="preserve">Live Mar 2025</t>
  </si>
  <si>
    <t xml:space="preserve">Operational (private region)</t>
  </si>
  <si>
    <t xml:space="preserve">https://nebius.com/blog/posts/300-mw-new-jersey-and-iceland-regions; https://docs.nebius.com/overview/regions (accessed 2026-10-04)</t>
  </si>
  <si>
    <t xml:space="preserve">UK</t>
  </si>
  <si>
    <t xml:space="preserve">unknown (GPU/MW fit suggests gross)</t>
  </si>
  <si>
    <t xml:space="preserve">Launched Nov 2025; 16 MW live + 3 MW in delivery (Jun 2026); LP02 36 MW (Nebius share n/d)</t>
  </si>
  <si>
    <t xml:space="preserve">19 MW by ~Q4 2026; LP02 share/timing not disclosed</t>
  </si>
  <si>
    <t xml:space="preserve">B300 (HGX)</t>
  </si>
  <si>
    <t xml:space="preserve">https://datacentrenews.uk/story/nebius-fills-ark-s-longcross-data-centre-to-capacity; https://www.datacenterdynamics.com/en/news/ark-dc-to-add-new-building-to-longcross-data-center-campus-outside-london-uk/; https://docs.nebius.com/overview/regions (accessed 2026-10-04)</t>
  </si>
  <si>
    <t xml:space="preserve">Colocation (10-yr)</t>
  </si>
  <si>
    <t xml:space="preserve">UK 65 MW fully ramped 2027</t>
  </si>
  <si>
    <t xml:space="preserve">KLON-03 completion end-2026; MW early 2027</t>
  </si>
  <si>
    <t xml:space="preserve">B300 (HGX) (assumed; docs uk-south2 lists RTX PRO 6000)</t>
  </si>
  <si>
    <t xml:space="preserve">https://www.datacenterdynamics.com/en/news/nebius-signs-22mw-capacity-agreement-with-kao-data-in-the-uk/; https://www.linkedin.com/posts/infratil_klon-03-development-update-activity-7404073674942656512-l6mm; https://nebius.com/newsroom/nebius-expands-in-uk-with-more-nvidia-powered-infrastructure-more-customers-and-more-cloud-capabilities-for-agentic-and-enterprise-ai</t>
  </si>
  <si>
    <t xml:space="preserve">Colocation (Vantage)</t>
  </si>
  <si>
    <t xml:space="preserve">not stated (MW not disclosed)</t>
  </si>
  <si>
    <t xml:space="preserve">Announced Aug 13 2026; part of UK 65 MW fully ramped 2027</t>
  </si>
  <si>
    <t xml:space="preserve">Newport + UK 3rd = 65 - 22 (Harlow) = 43 MW by 2027 (Derived); Newport ~29 if LON-East is the 3rd site (low)</t>
  </si>
  <si>
    <t xml:space="preserve">not disclosed (B300/GB300 assumed)</t>
  </si>
  <si>
    <t xml:space="preserve">https://vantage-dc.com/news/vantage-data-centers-and-nebius-expand-uk-ai-infrastructure-with-first-deployment-in-south-wales-ai-growth-zone/; https://nebius.com/newsroom/nebius-expands-in-uk-with-more-nvidia-powered-infrastructure-more-customers-and-more-cloud-capabilities-for-agentic-and-enterprise-ai; https://boards-api.greenhouse.io/v1/boards/nebius/jobs?content=true (accessed 2026-10-04) (Newport jobs 4883814101 Jun 19, 4959471101 Aug 27)</t>
  </si>
  <si>
    <t xml:space="preserve">Part of 65 MW UK by 2027</t>
  </si>
  <si>
    <t xml:space="preserve">Lead only: Green Mountain LON-East 14 MW to unnamed neocloud (Sep 1 2026) + Nebius East London job (Feb 2); low confidence</t>
  </si>
  <si>
    <t xml:space="preserve">https://nebius.com/newsroom/nebius-expands-in-uk-with-more-nvidia-powered-infrastructure-more-customers-and-more-cloud-capabilities-for-agentic-and-enterprise-ai; https://www.datacenterdynamics.com/en/news/green-mountain-secures-neocloud-customer-at-data-center-in-london-uk/</t>
  </si>
  <si>
    <t xml:space="preserve">Israel</t>
  </si>
  <si>
    <t xml:space="preserve">self-serve (assumed); 25% to Israel Innovation Authority</t>
  </si>
  <si>
    <t xml:space="preserve">Reported (IIA share)</t>
  </si>
  <si>
    <t xml:space="preserve">IT (4,000 B200 / 8 MW = 500/MW fits IT model)</t>
  </si>
  <si>
    <t xml:space="preserve">Launched Oct 2025</t>
  </si>
  <si>
    <t xml:space="preserve">B200 (HGX)</t>
  </si>
  <si>
    <t xml:space="preserve">https://nebius.com/newsroom/nebius-brings-nvidia-blackwell-to-israel-with-one-of-the-country-s-first-ai-infrastructure-deployments; https://www.datacenterdynamics.com/en/news/nebius-signs-80mw-data-center-lease-with-mega-or-in-israel/</t>
  </si>
  <si>
    <t xml:space="preserve">Colocation (5-yr)</t>
  </si>
  <si>
    <t xml:space="preserve">Delivery Q3 2026 (landlord)</t>
  </si>
  <si>
    <t xml:space="preserve">Mega Or Q2-26 deck: Yoav construction completion Q4 2026 -&gt; Q4-26/Q2-27</t>
  </si>
  <si>
    <t xml:space="preserve">GB300 NVL72 (assumed)</t>
  </si>
  <si>
    <t xml:space="preserve">https://www.datacenterdynamics.com/en/news/nebius-signs-80mw-data-center-lease-with-mega-or-in-israel/; https://www.calcalistech.com/ctechnews/article/25ue6vi49; https://www.deeptase.co.il/en/analysis/4873</t>
  </si>
  <si>
    <t xml:space="preserve">Staged Q3 2026 - Q1 2027 (landlord)</t>
  </si>
  <si>
    <t xml:space="preserve">Mega Or Q2-26 deck: completion Q2 2027 -&gt; staged Q1-Q4 2027</t>
  </si>
  <si>
    <t xml:space="preserve">Spain</t>
  </si>
  <si>
    <t xml:space="preserve">Phase 1 live Sep 2026; phases 2-3 'coming weeks'</t>
  </si>
  <si>
    <t xml:space="preserve">Phase 1 live; 18 MW by Q4 2026-Q1 2027</t>
  </si>
  <si>
    <t xml:space="preserve">B300 (HGX) (RTX PRO 6000 phase 1 not modeled)</t>
  </si>
  <si>
    <t xml:space="preserve">https://www.linkedin.com/feed/update/urn:li:activity:7505906816590073857; https://www.merlinproperties.com/dia-a-dia/firmamos-un-contrato-de-18-mw-con-nebius-para-nuestro-date-center-madrid-getafe/; https://docs.nebius.com/overview/regions (accessed 2026-10-04)</t>
  </si>
  <si>
    <t xml:space="preserve">Estonia</t>
  </si>
  <si>
    <t xml:space="preserve">22 MW first phase later in 2026</t>
  </si>
  <si>
    <t xml:space="preserve">Q4 2026-Q2 2027; Estonian govt security review discussed at Cabinet (Aug 2026)</t>
  </si>
  <si>
    <t xml:space="preserve">https://news.err.ee/1610109073/baltics-first-ai-factory-to-open-in-estonia; https://www.datacenterdynamics.com/en/news/nebius-expands-european-presence-announces-deployment-in-estonia-and-second-data-center-in-m%C3%A4nts%C3%A4l%C3%A4-finland/</t>
  </si>
  <si>
    <t xml:space="preserve">Colocation (20-F)</t>
  </si>
  <si>
    <t xml:space="preserve">Secured Feb 2026</t>
  </si>
  <si>
    <t xml:space="preserve">us-north1 Woodbury; likely IronGate MSP01 (15 MW live, fully leased; inference)</t>
  </si>
  <si>
    <t xml:space="preserve">https://www.sec.gov/Archives/edgar/data/1513845/000110465926052948/nbis-20251231x20f.htm; https://docs.nebius.com/overview/regions (accessed 2026-10-04); https://woodburynewsnet.org/7933/business/what-woodbury-residents-should-know-about-irongates-two-data-centers/; https://boards-api.greenhouse.io/v1/boards/nebius/jobs?content=true (accessed 2026-10-04)</t>
  </si>
  <si>
    <t xml:space="preserve">&gt;100 (map category)</t>
  </si>
  <si>
    <t xml:space="preserve">Q2-26 letter map: Sites &gt;100MW; 8 on-site roles since Mar 2 2026; town/landlord not found</t>
  </si>
  <si>
    <t xml:space="preserve">https://www.sec.gov/Archives/edgar/data/1513845/000110465926052948/nbis-20251231x20f.htm; https://assets.nebius.com/assets/a6ecfd85-a6cb-4967-8ef7-9a25bd261f9c/SHLQ226.pdf (p.2 map); https://boards-api.greenhouse.io/v1/boards/nebius/jobs?content=true (accessed 2026-10-04)</t>
  </si>
  <si>
    <t xml:space="preserve">eu-west2 (France, B300) live in docs - mapping is inference; MW n/d -&gt; in plug</t>
  </si>
  <si>
    <t xml:space="preserve">B300 (HGX) (inference)</t>
  </si>
  <si>
    <t xml:space="preserve">https://www.sec.gov/Archives/edgar/data/1513845/000110465926052948/nbis-20251231x20f.htm; https://docs.nebius.com/overview/regions (accessed 2026-10-04)</t>
  </si>
  <si>
    <t xml:space="preserve">Colocation/lease (12-yr)</t>
  </si>
  <si>
    <t xml:space="preserve">IT (50 MW critical IT on 65 MW utility ESA)</t>
  </si>
  <si>
    <t xml:space="preserve">65/50 = 1.30 implied (Derived)</t>
  </si>
  <si>
    <t xml:space="preserve">Hall 1 (25 MW) ~month 10, Hall 2 ~month 14 after Oct 1 2026 ESA start</t>
  </si>
  <si>
    <t xml:space="preserve">Hall 1 ~Q3-Q4 2027; permits only submitted; project financing not arranged</t>
  </si>
  <si>
    <t xml:space="preserve">http://archive.fast-edgar.com/20260930/AB2ZM22DL222P26L222Q2MY2R6GDZ222ZQ82/ea030723301ex99-1.htm (AIB 8-K Ex.99.1, Sep 30 2026); https://www.globenewswire.com/news-release/2026/09/30/3371855/0/en/aib-data-centers-signs-contract-with-nebius-for-ai-data-center-capacity.html; https://www.sec.gov/Archives/edgar/data/2070542/000121390026036810/ea0282624-10k_blockchain.htm</t>
  </si>
  <si>
    <t xml:space="preserve">Block</t>
  </si>
  <si>
    <t xml:space="preserve">Basis</t>
  </si>
  <si>
    <t xml:space="preserve">Tag (hist / proj)</t>
  </si>
  <si>
    <t xml:space="preserve">Q1 2024</t>
  </si>
  <si>
    <t xml:space="preserve">Q2 2024</t>
  </si>
  <si>
    <t xml:space="preserve">Q3 2024</t>
  </si>
  <si>
    <t xml:space="preserve">Q4 2024</t>
  </si>
  <si>
    <t xml:space="preserve">Q1 2025</t>
  </si>
  <si>
    <t xml:space="preserve">Q2 2025</t>
  </si>
  <si>
    <t xml:space="preserve">Q3 2025</t>
  </si>
  <si>
    <t xml:space="preserve">Q4 2025</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</si>
  <si>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</si>
  <si>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</si>
  <si>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</si>
  <si>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</si>
  <si>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</si>
  <si>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</si>
  <si>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</si>
  <si>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</si>
  <si>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</si>
  <si>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</si>
  <si>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</si>
  <si>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</si>
  <si>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</si>
  <si>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</si>
  <si>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</si>
  <si>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</si>
  <si>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</si>
  <si>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</si>
  <si>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</si>
  <si>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</si>
  <si>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History Q1'24-Q2'26 (tags per cell in Tags_Sources); projections Q3'26-Q4'30 = Estimated. Base = midpoint of low/high (formula). Blue = input, black = formula.</t>
  </si>
  <si>
    <t xml:space="preserve">gross/unknown</t>
  </si>
  <si>
    <t xml:space="preserve">Energized MW low</t>
  </si>
  <si>
    <t xml:space="preserve">IT</t>
  </si>
  <si>
    <t xml:space="preserve">Energized MW high</t>
  </si>
  <si>
    <t xml:space="preserve">Energized MW base (=midpoint)</t>
  </si>
  <si>
    <t xml:space="preserve">Mgmt figure</t>
  </si>
  <si>
    <t xml:space="preserve">as stated</t>
  </si>
  <si>
    <t xml:space="preserve">stated/unknown</t>
  </si>
  <si>
    <t xml:space="preserve">IPL 200 MW late Q3 2026</t>
  </si>
  <si>
    <t xml:space="preserve">operational 2027</t>
  </si>
  <si>
    <t xml:space="preserve">initial energization (MW n/d)</t>
  </si>
  <si>
    <t xml:space="preserve">first capacity</t>
  </si>
  <si>
    <t xml:space="preserve">first capacity 2027</t>
  </si>
  <si>
    <t xml:space="preserve">from 2027</t>
  </si>
  <si>
    <t xml:space="preserve">43 incl. UK3 (Derived)</t>
  </si>
  <si>
    <t xml:space="preserve">&gt;100 MW site (map)</t>
  </si>
  <si>
    <t xml:space="preserve">COMPANY</t>
  </si>
  <si>
    <t xml:space="preserve">Identified sites - energized low</t>
  </si>
  <si>
    <t xml:space="preserve">mixed (see README)</t>
  </si>
  <si>
    <t xml:space="preserve">Identified sites - energized high</t>
  </si>
  <si>
    <t xml:space="preserve">Identified sites - energized base</t>
  </si>
  <si>
    <t xml:space="preserve">Identified sites - contracted MW</t>
  </si>
  <si>
    <t xml:space="preserve">Mgmt reported / guided MW (power, company)</t>
  </si>
  <si>
    <t xml:space="preserve">Plug: undisclosed sites (MN, OK, France 2nd, UK 3rd, unattributed) = reported - identified base</t>
  </si>
  <si>
    <t xml:space="preserve">mixed</t>
  </si>
  <si>
    <t xml:space="preserve">Total incl. plug (ties to mgmt where reported)</t>
  </si>
  <si>
    <t xml:space="preserve">Contracted power reported/target (company)</t>
  </si>
  <si>
    <t xml:space="preserve">gross</t>
  </si>
  <si>
    <t xml:space="preserve">Unattributed contracted MW (company - named sites)</t>
  </si>
  <si>
    <t xml:space="preserve">V2 NORMALIZED SERIES (see Basis tab)</t>
  </si>
  <si>
    <t xml:space="preserve">Energized MW low - IT-normalized</t>
  </si>
  <si>
    <t xml:space="preserve">Energized MW base - IT-normalized</t>
  </si>
  <si>
    <t xml:space="preserve">Energized MW high - IT-normalized</t>
  </si>
  <si>
    <t xml:space="preserve">Energized MW low - gross-normalized</t>
  </si>
  <si>
    <t xml:space="preserve">Energized MW base - gross-normalized</t>
  </si>
  <si>
    <t xml:space="preserve">Energized MW high - gross-normalized</t>
  </si>
  <si>
    <t xml:space="preserve">Connected MW low (built &amp; equipped; gross/shell basis)</t>
  </si>
  <si>
    <t xml:space="preserve">gross/shell</t>
  </si>
  <si>
    <t xml:space="preserve">Connected MW base (built &amp; equipped; gross/shell basis)</t>
  </si>
  <si>
    <t xml:space="preserve">Connected MW high (built &amp; equipped; gross/shell basis)</t>
  </si>
  <si>
    <t xml:space="preserve">Mgmt connected guide (low-high)</t>
  </si>
  <si>
    <t xml:space="preserve">SCENARIO: Bloom slips 2 quarters - energized IT</t>
  </si>
  <si>
    <t xml:space="preserve">SCENARIO: Bloom slips 2Q - IT MW lost vs base</t>
  </si>
  <si>
    <t xml:space="preserve">Billing MW (IT) - base: Vineland billed tranches + other sites lagged 1Q</t>
  </si>
  <si>
    <t xml:space="preserve">Billing MW (IT) - Bloom slips 2Q: Vineland billed tranches + other sites lagged 1Q</t>
  </si>
  <si>
    <t xml:space="preserve">Generation</t>
  </si>
  <si>
    <t xml:space="preserve">GPUs per IT MW (base)</t>
  </si>
  <si>
    <t xml:space="preserve">GPUs per gross MW (base)</t>
  </si>
  <si>
    <t xml:space="preserve">Source cell</t>
  </si>
  <si>
    <t xml:space="preserve">GPUsPerMW!I6 / L6</t>
  </si>
  <si>
    <t xml:space="preserve">GPUsPerMW!I9 / L9</t>
  </si>
  <si>
    <t xml:space="preserve">GPUsPerMW!I15 / L15</t>
  </si>
  <si>
    <t xml:space="preserve">GB300 NVL72</t>
  </si>
  <si>
    <t xml:space="preserve">GPUsPerMW!I18 / L18</t>
  </si>
  <si>
    <t xml:space="preserve">Vera Rubin NVL72</t>
  </si>
  <si>
    <t xml:space="preserve">GPUsPerMW!I21 / L21</t>
  </si>
  <si>
    <t xml:space="preserve">RTX PRO 6000 not modeled in gpu_mw_capex.xlsx -&gt; Madrid phase 1 / KC RTX share treated as B300/B200 (Estimated).</t>
  </si>
  <si>
    <t xml:space="preserve">MW basis col</t>
  </si>
  <si>
    <t xml:space="preserve">Hopper first 25 MW + GB300 above</t>
  </si>
  <si>
    <t xml:space="preserve">H200 first 10 MW + B200 above (v2)</t>
  </si>
  <si>
    <t xml:space="preserve">TOTAL modeled GPUs (identified sites)</t>
  </si>
  <si>
    <t xml:space="preserve">Reported GPU counts (company)</t>
  </si>
  <si>
    <t xml:space="preserve">GPU counts have run AHEAD of powered MW (delivered-not-powered); do not back MW out of them</t>
  </si>
  <si>
    <t xml:space="preserve">Reported site GPU counts</t>
  </si>
  <si>
    <t xml:space="preserve">Modi'in 4,000 HGX B200 (Oct 2025); Longcross 4,000 B300 phase 1 (+3,000 phase 2, timing n/d); Mantsala 'up to 60,000' = potential, not deployed</t>
  </si>
  <si>
    <t xml:space="preserve">Row type</t>
  </si>
  <si>
    <t xml:space="preserve">Generation (assumed)</t>
  </si>
  <si>
    <t xml:space="preserve">Generation in service</t>
  </si>
  <si>
    <t xml:space="preserve">MW added this quarter (vintage cohort)</t>
  </si>
  <si>
    <t xml:space="preserve">Vineland (Microsoft) tranche track - 9 tranches, $17,392.9M take-or-pay (20-F), ~$6,958.1M upfront, billing through Oct 2031</t>
  </si>
  <si>
    <t xml:space="preserve">Tranche count</t>
  </si>
  <si>
    <t xml:space="preserve">Contract value $M</t>
  </si>
  <si>
    <t xml:space="preserve">Upfront payments $M</t>
  </si>
  <si>
    <t xml:space="preserve">Site contracted MW (gross)</t>
  </si>
  <si>
    <t xml:space="preserve">IT MW at full build (mid of 230-250, Estimated)</t>
  </si>
  <si>
    <t xml:space="preserve">Genset count</t>
  </si>
  <si>
    <t xml:space="preserve">Genset MW each</t>
  </si>
  <si>
    <t xml:space="preserve">Grid MW</t>
  </si>
  <si>
    <t xml:space="preserve">PUE for ceiling</t>
  </si>
  <si>
    <t xml:space="preserve">Q2-26 group revenue $M</t>
  </si>
  <si>
    <t xml:space="preserve">Top customer share Q2-26 (customer C)</t>
  </si>
  <si>
    <t xml:space="preserve">MW per tranche, gross (EQUAL-SPLIT ASSUMPTION)</t>
  </si>
  <si>
    <t xml:space="preserve">MW per tranche, IT (equal split assumption)</t>
  </si>
  <si>
    <t xml:space="preserve">Generator ceiling, gross MW</t>
  </si>
  <si>
    <t xml:space="preserve">Generator ceiling, IT MW</t>
  </si>
  <si>
    <t xml:space="preserve">Max tranches supportable on gensets (IT basis, equal split)</t>
  </si>
  <si>
    <t xml:space="preserve">TCV per tranche $M (equal split)</t>
  </si>
  <si>
    <t xml:space="preserve">Quarterly revenue per tranche $M (TCV/tranche / 20 qtrs)</t>
  </si>
  <si>
    <t xml:space="preserve">Full run-rate $M/qtr (TCV/20)</t>
  </si>
  <si>
    <t xml:space="preserve">Q2-26 implied top-customer revenue $M</t>
  </si>
  <si>
    <t xml:space="preserve">Q2-26 equal-split expectation for T1+T2 $M</t>
  </si>
  <si>
    <t xml:space="preserve">Q2-26 top customer as % of full MSFT run-rate</t>
  </si>
  <si>
    <t xml:space="preserve">Tranche</t>
  </si>
  <si>
    <t xml:space="preserve">Delivery (reported)</t>
  </si>
  <si>
    <t xml:space="preserve">Physical evidence / date</t>
  </si>
  <si>
    <t xml:space="preserve">Power source</t>
  </si>
  <si>
    <t xml:space="preserve">Est. MW gross (equal split, assumption)</t>
  </si>
  <si>
    <t xml:space="preserve">Est. MW IT (equal split)</t>
  </si>
  <si>
    <t xml:space="preserve">Cumulative IT MW</t>
  </si>
  <si>
    <t xml:space="preserve">Within genset ceiling?</t>
  </si>
  <si>
    <t xml:space="preserve">Est. billing start - Low (Bear)</t>
  </si>
  <si>
    <t xml:space="preserve">Est. billing start - Base</t>
  </si>
  <si>
    <t xml:space="preserve">Est. billing start - High (Bull)</t>
  </si>
  <si>
    <t xml:space="preserve">Risk type</t>
  </si>
  <si>
    <t xml:space="preserve">Source</t>
  </si>
  <si>
    <t xml:space="preserve">Customer</t>
  </si>
  <si>
    <t xml:space="preserve">Contracted vs unsold</t>
  </si>
  <si>
    <t xml:space="preserve">Go-live (energized) low</t>
  </si>
  <si>
    <t xml:space="preserve">Go-live base</t>
  </si>
  <si>
    <t xml:space="preserve">Go-live high</t>
  </si>
  <si>
    <t xml:space="preserve">Go-live tag</t>
  </si>
  <si>
    <t xml:space="preserve">Billing start if Bloom slips 2Q</t>
  </si>
  <si>
    <t xml:space="preserve">Billing MW IT (equal split)</t>
  </si>
  <si>
    <t xml:space="preserve">T1</t>
  </si>
  <si>
    <t xml:space="preserve">Nov 2025 (20-F)</t>
  </si>
  <si>
    <t xml:space="preserve">Oct 2025: 16 gensets (31.7 MW) start operating (DataOne letter to NJDEP)</t>
  </si>
  <si>
    <t xml:space="preserve">Rented Cat G3516H gensets</t>
  </si>
  <si>
    <t xml:space="preserve">Delivered; SLA/availability exposure if gensets must stop (NJDEP ~Nov 2026 deadline)</t>
  </si>
  <si>
    <t xml:space="preserve">Reported (delivery); Estimated (MW)</t>
  </si>
  <si>
    <t xml:space="preserve">https://www.sec.gov/Archives/edgar/data/1513845/000110465926052948/nbis-20251231x20f.htm; https://newjerseymonitor.com/2026/10/01/nj-data-center-polluted-air-for-nearly-a-year-before-regulators-intervened/</t>
  </si>
  <si>
    <t xml:space="preserve">Leased (build-to-suit; DataOne owns shell)</t>
  </si>
  <si>
    <t xml:space="preserve">GB300 NVL72 (assumed; not disclosed)</t>
  </si>
  <si>
    <t xml:space="preserve">Contracted (take-or-pay)</t>
  </si>
  <si>
    <t xml:space="preserve">T2</t>
  </si>
  <si>
    <t xml:space="preserve">Feb 2026 (20-F)</t>
  </si>
  <si>
    <t xml:space="preserve">Feb 2026: +16 gensets (32 total, 63.4 MW); city report "Phase 1 generators are online"</t>
  </si>
  <si>
    <t xml:space="preserve">Rented gensets</t>
  </si>
  <si>
    <t xml:space="preserve">Delivered; same SLA exposure</t>
  </si>
  <si>
    <t xml:space="preserve">T3</t>
  </si>
  <si>
    <t xml:space="preserve">Jul-Aug 2026 ("two tranches over the past month", Q2-26 letter Aug 12)</t>
  </si>
  <si>
    <t xml:space="preserve">Jun 2026: all 62 gensets fired (122.9 MW); &gt;=45 running Aug (thermal drone); DataOne: &gt;=3 of 14 halls operating early Aug</t>
  </si>
  <si>
    <t xml:space="preserve">Reported (delivery); Estimated (MW, quarter)</t>
  </si>
  <si>
    <t xml:space="preserve">https://www.sec.gov/Archives/edgar/data/1513845/000110465926094568/tm2622968d1_ex99-2.htm; https://floodlightnews.org/new-jersey-dataones-illegal-still-running/; /workspace/nebius/capacity/altdata/altdata_timelines.xlsx (Timeline, Vineland_MW)</t>
  </si>
  <si>
    <t xml:space="preserve">T4</t>
  </si>
  <si>
    <t xml:space="preserve">Jul-Aug 2026 (as T3)</t>
  </si>
  <si>
    <t xml:space="preserve">As T3. Cum. 4 x 26.7 IT = 107 MW = genset ceiling: no headroom</t>
  </si>
  <si>
    <t xml:space="preserve">Delivered; at ceiling - SLA risk if any units fail/curtailed</t>
  </si>
  <si>
    <t xml:space="preserve">https://www.sec.gov/Archives/edgar/data/1513845/000110465926094568/tm2622968d1_ex99-2.htm; https://www.enr.com/articles/63695-inside-the-vineland-data-center-power-dispute</t>
  </si>
  <si>
    <t xml:space="preserve">T5</t>
  </si>
  <si>
    <t xml:space="preserve">Not yet ("continue to deliver the remaining tranches", Q2-26 call)</t>
  </si>
  <si>
    <t xml:space="preserve">Bloom units being placed (Sep 8 2026 imagery, low conf.); stop-construction order Aug 10 (lift not publicly confirmed); site plan approved Aug 17</t>
  </si>
  <si>
    <t xml:space="preserve">Bloom fuel cells (328 MW installed / ~250 MW guaranteed)</t>
  </si>
  <si>
    <t xml:space="preserve">TERMINATION/SLA risk (delivery after "during 2025 and 2026" window + grace period), not demand risk</t>
  </si>
  <si>
    <t xml:space="preserve">https://www.fool.com/earnings/call-transcripts/2026/08/19/nebius-nbis-q2-2026-earnings-call-transcript/ (cached /workspace/nebius/src/q2t.txt); https://hntrbrk.com/breaking-news/vineland; https://whyy.org/articles/vineland-planning-board-approves-data-center-plan/</t>
  </si>
  <si>
    <t xml:space="preserve">T6</t>
  </si>
  <si>
    <t xml:space="preserve">Not yet</t>
  </si>
  <si>
    <t xml:space="preserve">As T5</t>
  </si>
  <si>
    <t xml:space="preserve">Bloom</t>
  </si>
  <si>
    <t xml:space="preserve">Termination/SLA risk</t>
  </si>
  <si>
    <t xml:space="preserve">/workspace/nebius/capacity/altdata/altdata_timelines.xlsx (Timeline, Vineland_MW)</t>
  </si>
  <si>
    <t xml:space="preserve">T7</t>
  </si>
  <si>
    <t xml:space="preserve">T8</t>
  </si>
  <si>
    <t xml:space="preserve">T9</t>
  </si>
  <si>
    <t xml:space="preserve">CONCLUSION: The Q2-26 letter says "all capacity tranches" delivered, but the call says "all the tranches that we were required to deliver ... up to date" and "continue to deliver the remaining tranches". Read: &gt;=4 of 9 delivered (T1 Nov-25, T2 Feb-26, two in Jul/Aug-26); 5 remain.</t>
  </si>
  <si>
    <t xml:space="preserve">Physical cap: 62 rented gensets (122.9 MW) + ~5 MW grid = ~128 MW gross / ~107 MW IT ceiling. That supports ~4 equal tranches (4 x 26.7 IT = 107). T5-T9 (~5/9 of TCV) need Bloom fuel cells, which were stop-ordered Aug 10 2026 and not yet confirmed energized.</t>
  </si>
  <si>
    <t xml:space="preserve">Team hypothesis ("delivered = handed over; last tranche billing ~Q4-26") is NOT supported: the full run-rate needs Bloom; base case full billing Q3 2027.</t>
  </si>
  <si>
    <t xml:space="preserve">Q2-26 revenue check: top customer 24% x $582.3M = ~$140M vs equal-split T1+T2 = ~$193M. Either T1/T2 are smaller than 1/9 each (consistent with 16 gensets per tranche, ~27 IT MW) or customer C is not Microsoft (not disclosed).</t>
  </si>
  <si>
    <t xml:space="preserve">Dated risk: NJDEP AO ($1.07M, ~Sep 22 2026) gives 45 days to file for and obtain air permits or stop running the generators -&gt; ~early/mid Nov 2026. If the gensets stop before Bloom is live, T1-T4 hit availability failures -&gt; SLA credits / tranche-termination rights (20-F). This is a delivery/termination/SLA risk, NOT demand risk.</t>
  </si>
  <si>
    <t xml:space="preserve">Billing lag: T1-T4 billing assumed to start at delivery (reported dates). T5-T9 billing = Bloom energization + &gt;=1 quarter (Estimated).</t>
  </si>
  <si>
    <t xml:space="preserve">Sheet</t>
  </si>
  <si>
    <t xml:space="preserve">Cell</t>
  </si>
  <si>
    <t xml:space="preserve">Value / formula</t>
  </si>
  <si>
    <t xml:space="preserve">Sites</t>
  </si>
  <si>
    <t xml:space="preserve">C2</t>
  </si>
  <si>
    <t xml:space="preserve">D2</t>
  </si>
  <si>
    <t xml:space="preserve">F2</t>
  </si>
  <si>
    <t xml:space="preserve">300</t>
  </si>
  <si>
    <t xml:space="preserve">G2</t>
  </si>
  <si>
    <t xml:space="preserve">/workspace/nebius/capacity/gpu_mw_capex.xlsx sec.4; /workspace/nebius/capacity/site_list.xlsx / site_list.md</t>
  </si>
  <si>
    <t xml:space="preserve">H2</t>
  </si>
  <si>
    <t xml:space="preserve">I2</t>
  </si>
  <si>
    <t xml:space="preserve">J2</t>
  </si>
  <si>
    <t xml:space="preserve">K2</t>
  </si>
  <si>
    <t xml:space="preserve">see site_verification.md</t>
  </si>
  <si>
    <t xml:space="preserve">L2</t>
  </si>
  <si>
    <t xml:space="preserve">C3</t>
  </si>
  <si>
    <t xml:space="preserve">D3</t>
  </si>
  <si>
    <t xml:space="preserve">F3</t>
  </si>
  <si>
    <t xml:space="preserve">1200</t>
  </si>
  <si>
    <t xml:space="preserve">G3</t>
  </si>
  <si>
    <t xml:space="preserve">H3</t>
  </si>
  <si>
    <t xml:space="preserve">I3</t>
  </si>
  <si>
    <t xml:space="preserve">J3</t>
  </si>
  <si>
    <t xml:space="preserve">K3</t>
  </si>
  <si>
    <t xml:space="preserve">L3</t>
  </si>
  <si>
    <t xml:space="preserve">C4</t>
  </si>
  <si>
    <t xml:space="preserve">D4</t>
  </si>
  <si>
    <t xml:space="preserve">F4</t>
  </si>
  <si>
    <t xml:space="preserve">G4</t>
  </si>
  <si>
    <t xml:space="preserve">H4</t>
  </si>
  <si>
    <t xml:space="preserve">I4</t>
  </si>
  <si>
    <t xml:space="preserve">J4</t>
  </si>
  <si>
    <t xml:space="preserve">K4</t>
  </si>
  <si>
    <t xml:space="preserve">L4</t>
  </si>
  <si>
    <t xml:space="preserve">C5</t>
  </si>
  <si>
    <t xml:space="preserve">D5</t>
  </si>
  <si>
    <t xml:space="preserve">F5</t>
  </si>
  <si>
    <t xml:space="preserve">Reported (press)</t>
  </si>
  <si>
    <t xml:space="preserve">G5</t>
  </si>
  <si>
    <t xml:space="preserve">H5</t>
  </si>
  <si>
    <t xml:space="preserve">I5</t>
  </si>
  <si>
    <t xml:space="preserve">J5</t>
  </si>
  <si>
    <t xml:space="preserve">K5</t>
  </si>
  <si>
    <t xml:space="preserve">L5</t>
  </si>
  <si>
    <t xml:space="preserve">C6</t>
  </si>
  <si>
    <t xml:space="preserve">D6</t>
  </si>
  <si>
    <t xml:space="preserve">F6</t>
  </si>
  <si>
    <t xml:space="preserve">240</t>
  </si>
  <si>
    <t xml:space="preserve">G6</t>
  </si>
  <si>
    <t xml:space="preserve">H6</t>
  </si>
  <si>
    <t xml:space="preserve">I6</t>
  </si>
  <si>
    <t xml:space="preserve">J6</t>
  </si>
  <si>
    <t xml:space="preserve">K6</t>
  </si>
  <si>
    <t xml:space="preserve">L6</t>
  </si>
  <si>
    <t xml:space="preserve">C7</t>
  </si>
  <si>
    <t xml:space="preserve">D7</t>
  </si>
  <si>
    <t xml:space="preserve">F7</t>
  </si>
  <si>
    <t xml:space="preserve">310</t>
  </si>
  <si>
    <t xml:space="preserve">G7</t>
  </si>
  <si>
    <t xml:space="preserve">H7</t>
  </si>
  <si>
    <t xml:space="preserve">I7</t>
  </si>
  <si>
    <t xml:space="preserve">J7</t>
  </si>
  <si>
    <t xml:space="preserve">K7</t>
  </si>
  <si>
    <t xml:space="preserve">L7</t>
  </si>
  <si>
    <t xml:space="preserve">C8</t>
  </si>
  <si>
    <t xml:space="preserve">D8</t>
  </si>
  <si>
    <t xml:space="preserve">F8</t>
  </si>
  <si>
    <t xml:space="preserve">75</t>
  </si>
  <si>
    <t xml:space="preserve">G8</t>
  </si>
  <si>
    <t xml:space="preserve">H8</t>
  </si>
  <si>
    <t xml:space="preserve">I8</t>
  </si>
  <si>
    <t xml:space="preserve">J8</t>
  </si>
  <si>
    <t xml:space="preserve">K8</t>
  </si>
  <si>
    <t xml:space="preserve">L8</t>
  </si>
  <si>
    <t xml:space="preserve">C9</t>
  </si>
  <si>
    <t xml:space="preserve">D9</t>
  </si>
  <si>
    <t xml:space="preserve">F9</t>
  </si>
  <si>
    <t xml:space="preserve">70</t>
  </si>
  <si>
    <t xml:space="preserve">G9</t>
  </si>
  <si>
    <t xml:space="preserve">H9</t>
  </si>
  <si>
    <t xml:space="preserve">I9</t>
  </si>
  <si>
    <t xml:space="preserve">J9</t>
  </si>
  <si>
    <t xml:space="preserve">K9</t>
  </si>
  <si>
    <t xml:space="preserve">L9</t>
  </si>
  <si>
    <t xml:space="preserve">C10</t>
  </si>
  <si>
    <t xml:space="preserve">D10</t>
  </si>
  <si>
    <t xml:space="preserve">F10</t>
  </si>
  <si>
    <t xml:space="preserve">40</t>
  </si>
  <si>
    <t xml:space="preserve">G10</t>
  </si>
  <si>
    <t xml:space="preserve">H10</t>
  </si>
  <si>
    <t xml:space="preserve">I10</t>
  </si>
  <si>
    <t xml:space="preserve">J10</t>
  </si>
  <si>
    <t xml:space="preserve">K10</t>
  </si>
  <si>
    <t xml:space="preserve">L10</t>
  </si>
  <si>
    <t xml:space="preserve">C11</t>
  </si>
  <si>
    <t xml:space="preserve">D11</t>
  </si>
  <si>
    <t xml:space="preserve">F11</t>
  </si>
  <si>
    <t xml:space="preserve">5</t>
  </si>
  <si>
    <t xml:space="preserve">G11</t>
  </si>
  <si>
    <t xml:space="preserve">H11</t>
  </si>
  <si>
    <t xml:space="preserve">I11</t>
  </si>
  <si>
    <t xml:space="preserve">J11</t>
  </si>
  <si>
    <t xml:space="preserve">K11</t>
  </si>
  <si>
    <t xml:space="preserve">L11</t>
  </si>
  <si>
    <t xml:space="preserve">C12</t>
  </si>
  <si>
    <t xml:space="preserve">D12</t>
  </si>
  <si>
    <t xml:space="preserve">F12</t>
  </si>
  <si>
    <t xml:space="preserve">10</t>
  </si>
  <si>
    <t xml:space="preserve">G12</t>
  </si>
  <si>
    <t xml:space="preserve">H12</t>
  </si>
  <si>
    <t xml:space="preserve">I12</t>
  </si>
  <si>
    <t xml:space="preserve">J12</t>
  </si>
  <si>
    <t xml:space="preserve">K12</t>
  </si>
  <si>
    <t xml:space="preserve">L12</t>
  </si>
  <si>
    <t xml:space="preserve">C13</t>
  </si>
  <si>
    <t xml:space="preserve">D13</t>
  </si>
  <si>
    <t xml:space="preserve">F13</t>
  </si>
  <si>
    <t xml:space="preserve">19</t>
  </si>
  <si>
    <t xml:space="preserve">G13</t>
  </si>
  <si>
    <t xml:space="preserve">H13</t>
  </si>
  <si>
    <t xml:space="preserve">I13</t>
  </si>
  <si>
    <t xml:space="preserve">J13</t>
  </si>
  <si>
    <t xml:space="preserve">K13</t>
  </si>
  <si>
    <t xml:space="preserve">L13</t>
  </si>
  <si>
    <t xml:space="preserve">C14</t>
  </si>
  <si>
    <t xml:space="preserve">D14</t>
  </si>
  <si>
    <t xml:space="preserve">F14</t>
  </si>
  <si>
    <t xml:space="preserve">22</t>
  </si>
  <si>
    <t xml:space="preserve">G14</t>
  </si>
  <si>
    <t xml:space="preserve">H14</t>
  </si>
  <si>
    <t xml:space="preserve">I14</t>
  </si>
  <si>
    <t xml:space="preserve">J14</t>
  </si>
  <si>
    <t xml:space="preserve">K14</t>
  </si>
  <si>
    <t xml:space="preserve">L14</t>
  </si>
  <si>
    <t xml:space="preserve">C15</t>
  </si>
  <si>
    <t xml:space="preserve">D15</t>
  </si>
  <si>
    <t xml:space="preserve">F15</t>
  </si>
  <si>
    <t xml:space="preserve">G15</t>
  </si>
  <si>
    <t xml:space="preserve">H15</t>
  </si>
  <si>
    <t xml:space="preserve">I15</t>
  </si>
  <si>
    <t xml:space="preserve">J15</t>
  </si>
  <si>
    <t xml:space="preserve">K15</t>
  </si>
  <si>
    <t xml:space="preserve">L15</t>
  </si>
  <si>
    <t xml:space="preserve">C16</t>
  </si>
  <si>
    <t xml:space="preserve">D16</t>
  </si>
  <si>
    <t xml:space="preserve">F16</t>
  </si>
  <si>
    <t xml:space="preserve">G16</t>
  </si>
  <si>
    <t xml:space="preserve">H16</t>
  </si>
  <si>
    <t xml:space="preserve">I16</t>
  </si>
  <si>
    <t xml:space="preserve">J16</t>
  </si>
  <si>
    <t xml:space="preserve">K16</t>
  </si>
  <si>
    <t xml:space="preserve">L16</t>
  </si>
  <si>
    <t xml:space="preserve">C17</t>
  </si>
  <si>
    <t xml:space="preserve">D17</t>
  </si>
  <si>
    <t xml:space="preserve">F17</t>
  </si>
  <si>
    <t xml:space="preserve">8</t>
  </si>
  <si>
    <t xml:space="preserve">G17</t>
  </si>
  <si>
    <t xml:space="preserve">H17</t>
  </si>
  <si>
    <t xml:space="preserve">I17</t>
  </si>
  <si>
    <t xml:space="preserve">J17</t>
  </si>
  <si>
    <t xml:space="preserve">K17</t>
  </si>
  <si>
    <t xml:space="preserve">L17</t>
  </si>
  <si>
    <t xml:space="preserve">C18</t>
  </si>
  <si>
    <t xml:space="preserve">D18</t>
  </si>
  <si>
    <t xml:space="preserve">F18</t>
  </si>
  <si>
    <t xml:space="preserve">G18</t>
  </si>
  <si>
    <t xml:space="preserve">H18</t>
  </si>
  <si>
    <t xml:space="preserve">I18</t>
  </si>
  <si>
    <t xml:space="preserve">J18</t>
  </si>
  <si>
    <t xml:space="preserve">K18</t>
  </si>
  <si>
    <t xml:space="preserve">L18</t>
  </si>
  <si>
    <t xml:space="preserve">C19</t>
  </si>
  <si>
    <t xml:space="preserve">D19</t>
  </si>
  <si>
    <t xml:space="preserve">F19</t>
  </si>
  <si>
    <t xml:space="preserve">58</t>
  </si>
  <si>
    <t xml:space="preserve">G19</t>
  </si>
  <si>
    <t xml:space="preserve">H19</t>
  </si>
  <si>
    <t xml:space="preserve">I19</t>
  </si>
  <si>
    <t xml:space="preserve">J19</t>
  </si>
  <si>
    <t xml:space="preserve">K19</t>
  </si>
  <si>
    <t xml:space="preserve">L19</t>
  </si>
  <si>
    <t xml:space="preserve">C20</t>
  </si>
  <si>
    <t xml:space="preserve">D20</t>
  </si>
  <si>
    <t xml:space="preserve">F20</t>
  </si>
  <si>
    <t xml:space="preserve">18</t>
  </si>
  <si>
    <t xml:space="preserve">G20</t>
  </si>
  <si>
    <t xml:space="preserve">H20</t>
  </si>
  <si>
    <t xml:space="preserve">I20</t>
  </si>
  <si>
    <t xml:space="preserve">J20</t>
  </si>
  <si>
    <t xml:space="preserve">K20</t>
  </si>
  <si>
    <t xml:space="preserve">L20</t>
  </si>
  <si>
    <t xml:space="preserve">C21</t>
  </si>
  <si>
    <t xml:space="preserve">D21</t>
  </si>
  <si>
    <t xml:space="preserve">F21</t>
  </si>
  <si>
    <t xml:space="preserve">G21</t>
  </si>
  <si>
    <t xml:space="preserve">H21</t>
  </si>
  <si>
    <t xml:space="preserve">I21</t>
  </si>
  <si>
    <t xml:space="preserve">J21</t>
  </si>
  <si>
    <t xml:space="preserve">K21</t>
  </si>
  <si>
    <t xml:space="preserve">L21</t>
  </si>
  <si>
    <t xml:space="preserve">C22</t>
  </si>
  <si>
    <t xml:space="preserve">D22</t>
  </si>
  <si>
    <t xml:space="preserve">F22</t>
  </si>
  <si>
    <t xml:space="preserve">G22</t>
  </si>
  <si>
    <t xml:space="preserve">H22</t>
  </si>
  <si>
    <t xml:space="preserve">I22</t>
  </si>
  <si>
    <t xml:space="preserve">J22</t>
  </si>
  <si>
    <t xml:space="preserve">K22</t>
  </si>
  <si>
    <t xml:space="preserve">L22</t>
  </si>
  <si>
    <t xml:space="preserve">C23</t>
  </si>
  <si>
    <t xml:space="preserve">D23</t>
  </si>
  <si>
    <t xml:space="preserve">F23</t>
  </si>
  <si>
    <t xml:space="preserve">G23</t>
  </si>
  <si>
    <t xml:space="preserve">H23</t>
  </si>
  <si>
    <t xml:space="preserve">I23</t>
  </si>
  <si>
    <t xml:space="preserve">J23</t>
  </si>
  <si>
    <t xml:space="preserve">K23</t>
  </si>
  <si>
    <t xml:space="preserve">L23</t>
  </si>
  <si>
    <t xml:space="preserve">C24</t>
  </si>
  <si>
    <t xml:space="preserve">D24</t>
  </si>
  <si>
    <t xml:space="preserve">F24</t>
  </si>
  <si>
    <t xml:space="preserve">G24</t>
  </si>
  <si>
    <t xml:space="preserve">H24</t>
  </si>
  <si>
    <t xml:space="preserve">I24</t>
  </si>
  <si>
    <t xml:space="preserve">J24</t>
  </si>
  <si>
    <t xml:space="preserve">K24</t>
  </si>
  <si>
    <t xml:space="preserve">L24</t>
  </si>
  <si>
    <t xml:space="preserve">C25</t>
  </si>
  <si>
    <t xml:space="preserve">D25</t>
  </si>
  <si>
    <t xml:space="preserve">F25</t>
  </si>
  <si>
    <t xml:space="preserve">50</t>
  </si>
  <si>
    <t xml:space="preserve">G25</t>
  </si>
  <si>
    <t xml:space="preserve">H25</t>
  </si>
  <si>
    <t xml:space="preserve">I25</t>
  </si>
  <si>
    <t xml:space="preserve">J25</t>
  </si>
  <si>
    <t xml:space="preserve">K25</t>
  </si>
  <si>
    <t xml:space="preserve">L25</t>
  </si>
  <si>
    <t xml:space="preserve">Quarterly MW</t>
  </si>
  <si>
    <t xml:space="preserve">M3</t>
  </si>
  <si>
    <t xml:space="preserve">N3</t>
  </si>
  <si>
    <t xml:space="preserve">O3</t>
  </si>
  <si>
    <t xml:space="preserve">Reported (carried)</t>
  </si>
  <si>
    <t xml:space="preserve">P3</t>
  </si>
  <si>
    <t xml:space="preserve">Q3</t>
  </si>
  <si>
    <t xml:space="preserve">R3</t>
  </si>
  <si>
    <t xml:space="preserve">S3</t>
  </si>
  <si>
    <t xml:space="preserve">U3</t>
  </si>
  <si>
    <t xml:space="preserve">V3</t>
  </si>
  <si>
    <t xml:space="preserve">W3</t>
  </si>
  <si>
    <t xml:space="preserve">X3</t>
  </si>
  <si>
    <t xml:space="preserve">Y3</t>
  </si>
  <si>
    <t xml:space="preserve">Z3</t>
  </si>
  <si>
    <t xml:space="preserve">AA3</t>
  </si>
  <si>
    <t xml:space="preserve">AB3</t>
  </si>
  <si>
    <t xml:space="preserve">AC3</t>
  </si>
  <si>
    <t xml:space="preserve">AD3</t>
  </si>
  <si>
    <t xml:space="preserve">AE3</t>
  </si>
  <si>
    <t xml:space="preserve">AF3</t>
  </si>
  <si>
    <t xml:space="preserve">E4</t>
  </si>
  <si>
    <t xml:space="preserve">0</t>
  </si>
  <si>
    <t xml:space="preserve">Not yet energized (0 before first anchor)</t>
  </si>
  <si>
    <t xml:space="preserve">formula: =ROUND((5+16*1.982)*0.8/1.35,1)</t>
  </si>
  <si>
    <t xml:space="preserve">altdata Vineland_MW row 2025-10 (16 gensets x 1.982 MW + 5 MW grid; low x0.8/1.35, high /1.2)</t>
  </si>
  <si>
    <t xml:space="preserve">M4</t>
  </si>
  <si>
    <t xml:space="preserve">30</t>
  </si>
  <si>
    <t xml:space="preserve">altdata Vineland_MW row 2026-02 (32 gensets, ~63 MW nameplate); capped at/below end-Q2 observed running range (33-45) so series is monotonic</t>
  </si>
  <si>
    <t xml:space="preserve">N4</t>
  </si>
  <si>
    <t xml:space="preserve">33</t>
  </si>
  <si>
    <t xml:space="preserve">altdata Vineland_MW end-Q2 (~25 of 62 running, thermal) per alt-data researcher summary</t>
  </si>
  <si>
    <t xml:space="preserve">O4</t>
  </si>
  <si>
    <t xml:space="preserve">57</t>
  </si>
  <si>
    <t xml:space="preserve">altdata Vineland_MW Q3 (&gt;=45 of 62 running) per alt-data researcher summary</t>
  </si>
  <si>
    <t xml:space="preserve">P4</t>
  </si>
  <si>
    <t xml:space="preserve">Low = Q3 run-rate held (Bloom not yet energized); High = generator ceiling (62x1.982+5)/1.2 = ~107 MW IT. Assumes gensets permitted by NJDEP ~Nov 2026 deadline</t>
  </si>
  <si>
    <t xml:space="preserve">Q4</t>
  </si>
  <si>
    <t xml:space="preserve">High: first Bloom blocks (328 MW installed/250 guaranteed) energized; low: Bloom slips</t>
  </si>
  <si>
    <t xml:space="preserve">R4</t>
  </si>
  <si>
    <t xml:space="preserve">107</t>
  </si>
  <si>
    <t xml:space="preserve">Bloom ramp; IT of 300 MW gross ~230-250 (gpu_mw_capex.md)</t>
  </si>
  <si>
    <t xml:space="preserve">S4</t>
  </si>
  <si>
    <t xml:space="preserve">160</t>
  </si>
  <si>
    <t xml:space="preserve">Bloom ramp; v2: capped at 240 MW IT (300 gross / 1.25)</t>
  </si>
  <si>
    <t xml:space="preserve">230</t>
  </si>
  <si>
    <t xml:space="preserve">Full 300 MW gross (~230-250 IT) lands in 2027; v2: capped at 240 MW IT (300 gross / 1.25)</t>
  </si>
  <si>
    <t xml:space="preserve">U4</t>
  </si>
  <si>
    <t xml:space="preserve">carried forward from Q4 2027</t>
  </si>
  <si>
    <t xml:space="preserve">V4</t>
  </si>
  <si>
    <t xml:space="preserve">W4</t>
  </si>
  <si>
    <t xml:space="preserve">X4</t>
  </si>
  <si>
    <t xml:space="preserve">Y4</t>
  </si>
  <si>
    <t xml:space="preserve">Z4</t>
  </si>
  <si>
    <t xml:space="preserve">AA4</t>
  </si>
  <si>
    <t xml:space="preserve">AB4</t>
  </si>
  <si>
    <t xml:space="preserve">AC4</t>
  </si>
  <si>
    <t xml:space="preserve">AD4</t>
  </si>
  <si>
    <t xml:space="preserve">AE4</t>
  </si>
  <si>
    <t xml:space="preserve">AF4</t>
  </si>
  <si>
    <t xml:space="preserve">E5</t>
  </si>
  <si>
    <t xml:space="preserve">formula: =ROUND((5+16*1.982)/1.2,1)</t>
  </si>
  <si>
    <t xml:space="preserve">M5</t>
  </si>
  <si>
    <t xml:space="preserve">45</t>
  </si>
  <si>
    <t xml:space="preserve">N5</t>
  </si>
  <si>
    <t xml:space="preserve">O5</t>
  </si>
  <si>
    <t xml:space="preserve">P5</t>
  </si>
  <si>
    <t xml:space="preserve">formula: =ROUND((5+62*1.982)/1.2,1)</t>
  </si>
  <si>
    <t xml:space="preserve">Q5</t>
  </si>
  <si>
    <t xml:space="preserve">180</t>
  </si>
  <si>
    <t xml:space="preserve">R5</t>
  </si>
  <si>
    <t xml:space="preserve">S5</t>
  </si>
  <si>
    <t xml:space="preserve">U5</t>
  </si>
  <si>
    <t xml:space="preserve">V5</t>
  </si>
  <si>
    <t xml:space="preserve">W5</t>
  </si>
  <si>
    <t xml:space="preserve">X5</t>
  </si>
  <si>
    <t xml:space="preserve">Y5</t>
  </si>
  <si>
    <t xml:space="preserve">Z5</t>
  </si>
  <si>
    <t xml:space="preserve">AA5</t>
  </si>
  <si>
    <t xml:space="preserve">AB5</t>
  </si>
  <si>
    <t xml:space="preserve">AC5</t>
  </si>
  <si>
    <t xml:space="preserve">AD5</t>
  </si>
  <si>
    <t xml:space="preserve">AE5</t>
  </si>
  <si>
    <t xml:space="preserve">AF5</t>
  </si>
  <si>
    <t xml:space="preserve">E6</t>
  </si>
  <si>
    <t xml:space="preserve">formula: =(E4+E5)/2</t>
  </si>
  <si>
    <t xml:space="preserve">midpoint of low and high</t>
  </si>
  <si>
    <t xml:space="preserve">formula: =(F4+F5)/2</t>
  </si>
  <si>
    <t xml:space="preserve">formula: =(G4+G5)/2</t>
  </si>
  <si>
    <t xml:space="preserve">formula: =(H4+H5)/2</t>
  </si>
  <si>
    <t xml:space="preserve">formula: =(I4+I5)/2</t>
  </si>
  <si>
    <t xml:space="preserve">formula: =(J4+J5)/2</t>
  </si>
  <si>
    <t xml:space="preserve">formula: =(K4+K5)/2</t>
  </si>
  <si>
    <t xml:space="preserve">formula: =(L4+L5)/2</t>
  </si>
  <si>
    <t xml:space="preserve">M6</t>
  </si>
  <si>
    <t xml:space="preserve">formula: =(M4+M5)/2</t>
  </si>
  <si>
    <t xml:space="preserve">N6</t>
  </si>
  <si>
    <t xml:space="preserve">formula: =(N4+N5)/2</t>
  </si>
  <si>
    <t xml:space="preserve">O6</t>
  </si>
  <si>
    <t xml:space="preserve">formula: =(O4+O5)/2</t>
  </si>
  <si>
    <t xml:space="preserve">P6</t>
  </si>
  <si>
    <t xml:space="preserve">formula: =(P4+P5)/2</t>
  </si>
  <si>
    <t xml:space="preserve">Q6</t>
  </si>
  <si>
    <t xml:space="preserve">formula: =(Q4+Q5)/2</t>
  </si>
  <si>
    <t xml:space="preserve">R6</t>
  </si>
  <si>
    <t xml:space="preserve">formula: =(R4+R5)/2</t>
  </si>
  <si>
    <t xml:space="preserve">S6</t>
  </si>
  <si>
    <t xml:space="preserve">formula: =(S4+S5)/2</t>
  </si>
  <si>
    <t xml:space="preserve">formula: =(T4+T5)/2</t>
  </si>
  <si>
    <t xml:space="preserve">U6</t>
  </si>
  <si>
    <t xml:space="preserve">formula: =(U4+U5)/2</t>
  </si>
  <si>
    <t xml:space="preserve">V6</t>
  </si>
  <si>
    <t xml:space="preserve">formula: =(V4+V5)/2</t>
  </si>
  <si>
    <t xml:space="preserve">W6</t>
  </si>
  <si>
    <t xml:space="preserve">formula: =(W4+W5)/2</t>
  </si>
  <si>
    <t xml:space="preserve">X6</t>
  </si>
  <si>
    <t xml:space="preserve">formula: =(X4+X5)/2</t>
  </si>
  <si>
    <t xml:space="preserve">Y6</t>
  </si>
  <si>
    <t xml:space="preserve">formula: =(Y4+Y5)/2</t>
  </si>
  <si>
    <t xml:space="preserve">Z6</t>
  </si>
  <si>
    <t xml:space="preserve">formula: =(Z4+Z5)/2</t>
  </si>
  <si>
    <t xml:space="preserve">AA6</t>
  </si>
  <si>
    <t xml:space="preserve">formula: =(AA4+AA5)/2</t>
  </si>
  <si>
    <t xml:space="preserve">AB6</t>
  </si>
  <si>
    <t xml:space="preserve">formula: =(AB4+AB5)/2</t>
  </si>
  <si>
    <t xml:space="preserve">AC6</t>
  </si>
  <si>
    <t xml:space="preserve">formula: =(AC4+AC5)/2</t>
  </si>
  <si>
    <t xml:space="preserve">AD6</t>
  </si>
  <si>
    <t xml:space="preserve">formula: =(AD4+AD5)/2</t>
  </si>
  <si>
    <t xml:space="preserve">AE6</t>
  </si>
  <si>
    <t xml:space="preserve">formula: =(AE4+AE5)/2</t>
  </si>
  <si>
    <t xml:space="preserve">AF6</t>
  </si>
  <si>
    <t xml:space="preserve">formula: =(AF4+AF5)/2</t>
  </si>
  <si>
    <t xml:space="preserve">100</t>
  </si>
  <si>
    <t xml:space="preserve">Q2-25 letter: 100 MW available in 2025 | https://www.sec.gov/Archives/edgar/data/1513845/000110465925088312/tm2525580d1_6k.htm; https://www.sec.gov/Archives/edgar/data/1513845/000110465926052948/nbis-20251231x20f.htm; https://www.sec.gov/Arc</t>
  </si>
  <si>
    <t xml:space="preserve">P7</t>
  </si>
  <si>
    <t xml:space="preserve">Q2-25 letter: rest in 2026 (300 MW site; 200 MW contracted then) | https://www.sec.gov/Archives/edgar/data/1513845/000110465925088312/tm2525580d1_6k.htm; https://www.sec.gov/Archives/edgar/data/1513845/000110465926052948/nbis-20251231x20f.htm; https://www.sec.gov/Arc</t>
  </si>
  <si>
    <t xml:space="preserve">M8</t>
  </si>
  <si>
    <t xml:space="preserve">N8</t>
  </si>
  <si>
    <t xml:space="preserve">O8</t>
  </si>
  <si>
    <t xml:space="preserve">P8</t>
  </si>
  <si>
    <t xml:space="preserve">Q8</t>
  </si>
  <si>
    <t xml:space="preserve">R8</t>
  </si>
  <si>
    <t xml:space="preserve">S8</t>
  </si>
  <si>
    <t xml:space="preserve">U8</t>
  </si>
  <si>
    <t xml:space="preserve">V8</t>
  </si>
  <si>
    <t xml:space="preserve">W8</t>
  </si>
  <si>
    <t xml:space="preserve">X8</t>
  </si>
  <si>
    <t xml:space="preserve">Y8</t>
  </si>
  <si>
    <t xml:space="preserve">Z8</t>
  </si>
  <si>
    <t xml:space="preserve">AA8</t>
  </si>
  <si>
    <t xml:space="preserve">AB8</t>
  </si>
  <si>
    <t xml:space="preserve">AC8</t>
  </si>
  <si>
    <t xml:space="preserve">AD8</t>
  </si>
  <si>
    <t xml:space="preserve">AE8</t>
  </si>
  <si>
    <t xml:space="preserve">AF8</t>
  </si>
  <si>
    <t xml:space="preserve">E9</t>
  </si>
  <si>
    <t xml:space="preserve">M9</t>
  </si>
  <si>
    <t xml:space="preserve">N9</t>
  </si>
  <si>
    <t xml:space="preserve">O9</t>
  </si>
  <si>
    <t xml:space="preserve">P9</t>
  </si>
  <si>
    <t xml:space="preserve">Q9</t>
  </si>
  <si>
    <t xml:space="preserve">R9</t>
  </si>
  <si>
    <t xml:space="preserve">S9</t>
  </si>
  <si>
    <t xml:space="preserve">Phase 1 ~Q3 2027 (KSHB/altdata); IPL 200 MW interim</t>
  </si>
  <si>
    <t xml:space="preserve">IPP Blue Valley Ph1 200-250 MW Oct 2027</t>
  </si>
  <si>
    <t xml:space="preserve">U9</t>
  </si>
  <si>
    <t xml:space="preserve">V9</t>
  </si>
  <si>
    <t xml:space="preserve">W9</t>
  </si>
  <si>
    <t xml:space="preserve">carried forward from Q2 2028</t>
  </si>
  <si>
    <t xml:space="preserve">X9</t>
  </si>
  <si>
    <t xml:space="preserve">200</t>
  </si>
  <si>
    <t xml:space="preserve">Power capped ~250 MW until 2029 study</t>
  </si>
  <si>
    <t xml:space="preserve">Y9</t>
  </si>
  <si>
    <t xml:space="preserve">carried forward from Q4 2028</t>
  </si>
  <si>
    <t xml:space="preserve">Z9</t>
  </si>
  <si>
    <t xml:space="preserve">IPL 600 MW early 2029 (study)</t>
  </si>
  <si>
    <t xml:space="preserve">AA9</t>
  </si>
  <si>
    <t xml:space="preserve">carried forward from Q2 2029</t>
  </si>
  <si>
    <t xml:space="preserve">AB9</t>
  </si>
  <si>
    <t xml:space="preserve">500</t>
  </si>
  <si>
    <t xml:space="preserve">AC9</t>
  </si>
  <si>
    <t xml:space="preserve">carried forward from Q4 2029</t>
  </si>
  <si>
    <t xml:space="preserve">AD9</t>
  </si>
  <si>
    <t xml:space="preserve">AE9</t>
  </si>
  <si>
    <t xml:space="preserve">AF9</t>
  </si>
  <si>
    <t xml:space="preserve">700</t>
  </si>
  <si>
    <t xml:space="preserve">1.2 GW needs on-site generation (evaluating)</t>
  </si>
  <si>
    <t xml:space="preserve">E10</t>
  </si>
  <si>
    <t xml:space="preserve">M10</t>
  </si>
  <si>
    <t xml:space="preserve">N10</t>
  </si>
  <si>
    <t xml:space="preserve">O10</t>
  </si>
  <si>
    <t xml:space="preserve">P10</t>
  </si>
  <si>
    <t xml:space="preserve">Q10</t>
  </si>
  <si>
    <t xml:space="preserve">R10</t>
  </si>
  <si>
    <t xml:space="preserve">S10</t>
  </si>
  <si>
    <t xml:space="preserve">T10</t>
  </si>
  <si>
    <t xml:space="preserve">U10</t>
  </si>
  <si>
    <t xml:space="preserve">V10</t>
  </si>
  <si>
    <t xml:space="preserve">250</t>
  </si>
  <si>
    <t xml:space="preserve">W10</t>
  </si>
  <si>
    <t xml:space="preserve">X10</t>
  </si>
  <si>
    <t xml:space="preserve">Y10</t>
  </si>
  <si>
    <t xml:space="preserve">Z10</t>
  </si>
  <si>
    <t xml:space="preserve">600</t>
  </si>
  <si>
    <t xml:space="preserve">AA10</t>
  </si>
  <si>
    <t xml:space="preserve">AB10</t>
  </si>
  <si>
    <t xml:space="preserve">800</t>
  </si>
  <si>
    <t xml:space="preserve">AC10</t>
  </si>
  <si>
    <t xml:space="preserve">AD10</t>
  </si>
  <si>
    <t xml:space="preserve">AE10</t>
  </si>
  <si>
    <t xml:space="preserve">AF10</t>
  </si>
  <si>
    <t xml:space="preserve">E11</t>
  </si>
  <si>
    <t xml:space="preserve">formula: =(E9+E10)/2</t>
  </si>
  <si>
    <t xml:space="preserve">formula: =(F9+F10)/2</t>
  </si>
  <si>
    <t xml:space="preserve">formula: =(G9+G10)/2</t>
  </si>
  <si>
    <t xml:space="preserve">formula: =(H9+H10)/2</t>
  </si>
  <si>
    <t xml:space="preserve">formula: =(I9+I10)/2</t>
  </si>
  <si>
    <t xml:space="preserve">formula: =(J9+J10)/2</t>
  </si>
  <si>
    <t xml:space="preserve">formula: =(K9+K10)/2</t>
  </si>
  <si>
    <t xml:space="preserve">formula: =(L9+L10)/2</t>
  </si>
  <si>
    <t xml:space="preserve">M11</t>
  </si>
  <si>
    <t xml:space="preserve">formula: =(M9+M10)/2</t>
  </si>
  <si>
    <t xml:space="preserve">N11</t>
  </si>
  <si>
    <t xml:space="preserve">formula: =(N9+N10)/2</t>
  </si>
  <si>
    <t xml:space="preserve">O11</t>
  </si>
  <si>
    <t xml:space="preserve">formula: =(O9+O10)/2</t>
  </si>
  <si>
    <t xml:space="preserve">P11</t>
  </si>
  <si>
    <t xml:space="preserve">formula: =(P9+P10)/2</t>
  </si>
  <si>
    <t xml:space="preserve">Q11</t>
  </si>
  <si>
    <t xml:space="preserve">formula: =(Q9+Q10)/2</t>
  </si>
  <si>
    <t xml:space="preserve">R11</t>
  </si>
  <si>
    <t xml:space="preserve">formula: =(R9+R10)/2</t>
  </si>
  <si>
    <t xml:space="preserve">S11</t>
  </si>
  <si>
    <t xml:space="preserve">formula: =(S9+S10)/2</t>
  </si>
  <si>
    <t xml:space="preserve">T11</t>
  </si>
  <si>
    <t xml:space="preserve">formula: =(T9+T10)/2</t>
  </si>
  <si>
    <t xml:space="preserve">U11</t>
  </si>
  <si>
    <t xml:space="preserve">formula: =(U9+U10)/2</t>
  </si>
  <si>
    <t xml:space="preserve">V11</t>
  </si>
  <si>
    <t xml:space="preserve">formula: =(V9+V10)/2</t>
  </si>
  <si>
    <t xml:space="preserve">W11</t>
  </si>
  <si>
    <t xml:space="preserve">formula: =(W9+W10)/2</t>
  </si>
  <si>
    <t xml:space="preserve">X11</t>
  </si>
  <si>
    <t xml:space="preserve">formula: =(X9+X10)/2</t>
  </si>
  <si>
    <t xml:space="preserve">Y11</t>
  </si>
  <si>
    <t xml:space="preserve">formula: =(Y9+Y10)/2</t>
  </si>
  <si>
    <t xml:space="preserve">Z11</t>
  </si>
  <si>
    <t xml:space="preserve">formula: =(Z9+Z10)/2</t>
  </si>
  <si>
    <t xml:space="preserve">AA11</t>
  </si>
  <si>
    <t xml:space="preserve">formula: =(AA9+AA10)/2</t>
  </si>
  <si>
    <t xml:space="preserve">AB11</t>
  </si>
  <si>
    <t xml:space="preserve">formula: =(AB9+AB10)/2</t>
  </si>
  <si>
    <t xml:space="preserve">AC11</t>
  </si>
  <si>
    <t xml:space="preserve">formula: =(AC9+AC10)/2</t>
  </si>
  <si>
    <t xml:space="preserve">AD11</t>
  </si>
  <si>
    <t xml:space="preserve">formula: =(AD9+AD10)/2</t>
  </si>
  <si>
    <t xml:space="preserve">AE11</t>
  </si>
  <si>
    <t xml:space="preserve">formula: =(AE9+AE10)/2</t>
  </si>
  <si>
    <t xml:space="preserve">AF11</t>
  </si>
  <si>
    <t xml:space="preserve">formula: =(AF9+AF10)/2</t>
  </si>
  <si>
    <t xml:space="preserve">O12</t>
  </si>
  <si>
    <t xml:space="preserve">City of Independence deck Feb 2026 | https://nebius.com/independencemo; https://www.independencemo.gov/sites/default/files/2026-02/Nebius%20x%20Independence%2C%20MO.cleaned.pdf; https://citizenportal.ai/articles/7477161 (Independence PUA</t>
  </si>
  <si>
    <t xml:space="preserve">T12</t>
  </si>
  <si>
    <t xml:space="preserve">Q1-26 letter | https://nebius.com/independencemo; https://www.independencemo.gov/sites/default/files/2026-02/Nebius%20x%20Independence%2C%20MO.cleaned.pdf; https://citizenportal.ai/articles/7477161 (Independence PUA</t>
  </si>
  <si>
    <t xml:space="preserve">N13</t>
  </si>
  <si>
    <t xml:space="preserve">O13</t>
  </si>
  <si>
    <t xml:space="preserve">P13</t>
  </si>
  <si>
    <t xml:space="preserve">Q13</t>
  </si>
  <si>
    <t xml:space="preserve">R13</t>
  </si>
  <si>
    <t xml:space="preserve">S13</t>
  </si>
  <si>
    <t xml:space="preserve">T13</t>
  </si>
  <si>
    <t xml:space="preserve">U13</t>
  </si>
  <si>
    <t xml:space="preserve">V13</t>
  </si>
  <si>
    <t xml:space="preserve">W13</t>
  </si>
  <si>
    <t xml:space="preserve">X13</t>
  </si>
  <si>
    <t xml:space="preserve">Y13</t>
  </si>
  <si>
    <t xml:space="preserve">Z13</t>
  </si>
  <si>
    <t xml:space="preserve">AA13</t>
  </si>
  <si>
    <t xml:space="preserve">AB13</t>
  </si>
  <si>
    <t xml:space="preserve">AC13</t>
  </si>
  <si>
    <t xml:space="preserve">AD13</t>
  </si>
  <si>
    <t xml:space="preserve">AE13</t>
  </si>
  <si>
    <t xml:space="preserve">AF13</t>
  </si>
  <si>
    <t xml:space="preserve">E14</t>
  </si>
  <si>
    <t xml:space="preserve">M14</t>
  </si>
  <si>
    <t xml:space="preserve">N14</t>
  </si>
  <si>
    <t xml:space="preserve">O14</t>
  </si>
  <si>
    <t xml:space="preserve">P14</t>
  </si>
  <si>
    <t xml:space="preserve">Q14</t>
  </si>
  <si>
    <t xml:space="preserve">R14</t>
  </si>
  <si>
    <t xml:space="preserve">S14</t>
  </si>
  <si>
    <t xml:space="preserve">T14</t>
  </si>
  <si>
    <t xml:space="preserve">Mgmt 260 MW Oct 2027; final land-dev plan pending; PPL 230 kV lines late-27 to early-29</t>
  </si>
  <si>
    <t xml:space="preserve">U14</t>
  </si>
  <si>
    <t xml:space="preserve">V14</t>
  </si>
  <si>
    <t xml:space="preserve">carried forward from Q1 2028</t>
  </si>
  <si>
    <t xml:space="preserve">W14</t>
  </si>
  <si>
    <t xml:space="preserve">X14</t>
  </si>
  <si>
    <t xml:space="preserve">130</t>
  </si>
  <si>
    <t xml:space="preserve">Y14</t>
  </si>
  <si>
    <t xml:space="preserve">Z14</t>
  </si>
  <si>
    <t xml:space="preserve">260</t>
  </si>
  <si>
    <t xml:space="preserve">Mgmt 660 MW Jan 2029</t>
  </si>
  <si>
    <t xml:space="preserve">AA14</t>
  </si>
  <si>
    <t xml:space="preserve">AB14</t>
  </si>
  <si>
    <t xml:space="preserve">400</t>
  </si>
  <si>
    <t xml:space="preserve">Mgmt 1,000+ MW Nov 2029</t>
  </si>
  <si>
    <t xml:space="preserve">AC14</t>
  </si>
  <si>
    <t xml:space="preserve">AD14</t>
  </si>
  <si>
    <t xml:space="preserve">AE14</t>
  </si>
  <si>
    <t xml:space="preserve">AF14</t>
  </si>
  <si>
    <t xml:space="preserve">660</t>
  </si>
  <si>
    <t xml:space="preserve">E15</t>
  </si>
  <si>
    <t xml:space="preserve">M15</t>
  </si>
  <si>
    <t xml:space="preserve">N15</t>
  </si>
  <si>
    <t xml:space="preserve">O15</t>
  </si>
  <si>
    <t xml:space="preserve">P15</t>
  </si>
  <si>
    <t xml:space="preserve">Q15</t>
  </si>
  <si>
    <t xml:space="preserve">R15</t>
  </si>
  <si>
    <t xml:space="preserve">S15</t>
  </si>
  <si>
    <t xml:space="preserve">T15</t>
  </si>
  <si>
    <t xml:space="preserve">U15</t>
  </si>
  <si>
    <t xml:space="preserve">V15</t>
  </si>
  <si>
    <t xml:space="preserve">W15</t>
  </si>
  <si>
    <t xml:space="preserve">X15</t>
  </si>
  <si>
    <t xml:space="preserve">Y15</t>
  </si>
  <si>
    <t xml:space="preserve">Z15</t>
  </si>
  <si>
    <t xml:space="preserve">AA15</t>
  </si>
  <si>
    <t xml:space="preserve">AB15</t>
  </si>
  <si>
    <t xml:space="preserve">1000</t>
  </si>
  <si>
    <t xml:space="preserve">AC15</t>
  </si>
  <si>
    <t xml:space="preserve">AD15</t>
  </si>
  <si>
    <t xml:space="preserve">AE15</t>
  </si>
  <si>
    <t xml:space="preserve">AF15</t>
  </si>
  <si>
    <t xml:space="preserve">E16</t>
  </si>
  <si>
    <t xml:space="preserve">formula: =(E14+E15)/2</t>
  </si>
  <si>
    <t xml:space="preserve">formula: =(F14+F15)/2</t>
  </si>
  <si>
    <t xml:space="preserve">formula: =(G14+G15)/2</t>
  </si>
  <si>
    <t xml:space="preserve">formula: =(H14+H15)/2</t>
  </si>
  <si>
    <t xml:space="preserve">formula: =(I14+I15)/2</t>
  </si>
  <si>
    <t xml:space="preserve">formula: =(J14+J15)/2</t>
  </si>
  <si>
    <t xml:space="preserve">formula: =(K14+K15)/2</t>
  </si>
  <si>
    <t xml:space="preserve">formula: =(L14+L15)/2</t>
  </si>
  <si>
    <t xml:space="preserve">M16</t>
  </si>
  <si>
    <t xml:space="preserve">formula: =(M14+M15)/2</t>
  </si>
  <si>
    <t xml:space="preserve">N16</t>
  </si>
  <si>
    <t xml:space="preserve">formula: =(N14+N15)/2</t>
  </si>
  <si>
    <t xml:space="preserve">O16</t>
  </si>
  <si>
    <t xml:space="preserve">formula: =(O14+O15)/2</t>
  </si>
  <si>
    <t xml:space="preserve">P16</t>
  </si>
  <si>
    <t xml:space="preserve">formula: =(P14+P15)/2</t>
  </si>
  <si>
    <t xml:space="preserve">Q16</t>
  </si>
  <si>
    <t xml:space="preserve">formula: =(Q14+Q15)/2</t>
  </si>
  <si>
    <t xml:space="preserve">R16</t>
  </si>
  <si>
    <t xml:space="preserve">formula: =(R14+R15)/2</t>
  </si>
  <si>
    <t xml:space="preserve">S16</t>
  </si>
  <si>
    <t xml:space="preserve">formula: =(S14+S15)/2</t>
  </si>
  <si>
    <t xml:space="preserve">T16</t>
  </si>
  <si>
    <t xml:space="preserve">formula: =(T14+T15)/2</t>
  </si>
  <si>
    <t xml:space="preserve">U16</t>
  </si>
  <si>
    <t xml:space="preserve">formula: =(U14+U15)/2</t>
  </si>
  <si>
    <t xml:space="preserve">V16</t>
  </si>
  <si>
    <t xml:space="preserve">formula: =(V14+V15)/2</t>
  </si>
  <si>
    <t xml:space="preserve">W16</t>
  </si>
  <si>
    <t xml:space="preserve">formula: =(W14+W15)/2</t>
  </si>
  <si>
    <t xml:space="preserve">X16</t>
  </si>
  <si>
    <t xml:space="preserve">formula: =(X14+X15)/2</t>
  </si>
  <si>
    <t xml:space="preserve">Y16</t>
  </si>
  <si>
    <t xml:space="preserve">formula: =(Y14+Y15)/2</t>
  </si>
  <si>
    <t xml:space="preserve">Z16</t>
  </si>
  <si>
    <t xml:space="preserve">formula: =(Z14+Z15)/2</t>
  </si>
  <si>
    <t xml:space="preserve">AA16</t>
  </si>
  <si>
    <t xml:space="preserve">formula: =(AA14+AA15)/2</t>
  </si>
  <si>
    <t xml:space="preserve">AB16</t>
  </si>
  <si>
    <t xml:space="preserve">formula: =(AB14+AB15)/2</t>
  </si>
  <si>
    <t xml:space="preserve">AC16</t>
  </si>
  <si>
    <t xml:space="preserve">formula: =(AC14+AC15)/2</t>
  </si>
  <si>
    <t xml:space="preserve">AD16</t>
  </si>
  <si>
    <t xml:space="preserve">formula: =(AD14+AD15)/2</t>
  </si>
  <si>
    <t xml:space="preserve">AE16</t>
  </si>
  <si>
    <t xml:space="preserve">formula: =(AE14+AE15)/2</t>
  </si>
  <si>
    <t xml:space="preserve">AF16</t>
  </si>
  <si>
    <t xml:space="preserve">formula: =(AF14+AF15)/2</t>
  </si>
  <si>
    <t xml:space="preserve">T17</t>
  </si>
  <si>
    <t xml:space="preserve">Nebius site page: 260 MW by Oct 2027 | https://nebius.com/schuylkillcountypa; https://www.republicanherald.com/2026/09/01/nebius-gets-green-light-to-expand-its-data-center-plan-in-butler-twp/; https://www.republicanherald.com/2026/04/24/bu</t>
  </si>
  <si>
    <t xml:space="preserve">Y17</t>
  </si>
  <si>
    <t xml:space="preserve">Jan 2029 | https://nebius.com/schuylkillcountypa; https://www.republicanherald.com/2026/09/01/nebius-gets-green-light-to-expand-its-data-center-plan-in-butler-twp/; https://www.republicanherald.com/2026/04/24/bu</t>
  </si>
  <si>
    <t xml:space="preserve">AB17</t>
  </si>
  <si>
    <t xml:space="preserve">1,000+ MW Nov 2029 | https://nebius.com/schuylkillcountypa; https://www.republicanherald.com/2026/09/01/nebius-gets-green-light-to-expand-its-data-center-plan-in-butler-twp/; https://www.republicanherald.com/2026/04/24/bu</t>
  </si>
  <si>
    <t xml:space="preserve">M18</t>
  </si>
  <si>
    <t xml:space="preserve">N18</t>
  </si>
  <si>
    <t xml:space="preserve">O18</t>
  </si>
  <si>
    <t xml:space="preserve">P18</t>
  </si>
  <si>
    <t xml:space="preserve">Q18</t>
  </si>
  <si>
    <t xml:space="preserve">R18</t>
  </si>
  <si>
    <t xml:space="preserve">S18</t>
  </si>
  <si>
    <t xml:space="preserve">T18</t>
  </si>
  <si>
    <t xml:space="preserve">U18</t>
  </si>
  <si>
    <t xml:space="preserve">V18</t>
  </si>
  <si>
    <t xml:space="preserve">W18</t>
  </si>
  <si>
    <t xml:space="preserve">X18</t>
  </si>
  <si>
    <t xml:space="preserve">Y18</t>
  </si>
  <si>
    <t xml:space="preserve">Z18</t>
  </si>
  <si>
    <t xml:space="preserve">AA18</t>
  </si>
  <si>
    <t xml:space="preserve">AB18</t>
  </si>
  <si>
    <t xml:space="preserve">AC18</t>
  </si>
  <si>
    <t xml:space="preserve">AD18</t>
  </si>
  <si>
    <t xml:space="preserve">AE18</t>
  </si>
  <si>
    <t xml:space="preserve">AF18</t>
  </si>
  <si>
    <t xml:space="preserve">E19</t>
  </si>
  <si>
    <t xml:space="preserve">M19</t>
  </si>
  <si>
    <t xml:space="preserve">N19</t>
  </si>
  <si>
    <t xml:space="preserve">O19</t>
  </si>
  <si>
    <t xml:space="preserve">P19</t>
  </si>
  <si>
    <t xml:space="preserve">Q19</t>
  </si>
  <si>
    <t xml:space="preserve">115 kV NLT Dec 31 2026; no closed roof Sep 20 2026 imagery</t>
  </si>
  <si>
    <t xml:space="preserve">R19</t>
  </si>
  <si>
    <t xml:space="preserve">S19</t>
  </si>
  <si>
    <t xml:space="preserve">25</t>
  </si>
  <si>
    <t xml:space="preserve">T19</t>
  </si>
  <si>
    <t xml:space="preserve">230 kV switching station Oct 2027</t>
  </si>
  <si>
    <t xml:space="preserve">U19</t>
  </si>
  <si>
    <t xml:space="preserve">V19</t>
  </si>
  <si>
    <t xml:space="preserve">W19</t>
  </si>
  <si>
    <t xml:space="preserve">X19</t>
  </si>
  <si>
    <t xml:space="preserve">Full build-out through 2028 (Nebius page)</t>
  </si>
  <si>
    <t xml:space="preserve">Y19</t>
  </si>
  <si>
    <t xml:space="preserve">Z19</t>
  </si>
  <si>
    <t xml:space="preserve">AA19</t>
  </si>
  <si>
    <t xml:space="preserve">AB19</t>
  </si>
  <si>
    <t xml:space="preserve">AC19</t>
  </si>
  <si>
    <t xml:space="preserve">AD19</t>
  </si>
  <si>
    <t xml:space="preserve">AE19</t>
  </si>
  <si>
    <t xml:space="preserve">AF19</t>
  </si>
  <si>
    <t xml:space="preserve">E20</t>
  </si>
  <si>
    <t xml:space="preserve">M20</t>
  </si>
  <si>
    <t xml:space="preserve">N20</t>
  </si>
  <si>
    <t xml:space="preserve">O20</t>
  </si>
  <si>
    <t xml:space="preserve">P20</t>
  </si>
  <si>
    <t xml:space="preserve">Q20</t>
  </si>
  <si>
    <t xml:space="preserve">R20</t>
  </si>
  <si>
    <t xml:space="preserve">S20</t>
  </si>
  <si>
    <t xml:space="preserve">T20</t>
  </si>
  <si>
    <t xml:space="preserve">U20</t>
  </si>
  <si>
    <t xml:space="preserve">V20</t>
  </si>
  <si>
    <t xml:space="preserve">W20</t>
  </si>
  <si>
    <t xml:space="preserve">X20</t>
  </si>
  <si>
    <t xml:space="preserve">Y20</t>
  </si>
  <si>
    <t xml:space="preserve">Z20</t>
  </si>
  <si>
    <t xml:space="preserve">AA20</t>
  </si>
  <si>
    <t xml:space="preserve">AB20</t>
  </si>
  <si>
    <t xml:space="preserve">AC20</t>
  </si>
  <si>
    <t xml:space="preserve">AD20</t>
  </si>
  <si>
    <t xml:space="preserve">AE20</t>
  </si>
  <si>
    <t xml:space="preserve">AF20</t>
  </si>
  <si>
    <t xml:space="preserve">E21</t>
  </si>
  <si>
    <t xml:space="preserve">formula: =(E19+E20)/2</t>
  </si>
  <si>
    <t xml:space="preserve">formula: =(F19+F20)/2</t>
  </si>
  <si>
    <t xml:space="preserve">formula: =(G19+G20)/2</t>
  </si>
  <si>
    <t xml:space="preserve">formula: =(H19+H20)/2</t>
  </si>
  <si>
    <t xml:space="preserve">formula: =(I19+I20)/2</t>
  </si>
  <si>
    <t xml:space="preserve">formula: =(J19+J20)/2</t>
  </si>
  <si>
    <t xml:space="preserve">formula: =(K19+K20)/2</t>
  </si>
  <si>
    <t xml:space="preserve">formula: =(L19+L20)/2</t>
  </si>
  <si>
    <t xml:space="preserve">M21</t>
  </si>
  <si>
    <t xml:space="preserve">formula: =(M19+M20)/2</t>
  </si>
  <si>
    <t xml:space="preserve">N21</t>
  </si>
  <si>
    <t xml:space="preserve">formula: =(N19+N20)/2</t>
  </si>
  <si>
    <t xml:space="preserve">O21</t>
  </si>
  <si>
    <t xml:space="preserve">formula: =(O19+O20)/2</t>
  </si>
  <si>
    <t xml:space="preserve">P21</t>
  </si>
  <si>
    <t xml:space="preserve">formula: =(P19+P20)/2</t>
  </si>
  <si>
    <t xml:space="preserve">Q21</t>
  </si>
  <si>
    <t xml:space="preserve">formula: =(Q19+Q20)/2</t>
  </si>
  <si>
    <t xml:space="preserve">R21</t>
  </si>
  <si>
    <t xml:space="preserve">formula: =(R19+R20)/2</t>
  </si>
  <si>
    <t xml:space="preserve">S21</t>
  </si>
  <si>
    <t xml:space="preserve">formula: =(S19+S20)/2</t>
  </si>
  <si>
    <t xml:space="preserve">T21</t>
  </si>
  <si>
    <t xml:space="preserve">formula: =(T19+T20)/2</t>
  </si>
  <si>
    <t xml:space="preserve">U21</t>
  </si>
  <si>
    <t xml:space="preserve">formula: =(U19+U20)/2</t>
  </si>
  <si>
    <t xml:space="preserve">V21</t>
  </si>
  <si>
    <t xml:space="preserve">formula: =(V19+V20)/2</t>
  </si>
  <si>
    <t xml:space="preserve">W21</t>
  </si>
  <si>
    <t xml:space="preserve">formula: =(W19+W20)/2</t>
  </si>
  <si>
    <t xml:space="preserve">X21</t>
  </si>
  <si>
    <t xml:space="preserve">formula: =(X19+X20)/2</t>
  </si>
  <si>
    <t xml:space="preserve">Y21</t>
  </si>
  <si>
    <t xml:space="preserve">formula: =(Y19+Y20)/2</t>
  </si>
  <si>
    <t xml:space="preserve">Z21</t>
  </si>
  <si>
    <t xml:space="preserve">formula: =(Z19+Z20)/2</t>
  </si>
  <si>
    <t xml:space="preserve">AA21</t>
  </si>
  <si>
    <t xml:space="preserve">formula: =(AA19+AA20)/2</t>
  </si>
  <si>
    <t xml:space="preserve">AB21</t>
  </si>
  <si>
    <t xml:space="preserve">formula: =(AB19+AB20)/2</t>
  </si>
  <si>
    <t xml:space="preserve">AC21</t>
  </si>
  <si>
    <t xml:space="preserve">formula: =(AC19+AC20)/2</t>
  </si>
  <si>
    <t xml:space="preserve">AD21</t>
  </si>
  <si>
    <t xml:space="preserve">formula: =(AD19+AD20)/2</t>
  </si>
  <si>
    <t xml:space="preserve">AE21</t>
  </si>
  <si>
    <t xml:space="preserve">formula: =(AE19+AE20)/2</t>
  </si>
  <si>
    <t xml:space="preserve">AF21</t>
  </si>
  <si>
    <t xml:space="preserve">formula: =(AF19+AF20)/2</t>
  </si>
  <si>
    <t xml:space="preserve">P22</t>
  </si>
  <si>
    <t xml:space="preserve">nebius.com/birminghamal | https://nebius.com/birminghamal; https://abc3340.com/resources/pdf/9222f76a-3063-46e4-aee7-796b30ed611f-NebiusResponsestoCityLetter_Redacted.pdf; https://bhamnow.com/2026/05/18/40-million-permits-birm</t>
  </si>
  <si>
    <t xml:space="preserve">M23</t>
  </si>
  <si>
    <t xml:space="preserve">N23</t>
  </si>
  <si>
    <t xml:space="preserve">O23</t>
  </si>
  <si>
    <t xml:space="preserve">P23</t>
  </si>
  <si>
    <t xml:space="preserve">Q23</t>
  </si>
  <si>
    <t xml:space="preserve">R23</t>
  </si>
  <si>
    <t xml:space="preserve">S23</t>
  </si>
  <si>
    <t xml:space="preserve">T23</t>
  </si>
  <si>
    <t xml:space="preserve">U23</t>
  </si>
  <si>
    <t xml:space="preserve">V23</t>
  </si>
  <si>
    <t xml:space="preserve">W23</t>
  </si>
  <si>
    <t xml:space="preserve">X23</t>
  </si>
  <si>
    <t xml:space="preserve">Y23</t>
  </si>
  <si>
    <t xml:space="preserve">Z23</t>
  </si>
  <si>
    <t xml:space="preserve">AA23</t>
  </si>
  <si>
    <t xml:space="preserve">AB23</t>
  </si>
  <si>
    <t xml:space="preserve">AC23</t>
  </si>
  <si>
    <t xml:space="preserve">AD23</t>
  </si>
  <si>
    <t xml:space="preserve">AE23</t>
  </si>
  <si>
    <t xml:space="preserve">AF23</t>
  </si>
  <si>
    <t xml:space="preserve">E24</t>
  </si>
  <si>
    <t xml:space="preserve">M24</t>
  </si>
  <si>
    <t xml:space="preserve">N24</t>
  </si>
  <si>
    <t xml:space="preserve">O24</t>
  </si>
  <si>
    <t xml:space="preserve">P24</t>
  </si>
  <si>
    <t xml:space="preserve">Start "dans quelques semaines" (Sep 24); ~27 MW initial (Nord France Invest); ICPE prefect decision pending</t>
  </si>
  <si>
    <t xml:space="preserve">Q24</t>
  </si>
  <si>
    <t xml:space="preserve">27</t>
  </si>
  <si>
    <t xml:space="preserve">R24</t>
  </si>
  <si>
    <t xml:space="preserve">60</t>
  </si>
  <si>
    <t xml:space="preserve">S24</t>
  </si>
  <si>
    <t xml:space="preserve">carried forward from Q2 2027</t>
  </si>
  <si>
    <t xml:space="preserve">T24</t>
  </si>
  <si>
    <t xml:space="preserve">120</t>
  </si>
  <si>
    <t xml:space="preserve">U24</t>
  </si>
  <si>
    <t xml:space="preserve">V24</t>
  </si>
  <si>
    <t xml:space="preserve">W24</t>
  </si>
  <si>
    <t xml:space="preserve">X24</t>
  </si>
  <si>
    <t xml:space="preserve">Full 240 MW by 2027-2028 (Nord France Invest)</t>
  </si>
  <si>
    <t xml:space="preserve">Y24</t>
  </si>
  <si>
    <t xml:space="preserve">Z24</t>
  </si>
  <si>
    <t xml:space="preserve">AA24</t>
  </si>
  <si>
    <t xml:space="preserve">AB24</t>
  </si>
  <si>
    <t xml:space="preserve">AC24</t>
  </si>
  <si>
    <t xml:space="preserve">AD24</t>
  </si>
  <si>
    <t xml:space="preserve">AE24</t>
  </si>
  <si>
    <t xml:space="preserve">AF24</t>
  </si>
  <si>
    <t xml:space="preserve">E25</t>
  </si>
  <si>
    <t xml:space="preserve">M25</t>
  </si>
  <si>
    <t xml:space="preserve">N25</t>
  </si>
  <si>
    <t xml:space="preserve">O25</t>
  </si>
  <si>
    <t xml:space="preserve">P25</t>
  </si>
  <si>
    <t xml:space="preserve">Q25</t>
  </si>
  <si>
    <t xml:space="preserve">R25</t>
  </si>
  <si>
    <t xml:space="preserve">S25</t>
  </si>
  <si>
    <t xml:space="preserve">T25</t>
  </si>
  <si>
    <t xml:space="preserve">U25</t>
  </si>
  <si>
    <t xml:space="preserve">V25</t>
  </si>
  <si>
    <t xml:space="preserve">W25</t>
  </si>
  <si>
    <t xml:space="preserve">X25</t>
  </si>
  <si>
    <t xml:space="preserve">Y25</t>
  </si>
  <si>
    <t xml:space="preserve">Z25</t>
  </si>
  <si>
    <t xml:space="preserve">AA25</t>
  </si>
  <si>
    <t xml:space="preserve">AB25</t>
  </si>
  <si>
    <t xml:space="preserve">AC25</t>
  </si>
  <si>
    <t xml:space="preserve">AD25</t>
  </si>
  <si>
    <t xml:space="preserve">AE25</t>
  </si>
  <si>
    <t xml:space="preserve">AF25</t>
  </si>
  <si>
    <t xml:space="preserve">E26</t>
  </si>
  <si>
    <t xml:space="preserve">formula: =(E24+E25)/2</t>
  </si>
  <si>
    <t xml:space="preserve">F26</t>
  </si>
  <si>
    <t xml:space="preserve">formula: =(F24+F25)/2</t>
  </si>
  <si>
    <t xml:space="preserve">G26</t>
  </si>
  <si>
    <t xml:space="preserve">formula: =(G24+G25)/2</t>
  </si>
  <si>
    <t xml:space="preserve">H26</t>
  </si>
  <si>
    <t xml:space="preserve">formula: =(H24+H25)/2</t>
  </si>
  <si>
    <t xml:space="preserve">I26</t>
  </si>
  <si>
    <t xml:space="preserve">formula: =(I24+I25)/2</t>
  </si>
  <si>
    <t xml:space="preserve">J26</t>
  </si>
  <si>
    <t xml:space="preserve">formula: =(J24+J25)/2</t>
  </si>
  <si>
    <t xml:space="preserve">K26</t>
  </si>
  <si>
    <t xml:space="preserve">formula: =(K24+K25)/2</t>
  </si>
  <si>
    <t xml:space="preserve">L26</t>
  </si>
  <si>
    <t xml:space="preserve">formula: =(L24+L25)/2</t>
  </si>
  <si>
    <t xml:space="preserve">M26</t>
  </si>
  <si>
    <t xml:space="preserve">formula: =(M24+M25)/2</t>
  </si>
  <si>
    <t xml:space="preserve">N26</t>
  </si>
  <si>
    <t xml:space="preserve">formula: =(N24+N25)/2</t>
  </si>
  <si>
    <t xml:space="preserve">O26</t>
  </si>
  <si>
    <t xml:space="preserve">formula: =(O24+O25)/2</t>
  </si>
  <si>
    <t xml:space="preserve">P26</t>
  </si>
  <si>
    <t xml:space="preserve">formula: =(P24+P25)/2</t>
  </si>
  <si>
    <t xml:space="preserve">Q26</t>
  </si>
  <si>
    <t xml:space="preserve">formula: =(Q24+Q25)/2</t>
  </si>
  <si>
    <t xml:space="preserve">R26</t>
  </si>
  <si>
    <t xml:space="preserve">formula: =(R24+R25)/2</t>
  </si>
  <si>
    <t xml:space="preserve">S26</t>
  </si>
  <si>
    <t xml:space="preserve">formula: =(S24+S25)/2</t>
  </si>
  <si>
    <t xml:space="preserve">T26</t>
  </si>
  <si>
    <t xml:space="preserve">formula: =(T24+T25)/2</t>
  </si>
  <si>
    <t xml:space="preserve">U26</t>
  </si>
  <si>
    <t xml:space="preserve">formula: =(U24+U25)/2</t>
  </si>
  <si>
    <t xml:space="preserve">V26</t>
  </si>
  <si>
    <t xml:space="preserve">formula: =(V24+V25)/2</t>
  </si>
  <si>
    <t xml:space="preserve">W26</t>
  </si>
  <si>
    <t xml:space="preserve">formula: =(W24+W25)/2</t>
  </si>
  <si>
    <t xml:space="preserve">X26</t>
  </si>
  <si>
    <t xml:space="preserve">formula: =(X24+X25)/2</t>
  </si>
  <si>
    <t xml:space="preserve">Y26</t>
  </si>
  <si>
    <t xml:space="preserve">formula: =(Y24+Y25)/2</t>
  </si>
  <si>
    <t xml:space="preserve">Z26</t>
  </si>
  <si>
    <t xml:space="preserve">formula: =(Z24+Z25)/2</t>
  </si>
  <si>
    <t xml:space="preserve">AA26</t>
  </si>
  <si>
    <t xml:space="preserve">formula: =(AA24+AA25)/2</t>
  </si>
  <si>
    <t xml:space="preserve">AB26</t>
  </si>
  <si>
    <t xml:space="preserve">formula: =(AB24+AB25)/2</t>
  </si>
  <si>
    <t xml:space="preserve">AC26</t>
  </si>
  <si>
    <t xml:space="preserve">formula: =(AC24+AC25)/2</t>
  </si>
  <si>
    <t xml:space="preserve">AD26</t>
  </si>
  <si>
    <t xml:space="preserve">formula: =(AD24+AD25)/2</t>
  </si>
  <si>
    <t xml:space="preserve">AE26</t>
  </si>
  <si>
    <t xml:space="preserve">formula: =(AE24+AE25)/2</t>
  </si>
  <si>
    <t xml:space="preserve">AF26</t>
  </si>
  <si>
    <t xml:space="preserve">formula: =(AF24+AF25)/2</t>
  </si>
  <si>
    <t xml:space="preserve">O27</t>
  </si>
  <si>
    <t xml:space="preserve">Reuters Feb 12 2026 | https://www.reuters.com/technology/amsterdam-based-ai-firm-nebius-build-240mw-data-centre-near-lille-france-2026-02-12/; https://www.lavoixdunord.fr/1740138/article/2026-09-24/la-premiere-ia-factory-d</t>
  </si>
  <si>
    <t xml:space="preserve">P27</t>
  </si>
  <si>
    <t xml:space="preserve">Reuters/DCD: ~120 MW YE26 | https://www.reuters.com/technology/amsterdam-based-ai-firm-nebius-build-240mw-data-centre-near-lille-france-2026-02-12/; https://www.lavoixdunord.fr/1740138/article/2026-09-24/la-premiere-ia-factory-d</t>
  </si>
  <si>
    <t xml:space="preserve">T27</t>
  </si>
  <si>
    <t xml:space="preserve">Reuters: 240 MW in 2027 | https://www.reuters.com/technology/amsterdam-based-ai-firm-nebius-build-240mw-data-centre-near-lille-france-2026-02-12/; https://www.lavoixdunord.fr/1740138/article/2026-09-24/la-premiere-ia-factory-d</t>
  </si>
  <si>
    <t xml:space="preserve">M28</t>
  </si>
  <si>
    <t xml:space="preserve">N28</t>
  </si>
  <si>
    <t xml:space="preserve">O28</t>
  </si>
  <si>
    <t xml:space="preserve">P28</t>
  </si>
  <si>
    <t xml:space="preserve">Q28</t>
  </si>
  <si>
    <t xml:space="preserve">R28</t>
  </si>
  <si>
    <t xml:space="preserve">S28</t>
  </si>
  <si>
    <t xml:space="preserve">T28</t>
  </si>
  <si>
    <t xml:space="preserve">U28</t>
  </si>
  <si>
    <t xml:space="preserve">V28</t>
  </si>
  <si>
    <t xml:space="preserve">W28</t>
  </si>
  <si>
    <t xml:space="preserve">X28</t>
  </si>
  <si>
    <t xml:space="preserve">Y28</t>
  </si>
  <si>
    <t xml:space="preserve">Z28</t>
  </si>
  <si>
    <t xml:space="preserve">AA28</t>
  </si>
  <si>
    <t xml:space="preserve">AB28</t>
  </si>
  <si>
    <t xml:space="preserve">AC28</t>
  </si>
  <si>
    <t xml:space="preserve">AD28</t>
  </si>
  <si>
    <t xml:space="preserve">AE28</t>
  </si>
  <si>
    <t xml:space="preserve">AF28</t>
  </si>
  <si>
    <t xml:space="preserve">E29</t>
  </si>
  <si>
    <t xml:space="preserve">F29</t>
  </si>
  <si>
    <t xml:space="preserve">G29</t>
  </si>
  <si>
    <t xml:space="preserve">H29</t>
  </si>
  <si>
    <t xml:space="preserve">I29</t>
  </si>
  <si>
    <t xml:space="preserve">J29</t>
  </si>
  <si>
    <t xml:space="preserve">K29</t>
  </si>
  <si>
    <t xml:space="preserve">L29</t>
  </si>
  <si>
    <t xml:space="preserve">M29</t>
  </si>
  <si>
    <t xml:space="preserve">N29</t>
  </si>
  <si>
    <t xml:space="preserve">O29</t>
  </si>
  <si>
    <t xml:space="preserve">P29</t>
  </si>
  <si>
    <t xml:space="preserve">Q29</t>
  </si>
  <si>
    <t xml:space="preserve">R29</t>
  </si>
  <si>
    <t xml:space="preserve">First building H1 2027 (Fira); substation 70 MW spring 2027</t>
  </si>
  <si>
    <t xml:space="preserve">S29</t>
  </si>
  <si>
    <t xml:space="preserve">T29</t>
  </si>
  <si>
    <t xml:space="preserve">35</t>
  </si>
  <si>
    <t xml:space="preserve">U29</t>
  </si>
  <si>
    <t xml:space="preserve">V29</t>
  </si>
  <si>
    <t xml:space="preserve">W29</t>
  </si>
  <si>
    <t xml:space="preserve">X29</t>
  </si>
  <si>
    <t xml:space="preserve">140</t>
  </si>
  <si>
    <t xml:space="preserve">Y29</t>
  </si>
  <si>
    <t xml:space="preserve">Z29</t>
  </si>
  <si>
    <t xml:space="preserve">AA29</t>
  </si>
  <si>
    <t xml:space="preserve">AB29</t>
  </si>
  <si>
    <t xml:space="preserve">220</t>
  </si>
  <si>
    <t xml:space="preserve">AC29</t>
  </si>
  <si>
    <t xml:space="preserve">AD29</t>
  </si>
  <si>
    <t xml:space="preserve">AE29</t>
  </si>
  <si>
    <t xml:space="preserve">AF29</t>
  </si>
  <si>
    <t xml:space="preserve">E30</t>
  </si>
  <si>
    <t xml:space="preserve">F30</t>
  </si>
  <si>
    <t xml:space="preserve">G30</t>
  </si>
  <si>
    <t xml:space="preserve">H30</t>
  </si>
  <si>
    <t xml:space="preserve">I30</t>
  </si>
  <si>
    <t xml:space="preserve">J30</t>
  </si>
  <si>
    <t xml:space="preserve">K30</t>
  </si>
  <si>
    <t xml:space="preserve">L30</t>
  </si>
  <si>
    <t xml:space="preserve">M30</t>
  </si>
  <si>
    <t xml:space="preserve">N30</t>
  </si>
  <si>
    <t xml:space="preserve">O30</t>
  </si>
  <si>
    <t xml:space="preserve">P30</t>
  </si>
  <si>
    <t xml:space="preserve">Q30</t>
  </si>
  <si>
    <t xml:space="preserve">R30</t>
  </si>
  <si>
    <t xml:space="preserve">S30</t>
  </si>
  <si>
    <t xml:space="preserve">T30</t>
  </si>
  <si>
    <t xml:space="preserve">U30</t>
  </si>
  <si>
    <t xml:space="preserve">V30</t>
  </si>
  <si>
    <t xml:space="preserve">W30</t>
  </si>
  <si>
    <t xml:space="preserve">X30</t>
  </si>
  <si>
    <t xml:space="preserve">Y30</t>
  </si>
  <si>
    <t xml:space="preserve">Z30</t>
  </si>
  <si>
    <t xml:space="preserve">AA30</t>
  </si>
  <si>
    <t xml:space="preserve">AB30</t>
  </si>
  <si>
    <t xml:space="preserve">AC30</t>
  </si>
  <si>
    <t xml:space="preserve">AD30</t>
  </si>
  <si>
    <t xml:space="preserve">AE30</t>
  </si>
  <si>
    <t xml:space="preserve">AF30</t>
  </si>
  <si>
    <t xml:space="preserve">E31</t>
  </si>
  <si>
    <t xml:space="preserve">formula: =(E29+E30)/2</t>
  </si>
  <si>
    <t xml:space="preserve">F31</t>
  </si>
  <si>
    <t xml:space="preserve">formula: =(F29+F30)/2</t>
  </si>
  <si>
    <t xml:space="preserve">G31</t>
  </si>
  <si>
    <t xml:space="preserve">formula: =(G29+G30)/2</t>
  </si>
  <si>
    <t xml:space="preserve">H31</t>
  </si>
  <si>
    <t xml:space="preserve">formula: =(H29+H30)/2</t>
  </si>
  <si>
    <t xml:space="preserve">I31</t>
  </si>
  <si>
    <t xml:space="preserve">formula: =(I29+I30)/2</t>
  </si>
  <si>
    <t xml:space="preserve">J31</t>
  </si>
  <si>
    <t xml:space="preserve">formula: =(J29+J30)/2</t>
  </si>
  <si>
    <t xml:space="preserve">K31</t>
  </si>
  <si>
    <t xml:space="preserve">formula: =(K29+K30)/2</t>
  </si>
  <si>
    <t xml:space="preserve">L31</t>
  </si>
  <si>
    <t xml:space="preserve">formula: =(L29+L30)/2</t>
  </si>
  <si>
    <t xml:space="preserve">M31</t>
  </si>
  <si>
    <t xml:space="preserve">formula: =(M29+M30)/2</t>
  </si>
  <si>
    <t xml:space="preserve">N31</t>
  </si>
  <si>
    <t xml:space="preserve">formula: =(N29+N30)/2</t>
  </si>
  <si>
    <t xml:space="preserve">O31</t>
  </si>
  <si>
    <t xml:space="preserve">formula: =(O29+O30)/2</t>
  </si>
  <si>
    <t xml:space="preserve">P31</t>
  </si>
  <si>
    <t xml:space="preserve">formula: =(P29+P30)/2</t>
  </si>
  <si>
    <t xml:space="preserve">Q31</t>
  </si>
  <si>
    <t xml:space="preserve">formula: =(Q29+Q30)/2</t>
  </si>
  <si>
    <t xml:space="preserve">R31</t>
  </si>
  <si>
    <t xml:space="preserve">formula: =(R29+R30)/2</t>
  </si>
  <si>
    <t xml:space="preserve">S31</t>
  </si>
  <si>
    <t xml:space="preserve">formula: =(S29+S30)/2</t>
  </si>
  <si>
    <t xml:space="preserve">T31</t>
  </si>
  <si>
    <t xml:space="preserve">formula: =(T29+T30)/2</t>
  </si>
  <si>
    <t xml:space="preserve">U31</t>
  </si>
  <si>
    <t xml:space="preserve">formula: =(U29+U30)/2</t>
  </si>
  <si>
    <t xml:space="preserve">V31</t>
  </si>
  <si>
    <t xml:space="preserve">formula: =(V29+V30)/2</t>
  </si>
  <si>
    <t xml:space="preserve">W31</t>
  </si>
  <si>
    <t xml:space="preserve">formula: =(W29+W30)/2</t>
  </si>
  <si>
    <t xml:space="preserve">X31</t>
  </si>
  <si>
    <t xml:space="preserve">formula: =(X29+X30)/2</t>
  </si>
  <si>
    <t xml:space="preserve">Y31</t>
  </si>
  <si>
    <t xml:space="preserve">formula: =(Y29+Y30)/2</t>
  </si>
  <si>
    <t xml:space="preserve">Z31</t>
  </si>
  <si>
    <t xml:space="preserve">formula: =(Z29+Z30)/2</t>
  </si>
  <si>
    <t xml:space="preserve">AA31</t>
  </si>
  <si>
    <t xml:space="preserve">formula: =(AA29+AA30)/2</t>
  </si>
  <si>
    <t xml:space="preserve">AB31</t>
  </si>
  <si>
    <t xml:space="preserve">formula: =(AB29+AB30)/2</t>
  </si>
  <si>
    <t xml:space="preserve">AC31</t>
  </si>
  <si>
    <t xml:space="preserve">formula: =(AC29+AC30)/2</t>
  </si>
  <si>
    <t xml:space="preserve">AD31</t>
  </si>
  <si>
    <t xml:space="preserve">formula: =(AD29+AD30)/2</t>
  </si>
  <si>
    <t xml:space="preserve">AE31</t>
  </si>
  <si>
    <t xml:space="preserve">formula: =(AE29+AE30)/2</t>
  </si>
  <si>
    <t xml:space="preserve">AF31</t>
  </si>
  <si>
    <t xml:space="preserve">formula: =(AF29+AF30)/2</t>
  </si>
  <si>
    <t xml:space="preserve">T32</t>
  </si>
  <si>
    <t xml:space="preserve">Mar 31 2026 PR | https://nebius.com/newsroom/nebius-to-construct-310-mw-ai-factory-in-finland; https://fira.fi/en/tiedote/construction-and-project-development-company-fira-selected-as-main-contractor-for-one-of-europe</t>
  </si>
  <si>
    <t xml:space="preserve">H33</t>
  </si>
  <si>
    <t xml:space="preserve">I33</t>
  </si>
  <si>
    <t xml:space="preserve">J33</t>
  </si>
  <si>
    <t xml:space="preserve">K33</t>
  </si>
  <si>
    <t xml:space="preserve">L33</t>
  </si>
  <si>
    <t xml:space="preserve">M33</t>
  </si>
  <si>
    <t xml:space="preserve">N33</t>
  </si>
  <si>
    <t xml:space="preserve">O33</t>
  </si>
  <si>
    <t xml:space="preserve">P33</t>
  </si>
  <si>
    <t xml:space="preserve">Q33</t>
  </si>
  <si>
    <t xml:space="preserve">R33</t>
  </si>
  <si>
    <t xml:space="preserve">S33</t>
  </si>
  <si>
    <t xml:space="preserve">T33</t>
  </si>
  <si>
    <t xml:space="preserve">U33</t>
  </si>
  <si>
    <t xml:space="preserve">V33</t>
  </si>
  <si>
    <t xml:space="preserve">W33</t>
  </si>
  <si>
    <t xml:space="preserve">X33</t>
  </si>
  <si>
    <t xml:space="preserve">Y33</t>
  </si>
  <si>
    <t xml:space="preserve">Z33</t>
  </si>
  <si>
    <t xml:space="preserve">AA33</t>
  </si>
  <si>
    <t xml:space="preserve">AB33</t>
  </si>
  <si>
    <t xml:space="preserve">AC33</t>
  </si>
  <si>
    <t xml:space="preserve">AD33</t>
  </si>
  <si>
    <t xml:space="preserve">AE33</t>
  </si>
  <si>
    <t xml:space="preserve">AF33</t>
  </si>
  <si>
    <t xml:space="preserve">E34</t>
  </si>
  <si>
    <t xml:space="preserve">Pre-expansion 25 MW site capacity (DCD Nov 2024)</t>
  </si>
  <si>
    <t xml:space="preserve">F34</t>
  </si>
  <si>
    <t xml:space="preserve">carried forward from Q1 2024</t>
  </si>
  <si>
    <t xml:space="preserve">G34</t>
  </si>
  <si>
    <t xml:space="preserve">H34</t>
  </si>
  <si>
    <t xml:space="preserve">I34</t>
  </si>
  <si>
    <t xml:space="preserve">J34</t>
  </si>
  <si>
    <t xml:space="preserve">K34</t>
  </si>
  <si>
    <t xml:space="preserve">Phase 1 expansion targeted late Q3-25 (Q1-25 call)</t>
  </si>
  <si>
    <t xml:space="preserve">L34</t>
  </si>
  <si>
    <t xml:space="preserve">Expansion "should be completed by end of year" (Q3-25 letter)</t>
  </si>
  <si>
    <t xml:space="preserve">M34</t>
  </si>
  <si>
    <t xml:space="preserve">75 MW completed earlier this year (Mar 31 2026 PR)</t>
  </si>
  <si>
    <t xml:space="preserve">N34</t>
  </si>
  <si>
    <t xml:space="preserve">carried forward from Q1 2026</t>
  </si>
  <si>
    <t xml:space="preserve">O34</t>
  </si>
  <si>
    <t xml:space="preserve">P34</t>
  </si>
  <si>
    <t xml:space="preserve">Q34</t>
  </si>
  <si>
    <t xml:space="preserve">R34</t>
  </si>
  <si>
    <t xml:space="preserve">S34</t>
  </si>
  <si>
    <t xml:space="preserve">T34</t>
  </si>
  <si>
    <t xml:space="preserve">U34</t>
  </si>
  <si>
    <t xml:space="preserve">V34</t>
  </si>
  <si>
    <t xml:space="preserve">W34</t>
  </si>
  <si>
    <t xml:space="preserve">X34</t>
  </si>
  <si>
    <t xml:space="preserve">Y34</t>
  </si>
  <si>
    <t xml:space="preserve">Z34</t>
  </si>
  <si>
    <t xml:space="preserve">AA34</t>
  </si>
  <si>
    <t xml:space="preserve">AB34</t>
  </si>
  <si>
    <t xml:space="preserve">AC34</t>
  </si>
  <si>
    <t xml:space="preserve">AD34</t>
  </si>
  <si>
    <t xml:space="preserve">AE34</t>
  </si>
  <si>
    <t xml:space="preserve">AF34</t>
  </si>
  <si>
    <t xml:space="preserve">E35</t>
  </si>
  <si>
    <t xml:space="preserve">F35</t>
  </si>
  <si>
    <t xml:space="preserve">G35</t>
  </si>
  <si>
    <t xml:space="preserve">H35</t>
  </si>
  <si>
    <t xml:space="preserve">I35</t>
  </si>
  <si>
    <t xml:space="preserve">J35</t>
  </si>
  <si>
    <t xml:space="preserve">K35</t>
  </si>
  <si>
    <t xml:space="preserve">L35</t>
  </si>
  <si>
    <t xml:space="preserve">M35</t>
  </si>
  <si>
    <t xml:space="preserve">N35</t>
  </si>
  <si>
    <t xml:space="preserve">O35</t>
  </si>
  <si>
    <t xml:space="preserve">P35</t>
  </si>
  <si>
    <t xml:space="preserve">Q35</t>
  </si>
  <si>
    <t xml:space="preserve">R35</t>
  </si>
  <si>
    <t xml:space="preserve">S35</t>
  </si>
  <si>
    <t xml:space="preserve">T35</t>
  </si>
  <si>
    <t xml:space="preserve">U35</t>
  </si>
  <si>
    <t xml:space="preserve">V35</t>
  </si>
  <si>
    <t xml:space="preserve">W35</t>
  </si>
  <si>
    <t xml:space="preserve">X35</t>
  </si>
  <si>
    <t xml:space="preserve">Y35</t>
  </si>
  <si>
    <t xml:space="preserve">Z35</t>
  </si>
  <si>
    <t xml:space="preserve">AA35</t>
  </si>
  <si>
    <t xml:space="preserve">AB35</t>
  </si>
  <si>
    <t xml:space="preserve">AC35</t>
  </si>
  <si>
    <t xml:space="preserve">AD35</t>
  </si>
  <si>
    <t xml:space="preserve">AE35</t>
  </si>
  <si>
    <t xml:space="preserve">AF35</t>
  </si>
  <si>
    <t xml:space="preserve">E36</t>
  </si>
  <si>
    <t xml:space="preserve">formula: =(E34+E35)/2</t>
  </si>
  <si>
    <t xml:space="preserve">F36</t>
  </si>
  <si>
    <t xml:space="preserve">formula: =(F34+F35)/2</t>
  </si>
  <si>
    <t xml:space="preserve">G36</t>
  </si>
  <si>
    <t xml:space="preserve">formula: =(G34+G35)/2</t>
  </si>
  <si>
    <t xml:space="preserve">H36</t>
  </si>
  <si>
    <t xml:space="preserve">formula: =(H34+H35)/2</t>
  </si>
  <si>
    <t xml:space="preserve">I36</t>
  </si>
  <si>
    <t xml:space="preserve">formula: =(I34+I35)/2</t>
  </si>
  <si>
    <t xml:space="preserve">J36</t>
  </si>
  <si>
    <t xml:space="preserve">formula: =(J34+J35)/2</t>
  </si>
  <si>
    <t xml:space="preserve">K36</t>
  </si>
  <si>
    <t xml:space="preserve">formula: =(K34+K35)/2</t>
  </si>
  <si>
    <t xml:space="preserve">L36</t>
  </si>
  <si>
    <t xml:space="preserve">formula: =(L34+L35)/2</t>
  </si>
  <si>
    <t xml:space="preserve">M36</t>
  </si>
  <si>
    <t xml:space="preserve">formula: =(M34+M35)/2</t>
  </si>
  <si>
    <t xml:space="preserve">N36</t>
  </si>
  <si>
    <t xml:space="preserve">formula: =(N34+N35)/2</t>
  </si>
  <si>
    <t xml:space="preserve">O36</t>
  </si>
  <si>
    <t xml:space="preserve">formula: =(O34+O35)/2</t>
  </si>
  <si>
    <t xml:space="preserve">P36</t>
  </si>
  <si>
    <t xml:space="preserve">formula: =(P34+P35)/2</t>
  </si>
  <si>
    <t xml:space="preserve">Q36</t>
  </si>
  <si>
    <t xml:space="preserve">formula: =(Q34+Q35)/2</t>
  </si>
  <si>
    <t xml:space="preserve">R36</t>
  </si>
  <si>
    <t xml:space="preserve">formula: =(R34+R35)/2</t>
  </si>
  <si>
    <t xml:space="preserve">S36</t>
  </si>
  <si>
    <t xml:space="preserve">formula: =(S34+S35)/2</t>
  </si>
  <si>
    <t xml:space="preserve">T36</t>
  </si>
  <si>
    <t xml:space="preserve">formula: =(T34+T35)/2</t>
  </si>
  <si>
    <t xml:space="preserve">U36</t>
  </si>
  <si>
    <t xml:space="preserve">formula: =(U34+U35)/2</t>
  </si>
  <si>
    <t xml:space="preserve">V36</t>
  </si>
  <si>
    <t xml:space="preserve">formula: =(V34+V35)/2</t>
  </si>
  <si>
    <t xml:space="preserve">W36</t>
  </si>
  <si>
    <t xml:space="preserve">formula: =(W34+W35)/2</t>
  </si>
  <si>
    <t xml:space="preserve">X36</t>
  </si>
  <si>
    <t xml:space="preserve">formula: =(X34+X35)/2</t>
  </si>
  <si>
    <t xml:space="preserve">Y36</t>
  </si>
  <si>
    <t xml:space="preserve">formula: =(Y34+Y35)/2</t>
  </si>
  <si>
    <t xml:space="preserve">Z36</t>
  </si>
  <si>
    <t xml:space="preserve">formula: =(Z34+Z35)/2</t>
  </si>
  <si>
    <t xml:space="preserve">AA36</t>
  </si>
  <si>
    <t xml:space="preserve">formula: =(AA34+AA35)/2</t>
  </si>
  <si>
    <t xml:space="preserve">AB36</t>
  </si>
  <si>
    <t xml:space="preserve">formula: =(AB34+AB35)/2</t>
  </si>
  <si>
    <t xml:space="preserve">AC36</t>
  </si>
  <si>
    <t xml:space="preserve">formula: =(AC34+AC35)/2</t>
  </si>
  <si>
    <t xml:space="preserve">AD36</t>
  </si>
  <si>
    <t xml:space="preserve">formula: =(AD34+AD35)/2</t>
  </si>
  <si>
    <t xml:space="preserve">AE36</t>
  </si>
  <si>
    <t xml:space="preserve">formula: =(AE34+AE35)/2</t>
  </si>
  <si>
    <t xml:space="preserve">AF36</t>
  </si>
  <si>
    <t xml:space="preserve">formula: =(AF34+AF35)/2</t>
  </si>
  <si>
    <t xml:space="preserve">L37</t>
  </si>
  <si>
    <t xml:space="preserve">Oct 2024 PR: 75 MW end-2025/early-2026 | https://assets.nebius.com/assets/6590d0a0-0fc4-4396-bc3f-f52a9ccb770e/20260331%20Nebius%20to%20construct%20310%20MW%20AI%20factory%20in%20Finland.pdf; /workspace/nebius/capacity/altdata/altdata_timeli</t>
  </si>
  <si>
    <t xml:space="preserve">N38</t>
  </si>
  <si>
    <t xml:space="preserve">O38</t>
  </si>
  <si>
    <t xml:space="preserve">P38</t>
  </si>
  <si>
    <t xml:space="preserve">Q38</t>
  </si>
  <si>
    <t xml:space="preserve">R38</t>
  </si>
  <si>
    <t xml:space="preserve">S38</t>
  </si>
  <si>
    <t xml:space="preserve">T38</t>
  </si>
  <si>
    <t xml:space="preserve">U38</t>
  </si>
  <si>
    <t xml:space="preserve">V38</t>
  </si>
  <si>
    <t xml:space="preserve">W38</t>
  </si>
  <si>
    <t xml:space="preserve">X38</t>
  </si>
  <si>
    <t xml:space="preserve">Y38</t>
  </si>
  <si>
    <t xml:space="preserve">Z38</t>
  </si>
  <si>
    <t xml:space="preserve">AA38</t>
  </si>
  <si>
    <t xml:space="preserve">AB38</t>
  </si>
  <si>
    <t xml:space="preserve">AC38</t>
  </si>
  <si>
    <t xml:space="preserve">AD38</t>
  </si>
  <si>
    <t xml:space="preserve">AE38</t>
  </si>
  <si>
    <t xml:space="preserve">AF38</t>
  </si>
  <si>
    <t xml:space="preserve">E39</t>
  </si>
  <si>
    <t xml:space="preserve">F39</t>
  </si>
  <si>
    <t xml:space="preserve">G39</t>
  </si>
  <si>
    <t xml:space="preserve">H39</t>
  </si>
  <si>
    <t xml:space="preserve">I39</t>
  </si>
  <si>
    <t xml:space="preserve">J39</t>
  </si>
  <si>
    <t xml:space="preserve">K39</t>
  </si>
  <si>
    <t xml:space="preserve">L39</t>
  </si>
  <si>
    <t xml:space="preserve">M39</t>
  </si>
  <si>
    <t xml:space="preserve">N39</t>
  </si>
  <si>
    <t xml:space="preserve">O39</t>
  </si>
  <si>
    <t xml:space="preserve">P39</t>
  </si>
  <si>
    <t xml:space="preserve">Q39</t>
  </si>
  <si>
    <t xml:space="preserve">R39</t>
  </si>
  <si>
    <t xml:space="preserve">S39</t>
  </si>
  <si>
    <t xml:space="preserve">T39</t>
  </si>
  <si>
    <t xml:space="preserve">Substation completion autumn 2027 (Caverion)</t>
  </si>
  <si>
    <t xml:space="preserve">U39</t>
  </si>
  <si>
    <t xml:space="preserve">V39</t>
  </si>
  <si>
    <t xml:space="preserve">W39</t>
  </si>
  <si>
    <t xml:space="preserve">X39</t>
  </si>
  <si>
    <t xml:space="preserve">Y39</t>
  </si>
  <si>
    <t xml:space="preserve">Z39</t>
  </si>
  <si>
    <t xml:space="preserve">AA39</t>
  </si>
  <si>
    <t xml:space="preserve">AB39</t>
  </si>
  <si>
    <t xml:space="preserve">AC39</t>
  </si>
  <si>
    <t xml:space="preserve">AD39</t>
  </si>
  <si>
    <t xml:space="preserve">AE39</t>
  </si>
  <si>
    <t xml:space="preserve">AF39</t>
  </si>
  <si>
    <t xml:space="preserve">E40</t>
  </si>
  <si>
    <t xml:space="preserve">F40</t>
  </si>
  <si>
    <t xml:space="preserve">G40</t>
  </si>
  <si>
    <t xml:space="preserve">H40</t>
  </si>
  <si>
    <t xml:space="preserve">I40</t>
  </si>
  <si>
    <t xml:space="preserve">J40</t>
  </si>
  <si>
    <t xml:space="preserve">K40</t>
  </si>
  <si>
    <t xml:space="preserve">L40</t>
  </si>
  <si>
    <t xml:space="preserve">M40</t>
  </si>
  <si>
    <t xml:space="preserve">N40</t>
  </si>
  <si>
    <t xml:space="preserve">O40</t>
  </si>
  <si>
    <t xml:space="preserve">P40</t>
  </si>
  <si>
    <t xml:space="preserve">Q40</t>
  </si>
  <si>
    <t xml:space="preserve">R40</t>
  </si>
  <si>
    <t xml:space="preserve">S40</t>
  </si>
  <si>
    <t xml:space="preserve">T40</t>
  </si>
  <si>
    <t xml:space="preserve">U40</t>
  </si>
  <si>
    <t xml:space="preserve">V40</t>
  </si>
  <si>
    <t xml:space="preserve">W40</t>
  </si>
  <si>
    <t xml:space="preserve">X40</t>
  </si>
  <si>
    <t xml:space="preserve">Y40</t>
  </si>
  <si>
    <t xml:space="preserve">Z40</t>
  </si>
  <si>
    <t xml:space="preserve">AA40</t>
  </si>
  <si>
    <t xml:space="preserve">AB40</t>
  </si>
  <si>
    <t xml:space="preserve">AC40</t>
  </si>
  <si>
    <t xml:space="preserve">AD40</t>
  </si>
  <si>
    <t xml:space="preserve">AE40</t>
  </si>
  <si>
    <t xml:space="preserve">AF40</t>
  </si>
  <si>
    <t xml:space="preserve">E41</t>
  </si>
  <si>
    <t xml:space="preserve">formula: =(E39+E40)/2</t>
  </si>
  <si>
    <t xml:space="preserve">F41</t>
  </si>
  <si>
    <t xml:space="preserve">formula: =(F39+F40)/2</t>
  </si>
  <si>
    <t xml:space="preserve">G41</t>
  </si>
  <si>
    <t xml:space="preserve">formula: =(G39+G40)/2</t>
  </si>
  <si>
    <t xml:space="preserve">H41</t>
  </si>
  <si>
    <t xml:space="preserve">formula: =(H39+H40)/2</t>
  </si>
  <si>
    <t xml:space="preserve">I41</t>
  </si>
  <si>
    <t xml:space="preserve">formula: =(I39+I40)/2</t>
  </si>
  <si>
    <t xml:space="preserve">J41</t>
  </si>
  <si>
    <t xml:space="preserve">formula: =(J39+J40)/2</t>
  </si>
  <si>
    <t xml:space="preserve">K41</t>
  </si>
  <si>
    <t xml:space="preserve">formula: =(K39+K40)/2</t>
  </si>
  <si>
    <t xml:space="preserve">L41</t>
  </si>
  <si>
    <t xml:space="preserve">formula: =(L39+L40)/2</t>
  </si>
  <si>
    <t xml:space="preserve">M41</t>
  </si>
  <si>
    <t xml:space="preserve">formula: =(M39+M40)/2</t>
  </si>
  <si>
    <t xml:space="preserve">N41</t>
  </si>
  <si>
    <t xml:space="preserve">formula: =(N39+N40)/2</t>
  </si>
  <si>
    <t xml:space="preserve">O41</t>
  </si>
  <si>
    <t xml:space="preserve">formula: =(O39+O40)/2</t>
  </si>
  <si>
    <t xml:space="preserve">P41</t>
  </si>
  <si>
    <t xml:space="preserve">formula: =(P39+P40)/2</t>
  </si>
  <si>
    <t xml:space="preserve">Q41</t>
  </si>
  <si>
    <t xml:space="preserve">formula: =(Q39+Q40)/2</t>
  </si>
  <si>
    <t xml:space="preserve">R41</t>
  </si>
  <si>
    <t xml:space="preserve">formula: =(R39+R40)/2</t>
  </si>
  <si>
    <t xml:space="preserve">S41</t>
  </si>
  <si>
    <t xml:space="preserve">formula: =(S39+S40)/2</t>
  </si>
  <si>
    <t xml:space="preserve">T41</t>
  </si>
  <si>
    <t xml:space="preserve">formula: =(T39+T40)/2</t>
  </si>
  <si>
    <t xml:space="preserve">U41</t>
  </si>
  <si>
    <t xml:space="preserve">formula: =(U39+U40)/2</t>
  </si>
  <si>
    <t xml:space="preserve">V41</t>
  </si>
  <si>
    <t xml:space="preserve">formula: =(V39+V40)/2</t>
  </si>
  <si>
    <t xml:space="preserve">W41</t>
  </si>
  <si>
    <t xml:space="preserve">formula: =(W39+W40)/2</t>
  </si>
  <si>
    <t xml:space="preserve">X41</t>
  </si>
  <si>
    <t xml:space="preserve">formula: =(X39+X40)/2</t>
  </si>
  <si>
    <t xml:space="preserve">Y41</t>
  </si>
  <si>
    <t xml:space="preserve">formula: =(Y39+Y40)/2</t>
  </si>
  <si>
    <t xml:space="preserve">Z41</t>
  </si>
  <si>
    <t xml:space="preserve">formula: =(Z39+Z40)/2</t>
  </si>
  <si>
    <t xml:space="preserve">AA41</t>
  </si>
  <si>
    <t xml:space="preserve">formula: =(AA39+AA40)/2</t>
  </si>
  <si>
    <t xml:space="preserve">AB41</t>
  </si>
  <si>
    <t xml:space="preserve">formula: =(AB39+AB40)/2</t>
  </si>
  <si>
    <t xml:space="preserve">AC41</t>
  </si>
  <si>
    <t xml:space="preserve">formula: =(AC39+AC40)/2</t>
  </si>
  <si>
    <t xml:space="preserve">AD41</t>
  </si>
  <si>
    <t xml:space="preserve">formula: =(AD39+AD40)/2</t>
  </si>
  <si>
    <t xml:space="preserve">AE41</t>
  </si>
  <si>
    <t xml:space="preserve">formula: =(AE39+AE40)/2</t>
  </si>
  <si>
    <t xml:space="preserve">AF41</t>
  </si>
  <si>
    <t xml:space="preserve">formula: =(AF39+AF40)/2</t>
  </si>
  <si>
    <t xml:space="preserve">T42</t>
  </si>
  <si>
    <t xml:space="preserve">DCD Aug 13 2026 | https://www.assemblincaverion.com/news-and-media/news/2026/caverion-finland-strengthens-its-position-in-the-data-centre-market-and-will-deliver-a-eur-15-million-substation-for-ai-cloud-company-nebius/</t>
  </si>
  <si>
    <t xml:space="preserve">H43</t>
  </si>
  <si>
    <t xml:space="preserve">I43</t>
  </si>
  <si>
    <t xml:space="preserve">J43</t>
  </si>
  <si>
    <t xml:space="preserve">K43</t>
  </si>
  <si>
    <t xml:space="preserve">L43</t>
  </si>
  <si>
    <t xml:space="preserve">M43</t>
  </si>
  <si>
    <t xml:space="preserve">N43</t>
  </si>
  <si>
    <t xml:space="preserve">O43</t>
  </si>
  <si>
    <t xml:space="preserve">P43</t>
  </si>
  <si>
    <t xml:space="preserve">Q43</t>
  </si>
  <si>
    <t xml:space="preserve">R43</t>
  </si>
  <si>
    <t xml:space="preserve">S43</t>
  </si>
  <si>
    <t xml:space="preserve">T43</t>
  </si>
  <si>
    <t xml:space="preserve">U43</t>
  </si>
  <si>
    <t xml:space="preserve">V43</t>
  </si>
  <si>
    <t xml:space="preserve">W43</t>
  </si>
  <si>
    <t xml:space="preserve">X43</t>
  </si>
  <si>
    <t xml:space="preserve">Y43</t>
  </si>
  <si>
    <t xml:space="preserve">Z43</t>
  </si>
  <si>
    <t xml:space="preserve">AA43</t>
  </si>
  <si>
    <t xml:space="preserve">AB43</t>
  </si>
  <si>
    <t xml:space="preserve">AC43</t>
  </si>
  <si>
    <t xml:space="preserve">AD43</t>
  </si>
  <si>
    <t xml:space="preserve">AE43</t>
  </si>
  <si>
    <t xml:space="preserve">AF43</t>
  </si>
  <si>
    <t xml:space="preserve">E44</t>
  </si>
  <si>
    <t xml:space="preserve">F44</t>
  </si>
  <si>
    <t xml:space="preserve">G44</t>
  </si>
  <si>
    <t xml:space="preserve">H44</t>
  </si>
  <si>
    <t xml:space="preserve">I44</t>
  </si>
  <si>
    <t xml:space="preserve">Recalibrated v2: 5 MW phase 1 live end-Q1 2025 (Reported floor) to 15 MW; FY24 20-F: ~30,000 GPUs deployed at Mar 31 2025 implies ~55 gross MW of Hopper vs 40 MW at other sites</t>
  </si>
  <si>
    <t xml:space="preserve">J44</t>
  </si>
  <si>
    <t xml:space="preserve">Phase 1 5 MW (Reported floor); held flat to keep series monotonic</t>
  </si>
  <si>
    <t xml:space="preserve">K44</t>
  </si>
  <si>
    <t xml:space="preserve">Phase 2 added Jul 2025, MW n/d</t>
  </si>
  <si>
    <t xml:space="preserve">L44</t>
  </si>
  <si>
    <t xml:space="preserve">Landlord: facility 35 MW total Sep 2025; Nebius share n/d</t>
  </si>
  <si>
    <t xml:space="preserve">M44</t>
  </si>
  <si>
    <t xml:space="preserve">carried forward from Q4 2025</t>
  </si>
  <si>
    <t xml:space="preserve">N44</t>
  </si>
  <si>
    <t xml:space="preserve">O44</t>
  </si>
  <si>
    <t xml:space="preserve">P44</t>
  </si>
  <si>
    <t xml:space="preserve">Q44</t>
  </si>
  <si>
    <t xml:space="preserve">R44</t>
  </si>
  <si>
    <t xml:space="preserve">S44</t>
  </si>
  <si>
    <t xml:space="preserve">T44</t>
  </si>
  <si>
    <t xml:space="preserve">20</t>
  </si>
  <si>
    <t xml:space="preserve">Nebius stated expandable to 40 MW</t>
  </si>
  <si>
    <t xml:space="preserve">U44</t>
  </si>
  <si>
    <t xml:space="preserve">V44</t>
  </si>
  <si>
    <t xml:space="preserve">W44</t>
  </si>
  <si>
    <t xml:space="preserve">X44</t>
  </si>
  <si>
    <t xml:space="preserve">Y44</t>
  </si>
  <si>
    <t xml:space="preserve">Z44</t>
  </si>
  <si>
    <t xml:space="preserve">AA44</t>
  </si>
  <si>
    <t xml:space="preserve">AB44</t>
  </si>
  <si>
    <t xml:space="preserve">AC44</t>
  </si>
  <si>
    <t xml:space="preserve">AD44</t>
  </si>
  <si>
    <t xml:space="preserve">AE44</t>
  </si>
  <si>
    <t xml:space="preserve">AF44</t>
  </si>
  <si>
    <t xml:space="preserve">E45</t>
  </si>
  <si>
    <t xml:space="preserve">F45</t>
  </si>
  <si>
    <t xml:space="preserve">G45</t>
  </si>
  <si>
    <t xml:space="preserve">H45</t>
  </si>
  <si>
    <t xml:space="preserve">I45</t>
  </si>
  <si>
    <t xml:space="preserve">15</t>
  </si>
  <si>
    <t xml:space="preserve">J45</t>
  </si>
  <si>
    <t xml:space="preserve">K45</t>
  </si>
  <si>
    <t xml:space="preserve">L45</t>
  </si>
  <si>
    <t xml:space="preserve">M45</t>
  </si>
  <si>
    <t xml:space="preserve">N45</t>
  </si>
  <si>
    <t xml:space="preserve">O45</t>
  </si>
  <si>
    <t xml:space="preserve">P45</t>
  </si>
  <si>
    <t xml:space="preserve">Q45</t>
  </si>
  <si>
    <t xml:space="preserve">R45</t>
  </si>
  <si>
    <t xml:space="preserve">S45</t>
  </si>
  <si>
    <t xml:space="preserve">T45</t>
  </si>
  <si>
    <t xml:space="preserve">U45</t>
  </si>
  <si>
    <t xml:space="preserve">V45</t>
  </si>
  <si>
    <t xml:space="preserve">W45</t>
  </si>
  <si>
    <t xml:space="preserve">X45</t>
  </si>
  <si>
    <t xml:space="preserve">Y45</t>
  </si>
  <si>
    <t xml:space="preserve">Z45</t>
  </si>
  <si>
    <t xml:space="preserve">AA45</t>
  </si>
  <si>
    <t xml:space="preserve">AB45</t>
  </si>
  <si>
    <t xml:space="preserve">AC45</t>
  </si>
  <si>
    <t xml:space="preserve">AD45</t>
  </si>
  <si>
    <t xml:space="preserve">AE45</t>
  </si>
  <si>
    <t xml:space="preserve">AF45</t>
  </si>
  <si>
    <t xml:space="preserve">E46</t>
  </si>
  <si>
    <t xml:space="preserve">formula: =(E44+E45)/2</t>
  </si>
  <si>
    <t xml:space="preserve">F46</t>
  </si>
  <si>
    <t xml:space="preserve">formula: =(F44+F45)/2</t>
  </si>
  <si>
    <t xml:space="preserve">G46</t>
  </si>
  <si>
    <t xml:space="preserve">formula: =(G44+G45)/2</t>
  </si>
  <si>
    <t xml:space="preserve">H46</t>
  </si>
  <si>
    <t xml:space="preserve">formula: =(H44+H45)/2</t>
  </si>
  <si>
    <t xml:space="preserve">I46</t>
  </si>
  <si>
    <t xml:space="preserve">formula: =(I44+I45)/2</t>
  </si>
  <si>
    <t xml:space="preserve">J46</t>
  </si>
  <si>
    <t xml:space="preserve">formula: =(J44+J45)/2</t>
  </si>
  <si>
    <t xml:space="preserve">K46</t>
  </si>
  <si>
    <t xml:space="preserve">formula: =(K44+K45)/2</t>
  </si>
  <si>
    <t xml:space="preserve">L46</t>
  </si>
  <si>
    <t xml:space="preserve">formula: =(L44+L45)/2</t>
  </si>
  <si>
    <t xml:space="preserve">M46</t>
  </si>
  <si>
    <t xml:space="preserve">formula: =(M44+M45)/2</t>
  </si>
  <si>
    <t xml:space="preserve">N46</t>
  </si>
  <si>
    <t xml:space="preserve">formula: =(N44+N45)/2</t>
  </si>
  <si>
    <t xml:space="preserve">O46</t>
  </si>
  <si>
    <t xml:space="preserve">formula: =(O44+O45)/2</t>
  </si>
  <si>
    <t xml:space="preserve">P46</t>
  </si>
  <si>
    <t xml:space="preserve">formula: =(P44+P45)/2</t>
  </si>
  <si>
    <t xml:space="preserve">Q46</t>
  </si>
  <si>
    <t xml:space="preserve">formula: =(Q44+Q45)/2</t>
  </si>
  <si>
    <t xml:space="preserve">R46</t>
  </si>
  <si>
    <t xml:space="preserve">formula: =(R44+R45)/2</t>
  </si>
  <si>
    <t xml:space="preserve">S46</t>
  </si>
  <si>
    <t xml:space="preserve">formula: =(S44+S45)/2</t>
  </si>
  <si>
    <t xml:space="preserve">T46</t>
  </si>
  <si>
    <t xml:space="preserve">formula: =(T44+T45)/2</t>
  </si>
  <si>
    <t xml:space="preserve">U46</t>
  </si>
  <si>
    <t xml:space="preserve">formula: =(U44+U45)/2</t>
  </si>
  <si>
    <t xml:space="preserve">V46</t>
  </si>
  <si>
    <t xml:space="preserve">formula: =(V44+V45)/2</t>
  </si>
  <si>
    <t xml:space="preserve">W46</t>
  </si>
  <si>
    <t xml:space="preserve">formula: =(W44+W45)/2</t>
  </si>
  <si>
    <t xml:space="preserve">X46</t>
  </si>
  <si>
    <t xml:space="preserve">formula: =(X44+X45)/2</t>
  </si>
  <si>
    <t xml:space="preserve">Y46</t>
  </si>
  <si>
    <t xml:space="preserve">formula: =(Y44+Y45)/2</t>
  </si>
  <si>
    <t xml:space="preserve">Z46</t>
  </si>
  <si>
    <t xml:space="preserve">formula: =(Z44+Z45)/2</t>
  </si>
  <si>
    <t xml:space="preserve">AA46</t>
  </si>
  <si>
    <t xml:space="preserve">formula: =(AA44+AA45)/2</t>
  </si>
  <si>
    <t xml:space="preserve">AB46</t>
  </si>
  <si>
    <t xml:space="preserve">formula: =(AB44+AB45)/2</t>
  </si>
  <si>
    <t xml:space="preserve">AC46</t>
  </si>
  <si>
    <t xml:space="preserve">formula: =(AC44+AC45)/2</t>
  </si>
  <si>
    <t xml:space="preserve">AD46</t>
  </si>
  <si>
    <t xml:space="preserve">formula: =(AD44+AD45)/2</t>
  </si>
  <si>
    <t xml:space="preserve">AE46</t>
  </si>
  <si>
    <t xml:space="preserve">formula: =(AE44+AE45)/2</t>
  </si>
  <si>
    <t xml:space="preserve">AF46</t>
  </si>
  <si>
    <t xml:space="preserve">formula: =(AF44+AF45)/2</t>
  </si>
  <si>
    <t xml:space="preserve">I47</t>
  </si>
  <si>
    <t xml:space="preserve">Feb 2025: 5 MW live end Q1 2025 | https://www.datacenterdynamics.com/en/news/nebius-to-deploy-5mw-nvidia-h200-cluster-at-patmos-data-center-in-kansas-city-missouri/; https://www.datacenterdynamics.com/en/news/patmos-adds-10mw-of-capac</t>
  </si>
  <si>
    <t xml:space="preserve">G48</t>
  </si>
  <si>
    <t xml:space="preserve">H48</t>
  </si>
  <si>
    <t xml:space="preserve">I48</t>
  </si>
  <si>
    <t xml:space="preserve">J48</t>
  </si>
  <si>
    <t xml:space="preserve">K48</t>
  </si>
  <si>
    <t xml:space="preserve">L48</t>
  </si>
  <si>
    <t xml:space="preserve">M48</t>
  </si>
  <si>
    <t xml:space="preserve">N48</t>
  </si>
  <si>
    <t xml:space="preserve">O48</t>
  </si>
  <si>
    <t xml:space="preserve">P48</t>
  </si>
  <si>
    <t xml:space="preserve">Q48</t>
  </si>
  <si>
    <t xml:space="preserve">R48</t>
  </si>
  <si>
    <t xml:space="preserve">S48</t>
  </si>
  <si>
    <t xml:space="preserve">T48</t>
  </si>
  <si>
    <t xml:space="preserve">U48</t>
  </si>
  <si>
    <t xml:space="preserve">V48</t>
  </si>
  <si>
    <t xml:space="preserve">W48</t>
  </si>
  <si>
    <t xml:space="preserve">X48</t>
  </si>
  <si>
    <t xml:space="preserve">Y48</t>
  </si>
  <si>
    <t xml:space="preserve">Z48</t>
  </si>
  <si>
    <t xml:space="preserve">AA48</t>
  </si>
  <si>
    <t xml:space="preserve">AB48</t>
  </si>
  <si>
    <t xml:space="preserve">AC48</t>
  </si>
  <si>
    <t xml:space="preserve">AD48</t>
  </si>
  <si>
    <t xml:space="preserve">AE48</t>
  </si>
  <si>
    <t xml:space="preserve">AF48</t>
  </si>
  <si>
    <t xml:space="preserve">E49</t>
  </si>
  <si>
    <t xml:space="preserve">F49</t>
  </si>
  <si>
    <t xml:space="preserve">G49</t>
  </si>
  <si>
    <t xml:space="preserve">H49</t>
  </si>
  <si>
    <t xml:space="preserve">MW never disclosed; 5 MW = DC Atlas (low confidence)</t>
  </si>
  <si>
    <t xml:space="preserve">I49</t>
  </si>
  <si>
    <t xml:space="preserve">carried forward from Q4 2024</t>
  </si>
  <si>
    <t xml:space="preserve">J49</t>
  </si>
  <si>
    <t xml:space="preserve">K49</t>
  </si>
  <si>
    <t xml:space="preserve">L49</t>
  </si>
  <si>
    <t xml:space="preserve">M49</t>
  </si>
  <si>
    <t xml:space="preserve">N49</t>
  </si>
  <si>
    <t xml:space="preserve">O49</t>
  </si>
  <si>
    <t xml:space="preserve">P49</t>
  </si>
  <si>
    <t xml:space="preserve">Q49</t>
  </si>
  <si>
    <t xml:space="preserve">R49</t>
  </si>
  <si>
    <t xml:space="preserve">S49</t>
  </si>
  <si>
    <t xml:space="preserve">T49</t>
  </si>
  <si>
    <t xml:space="preserve">U49</t>
  </si>
  <si>
    <t xml:space="preserve">V49</t>
  </si>
  <si>
    <t xml:space="preserve">W49</t>
  </si>
  <si>
    <t xml:space="preserve">X49</t>
  </si>
  <si>
    <t xml:space="preserve">Y49</t>
  </si>
  <si>
    <t xml:space="preserve">Z49</t>
  </si>
  <si>
    <t xml:space="preserve">AA49</t>
  </si>
  <si>
    <t xml:space="preserve">AB49</t>
  </si>
  <si>
    <t xml:space="preserve">AC49</t>
  </si>
  <si>
    <t xml:space="preserve">AD49</t>
  </si>
  <si>
    <t xml:space="preserve">AE49</t>
  </si>
  <si>
    <t xml:space="preserve">AF49</t>
  </si>
  <si>
    <t xml:space="preserve">E50</t>
  </si>
  <si>
    <t xml:space="preserve">F50</t>
  </si>
  <si>
    <t xml:space="preserve">G50</t>
  </si>
  <si>
    <t xml:space="preserve">H50</t>
  </si>
  <si>
    <t xml:space="preserve">I50</t>
  </si>
  <si>
    <t xml:space="preserve">J50</t>
  </si>
  <si>
    <t xml:space="preserve">K50</t>
  </si>
  <si>
    <t xml:space="preserve">L50</t>
  </si>
  <si>
    <t xml:space="preserve">M50</t>
  </si>
  <si>
    <t xml:space="preserve">N50</t>
  </si>
  <si>
    <t xml:space="preserve">O50</t>
  </si>
  <si>
    <t xml:space="preserve">P50</t>
  </si>
  <si>
    <t xml:space="preserve">Q50</t>
  </si>
  <si>
    <t xml:space="preserve">R50</t>
  </si>
  <si>
    <t xml:space="preserve">S50</t>
  </si>
  <si>
    <t xml:space="preserve">T50</t>
  </si>
  <si>
    <t xml:space="preserve">U50</t>
  </si>
  <si>
    <t xml:space="preserve">V50</t>
  </si>
  <si>
    <t xml:space="preserve">W50</t>
  </si>
  <si>
    <t xml:space="preserve">X50</t>
  </si>
  <si>
    <t xml:space="preserve">Y50</t>
  </si>
  <si>
    <t xml:space="preserve">Z50</t>
  </si>
  <si>
    <t xml:space="preserve">AA50</t>
  </si>
  <si>
    <t xml:space="preserve">AB50</t>
  </si>
  <si>
    <t xml:space="preserve">AC50</t>
  </si>
  <si>
    <t xml:space="preserve">AD50</t>
  </si>
  <si>
    <t xml:space="preserve">AE50</t>
  </si>
  <si>
    <t xml:space="preserve">AF50</t>
  </si>
  <si>
    <t xml:space="preserve">E51</t>
  </si>
  <si>
    <t xml:space="preserve">formula: =(E49+E50)/2</t>
  </si>
  <si>
    <t xml:space="preserve">F51</t>
  </si>
  <si>
    <t xml:space="preserve">formula: =(F49+F50)/2</t>
  </si>
  <si>
    <t xml:space="preserve">G51</t>
  </si>
  <si>
    <t xml:space="preserve">formula: =(G49+G50)/2</t>
  </si>
  <si>
    <t xml:space="preserve">H51</t>
  </si>
  <si>
    <t xml:space="preserve">formula: =(H49+H50)/2</t>
  </si>
  <si>
    <t xml:space="preserve">I51</t>
  </si>
  <si>
    <t xml:space="preserve">formula: =(I49+I50)/2</t>
  </si>
  <si>
    <t xml:space="preserve">J51</t>
  </si>
  <si>
    <t xml:space="preserve">formula: =(J49+J50)/2</t>
  </si>
  <si>
    <t xml:space="preserve">K51</t>
  </si>
  <si>
    <t xml:space="preserve">formula: =(K49+K50)/2</t>
  </si>
  <si>
    <t xml:space="preserve">L51</t>
  </si>
  <si>
    <t xml:space="preserve">formula: =(L49+L50)/2</t>
  </si>
  <si>
    <t xml:space="preserve">M51</t>
  </si>
  <si>
    <t xml:space="preserve">formula: =(M49+M50)/2</t>
  </si>
  <si>
    <t xml:space="preserve">N51</t>
  </si>
  <si>
    <t xml:space="preserve">formula: =(N49+N50)/2</t>
  </si>
  <si>
    <t xml:space="preserve">O51</t>
  </si>
  <si>
    <t xml:space="preserve">formula: =(O49+O50)/2</t>
  </si>
  <si>
    <t xml:space="preserve">P51</t>
  </si>
  <si>
    <t xml:space="preserve">formula: =(P49+P50)/2</t>
  </si>
  <si>
    <t xml:space="preserve">Q51</t>
  </si>
  <si>
    <t xml:space="preserve">formula: =(Q49+Q50)/2</t>
  </si>
  <si>
    <t xml:space="preserve">R51</t>
  </si>
  <si>
    <t xml:space="preserve">formula: =(R49+R50)/2</t>
  </si>
  <si>
    <t xml:space="preserve">S51</t>
  </si>
  <si>
    <t xml:space="preserve">formula: =(S49+S50)/2</t>
  </si>
  <si>
    <t xml:space="preserve">T51</t>
  </si>
  <si>
    <t xml:space="preserve">formula: =(T49+T50)/2</t>
  </si>
  <si>
    <t xml:space="preserve">U51</t>
  </si>
  <si>
    <t xml:space="preserve">formula: =(U49+U50)/2</t>
  </si>
  <si>
    <t xml:space="preserve">V51</t>
  </si>
  <si>
    <t xml:space="preserve">formula: =(V49+V50)/2</t>
  </si>
  <si>
    <t xml:space="preserve">W51</t>
  </si>
  <si>
    <t xml:space="preserve">formula: =(W49+W50)/2</t>
  </si>
  <si>
    <t xml:space="preserve">X51</t>
  </si>
  <si>
    <t xml:space="preserve">formula: =(X49+X50)/2</t>
  </si>
  <si>
    <t xml:space="preserve">Y51</t>
  </si>
  <si>
    <t xml:space="preserve">formula: =(Y49+Y50)/2</t>
  </si>
  <si>
    <t xml:space="preserve">Z51</t>
  </si>
  <si>
    <t xml:space="preserve">formula: =(Z49+Z50)/2</t>
  </si>
  <si>
    <t xml:space="preserve">AA51</t>
  </si>
  <si>
    <t xml:space="preserve">formula: =(AA49+AA50)/2</t>
  </si>
  <si>
    <t xml:space="preserve">AB51</t>
  </si>
  <si>
    <t xml:space="preserve">formula: =(AB49+AB50)/2</t>
  </si>
  <si>
    <t xml:space="preserve">AC51</t>
  </si>
  <si>
    <t xml:space="preserve">formula: =(AC49+AC50)/2</t>
  </si>
  <si>
    <t xml:space="preserve">AD51</t>
  </si>
  <si>
    <t xml:space="preserve">formula: =(AD49+AD50)/2</t>
  </si>
  <si>
    <t xml:space="preserve">AE51</t>
  </si>
  <si>
    <t xml:space="preserve">formula: =(AE49+AE50)/2</t>
  </si>
  <si>
    <t xml:space="preserve">AF51</t>
  </si>
  <si>
    <t xml:space="preserve">formula: =(AF49+AF50)/2</t>
  </si>
  <si>
    <t xml:space="preserve">H53</t>
  </si>
  <si>
    <t xml:space="preserve">I53</t>
  </si>
  <si>
    <t xml:space="preserve">J53</t>
  </si>
  <si>
    <t xml:space="preserve">K53</t>
  </si>
  <si>
    <t xml:space="preserve">L53</t>
  </si>
  <si>
    <t xml:space="preserve">M53</t>
  </si>
  <si>
    <t xml:space="preserve">N53</t>
  </si>
  <si>
    <t xml:space="preserve">O53</t>
  </si>
  <si>
    <t xml:space="preserve">P53</t>
  </si>
  <si>
    <t xml:space="preserve">Q53</t>
  </si>
  <si>
    <t xml:space="preserve">R53</t>
  </si>
  <si>
    <t xml:space="preserve">S53</t>
  </si>
  <si>
    <t xml:space="preserve">T53</t>
  </si>
  <si>
    <t xml:space="preserve">U53</t>
  </si>
  <si>
    <t xml:space="preserve">V53</t>
  </si>
  <si>
    <t xml:space="preserve">W53</t>
  </si>
  <si>
    <t xml:space="preserve">X53</t>
  </si>
  <si>
    <t xml:space="preserve">Y53</t>
  </si>
  <si>
    <t xml:space="preserve">Z53</t>
  </si>
  <si>
    <t xml:space="preserve">AA53</t>
  </si>
  <si>
    <t xml:space="preserve">AB53</t>
  </si>
  <si>
    <t xml:space="preserve">AC53</t>
  </si>
  <si>
    <t xml:space="preserve">AD53</t>
  </si>
  <si>
    <t xml:space="preserve">AE53</t>
  </si>
  <si>
    <t xml:space="preserve">AF53</t>
  </si>
  <si>
    <t xml:space="preserve">E54</t>
  </si>
  <si>
    <t xml:space="preserve">F54</t>
  </si>
  <si>
    <t xml:space="preserve">G54</t>
  </si>
  <si>
    <t xml:space="preserve">H54</t>
  </si>
  <si>
    <t xml:space="preserve">I54</t>
  </si>
  <si>
    <t xml:space="preserve">10 MW cluster live Mar 2025</t>
  </si>
  <si>
    <t xml:space="preserve">J54</t>
  </si>
  <si>
    <t xml:space="preserve">carried forward from Q1 2025</t>
  </si>
  <si>
    <t xml:space="preserve">K54</t>
  </si>
  <si>
    <t xml:space="preserve">L54</t>
  </si>
  <si>
    <t xml:space="preserve">M54</t>
  </si>
  <si>
    <t xml:space="preserve">N54</t>
  </si>
  <si>
    <t xml:space="preserve">O54</t>
  </si>
  <si>
    <t xml:space="preserve">P54</t>
  </si>
  <si>
    <t xml:space="preserve">Q54</t>
  </si>
  <si>
    <t xml:space="preserve">R54</t>
  </si>
  <si>
    <t xml:space="preserve">S54</t>
  </si>
  <si>
    <t xml:space="preserve">T54</t>
  </si>
  <si>
    <t xml:space="preserve">U54</t>
  </si>
  <si>
    <t xml:space="preserve">V54</t>
  </si>
  <si>
    <t xml:space="preserve">W54</t>
  </si>
  <si>
    <t xml:space="preserve">X54</t>
  </si>
  <si>
    <t xml:space="preserve">Y54</t>
  </si>
  <si>
    <t xml:space="preserve">Z54</t>
  </si>
  <si>
    <t xml:space="preserve">AA54</t>
  </si>
  <si>
    <t xml:space="preserve">AB54</t>
  </si>
  <si>
    <t xml:space="preserve">AC54</t>
  </si>
  <si>
    <t xml:space="preserve">AD54</t>
  </si>
  <si>
    <t xml:space="preserve">AE54</t>
  </si>
  <si>
    <t xml:space="preserve">AF54</t>
  </si>
  <si>
    <t xml:space="preserve">E55</t>
  </si>
  <si>
    <t xml:space="preserve">F55</t>
  </si>
  <si>
    <t xml:space="preserve">G55</t>
  </si>
  <si>
    <t xml:space="preserve">H55</t>
  </si>
  <si>
    <t xml:space="preserve">I55</t>
  </si>
  <si>
    <t xml:space="preserve">J55</t>
  </si>
  <si>
    <t xml:space="preserve">K55</t>
  </si>
  <si>
    <t xml:space="preserve">L55</t>
  </si>
  <si>
    <t xml:space="preserve">M55</t>
  </si>
  <si>
    <t xml:space="preserve">N55</t>
  </si>
  <si>
    <t xml:space="preserve">O55</t>
  </si>
  <si>
    <t xml:space="preserve">P55</t>
  </si>
  <si>
    <t xml:space="preserve">Q55</t>
  </si>
  <si>
    <t xml:space="preserve">R55</t>
  </si>
  <si>
    <t xml:space="preserve">S55</t>
  </si>
  <si>
    <t xml:space="preserve">T55</t>
  </si>
  <si>
    <t xml:space="preserve">U55</t>
  </si>
  <si>
    <t xml:space="preserve">V55</t>
  </si>
  <si>
    <t xml:space="preserve">W55</t>
  </si>
  <si>
    <t xml:space="preserve">X55</t>
  </si>
  <si>
    <t xml:space="preserve">Y55</t>
  </si>
  <si>
    <t xml:space="preserve">Z55</t>
  </si>
  <si>
    <t xml:space="preserve">AA55</t>
  </si>
  <si>
    <t xml:space="preserve">AB55</t>
  </si>
  <si>
    <t xml:space="preserve">AC55</t>
  </si>
  <si>
    <t xml:space="preserve">AD55</t>
  </si>
  <si>
    <t xml:space="preserve">AE55</t>
  </si>
  <si>
    <t xml:space="preserve">AF55</t>
  </si>
  <si>
    <t xml:space="preserve">E56</t>
  </si>
  <si>
    <t xml:space="preserve">formula: =(E54+E55)/2</t>
  </si>
  <si>
    <t xml:space="preserve">F56</t>
  </si>
  <si>
    <t xml:space="preserve">formula: =(F54+F55)/2</t>
  </si>
  <si>
    <t xml:space="preserve">G56</t>
  </si>
  <si>
    <t xml:space="preserve">formula: =(G54+G55)/2</t>
  </si>
  <si>
    <t xml:space="preserve">H56</t>
  </si>
  <si>
    <t xml:space="preserve">formula: =(H54+H55)/2</t>
  </si>
  <si>
    <t xml:space="preserve">I56</t>
  </si>
  <si>
    <t xml:space="preserve">formula: =(I54+I55)/2</t>
  </si>
  <si>
    <t xml:space="preserve">J56</t>
  </si>
  <si>
    <t xml:space="preserve">formula: =(J54+J55)/2</t>
  </si>
  <si>
    <t xml:space="preserve">K56</t>
  </si>
  <si>
    <t xml:space="preserve">formula: =(K54+K55)/2</t>
  </si>
  <si>
    <t xml:space="preserve">L56</t>
  </si>
  <si>
    <t xml:space="preserve">formula: =(L54+L55)/2</t>
  </si>
  <si>
    <t xml:space="preserve">M56</t>
  </si>
  <si>
    <t xml:space="preserve">formula: =(M54+M55)/2</t>
  </si>
  <si>
    <t xml:space="preserve">N56</t>
  </si>
  <si>
    <t xml:space="preserve">formula: =(N54+N55)/2</t>
  </si>
  <si>
    <t xml:space="preserve">O56</t>
  </si>
  <si>
    <t xml:space="preserve">formula: =(O54+O55)/2</t>
  </si>
  <si>
    <t xml:space="preserve">P56</t>
  </si>
  <si>
    <t xml:space="preserve">formula: =(P54+P55)/2</t>
  </si>
  <si>
    <t xml:space="preserve">Q56</t>
  </si>
  <si>
    <t xml:space="preserve">formula: =(Q54+Q55)/2</t>
  </si>
  <si>
    <t xml:space="preserve">R56</t>
  </si>
  <si>
    <t xml:space="preserve">formula: =(R54+R55)/2</t>
  </si>
  <si>
    <t xml:space="preserve">S56</t>
  </si>
  <si>
    <t xml:space="preserve">formula: =(S54+S55)/2</t>
  </si>
  <si>
    <t xml:space="preserve">T56</t>
  </si>
  <si>
    <t xml:space="preserve">formula: =(T54+T55)/2</t>
  </si>
  <si>
    <t xml:space="preserve">U56</t>
  </si>
  <si>
    <t xml:space="preserve">formula: =(U54+U55)/2</t>
  </si>
  <si>
    <t xml:space="preserve">V56</t>
  </si>
  <si>
    <t xml:space="preserve">formula: =(V54+V55)/2</t>
  </si>
  <si>
    <t xml:space="preserve">W56</t>
  </si>
  <si>
    <t xml:space="preserve">formula: =(W54+W55)/2</t>
  </si>
  <si>
    <t xml:space="preserve">X56</t>
  </si>
  <si>
    <t xml:space="preserve">formula: =(X54+X55)/2</t>
  </si>
  <si>
    <t xml:space="preserve">Y56</t>
  </si>
  <si>
    <t xml:space="preserve">formula: =(Y54+Y55)/2</t>
  </si>
  <si>
    <t xml:space="preserve">Z56</t>
  </si>
  <si>
    <t xml:space="preserve">formula: =(Z54+Z55)/2</t>
  </si>
  <si>
    <t xml:space="preserve">AA56</t>
  </si>
  <si>
    <t xml:space="preserve">formula: =(AA54+AA55)/2</t>
  </si>
  <si>
    <t xml:space="preserve">AB56</t>
  </si>
  <si>
    <t xml:space="preserve">formula: =(AB54+AB55)/2</t>
  </si>
  <si>
    <t xml:space="preserve">AC56</t>
  </si>
  <si>
    <t xml:space="preserve">formula: =(AC54+AC55)/2</t>
  </si>
  <si>
    <t xml:space="preserve">AD56</t>
  </si>
  <si>
    <t xml:space="preserve">formula: =(AD54+AD55)/2</t>
  </si>
  <si>
    <t xml:space="preserve">AE56</t>
  </si>
  <si>
    <t xml:space="preserve">formula: =(AE54+AE55)/2</t>
  </si>
  <si>
    <t xml:space="preserve">AF56</t>
  </si>
  <si>
    <t xml:space="preserve">formula: =(AF54+AF55)/2</t>
  </si>
  <si>
    <t xml:space="preserve">J58</t>
  </si>
  <si>
    <t xml:space="preserve">16</t>
  </si>
  <si>
    <t xml:space="preserve">K58</t>
  </si>
  <si>
    <t xml:space="preserve">L58</t>
  </si>
  <si>
    <t xml:space="preserve">M58</t>
  </si>
  <si>
    <t xml:space="preserve">N58</t>
  </si>
  <si>
    <t xml:space="preserve">O58</t>
  </si>
  <si>
    <t xml:space="preserve">P58</t>
  </si>
  <si>
    <t xml:space="preserve">Q58</t>
  </si>
  <si>
    <t xml:space="preserve">R58</t>
  </si>
  <si>
    <t xml:space="preserve">S58</t>
  </si>
  <si>
    <t xml:space="preserve">T58</t>
  </si>
  <si>
    <t xml:space="preserve">U58</t>
  </si>
  <si>
    <t xml:space="preserve">V58</t>
  </si>
  <si>
    <t xml:space="preserve">W58</t>
  </si>
  <si>
    <t xml:space="preserve">X58</t>
  </si>
  <si>
    <t xml:space="preserve">Y58</t>
  </si>
  <si>
    <t xml:space="preserve">Z58</t>
  </si>
  <si>
    <t xml:space="preserve">AA58</t>
  </si>
  <si>
    <t xml:space="preserve">AB58</t>
  </si>
  <si>
    <t xml:space="preserve">AC58</t>
  </si>
  <si>
    <t xml:space="preserve">AD58</t>
  </si>
  <si>
    <t xml:space="preserve">AE58</t>
  </si>
  <si>
    <t xml:space="preserve">AF58</t>
  </si>
  <si>
    <t xml:space="preserve">E59</t>
  </si>
  <si>
    <t xml:space="preserve">F59</t>
  </si>
  <si>
    <t xml:space="preserve">G59</t>
  </si>
  <si>
    <t xml:space="preserve">H59</t>
  </si>
  <si>
    <t xml:space="preserve">I59</t>
  </si>
  <si>
    <t xml:space="preserve">J59</t>
  </si>
  <si>
    <t xml:space="preserve">K59</t>
  </si>
  <si>
    <t xml:space="preserve">L59</t>
  </si>
  <si>
    <t xml:space="preserve">16 MW launched Nov 2025</t>
  </si>
  <si>
    <t xml:space="preserve">M59</t>
  </si>
  <si>
    <t xml:space="preserve">N59</t>
  </si>
  <si>
    <t xml:space="preserve">O59</t>
  </si>
  <si>
    <t xml:space="preserve">P59</t>
  </si>
  <si>
    <t xml:space="preserve">+3 MW in delivery (Ark, Jun 2026)</t>
  </si>
  <si>
    <t xml:space="preserve">Q59</t>
  </si>
  <si>
    <t xml:space="preserve">R59</t>
  </si>
  <si>
    <t xml:space="preserve">carried forward from Q1 2027</t>
  </si>
  <si>
    <t xml:space="preserve">S59</t>
  </si>
  <si>
    <t xml:space="preserve">T59</t>
  </si>
  <si>
    <t xml:space="preserve">U59</t>
  </si>
  <si>
    <t xml:space="preserve">V59</t>
  </si>
  <si>
    <t xml:space="preserve">W59</t>
  </si>
  <si>
    <t xml:space="preserve">X59</t>
  </si>
  <si>
    <t xml:space="preserve">Y59</t>
  </si>
  <si>
    <t xml:space="preserve">Z59</t>
  </si>
  <si>
    <t xml:space="preserve">AA59</t>
  </si>
  <si>
    <t xml:space="preserve">AB59</t>
  </si>
  <si>
    <t xml:space="preserve">AC59</t>
  </si>
  <si>
    <t xml:space="preserve">AD59</t>
  </si>
  <si>
    <t xml:space="preserve">AE59</t>
  </si>
  <si>
    <t xml:space="preserve">AF59</t>
  </si>
  <si>
    <t xml:space="preserve">E60</t>
  </si>
  <si>
    <t xml:space="preserve">F60</t>
  </si>
  <si>
    <t xml:space="preserve">G60</t>
  </si>
  <si>
    <t xml:space="preserve">H60</t>
  </si>
  <si>
    <t xml:space="preserve">I60</t>
  </si>
  <si>
    <t xml:space="preserve">J60</t>
  </si>
  <si>
    <t xml:space="preserve">K60</t>
  </si>
  <si>
    <t xml:space="preserve">L60</t>
  </si>
  <si>
    <t xml:space="preserve">M60</t>
  </si>
  <si>
    <t xml:space="preserve">N60</t>
  </si>
  <si>
    <t xml:space="preserve">O60</t>
  </si>
  <si>
    <t xml:space="preserve">P60</t>
  </si>
  <si>
    <t xml:space="preserve">Q60</t>
  </si>
  <si>
    <t xml:space="preserve">R60</t>
  </si>
  <si>
    <t xml:space="preserve">S60</t>
  </si>
  <si>
    <t xml:space="preserve">T60</t>
  </si>
  <si>
    <t xml:space="preserve">U60</t>
  </si>
  <si>
    <t xml:space="preserve">V60</t>
  </si>
  <si>
    <t xml:space="preserve">W60</t>
  </si>
  <si>
    <t xml:space="preserve">X60</t>
  </si>
  <si>
    <t xml:space="preserve">Y60</t>
  </si>
  <si>
    <t xml:space="preserve">Z60</t>
  </si>
  <si>
    <t xml:space="preserve">AA60</t>
  </si>
  <si>
    <t xml:space="preserve">AB60</t>
  </si>
  <si>
    <t xml:space="preserve">AC60</t>
  </si>
  <si>
    <t xml:space="preserve">AD60</t>
  </si>
  <si>
    <t xml:space="preserve">AE60</t>
  </si>
  <si>
    <t xml:space="preserve">AF60</t>
  </si>
  <si>
    <t xml:space="preserve">E61</t>
  </si>
  <si>
    <t xml:space="preserve">formula: =(E59+E60)/2</t>
  </si>
  <si>
    <t xml:space="preserve">F61</t>
  </si>
  <si>
    <t xml:space="preserve">formula: =(F59+F60)/2</t>
  </si>
  <si>
    <t xml:space="preserve">G61</t>
  </si>
  <si>
    <t xml:space="preserve">formula: =(G59+G60)/2</t>
  </si>
  <si>
    <t xml:space="preserve">H61</t>
  </si>
  <si>
    <t xml:space="preserve">formula: =(H59+H60)/2</t>
  </si>
  <si>
    <t xml:space="preserve">I61</t>
  </si>
  <si>
    <t xml:space="preserve">formula: =(I59+I60)/2</t>
  </si>
  <si>
    <t xml:space="preserve">J61</t>
  </si>
  <si>
    <t xml:space="preserve">formula: =(J59+J60)/2</t>
  </si>
  <si>
    <t xml:space="preserve">K61</t>
  </si>
  <si>
    <t xml:space="preserve">formula: =(K59+K60)/2</t>
  </si>
  <si>
    <t xml:space="preserve">L61</t>
  </si>
  <si>
    <t xml:space="preserve">formula: =(L59+L60)/2</t>
  </si>
  <si>
    <t xml:space="preserve">M61</t>
  </si>
  <si>
    <t xml:space="preserve">formula: =(M59+M60)/2</t>
  </si>
  <si>
    <t xml:space="preserve">N61</t>
  </si>
  <si>
    <t xml:space="preserve">formula: =(N59+N60)/2</t>
  </si>
  <si>
    <t xml:space="preserve">O61</t>
  </si>
  <si>
    <t xml:space="preserve">formula: =(O59+O60)/2</t>
  </si>
  <si>
    <t xml:space="preserve">P61</t>
  </si>
  <si>
    <t xml:space="preserve">formula: =(P59+P60)/2</t>
  </si>
  <si>
    <t xml:space="preserve">Q61</t>
  </si>
  <si>
    <t xml:space="preserve">formula: =(Q59+Q60)/2</t>
  </si>
  <si>
    <t xml:space="preserve">R61</t>
  </si>
  <si>
    <t xml:space="preserve">formula: =(R59+R60)/2</t>
  </si>
  <si>
    <t xml:space="preserve">S61</t>
  </si>
  <si>
    <t xml:space="preserve">formula: =(S59+S60)/2</t>
  </si>
  <si>
    <t xml:space="preserve">T61</t>
  </si>
  <si>
    <t xml:space="preserve">formula: =(T59+T60)/2</t>
  </si>
  <si>
    <t xml:space="preserve">U61</t>
  </si>
  <si>
    <t xml:space="preserve">formula: =(U59+U60)/2</t>
  </si>
  <si>
    <t xml:space="preserve">V61</t>
  </si>
  <si>
    <t xml:space="preserve">formula: =(V59+V60)/2</t>
  </si>
  <si>
    <t xml:space="preserve">W61</t>
  </si>
  <si>
    <t xml:space="preserve">formula: =(W59+W60)/2</t>
  </si>
  <si>
    <t xml:space="preserve">X61</t>
  </si>
  <si>
    <t xml:space="preserve">formula: =(X59+X60)/2</t>
  </si>
  <si>
    <t xml:space="preserve">Y61</t>
  </si>
  <si>
    <t xml:space="preserve">formula: =(Y59+Y60)/2</t>
  </si>
  <si>
    <t xml:space="preserve">Z61</t>
  </si>
  <si>
    <t xml:space="preserve">formula: =(Z59+Z60)/2</t>
  </si>
  <si>
    <t xml:space="preserve">AA61</t>
  </si>
  <si>
    <t xml:space="preserve">formula: =(AA59+AA60)/2</t>
  </si>
  <si>
    <t xml:space="preserve">AB61</t>
  </si>
  <si>
    <t xml:space="preserve">formula: =(AB59+AB60)/2</t>
  </si>
  <si>
    <t xml:space="preserve">AC61</t>
  </si>
  <si>
    <t xml:space="preserve">formula: =(AC59+AC60)/2</t>
  </si>
  <si>
    <t xml:space="preserve">AD61</t>
  </si>
  <si>
    <t xml:space="preserve">formula: =(AD59+AD60)/2</t>
  </si>
  <si>
    <t xml:space="preserve">AE61</t>
  </si>
  <si>
    <t xml:space="preserve">formula: =(AE59+AE60)/2</t>
  </si>
  <si>
    <t xml:space="preserve">AF61</t>
  </si>
  <si>
    <t xml:space="preserve">formula: =(AF59+AF60)/2</t>
  </si>
  <si>
    <t xml:space="preserve">L62</t>
  </si>
  <si>
    <t xml:space="preserve">Target Q4-25 | https://datacentrenews.uk/story/nebius-fills-ark-s-longcross-data-centre-to-capacity; https://www.datacenterdynamics.com/en/news/ark-dc-to-add-new-building-to-longcross-data-center-campus-outside-lond</t>
  </si>
  <si>
    <t xml:space="preserve">P62</t>
  </si>
  <si>
    <t xml:space="preserve">Ark Jun 2026: +3 MW in delivery | https://datacentrenews.uk/story/nebius-fills-ark-s-longcross-data-centre-to-capacity; https://www.datacenterdynamics.com/en/news/ark-dc-to-add-new-building-to-longcross-data-center-campus-outside-lond</t>
  </si>
  <si>
    <t xml:space="preserve">N63</t>
  </si>
  <si>
    <t xml:space="preserve">O63</t>
  </si>
  <si>
    <t xml:space="preserve">P63</t>
  </si>
  <si>
    <t xml:space="preserve">Q63</t>
  </si>
  <si>
    <t xml:space="preserve">R63</t>
  </si>
  <si>
    <t xml:space="preserve">S63</t>
  </si>
  <si>
    <t xml:space="preserve">T63</t>
  </si>
  <si>
    <t xml:space="preserve">U63</t>
  </si>
  <si>
    <t xml:space="preserve">V63</t>
  </si>
  <si>
    <t xml:space="preserve">W63</t>
  </si>
  <si>
    <t xml:space="preserve">X63</t>
  </si>
  <si>
    <t xml:space="preserve">Y63</t>
  </si>
  <si>
    <t xml:space="preserve">Z63</t>
  </si>
  <si>
    <t xml:space="preserve">AA63</t>
  </si>
  <si>
    <t xml:space="preserve">AB63</t>
  </si>
  <si>
    <t xml:space="preserve">AC63</t>
  </si>
  <si>
    <t xml:space="preserve">AD63</t>
  </si>
  <si>
    <t xml:space="preserve">AE63</t>
  </si>
  <si>
    <t xml:space="preserve">AF63</t>
  </si>
  <si>
    <t xml:space="preserve">E64</t>
  </si>
  <si>
    <t xml:space="preserve">F64</t>
  </si>
  <si>
    <t xml:space="preserve">G64</t>
  </si>
  <si>
    <t xml:space="preserve">H64</t>
  </si>
  <si>
    <t xml:space="preserve">I64</t>
  </si>
  <si>
    <t xml:space="preserve">J64</t>
  </si>
  <si>
    <t xml:space="preserve">K64</t>
  </si>
  <si>
    <t xml:space="preserve">L64</t>
  </si>
  <si>
    <t xml:space="preserve">M64</t>
  </si>
  <si>
    <t xml:space="preserve">N64</t>
  </si>
  <si>
    <t xml:space="preserve">O64</t>
  </si>
  <si>
    <t xml:space="preserve">P64</t>
  </si>
  <si>
    <t xml:space="preserve">KLON-02 share 4.4 MW = 3rd-party inference</t>
  </si>
  <si>
    <t xml:space="preserve">Q64</t>
  </si>
  <si>
    <t xml:space="preserve">4.4</t>
  </si>
  <si>
    <t xml:space="preserve">KLON-03 on track end-2026</t>
  </si>
  <si>
    <t xml:space="preserve">R64</t>
  </si>
  <si>
    <t xml:space="preserve">S64</t>
  </si>
  <si>
    <t xml:space="preserve">T64</t>
  </si>
  <si>
    <t xml:space="preserve">carried forward from Q3 2027</t>
  </si>
  <si>
    <t xml:space="preserve">U64</t>
  </si>
  <si>
    <t xml:space="preserve">V64</t>
  </si>
  <si>
    <t xml:space="preserve">W64</t>
  </si>
  <si>
    <t xml:space="preserve">X64</t>
  </si>
  <si>
    <t xml:space="preserve">Y64</t>
  </si>
  <si>
    <t xml:space="preserve">Z64</t>
  </si>
  <si>
    <t xml:space="preserve">AA64</t>
  </si>
  <si>
    <t xml:space="preserve">AB64</t>
  </si>
  <si>
    <t xml:space="preserve">AC64</t>
  </si>
  <si>
    <t xml:space="preserve">AD64</t>
  </si>
  <si>
    <t xml:space="preserve">AE64</t>
  </si>
  <si>
    <t xml:space="preserve">AF64</t>
  </si>
  <si>
    <t xml:space="preserve">E65</t>
  </si>
  <si>
    <t xml:space="preserve">F65</t>
  </si>
  <si>
    <t xml:space="preserve">G65</t>
  </si>
  <si>
    <t xml:space="preserve">H65</t>
  </si>
  <si>
    <t xml:space="preserve">I65</t>
  </si>
  <si>
    <t xml:space="preserve">J65</t>
  </si>
  <si>
    <t xml:space="preserve">K65</t>
  </si>
  <si>
    <t xml:space="preserve">L65</t>
  </si>
  <si>
    <t xml:space="preserve">M65</t>
  </si>
  <si>
    <t xml:space="preserve">N65</t>
  </si>
  <si>
    <t xml:space="preserve">O65</t>
  </si>
  <si>
    <t xml:space="preserve">P65</t>
  </si>
  <si>
    <t xml:space="preserve">Q65</t>
  </si>
  <si>
    <t xml:space="preserve">R65</t>
  </si>
  <si>
    <t xml:space="preserve">S65</t>
  </si>
  <si>
    <t xml:space="preserve">T65</t>
  </si>
  <si>
    <t xml:space="preserve">U65</t>
  </si>
  <si>
    <t xml:space="preserve">V65</t>
  </si>
  <si>
    <t xml:space="preserve">W65</t>
  </si>
  <si>
    <t xml:space="preserve">X65</t>
  </si>
  <si>
    <t xml:space="preserve">Y65</t>
  </si>
  <si>
    <t xml:space="preserve">Z65</t>
  </si>
  <si>
    <t xml:space="preserve">AA65</t>
  </si>
  <si>
    <t xml:space="preserve">AB65</t>
  </si>
  <si>
    <t xml:space="preserve">AC65</t>
  </si>
  <si>
    <t xml:space="preserve">AD65</t>
  </si>
  <si>
    <t xml:space="preserve">AE65</t>
  </si>
  <si>
    <t xml:space="preserve">AF65</t>
  </si>
  <si>
    <t xml:space="preserve">E66</t>
  </si>
  <si>
    <t xml:space="preserve">formula: =(E64+E65)/2</t>
  </si>
  <si>
    <t xml:space="preserve">F66</t>
  </si>
  <si>
    <t xml:space="preserve">formula: =(F64+F65)/2</t>
  </si>
  <si>
    <t xml:space="preserve">G66</t>
  </si>
  <si>
    <t xml:space="preserve">formula: =(G64+G65)/2</t>
  </si>
  <si>
    <t xml:space="preserve">H66</t>
  </si>
  <si>
    <t xml:space="preserve">formula: =(H64+H65)/2</t>
  </si>
  <si>
    <t xml:space="preserve">I66</t>
  </si>
  <si>
    <t xml:space="preserve">formula: =(I64+I65)/2</t>
  </si>
  <si>
    <t xml:space="preserve">J66</t>
  </si>
  <si>
    <t xml:space="preserve">formula: =(J64+J65)/2</t>
  </si>
  <si>
    <t xml:space="preserve">K66</t>
  </si>
  <si>
    <t xml:space="preserve">formula: =(K64+K65)/2</t>
  </si>
  <si>
    <t xml:space="preserve">L66</t>
  </si>
  <si>
    <t xml:space="preserve">formula: =(L64+L65)/2</t>
  </si>
  <si>
    <t xml:space="preserve">M66</t>
  </si>
  <si>
    <t xml:space="preserve">formula: =(M64+M65)/2</t>
  </si>
  <si>
    <t xml:space="preserve">N66</t>
  </si>
  <si>
    <t xml:space="preserve">formula: =(N64+N65)/2</t>
  </si>
  <si>
    <t xml:space="preserve">O66</t>
  </si>
  <si>
    <t xml:space="preserve">formula: =(O64+O65)/2</t>
  </si>
  <si>
    <t xml:space="preserve">P66</t>
  </si>
  <si>
    <t xml:space="preserve">formula: =(P64+P65)/2</t>
  </si>
  <si>
    <t xml:space="preserve">Q66</t>
  </si>
  <si>
    <t xml:space="preserve">formula: =(Q64+Q65)/2</t>
  </si>
  <si>
    <t xml:space="preserve">R66</t>
  </si>
  <si>
    <t xml:space="preserve">formula: =(R64+R65)/2</t>
  </si>
  <si>
    <t xml:space="preserve">S66</t>
  </si>
  <si>
    <t xml:space="preserve">formula: =(S64+S65)/2</t>
  </si>
  <si>
    <t xml:space="preserve">T66</t>
  </si>
  <si>
    <t xml:space="preserve">formula: =(T64+T65)/2</t>
  </si>
  <si>
    <t xml:space="preserve">U66</t>
  </si>
  <si>
    <t xml:space="preserve">formula: =(U64+U65)/2</t>
  </si>
  <si>
    <t xml:space="preserve">V66</t>
  </si>
  <si>
    <t xml:space="preserve">formula: =(V64+V65)/2</t>
  </si>
  <si>
    <t xml:space="preserve">W66</t>
  </si>
  <si>
    <t xml:space="preserve">formula: =(W64+W65)/2</t>
  </si>
  <si>
    <t xml:space="preserve">X66</t>
  </si>
  <si>
    <t xml:space="preserve">formula: =(X64+X65)/2</t>
  </si>
  <si>
    <t xml:space="preserve">Y66</t>
  </si>
  <si>
    <t xml:space="preserve">formula: =(Y64+Y65)/2</t>
  </si>
  <si>
    <t xml:space="preserve">Z66</t>
  </si>
  <si>
    <t xml:space="preserve">formula: =(Z64+Z65)/2</t>
  </si>
  <si>
    <t xml:space="preserve">AA66</t>
  </si>
  <si>
    <t xml:space="preserve">formula: =(AA64+AA65)/2</t>
  </si>
  <si>
    <t xml:space="preserve">AB66</t>
  </si>
  <si>
    <t xml:space="preserve">formula: =(AB64+AB65)/2</t>
  </si>
  <si>
    <t xml:space="preserve">AC66</t>
  </si>
  <si>
    <t xml:space="preserve">formula: =(AC64+AC65)/2</t>
  </si>
  <si>
    <t xml:space="preserve">AD66</t>
  </si>
  <si>
    <t xml:space="preserve">formula: =(AD64+AD65)/2</t>
  </si>
  <si>
    <t xml:space="preserve">AE66</t>
  </si>
  <si>
    <t xml:space="preserve">formula: =(AE64+AE65)/2</t>
  </si>
  <si>
    <t xml:space="preserve">AF66</t>
  </si>
  <si>
    <t xml:space="preserve">formula: =(AF64+AF65)/2</t>
  </si>
  <si>
    <t xml:space="preserve">T67</t>
  </si>
  <si>
    <t xml:space="preserve">UK 65 MW fully ramped 2027 | https://www.datacenterdynamics.com/en/news/nebius-signs-22mw-capacity-agreement-with-kao-data-in-the-uk/; https://www.linkedin.com/posts/infratil_klon-03-development-update-activity-740407367494265651</t>
  </si>
  <si>
    <t xml:space="preserve">E68</t>
  </si>
  <si>
    <t xml:space="preserve">MW not disclosed</t>
  </si>
  <si>
    <t xml:space="preserve">F68</t>
  </si>
  <si>
    <t xml:space="preserve">G68</t>
  </si>
  <si>
    <t xml:space="preserve">H68</t>
  </si>
  <si>
    <t xml:space="preserve">I68</t>
  </si>
  <si>
    <t xml:space="preserve">J68</t>
  </si>
  <si>
    <t xml:space="preserve">K68</t>
  </si>
  <si>
    <t xml:space="preserve">L68</t>
  </si>
  <si>
    <t xml:space="preserve">M68</t>
  </si>
  <si>
    <t xml:space="preserve">N68</t>
  </si>
  <si>
    <t xml:space="preserve">O68</t>
  </si>
  <si>
    <t xml:space="preserve">P68</t>
  </si>
  <si>
    <t xml:space="preserve">Q68</t>
  </si>
  <si>
    <t xml:space="preserve">R68</t>
  </si>
  <si>
    <t xml:space="preserve">S68</t>
  </si>
  <si>
    <t xml:space="preserve">T68</t>
  </si>
  <si>
    <t xml:space="preserve">U68</t>
  </si>
  <si>
    <t xml:space="preserve">V68</t>
  </si>
  <si>
    <t xml:space="preserve">W68</t>
  </si>
  <si>
    <t xml:space="preserve">X68</t>
  </si>
  <si>
    <t xml:space="preserve">Y68</t>
  </si>
  <si>
    <t xml:space="preserve">Z68</t>
  </si>
  <si>
    <t xml:space="preserve">AA68</t>
  </si>
  <si>
    <t xml:space="preserve">AB68</t>
  </si>
  <si>
    <t xml:space="preserve">AC68</t>
  </si>
  <si>
    <t xml:space="preserve">AD68</t>
  </si>
  <si>
    <t xml:space="preserve">AE68</t>
  </si>
  <si>
    <t xml:space="preserve">AF68</t>
  </si>
  <si>
    <t xml:space="preserve">E69</t>
  </si>
  <si>
    <t xml:space="preserve">F69</t>
  </si>
  <si>
    <t xml:space="preserve">G69</t>
  </si>
  <si>
    <t xml:space="preserve">H69</t>
  </si>
  <si>
    <t xml:space="preserve">I69</t>
  </si>
  <si>
    <t xml:space="preserve">J69</t>
  </si>
  <si>
    <t xml:space="preserve">K69</t>
  </si>
  <si>
    <t xml:space="preserve">L69</t>
  </si>
  <si>
    <t xml:space="preserve">M69</t>
  </si>
  <si>
    <t xml:space="preserve">N69</t>
  </si>
  <si>
    <t xml:space="preserve">O69</t>
  </si>
  <si>
    <t xml:space="preserve">P69</t>
  </si>
  <si>
    <t xml:space="preserve">Jobs Jun/Aug 2026; announced Aug 13 2026</t>
  </si>
  <si>
    <t xml:space="preserve">Q69</t>
  </si>
  <si>
    <t xml:space="preserve">R69</t>
  </si>
  <si>
    <t xml:space="preserve">S69</t>
  </si>
  <si>
    <t xml:space="preserve">UK 65 MW fully ramped 2027 minus Harlow 22 = 43 (Derived) is the cap for Newport+UK3</t>
  </si>
  <si>
    <t xml:space="preserve">T69</t>
  </si>
  <si>
    <t xml:space="preserve">U69</t>
  </si>
  <si>
    <t xml:space="preserve">V69</t>
  </si>
  <si>
    <t xml:space="preserve">W69</t>
  </si>
  <si>
    <t xml:space="preserve">X69</t>
  </si>
  <si>
    <t xml:space="preserve">Y69</t>
  </si>
  <si>
    <t xml:space="preserve">Z69</t>
  </si>
  <si>
    <t xml:space="preserve">AA69</t>
  </si>
  <si>
    <t xml:space="preserve">AB69</t>
  </si>
  <si>
    <t xml:space="preserve">AC69</t>
  </si>
  <si>
    <t xml:space="preserve">AD69</t>
  </si>
  <si>
    <t xml:space="preserve">AE69</t>
  </si>
  <si>
    <t xml:space="preserve">AF69</t>
  </si>
  <si>
    <t xml:space="preserve">E70</t>
  </si>
  <si>
    <t xml:space="preserve">F70</t>
  </si>
  <si>
    <t xml:space="preserve">G70</t>
  </si>
  <si>
    <t xml:space="preserve">H70</t>
  </si>
  <si>
    <t xml:space="preserve">I70</t>
  </si>
  <si>
    <t xml:space="preserve">J70</t>
  </si>
  <si>
    <t xml:space="preserve">K70</t>
  </si>
  <si>
    <t xml:space="preserve">L70</t>
  </si>
  <si>
    <t xml:space="preserve">M70</t>
  </si>
  <si>
    <t xml:space="preserve">N70</t>
  </si>
  <si>
    <t xml:space="preserve">O70</t>
  </si>
  <si>
    <t xml:space="preserve">P70</t>
  </si>
  <si>
    <t xml:space="preserve">Q70</t>
  </si>
  <si>
    <t xml:space="preserve">R70</t>
  </si>
  <si>
    <t xml:space="preserve">S70</t>
  </si>
  <si>
    <t xml:space="preserve">43</t>
  </si>
  <si>
    <t xml:space="preserve">T70</t>
  </si>
  <si>
    <t xml:space="preserve">U70</t>
  </si>
  <si>
    <t xml:space="preserve">V70</t>
  </si>
  <si>
    <t xml:space="preserve">W70</t>
  </si>
  <si>
    <t xml:space="preserve">X70</t>
  </si>
  <si>
    <t xml:space="preserve">Y70</t>
  </si>
  <si>
    <t xml:space="preserve">Z70</t>
  </si>
  <si>
    <t xml:space="preserve">AA70</t>
  </si>
  <si>
    <t xml:space="preserve">AB70</t>
  </si>
  <si>
    <t xml:space="preserve">AC70</t>
  </si>
  <si>
    <t xml:space="preserve">AD70</t>
  </si>
  <si>
    <t xml:space="preserve">AE70</t>
  </si>
  <si>
    <t xml:space="preserve">AF70</t>
  </si>
  <si>
    <t xml:space="preserve">E71</t>
  </si>
  <si>
    <t xml:space="preserve">formula: =(E69+E70)/2</t>
  </si>
  <si>
    <t xml:space="preserve">F71</t>
  </si>
  <si>
    <t xml:space="preserve">formula: =(F69+F70)/2</t>
  </si>
  <si>
    <t xml:space="preserve">G71</t>
  </si>
  <si>
    <t xml:space="preserve">formula: =(G69+G70)/2</t>
  </si>
  <si>
    <t xml:space="preserve">H71</t>
  </si>
  <si>
    <t xml:space="preserve">formula: =(H69+H70)/2</t>
  </si>
  <si>
    <t xml:space="preserve">I71</t>
  </si>
  <si>
    <t xml:space="preserve">formula: =(I69+I70)/2</t>
  </si>
  <si>
    <t xml:space="preserve">J71</t>
  </si>
  <si>
    <t xml:space="preserve">formula: =(J69+J70)/2</t>
  </si>
  <si>
    <t xml:space="preserve">K71</t>
  </si>
  <si>
    <t xml:space="preserve">formula: =(K69+K70)/2</t>
  </si>
  <si>
    <t xml:space="preserve">L71</t>
  </si>
  <si>
    <t xml:space="preserve">formula: =(L69+L70)/2</t>
  </si>
  <si>
    <t xml:space="preserve">M71</t>
  </si>
  <si>
    <t xml:space="preserve">formula: =(M69+M70)/2</t>
  </si>
  <si>
    <t xml:space="preserve">N71</t>
  </si>
  <si>
    <t xml:space="preserve">formula: =(N69+N70)/2</t>
  </si>
  <si>
    <t xml:space="preserve">O71</t>
  </si>
  <si>
    <t xml:space="preserve">formula: =(O69+O70)/2</t>
  </si>
  <si>
    <t xml:space="preserve">P71</t>
  </si>
  <si>
    <t xml:space="preserve">formula: =(P69+P70)/2</t>
  </si>
  <si>
    <t xml:space="preserve">Q71</t>
  </si>
  <si>
    <t xml:space="preserve">formula: =(Q69+Q70)/2</t>
  </si>
  <si>
    <t xml:space="preserve">R71</t>
  </si>
  <si>
    <t xml:space="preserve">formula: =(R69+R70)/2</t>
  </si>
  <si>
    <t xml:space="preserve">S71</t>
  </si>
  <si>
    <t xml:space="preserve">formula: =(S69+S70)/2</t>
  </si>
  <si>
    <t xml:space="preserve">T71</t>
  </si>
  <si>
    <t xml:space="preserve">formula: =(T69+T70)/2</t>
  </si>
  <si>
    <t xml:space="preserve">U71</t>
  </si>
  <si>
    <t xml:space="preserve">formula: =(U69+U70)/2</t>
  </si>
  <si>
    <t xml:space="preserve">V71</t>
  </si>
  <si>
    <t xml:space="preserve">formula: =(V69+V70)/2</t>
  </si>
  <si>
    <t xml:space="preserve">W71</t>
  </si>
  <si>
    <t xml:space="preserve">formula: =(W69+W70)/2</t>
  </si>
  <si>
    <t xml:space="preserve">X71</t>
  </si>
  <si>
    <t xml:space="preserve">formula: =(X69+X70)/2</t>
  </si>
  <si>
    <t xml:space="preserve">Y71</t>
  </si>
  <si>
    <t xml:space="preserve">formula: =(Y69+Y70)/2</t>
  </si>
  <si>
    <t xml:space="preserve">Z71</t>
  </si>
  <si>
    <t xml:space="preserve">formula: =(Z69+Z70)/2</t>
  </si>
  <si>
    <t xml:space="preserve">AA71</t>
  </si>
  <si>
    <t xml:space="preserve">formula: =(AA69+AA70)/2</t>
  </si>
  <si>
    <t xml:space="preserve">AB71</t>
  </si>
  <si>
    <t xml:space="preserve">formula: =(AB69+AB70)/2</t>
  </si>
  <si>
    <t xml:space="preserve">AC71</t>
  </si>
  <si>
    <t xml:space="preserve">formula: =(AC69+AC70)/2</t>
  </si>
  <si>
    <t xml:space="preserve">AD71</t>
  </si>
  <si>
    <t xml:space="preserve">formula: =(AD69+AD70)/2</t>
  </si>
  <si>
    <t xml:space="preserve">AE71</t>
  </si>
  <si>
    <t xml:space="preserve">formula: =(AE69+AE70)/2</t>
  </si>
  <si>
    <t xml:space="preserve">AF71</t>
  </si>
  <si>
    <t xml:space="preserve">formula: =(AF69+AF70)/2</t>
  </si>
  <si>
    <t xml:space="preserve">T72</t>
  </si>
  <si>
    <t xml:space="preserve">UK PR Jun 8 2026: 3 new UK sites = 65 MW fully ramped 2027; minus Harlow 22 | https://vantage-dc.com/news/vantage-data-centers-and-nebius-expand-uk-ai-infrastructure-with-first-deployment-in-south-wales-ai-growth-zone/; https://nebius.com/newsroom/nebius-expands-in-uk-with-more</t>
  </si>
  <si>
    <t xml:space="preserve">E73</t>
  </si>
  <si>
    <t xml:space="preserve">F73</t>
  </si>
  <si>
    <t xml:space="preserve">G73</t>
  </si>
  <si>
    <t xml:space="preserve">H73</t>
  </si>
  <si>
    <t xml:space="preserve">I73</t>
  </si>
  <si>
    <t xml:space="preserve">J73</t>
  </si>
  <si>
    <t xml:space="preserve">K73</t>
  </si>
  <si>
    <t xml:space="preserve">L73</t>
  </si>
  <si>
    <t xml:space="preserve">M73</t>
  </si>
  <si>
    <t xml:space="preserve">N73</t>
  </si>
  <si>
    <t xml:space="preserve">O73</t>
  </si>
  <si>
    <t xml:space="preserve">P73</t>
  </si>
  <si>
    <t xml:space="preserve">Q73</t>
  </si>
  <si>
    <t xml:space="preserve">R73</t>
  </si>
  <si>
    <t xml:space="preserve">S73</t>
  </si>
  <si>
    <t xml:space="preserve">T73</t>
  </si>
  <si>
    <t xml:space="preserve">U73</t>
  </si>
  <si>
    <t xml:space="preserve">V73</t>
  </si>
  <si>
    <t xml:space="preserve">W73</t>
  </si>
  <si>
    <t xml:space="preserve">X73</t>
  </si>
  <si>
    <t xml:space="preserve">Y73</t>
  </si>
  <si>
    <t xml:space="preserve">Z73</t>
  </si>
  <si>
    <t xml:space="preserve">AA73</t>
  </si>
  <si>
    <t xml:space="preserve">AB73</t>
  </si>
  <si>
    <t xml:space="preserve">AC73</t>
  </si>
  <si>
    <t xml:space="preserve">AD73</t>
  </si>
  <si>
    <t xml:space="preserve">AE73</t>
  </si>
  <si>
    <t xml:space="preserve">AF73</t>
  </si>
  <si>
    <t xml:space="preserve">E74</t>
  </si>
  <si>
    <t xml:space="preserve">F74</t>
  </si>
  <si>
    <t xml:space="preserve">G74</t>
  </si>
  <si>
    <t xml:space="preserve">H74</t>
  </si>
  <si>
    <t xml:space="preserve">I74</t>
  </si>
  <si>
    <t xml:space="preserve">J74</t>
  </si>
  <si>
    <t xml:space="preserve">K74</t>
  </si>
  <si>
    <t xml:space="preserve">L74</t>
  </si>
  <si>
    <t xml:space="preserve">M74</t>
  </si>
  <si>
    <t xml:space="preserve">N74</t>
  </si>
  <si>
    <t xml:space="preserve">O74</t>
  </si>
  <si>
    <t xml:space="preserve">P74</t>
  </si>
  <si>
    <t xml:space="preserve">Q74</t>
  </si>
  <si>
    <t xml:space="preserve">R74</t>
  </si>
  <si>
    <t xml:space="preserve">Lead only (Green Mountain LON-East 14 MW)</t>
  </si>
  <si>
    <t xml:space="preserve">S74</t>
  </si>
  <si>
    <t xml:space="preserve">T74</t>
  </si>
  <si>
    <t xml:space="preserve">14 MW = LON-East neocloud lease (if Nebius; low)</t>
  </si>
  <si>
    <t xml:space="preserve">U74</t>
  </si>
  <si>
    <t xml:space="preserve">V74</t>
  </si>
  <si>
    <t xml:space="preserve">W74</t>
  </si>
  <si>
    <t xml:space="preserve">X74</t>
  </si>
  <si>
    <t xml:space="preserve">Y74</t>
  </si>
  <si>
    <t xml:space="preserve">Z74</t>
  </si>
  <si>
    <t xml:space="preserve">AA74</t>
  </si>
  <si>
    <t xml:space="preserve">AB74</t>
  </si>
  <si>
    <t xml:space="preserve">AC74</t>
  </si>
  <si>
    <t xml:space="preserve">AD74</t>
  </si>
  <si>
    <t xml:space="preserve">AE74</t>
  </si>
  <si>
    <t xml:space="preserve">AF74</t>
  </si>
  <si>
    <t xml:space="preserve">E75</t>
  </si>
  <si>
    <t xml:space="preserve">F75</t>
  </si>
  <si>
    <t xml:space="preserve">G75</t>
  </si>
  <si>
    <t xml:space="preserve">H75</t>
  </si>
  <si>
    <t xml:space="preserve">I75</t>
  </si>
  <si>
    <t xml:space="preserve">J75</t>
  </si>
  <si>
    <t xml:space="preserve">K75</t>
  </si>
  <si>
    <t xml:space="preserve">L75</t>
  </si>
  <si>
    <t xml:space="preserve">M75</t>
  </si>
  <si>
    <t xml:space="preserve">N75</t>
  </si>
  <si>
    <t xml:space="preserve">O75</t>
  </si>
  <si>
    <t xml:space="preserve">P75</t>
  </si>
  <si>
    <t xml:space="preserve">Q75</t>
  </si>
  <si>
    <t xml:space="preserve">R75</t>
  </si>
  <si>
    <t xml:space="preserve">S75</t>
  </si>
  <si>
    <t xml:space="preserve">12</t>
  </si>
  <si>
    <t xml:space="preserve">T75</t>
  </si>
  <si>
    <t xml:space="preserve">14</t>
  </si>
  <si>
    <t xml:space="preserve">U75</t>
  </si>
  <si>
    <t xml:space="preserve">V75</t>
  </si>
  <si>
    <t xml:space="preserve">W75</t>
  </si>
  <si>
    <t xml:space="preserve">X75</t>
  </si>
  <si>
    <t xml:space="preserve">Y75</t>
  </si>
  <si>
    <t xml:space="preserve">Z75</t>
  </si>
  <si>
    <t xml:space="preserve">AA75</t>
  </si>
  <si>
    <t xml:space="preserve">AB75</t>
  </si>
  <si>
    <t xml:space="preserve">AC75</t>
  </si>
  <si>
    <t xml:space="preserve">AD75</t>
  </si>
  <si>
    <t xml:space="preserve">AE75</t>
  </si>
  <si>
    <t xml:space="preserve">AF75</t>
  </si>
  <si>
    <t xml:space="preserve">E76</t>
  </si>
  <si>
    <t xml:space="preserve">formula: =(E74+E75)/2</t>
  </si>
  <si>
    <t xml:space="preserve">F76</t>
  </si>
  <si>
    <t xml:space="preserve">formula: =(F74+F75)/2</t>
  </si>
  <si>
    <t xml:space="preserve">G76</t>
  </si>
  <si>
    <t xml:space="preserve">formula: =(G74+G75)/2</t>
  </si>
  <si>
    <t xml:space="preserve">H76</t>
  </si>
  <si>
    <t xml:space="preserve">formula: =(H74+H75)/2</t>
  </si>
  <si>
    <t xml:space="preserve">I76</t>
  </si>
  <si>
    <t xml:space="preserve">formula: =(I74+I75)/2</t>
  </si>
  <si>
    <t xml:space="preserve">J76</t>
  </si>
  <si>
    <t xml:space="preserve">formula: =(J74+J75)/2</t>
  </si>
  <si>
    <t xml:space="preserve">K76</t>
  </si>
  <si>
    <t xml:space="preserve">formula: =(K74+K75)/2</t>
  </si>
  <si>
    <t xml:space="preserve">L76</t>
  </si>
  <si>
    <t xml:space="preserve">formula: =(L74+L75)/2</t>
  </si>
  <si>
    <t xml:space="preserve">M76</t>
  </si>
  <si>
    <t xml:space="preserve">formula: =(M74+M75)/2</t>
  </si>
  <si>
    <t xml:space="preserve">N76</t>
  </si>
  <si>
    <t xml:space="preserve">formula: =(N74+N75)/2</t>
  </si>
  <si>
    <t xml:space="preserve">O76</t>
  </si>
  <si>
    <t xml:space="preserve">formula: =(O74+O75)/2</t>
  </si>
  <si>
    <t xml:space="preserve">P76</t>
  </si>
  <si>
    <t xml:space="preserve">formula: =(P74+P75)/2</t>
  </si>
  <si>
    <t xml:space="preserve">Q76</t>
  </si>
  <si>
    <t xml:space="preserve">formula: =(Q74+Q75)/2</t>
  </si>
  <si>
    <t xml:space="preserve">R76</t>
  </si>
  <si>
    <t xml:space="preserve">formula: =(R74+R75)/2</t>
  </si>
  <si>
    <t xml:space="preserve">S76</t>
  </si>
  <si>
    <t xml:space="preserve">formula: =(S74+S75)/2</t>
  </si>
  <si>
    <t xml:space="preserve">T76</t>
  </si>
  <si>
    <t xml:space="preserve">formula: =(T74+T75)/2</t>
  </si>
  <si>
    <t xml:space="preserve">U76</t>
  </si>
  <si>
    <t xml:space="preserve">formula: =(U74+U75)/2</t>
  </si>
  <si>
    <t xml:space="preserve">V76</t>
  </si>
  <si>
    <t xml:space="preserve">formula: =(V74+V75)/2</t>
  </si>
  <si>
    <t xml:space="preserve">W76</t>
  </si>
  <si>
    <t xml:space="preserve">formula: =(W74+W75)/2</t>
  </si>
  <si>
    <t xml:space="preserve">X76</t>
  </si>
  <si>
    <t xml:space="preserve">formula: =(X74+X75)/2</t>
  </si>
  <si>
    <t xml:space="preserve">Y76</t>
  </si>
  <si>
    <t xml:space="preserve">formula: =(Y74+Y75)/2</t>
  </si>
  <si>
    <t xml:space="preserve">Z76</t>
  </si>
  <si>
    <t xml:space="preserve">formula: =(Z74+Z75)/2</t>
  </si>
  <si>
    <t xml:space="preserve">AA76</t>
  </si>
  <si>
    <t xml:space="preserve">formula: =(AA74+AA75)/2</t>
  </si>
  <si>
    <t xml:space="preserve">AB76</t>
  </si>
  <si>
    <t xml:space="preserve">formula: =(AB74+AB75)/2</t>
  </si>
  <si>
    <t xml:space="preserve">AC76</t>
  </si>
  <si>
    <t xml:space="preserve">formula: =(AC74+AC75)/2</t>
  </si>
  <si>
    <t xml:space="preserve">AD76</t>
  </si>
  <si>
    <t xml:space="preserve">formula: =(AD74+AD75)/2</t>
  </si>
  <si>
    <t xml:space="preserve">AE76</t>
  </si>
  <si>
    <t xml:space="preserve">formula: =(AE74+AE75)/2</t>
  </si>
  <si>
    <t xml:space="preserve">AF76</t>
  </si>
  <si>
    <t xml:space="preserve">formula: =(AF74+AF75)/2</t>
  </si>
  <si>
    <t xml:space="preserve">J78</t>
  </si>
  <si>
    <t xml:space="preserve">K78</t>
  </si>
  <si>
    <t xml:space="preserve">L78</t>
  </si>
  <si>
    <t xml:space="preserve">M78</t>
  </si>
  <si>
    <t xml:space="preserve">N78</t>
  </si>
  <si>
    <t xml:space="preserve">O78</t>
  </si>
  <si>
    <t xml:space="preserve">P78</t>
  </si>
  <si>
    <t xml:space="preserve">Q78</t>
  </si>
  <si>
    <t xml:space="preserve">R78</t>
  </si>
  <si>
    <t xml:space="preserve">S78</t>
  </si>
  <si>
    <t xml:space="preserve">T78</t>
  </si>
  <si>
    <t xml:space="preserve">U78</t>
  </si>
  <si>
    <t xml:space="preserve">V78</t>
  </si>
  <si>
    <t xml:space="preserve">W78</t>
  </si>
  <si>
    <t xml:space="preserve">X78</t>
  </si>
  <si>
    <t xml:space="preserve">Y78</t>
  </si>
  <si>
    <t xml:space="preserve">Z78</t>
  </si>
  <si>
    <t xml:space="preserve">AA78</t>
  </si>
  <si>
    <t xml:space="preserve">AB78</t>
  </si>
  <si>
    <t xml:space="preserve">AC78</t>
  </si>
  <si>
    <t xml:space="preserve">AD78</t>
  </si>
  <si>
    <t xml:space="preserve">AE78</t>
  </si>
  <si>
    <t xml:space="preserve">AF78</t>
  </si>
  <si>
    <t xml:space="preserve">E79</t>
  </si>
  <si>
    <t xml:space="preserve">F79</t>
  </si>
  <si>
    <t xml:space="preserve">G79</t>
  </si>
  <si>
    <t xml:space="preserve">H79</t>
  </si>
  <si>
    <t xml:space="preserve">I79</t>
  </si>
  <si>
    <t xml:space="preserve">J79</t>
  </si>
  <si>
    <t xml:space="preserve">K79</t>
  </si>
  <si>
    <t xml:space="preserve">L79</t>
  </si>
  <si>
    <t xml:space="preserve">8 MW, 4,000 B200, launched Oct 20 2025</t>
  </si>
  <si>
    <t xml:space="preserve">M79</t>
  </si>
  <si>
    <t xml:space="preserve">N79</t>
  </si>
  <si>
    <t xml:space="preserve">O79</t>
  </si>
  <si>
    <t xml:space="preserve">P79</t>
  </si>
  <si>
    <t xml:space="preserve">Q79</t>
  </si>
  <si>
    <t xml:space="preserve">R79</t>
  </si>
  <si>
    <t xml:space="preserve">S79</t>
  </si>
  <si>
    <t xml:space="preserve">T79</t>
  </si>
  <si>
    <t xml:space="preserve">U79</t>
  </si>
  <si>
    <t xml:space="preserve">V79</t>
  </si>
  <si>
    <t xml:space="preserve">W79</t>
  </si>
  <si>
    <t xml:space="preserve">X79</t>
  </si>
  <si>
    <t xml:space="preserve">Y79</t>
  </si>
  <si>
    <t xml:space="preserve">Z79</t>
  </si>
  <si>
    <t xml:space="preserve">AA79</t>
  </si>
  <si>
    <t xml:space="preserve">AB79</t>
  </si>
  <si>
    <t xml:space="preserve">AC79</t>
  </si>
  <si>
    <t xml:space="preserve">AD79</t>
  </si>
  <si>
    <t xml:space="preserve">AE79</t>
  </si>
  <si>
    <t xml:space="preserve">AF79</t>
  </si>
  <si>
    <t xml:space="preserve">E80</t>
  </si>
  <si>
    <t xml:space="preserve">F80</t>
  </si>
  <si>
    <t xml:space="preserve">G80</t>
  </si>
  <si>
    <t xml:space="preserve">H80</t>
  </si>
  <si>
    <t xml:space="preserve">I80</t>
  </si>
  <si>
    <t xml:space="preserve">J80</t>
  </si>
  <si>
    <t xml:space="preserve">K80</t>
  </si>
  <si>
    <t xml:space="preserve">L80</t>
  </si>
  <si>
    <t xml:space="preserve">M80</t>
  </si>
  <si>
    <t xml:space="preserve">N80</t>
  </si>
  <si>
    <t xml:space="preserve">O80</t>
  </si>
  <si>
    <t xml:space="preserve">P80</t>
  </si>
  <si>
    <t xml:space="preserve">Q80</t>
  </si>
  <si>
    <t xml:space="preserve">R80</t>
  </si>
  <si>
    <t xml:space="preserve">S80</t>
  </si>
  <si>
    <t xml:space="preserve">T80</t>
  </si>
  <si>
    <t xml:space="preserve">U80</t>
  </si>
  <si>
    <t xml:space="preserve">V80</t>
  </si>
  <si>
    <t xml:space="preserve">W80</t>
  </si>
  <si>
    <t xml:space="preserve">X80</t>
  </si>
  <si>
    <t xml:space="preserve">Y80</t>
  </si>
  <si>
    <t xml:space="preserve">Z80</t>
  </si>
  <si>
    <t xml:space="preserve">AA80</t>
  </si>
  <si>
    <t xml:space="preserve">AB80</t>
  </si>
  <si>
    <t xml:space="preserve">AC80</t>
  </si>
  <si>
    <t xml:space="preserve">AD80</t>
  </si>
  <si>
    <t xml:space="preserve">AE80</t>
  </si>
  <si>
    <t xml:space="preserve">AF80</t>
  </si>
  <si>
    <t xml:space="preserve">E81</t>
  </si>
  <si>
    <t xml:space="preserve">formula: =(E79+E80)/2</t>
  </si>
  <si>
    <t xml:space="preserve">F81</t>
  </si>
  <si>
    <t xml:space="preserve">formula: =(F79+F80)/2</t>
  </si>
  <si>
    <t xml:space="preserve">G81</t>
  </si>
  <si>
    <t xml:space="preserve">formula: =(G79+G80)/2</t>
  </si>
  <si>
    <t xml:space="preserve">H81</t>
  </si>
  <si>
    <t xml:space="preserve">formula: =(H79+H80)/2</t>
  </si>
  <si>
    <t xml:space="preserve">I81</t>
  </si>
  <si>
    <t xml:space="preserve">formula: =(I79+I80)/2</t>
  </si>
  <si>
    <t xml:space="preserve">J81</t>
  </si>
  <si>
    <t xml:space="preserve">formula: =(J79+J80)/2</t>
  </si>
  <si>
    <t xml:space="preserve">K81</t>
  </si>
  <si>
    <t xml:space="preserve">formula: =(K79+K80)/2</t>
  </si>
  <si>
    <t xml:space="preserve">L81</t>
  </si>
  <si>
    <t xml:space="preserve">formula: =(L79+L80)/2</t>
  </si>
  <si>
    <t xml:space="preserve">M81</t>
  </si>
  <si>
    <t xml:space="preserve">formula: =(M79+M80)/2</t>
  </si>
  <si>
    <t xml:space="preserve">N81</t>
  </si>
  <si>
    <t xml:space="preserve">formula: =(N79+N80)/2</t>
  </si>
  <si>
    <t xml:space="preserve">O81</t>
  </si>
  <si>
    <t xml:space="preserve">formula: =(O79+O80)/2</t>
  </si>
  <si>
    <t xml:space="preserve">P81</t>
  </si>
  <si>
    <t xml:space="preserve">formula: =(P79+P80)/2</t>
  </si>
  <si>
    <t xml:space="preserve">Q81</t>
  </si>
  <si>
    <t xml:space="preserve">formula: =(Q79+Q80)/2</t>
  </si>
  <si>
    <t xml:space="preserve">R81</t>
  </si>
  <si>
    <t xml:space="preserve">formula: =(R79+R80)/2</t>
  </si>
  <si>
    <t xml:space="preserve">S81</t>
  </si>
  <si>
    <t xml:space="preserve">formula: =(S79+S80)/2</t>
  </si>
  <si>
    <t xml:space="preserve">T81</t>
  </si>
  <si>
    <t xml:space="preserve">formula: =(T79+T80)/2</t>
  </si>
  <si>
    <t xml:space="preserve">U81</t>
  </si>
  <si>
    <t xml:space="preserve">formula: =(U79+U80)/2</t>
  </si>
  <si>
    <t xml:space="preserve">V81</t>
  </si>
  <si>
    <t xml:space="preserve">formula: =(V79+V80)/2</t>
  </si>
  <si>
    <t xml:space="preserve">W81</t>
  </si>
  <si>
    <t xml:space="preserve">formula: =(W79+W80)/2</t>
  </si>
  <si>
    <t xml:space="preserve">X81</t>
  </si>
  <si>
    <t xml:space="preserve">formula: =(X79+X80)/2</t>
  </si>
  <si>
    <t xml:space="preserve">Y81</t>
  </si>
  <si>
    <t xml:space="preserve">formula: =(Y79+Y80)/2</t>
  </si>
  <si>
    <t xml:space="preserve">Z81</t>
  </si>
  <si>
    <t xml:space="preserve">formula: =(Z79+Z80)/2</t>
  </si>
  <si>
    <t xml:space="preserve">AA81</t>
  </si>
  <si>
    <t xml:space="preserve">formula: =(AA79+AA80)/2</t>
  </si>
  <si>
    <t xml:space="preserve">AB81</t>
  </si>
  <si>
    <t xml:space="preserve">formula: =(AB79+AB80)/2</t>
  </si>
  <si>
    <t xml:space="preserve">AC81</t>
  </si>
  <si>
    <t xml:space="preserve">formula: =(AC79+AC80)/2</t>
  </si>
  <si>
    <t xml:space="preserve">AD81</t>
  </si>
  <si>
    <t xml:space="preserve">formula: =(AD79+AD80)/2</t>
  </si>
  <si>
    <t xml:space="preserve">AE81</t>
  </si>
  <si>
    <t xml:space="preserve">formula: =(AE79+AE80)/2</t>
  </si>
  <si>
    <t xml:space="preserve">AF81</t>
  </si>
  <si>
    <t xml:space="preserve">formula: =(AF79+AF80)/2</t>
  </si>
  <si>
    <t xml:space="preserve">M83</t>
  </si>
  <si>
    <t xml:space="preserve">N83</t>
  </si>
  <si>
    <t xml:space="preserve">O83</t>
  </si>
  <si>
    <t xml:space="preserve">P83</t>
  </si>
  <si>
    <t xml:space="preserve">Q83</t>
  </si>
  <si>
    <t xml:space="preserve">R83</t>
  </si>
  <si>
    <t xml:space="preserve">S83</t>
  </si>
  <si>
    <t xml:space="preserve">T83</t>
  </si>
  <si>
    <t xml:space="preserve">U83</t>
  </si>
  <si>
    <t xml:space="preserve">V83</t>
  </si>
  <si>
    <t xml:space="preserve">W83</t>
  </si>
  <si>
    <t xml:space="preserve">X83</t>
  </si>
  <si>
    <t xml:space="preserve">Y83</t>
  </si>
  <si>
    <t xml:space="preserve">Z83</t>
  </si>
  <si>
    <t xml:space="preserve">AA83</t>
  </si>
  <si>
    <t xml:space="preserve">AB83</t>
  </si>
  <si>
    <t xml:space="preserve">AC83</t>
  </si>
  <si>
    <t xml:space="preserve">AD83</t>
  </si>
  <si>
    <t xml:space="preserve">AE83</t>
  </si>
  <si>
    <t xml:space="preserve">AF83</t>
  </si>
  <si>
    <t xml:space="preserve">E84</t>
  </si>
  <si>
    <t xml:space="preserve">F84</t>
  </si>
  <si>
    <t xml:space="preserve">G84</t>
  </si>
  <si>
    <t xml:space="preserve">H84</t>
  </si>
  <si>
    <t xml:space="preserve">I84</t>
  </si>
  <si>
    <t xml:space="preserve">J84</t>
  </si>
  <si>
    <t xml:space="preserve">K84</t>
  </si>
  <si>
    <t xml:space="preserve">L84</t>
  </si>
  <si>
    <t xml:space="preserve">M84</t>
  </si>
  <si>
    <t xml:space="preserve">N84</t>
  </si>
  <si>
    <t xml:space="preserve">O84</t>
  </si>
  <si>
    <t xml:space="preserve">P84</t>
  </si>
  <si>
    <t xml:space="preserve">Mega Or Q2-26 deck: Yoav construction completion Q4 2026 (slip vs Q3-26 delivery)</t>
  </si>
  <si>
    <t xml:space="preserve">Q84</t>
  </si>
  <si>
    <t xml:space="preserve">R84</t>
  </si>
  <si>
    <t xml:space="preserve">11</t>
  </si>
  <si>
    <t xml:space="preserve">S84</t>
  </si>
  <si>
    <t xml:space="preserve">T84</t>
  </si>
  <si>
    <t xml:space="preserve">U84</t>
  </si>
  <si>
    <t xml:space="preserve">V84</t>
  </si>
  <si>
    <t xml:space="preserve">W84</t>
  </si>
  <si>
    <t xml:space="preserve">X84</t>
  </si>
  <si>
    <t xml:space="preserve">Y84</t>
  </si>
  <si>
    <t xml:space="preserve">Z84</t>
  </si>
  <si>
    <t xml:space="preserve">AA84</t>
  </si>
  <si>
    <t xml:space="preserve">AB84</t>
  </si>
  <si>
    <t xml:space="preserve">AC84</t>
  </si>
  <si>
    <t xml:space="preserve">AD84</t>
  </si>
  <si>
    <t xml:space="preserve">AE84</t>
  </si>
  <si>
    <t xml:space="preserve">AF84</t>
  </si>
  <si>
    <t xml:space="preserve">E85</t>
  </si>
  <si>
    <t xml:space="preserve">F85</t>
  </si>
  <si>
    <t xml:space="preserve">G85</t>
  </si>
  <si>
    <t xml:space="preserve">H85</t>
  </si>
  <si>
    <t xml:space="preserve">I85</t>
  </si>
  <si>
    <t xml:space="preserve">J85</t>
  </si>
  <si>
    <t xml:space="preserve">K85</t>
  </si>
  <si>
    <t xml:space="preserve">L85</t>
  </si>
  <si>
    <t xml:space="preserve">M85</t>
  </si>
  <si>
    <t xml:space="preserve">N85</t>
  </si>
  <si>
    <t xml:space="preserve">O85</t>
  </si>
  <si>
    <t xml:space="preserve">P85</t>
  </si>
  <si>
    <t xml:space="preserve">Q85</t>
  </si>
  <si>
    <t xml:space="preserve">R85</t>
  </si>
  <si>
    <t xml:space="preserve">S85</t>
  </si>
  <si>
    <t xml:space="preserve">T85</t>
  </si>
  <si>
    <t xml:space="preserve">U85</t>
  </si>
  <si>
    <t xml:space="preserve">V85</t>
  </si>
  <si>
    <t xml:space="preserve">W85</t>
  </si>
  <si>
    <t xml:space="preserve">X85</t>
  </si>
  <si>
    <t xml:space="preserve">Y85</t>
  </si>
  <si>
    <t xml:space="preserve">Z85</t>
  </si>
  <si>
    <t xml:space="preserve">AA85</t>
  </si>
  <si>
    <t xml:space="preserve">AB85</t>
  </si>
  <si>
    <t xml:space="preserve">AC85</t>
  </si>
  <si>
    <t xml:space="preserve">AD85</t>
  </si>
  <si>
    <t xml:space="preserve">AE85</t>
  </si>
  <si>
    <t xml:space="preserve">AF85</t>
  </si>
  <si>
    <t xml:space="preserve">E86</t>
  </si>
  <si>
    <t xml:space="preserve">formula: =(E84+E85)/2</t>
  </si>
  <si>
    <t xml:space="preserve">F86</t>
  </si>
  <si>
    <t xml:space="preserve">formula: =(F84+F85)/2</t>
  </si>
  <si>
    <t xml:space="preserve">G86</t>
  </si>
  <si>
    <t xml:space="preserve">formula: =(G84+G85)/2</t>
  </si>
  <si>
    <t xml:space="preserve">H86</t>
  </si>
  <si>
    <t xml:space="preserve">formula: =(H84+H85)/2</t>
  </si>
  <si>
    <t xml:space="preserve">I86</t>
  </si>
  <si>
    <t xml:space="preserve">formula: =(I84+I85)/2</t>
  </si>
  <si>
    <t xml:space="preserve">J86</t>
  </si>
  <si>
    <t xml:space="preserve">formula: =(J84+J85)/2</t>
  </si>
  <si>
    <t xml:space="preserve">K86</t>
  </si>
  <si>
    <t xml:space="preserve">formula: =(K84+K85)/2</t>
  </si>
  <si>
    <t xml:space="preserve">L86</t>
  </si>
  <si>
    <t xml:space="preserve">formula: =(L84+L85)/2</t>
  </si>
  <si>
    <t xml:space="preserve">M86</t>
  </si>
  <si>
    <t xml:space="preserve">formula: =(M84+M85)/2</t>
  </si>
  <si>
    <t xml:space="preserve">N86</t>
  </si>
  <si>
    <t xml:space="preserve">formula: =(N84+N85)/2</t>
  </si>
  <si>
    <t xml:space="preserve">O86</t>
  </si>
  <si>
    <t xml:space="preserve">formula: =(O84+O85)/2</t>
  </si>
  <si>
    <t xml:space="preserve">P86</t>
  </si>
  <si>
    <t xml:space="preserve">formula: =(P84+P85)/2</t>
  </si>
  <si>
    <t xml:space="preserve">Q86</t>
  </si>
  <si>
    <t xml:space="preserve">formula: =(Q84+Q85)/2</t>
  </si>
  <si>
    <t xml:space="preserve">R86</t>
  </si>
  <si>
    <t xml:space="preserve">formula: =(R84+R85)/2</t>
  </si>
  <si>
    <t xml:space="preserve">S86</t>
  </si>
  <si>
    <t xml:space="preserve">formula: =(S84+S85)/2</t>
  </si>
  <si>
    <t xml:space="preserve">T86</t>
  </si>
  <si>
    <t xml:space="preserve">formula: =(T84+T85)/2</t>
  </si>
  <si>
    <t xml:space="preserve">U86</t>
  </si>
  <si>
    <t xml:space="preserve">formula: =(U84+U85)/2</t>
  </si>
  <si>
    <t xml:space="preserve">V86</t>
  </si>
  <si>
    <t xml:space="preserve">formula: =(V84+V85)/2</t>
  </si>
  <si>
    <t xml:space="preserve">W86</t>
  </si>
  <si>
    <t xml:space="preserve">formula: =(W84+W85)/2</t>
  </si>
  <si>
    <t xml:space="preserve">X86</t>
  </si>
  <si>
    <t xml:space="preserve">formula: =(X84+X85)/2</t>
  </si>
  <si>
    <t xml:space="preserve">Y86</t>
  </si>
  <si>
    <t xml:space="preserve">formula: =(Y84+Y85)/2</t>
  </si>
  <si>
    <t xml:space="preserve">Z86</t>
  </si>
  <si>
    <t xml:space="preserve">formula: =(Z84+Z85)/2</t>
  </si>
  <si>
    <t xml:space="preserve">AA86</t>
  </si>
  <si>
    <t xml:space="preserve">formula: =(AA84+AA85)/2</t>
  </si>
  <si>
    <t xml:space="preserve">AB86</t>
  </si>
  <si>
    <t xml:space="preserve">formula: =(AB84+AB85)/2</t>
  </si>
  <si>
    <t xml:space="preserve">AC86</t>
  </si>
  <si>
    <t xml:space="preserve">formula: =(AC84+AC85)/2</t>
  </si>
  <si>
    <t xml:space="preserve">AD86</t>
  </si>
  <si>
    <t xml:space="preserve">formula: =(AD84+AD85)/2</t>
  </si>
  <si>
    <t xml:space="preserve">AE86</t>
  </si>
  <si>
    <t xml:space="preserve">formula: =(AE84+AE85)/2</t>
  </si>
  <si>
    <t xml:space="preserve">AF86</t>
  </si>
  <si>
    <t xml:space="preserve">formula: =(AF84+AF85)/2</t>
  </si>
  <si>
    <t xml:space="preserve">O87</t>
  </si>
  <si>
    <t xml:space="preserve">Mega Or: delivery Q3 2026 | https://www.datacenterdynamics.com/en/news/nebius-signs-80mw-data-center-lease-with-mega-or-in-israel/; https://www.calcalistech.com/ctechnews/article/25ue6vi49; https://www.deeptase.co.il/en/analysis</t>
  </si>
  <si>
    <t xml:space="preserve">M88</t>
  </si>
  <si>
    <t xml:space="preserve">N88</t>
  </si>
  <si>
    <t xml:space="preserve">O88</t>
  </si>
  <si>
    <t xml:space="preserve">P88</t>
  </si>
  <si>
    <t xml:space="preserve">Q88</t>
  </si>
  <si>
    <t xml:space="preserve">R88</t>
  </si>
  <si>
    <t xml:space="preserve">S88</t>
  </si>
  <si>
    <t xml:space="preserve">T88</t>
  </si>
  <si>
    <t xml:space="preserve">U88</t>
  </si>
  <si>
    <t xml:space="preserve">V88</t>
  </si>
  <si>
    <t xml:space="preserve">W88</t>
  </si>
  <si>
    <t xml:space="preserve">X88</t>
  </si>
  <si>
    <t xml:space="preserve">Y88</t>
  </si>
  <si>
    <t xml:space="preserve">Z88</t>
  </si>
  <si>
    <t xml:space="preserve">AA88</t>
  </si>
  <si>
    <t xml:space="preserve">AB88</t>
  </si>
  <si>
    <t xml:space="preserve">AC88</t>
  </si>
  <si>
    <t xml:space="preserve">AD88</t>
  </si>
  <si>
    <t xml:space="preserve">AE88</t>
  </si>
  <si>
    <t xml:space="preserve">AF88</t>
  </si>
  <si>
    <t xml:space="preserve">E89</t>
  </si>
  <si>
    <t xml:space="preserve">F89</t>
  </si>
  <si>
    <t xml:space="preserve">G89</t>
  </si>
  <si>
    <t xml:space="preserve">H89</t>
  </si>
  <si>
    <t xml:space="preserve">I89</t>
  </si>
  <si>
    <t xml:space="preserve">J89</t>
  </si>
  <si>
    <t xml:space="preserve">K89</t>
  </si>
  <si>
    <t xml:space="preserve">L89</t>
  </si>
  <si>
    <t xml:space="preserve">M89</t>
  </si>
  <si>
    <t xml:space="preserve">N89</t>
  </si>
  <si>
    <t xml:space="preserve">O89</t>
  </si>
  <si>
    <t xml:space="preserve">P89</t>
  </si>
  <si>
    <t xml:space="preserve">Q89</t>
  </si>
  <si>
    <t xml:space="preserve">Mega Or Q2-26 deck: Beit Shemesh completion Q2 2027</t>
  </si>
  <si>
    <t xml:space="preserve">R89</t>
  </si>
  <si>
    <t xml:space="preserve">S89</t>
  </si>
  <si>
    <t xml:space="preserve">39</t>
  </si>
  <si>
    <t xml:space="preserve">T89</t>
  </si>
  <si>
    <t xml:space="preserve">U89</t>
  </si>
  <si>
    <t xml:space="preserve">V89</t>
  </si>
  <si>
    <t xml:space="preserve">W89</t>
  </si>
  <si>
    <t xml:space="preserve">X89</t>
  </si>
  <si>
    <t xml:space="preserve">Y89</t>
  </si>
  <si>
    <t xml:space="preserve">Z89</t>
  </si>
  <si>
    <t xml:space="preserve">AA89</t>
  </si>
  <si>
    <t xml:space="preserve">AB89</t>
  </si>
  <si>
    <t xml:space="preserve">AC89</t>
  </si>
  <si>
    <t xml:space="preserve">AD89</t>
  </si>
  <si>
    <t xml:space="preserve">AE89</t>
  </si>
  <si>
    <t xml:space="preserve">AF89</t>
  </si>
  <si>
    <t xml:space="preserve">E90</t>
  </si>
  <si>
    <t xml:space="preserve">F90</t>
  </si>
  <si>
    <t xml:space="preserve">G90</t>
  </si>
  <si>
    <t xml:space="preserve">H90</t>
  </si>
  <si>
    <t xml:space="preserve">I90</t>
  </si>
  <si>
    <t xml:space="preserve">J90</t>
  </si>
  <si>
    <t xml:space="preserve">K90</t>
  </si>
  <si>
    <t xml:space="preserve">L90</t>
  </si>
  <si>
    <t xml:space="preserve">M90</t>
  </si>
  <si>
    <t xml:space="preserve">N90</t>
  </si>
  <si>
    <t xml:space="preserve">O90</t>
  </si>
  <si>
    <t xml:space="preserve">P90</t>
  </si>
  <si>
    <t xml:space="preserve">Q90</t>
  </si>
  <si>
    <t xml:space="preserve">R90</t>
  </si>
  <si>
    <t xml:space="preserve">S90</t>
  </si>
  <si>
    <t xml:space="preserve">T90</t>
  </si>
  <si>
    <t xml:space="preserve">U90</t>
  </si>
  <si>
    <t xml:space="preserve">V90</t>
  </si>
  <si>
    <t xml:space="preserve">W90</t>
  </si>
  <si>
    <t xml:space="preserve">X90</t>
  </si>
  <si>
    <t xml:space="preserve">Y90</t>
  </si>
  <si>
    <t xml:space="preserve">Z90</t>
  </si>
  <si>
    <t xml:space="preserve">AA90</t>
  </si>
  <si>
    <t xml:space="preserve">AB90</t>
  </si>
  <si>
    <t xml:space="preserve">AC90</t>
  </si>
  <si>
    <t xml:space="preserve">AD90</t>
  </si>
  <si>
    <t xml:space="preserve">AE90</t>
  </si>
  <si>
    <t xml:space="preserve">AF90</t>
  </si>
  <si>
    <t xml:space="preserve">E91</t>
  </si>
  <si>
    <t xml:space="preserve">formula: =(E89+E90)/2</t>
  </si>
  <si>
    <t xml:space="preserve">F91</t>
  </si>
  <si>
    <t xml:space="preserve">formula: =(F89+F90)/2</t>
  </si>
  <si>
    <t xml:space="preserve">G91</t>
  </si>
  <si>
    <t xml:space="preserve">formula: =(G89+G90)/2</t>
  </si>
  <si>
    <t xml:space="preserve">H91</t>
  </si>
  <si>
    <t xml:space="preserve">formula: =(H89+H90)/2</t>
  </si>
  <si>
    <t xml:space="preserve">I91</t>
  </si>
  <si>
    <t xml:space="preserve">formula: =(I89+I90)/2</t>
  </si>
  <si>
    <t xml:space="preserve">J91</t>
  </si>
  <si>
    <t xml:space="preserve">formula: =(J89+J90)/2</t>
  </si>
  <si>
    <t xml:space="preserve">K91</t>
  </si>
  <si>
    <t xml:space="preserve">formula: =(K89+K90)/2</t>
  </si>
  <si>
    <t xml:space="preserve">L91</t>
  </si>
  <si>
    <t xml:space="preserve">formula: =(L89+L90)/2</t>
  </si>
  <si>
    <t xml:space="preserve">M91</t>
  </si>
  <si>
    <t xml:space="preserve">formula: =(M89+M90)/2</t>
  </si>
  <si>
    <t xml:space="preserve">N91</t>
  </si>
  <si>
    <t xml:space="preserve">formula: =(N89+N90)/2</t>
  </si>
  <si>
    <t xml:space="preserve">O91</t>
  </si>
  <si>
    <t xml:space="preserve">formula: =(O89+O90)/2</t>
  </si>
  <si>
    <t xml:space="preserve">P91</t>
  </si>
  <si>
    <t xml:space="preserve">formula: =(P89+P90)/2</t>
  </si>
  <si>
    <t xml:space="preserve">Q91</t>
  </si>
  <si>
    <t xml:space="preserve">formula: =(Q89+Q90)/2</t>
  </si>
  <si>
    <t xml:space="preserve">R91</t>
  </si>
  <si>
    <t xml:space="preserve">formula: =(R89+R90)/2</t>
  </si>
  <si>
    <t xml:space="preserve">S91</t>
  </si>
  <si>
    <t xml:space="preserve">formula: =(S89+S90)/2</t>
  </si>
  <si>
    <t xml:space="preserve">T91</t>
  </si>
  <si>
    <t xml:space="preserve">formula: =(T89+T90)/2</t>
  </si>
  <si>
    <t xml:space="preserve">U91</t>
  </si>
  <si>
    <t xml:space="preserve">formula: =(U89+U90)/2</t>
  </si>
  <si>
    <t xml:space="preserve">V91</t>
  </si>
  <si>
    <t xml:space="preserve">formula: =(V89+V90)/2</t>
  </si>
  <si>
    <t xml:space="preserve">W91</t>
  </si>
  <si>
    <t xml:space="preserve">formula: =(W89+W90)/2</t>
  </si>
  <si>
    <t xml:space="preserve">X91</t>
  </si>
  <si>
    <t xml:space="preserve">formula: =(X89+X90)/2</t>
  </si>
  <si>
    <t xml:space="preserve">Y91</t>
  </si>
  <si>
    <t xml:space="preserve">formula: =(Y89+Y90)/2</t>
  </si>
  <si>
    <t xml:space="preserve">Z91</t>
  </si>
  <si>
    <t xml:space="preserve">formula: =(Z89+Z90)/2</t>
  </si>
  <si>
    <t xml:space="preserve">AA91</t>
  </si>
  <si>
    <t xml:space="preserve">formula: =(AA89+AA90)/2</t>
  </si>
  <si>
    <t xml:space="preserve">AB91</t>
  </si>
  <si>
    <t xml:space="preserve">formula: =(AB89+AB90)/2</t>
  </si>
  <si>
    <t xml:space="preserve">AC91</t>
  </si>
  <si>
    <t xml:space="preserve">formula: =(AC89+AC90)/2</t>
  </si>
  <si>
    <t xml:space="preserve">AD91</t>
  </si>
  <si>
    <t xml:space="preserve">formula: =(AD89+AD90)/2</t>
  </si>
  <si>
    <t xml:space="preserve">AE91</t>
  </si>
  <si>
    <t xml:space="preserve">formula: =(AE89+AE90)/2</t>
  </si>
  <si>
    <t xml:space="preserve">AF91</t>
  </si>
  <si>
    <t xml:space="preserve">formula: =(AF89+AF90)/2</t>
  </si>
  <si>
    <t xml:space="preserve">Q92</t>
  </si>
  <si>
    <t xml:space="preserve">Mega Or: staged Q3-26..Q1-27 | https://www.datacenterdynamics.com/en/news/nebius-signs-80mw-data-center-lease-with-mega-or-in-israel/; https://www.calcalistech.com/ctechnews/article/25ue6vi49; https://www.deeptase.co.il/en/analysis</t>
  </si>
  <si>
    <t xml:space="preserve">N93</t>
  </si>
  <si>
    <t xml:space="preserve">O93</t>
  </si>
  <si>
    <t xml:space="preserve">P93</t>
  </si>
  <si>
    <t xml:space="preserve">Q93</t>
  </si>
  <si>
    <t xml:space="preserve">R93</t>
  </si>
  <si>
    <t xml:space="preserve">S93</t>
  </si>
  <si>
    <t xml:space="preserve">T93</t>
  </si>
  <si>
    <t xml:space="preserve">U93</t>
  </si>
  <si>
    <t xml:space="preserve">V93</t>
  </si>
  <si>
    <t xml:space="preserve">W93</t>
  </si>
  <si>
    <t xml:space="preserve">X93</t>
  </si>
  <si>
    <t xml:space="preserve">Y93</t>
  </si>
  <si>
    <t xml:space="preserve">Z93</t>
  </si>
  <si>
    <t xml:space="preserve">AA93</t>
  </si>
  <si>
    <t xml:space="preserve">AB93</t>
  </si>
  <si>
    <t xml:space="preserve">AC93</t>
  </si>
  <si>
    <t xml:space="preserve">AD93</t>
  </si>
  <si>
    <t xml:space="preserve">AE93</t>
  </si>
  <si>
    <t xml:space="preserve">AF93</t>
  </si>
  <si>
    <t xml:space="preserve">E94</t>
  </si>
  <si>
    <t xml:space="preserve">F94</t>
  </si>
  <si>
    <t xml:space="preserve">G94</t>
  </si>
  <si>
    <t xml:space="preserve">H94</t>
  </si>
  <si>
    <t xml:space="preserve">I94</t>
  </si>
  <si>
    <t xml:space="preserve">J94</t>
  </si>
  <si>
    <t xml:space="preserve">K94</t>
  </si>
  <si>
    <t xml:space="preserve">L94</t>
  </si>
  <si>
    <t xml:space="preserve">M94</t>
  </si>
  <si>
    <t xml:space="preserve">N94</t>
  </si>
  <si>
    <t xml:space="preserve">O94</t>
  </si>
  <si>
    <t xml:space="preserve">6</t>
  </si>
  <si>
    <t xml:space="preserve">Phase 1 live mid-Sep 2026 (MW n/d; 1/3-1/2 of 18)</t>
  </si>
  <si>
    <t xml:space="preserve">P94</t>
  </si>
  <si>
    <t xml:space="preserve">9</t>
  </si>
  <si>
    <t xml:space="preserve">Phases 2-3 "coming weeks"</t>
  </si>
  <si>
    <t xml:space="preserve">Q94</t>
  </si>
  <si>
    <t xml:space="preserve">R94</t>
  </si>
  <si>
    <t xml:space="preserve">S94</t>
  </si>
  <si>
    <t xml:space="preserve">T94</t>
  </si>
  <si>
    <t xml:space="preserve">U94</t>
  </si>
  <si>
    <t xml:space="preserve">V94</t>
  </si>
  <si>
    <t xml:space="preserve">W94</t>
  </si>
  <si>
    <t xml:space="preserve">X94</t>
  </si>
  <si>
    <t xml:space="preserve">Y94</t>
  </si>
  <si>
    <t xml:space="preserve">Z94</t>
  </si>
  <si>
    <t xml:space="preserve">AA94</t>
  </si>
  <si>
    <t xml:space="preserve">AB94</t>
  </si>
  <si>
    <t xml:space="preserve">AC94</t>
  </si>
  <si>
    <t xml:space="preserve">AD94</t>
  </si>
  <si>
    <t xml:space="preserve">AE94</t>
  </si>
  <si>
    <t xml:space="preserve">AF94</t>
  </si>
  <si>
    <t xml:space="preserve">E95</t>
  </si>
  <si>
    <t xml:space="preserve">F95</t>
  </si>
  <si>
    <t xml:space="preserve">G95</t>
  </si>
  <si>
    <t xml:space="preserve">H95</t>
  </si>
  <si>
    <t xml:space="preserve">I95</t>
  </si>
  <si>
    <t xml:space="preserve">J95</t>
  </si>
  <si>
    <t xml:space="preserve">K95</t>
  </si>
  <si>
    <t xml:space="preserve">L95</t>
  </si>
  <si>
    <t xml:space="preserve">M95</t>
  </si>
  <si>
    <t xml:space="preserve">N95</t>
  </si>
  <si>
    <t xml:space="preserve">O95</t>
  </si>
  <si>
    <t xml:space="preserve">P95</t>
  </si>
  <si>
    <t xml:space="preserve">Q95</t>
  </si>
  <si>
    <t xml:space="preserve">R95</t>
  </si>
  <si>
    <t xml:space="preserve">S95</t>
  </si>
  <si>
    <t xml:space="preserve">T95</t>
  </si>
  <si>
    <t xml:space="preserve">U95</t>
  </si>
  <si>
    <t xml:space="preserve">V95</t>
  </si>
  <si>
    <t xml:space="preserve">W95</t>
  </si>
  <si>
    <t xml:space="preserve">X95</t>
  </si>
  <si>
    <t xml:space="preserve">Y95</t>
  </si>
  <si>
    <t xml:space="preserve">Z95</t>
  </si>
  <si>
    <t xml:space="preserve">AA95</t>
  </si>
  <si>
    <t xml:space="preserve">AB95</t>
  </si>
  <si>
    <t xml:space="preserve">AC95</t>
  </si>
  <si>
    <t xml:space="preserve">AD95</t>
  </si>
  <si>
    <t xml:space="preserve">AE95</t>
  </si>
  <si>
    <t xml:space="preserve">AF95</t>
  </si>
  <si>
    <t xml:space="preserve">E96</t>
  </si>
  <si>
    <t xml:space="preserve">formula: =(E94+E95)/2</t>
  </si>
  <si>
    <t xml:space="preserve">F96</t>
  </si>
  <si>
    <t xml:space="preserve">formula: =(F94+F95)/2</t>
  </si>
  <si>
    <t xml:space="preserve">G96</t>
  </si>
  <si>
    <t xml:space="preserve">formula: =(G94+G95)/2</t>
  </si>
  <si>
    <t xml:space="preserve">H96</t>
  </si>
  <si>
    <t xml:space="preserve">formula: =(H94+H95)/2</t>
  </si>
  <si>
    <t xml:space="preserve">I96</t>
  </si>
  <si>
    <t xml:space="preserve">formula: =(I94+I95)/2</t>
  </si>
  <si>
    <t xml:space="preserve">J96</t>
  </si>
  <si>
    <t xml:space="preserve">formula: =(J94+J95)/2</t>
  </si>
  <si>
    <t xml:space="preserve">K96</t>
  </si>
  <si>
    <t xml:space="preserve">formula: =(K94+K95)/2</t>
  </si>
  <si>
    <t xml:space="preserve">L96</t>
  </si>
  <si>
    <t xml:space="preserve">formula: =(L94+L95)/2</t>
  </si>
  <si>
    <t xml:space="preserve">M96</t>
  </si>
  <si>
    <t xml:space="preserve">formula: =(M94+M95)/2</t>
  </si>
  <si>
    <t xml:space="preserve">N96</t>
  </si>
  <si>
    <t xml:space="preserve">formula: =(N94+N95)/2</t>
  </si>
  <si>
    <t xml:space="preserve">O96</t>
  </si>
  <si>
    <t xml:space="preserve">formula: =(O94+O95)/2</t>
  </si>
  <si>
    <t xml:space="preserve">P96</t>
  </si>
  <si>
    <t xml:space="preserve">formula: =(P94+P95)/2</t>
  </si>
  <si>
    <t xml:space="preserve">Q96</t>
  </si>
  <si>
    <t xml:space="preserve">formula: =(Q94+Q95)/2</t>
  </si>
  <si>
    <t xml:space="preserve">R96</t>
  </si>
  <si>
    <t xml:space="preserve">formula: =(R94+R95)/2</t>
  </si>
  <si>
    <t xml:space="preserve">S96</t>
  </si>
  <si>
    <t xml:space="preserve">formula: =(S94+S95)/2</t>
  </si>
  <si>
    <t xml:space="preserve">T96</t>
  </si>
  <si>
    <t xml:space="preserve">formula: =(T94+T95)/2</t>
  </si>
  <si>
    <t xml:space="preserve">U96</t>
  </si>
  <si>
    <t xml:space="preserve">formula: =(U94+U95)/2</t>
  </si>
  <si>
    <t xml:space="preserve">V96</t>
  </si>
  <si>
    <t xml:space="preserve">formula: =(V94+V95)/2</t>
  </si>
  <si>
    <t xml:space="preserve">W96</t>
  </si>
  <si>
    <t xml:space="preserve">formula: =(W94+W95)/2</t>
  </si>
  <si>
    <t xml:space="preserve">X96</t>
  </si>
  <si>
    <t xml:space="preserve">formula: =(X94+X95)/2</t>
  </si>
  <si>
    <t xml:space="preserve">Y96</t>
  </si>
  <si>
    <t xml:space="preserve">formula: =(Y94+Y95)/2</t>
  </si>
  <si>
    <t xml:space="preserve">Z96</t>
  </si>
  <si>
    <t xml:space="preserve">formula: =(Z94+Z95)/2</t>
  </si>
  <si>
    <t xml:space="preserve">AA96</t>
  </si>
  <si>
    <t xml:space="preserve">formula: =(AA94+AA95)/2</t>
  </si>
  <si>
    <t xml:space="preserve">AB96</t>
  </si>
  <si>
    <t xml:space="preserve">formula: =(AB94+AB95)/2</t>
  </si>
  <si>
    <t xml:space="preserve">AC96</t>
  </si>
  <si>
    <t xml:space="preserve">formula: =(AC94+AC95)/2</t>
  </si>
  <si>
    <t xml:space="preserve">AD96</t>
  </si>
  <si>
    <t xml:space="preserve">formula: =(AD94+AD95)/2</t>
  </si>
  <si>
    <t xml:space="preserve">AE96</t>
  </si>
  <si>
    <t xml:space="preserve">formula: =(AE94+AE95)/2</t>
  </si>
  <si>
    <t xml:space="preserve">AF96</t>
  </si>
  <si>
    <t xml:space="preserve">formula: =(AF94+AF95)/2</t>
  </si>
  <si>
    <t xml:space="preserve">O97</t>
  </si>
  <si>
    <t xml:space="preserve">LinkedIn/Merlin: live Sep 2026 (phase 1) | https://www.linkedin.com/feed/update/urn:li:activity:7505906816590073857; https://www.merlinproperties.com/dia-a-dia/firmamos-un-contrato-de-18-mw-con-nebius-para-nuestro-date-center-madrid-getafe/; h</t>
  </si>
  <si>
    <t xml:space="preserve">N98</t>
  </si>
  <si>
    <t xml:space="preserve">O98</t>
  </si>
  <si>
    <t xml:space="preserve">P98</t>
  </si>
  <si>
    <t xml:space="preserve">Q98</t>
  </si>
  <si>
    <t xml:space="preserve">R98</t>
  </si>
  <si>
    <t xml:space="preserve">S98</t>
  </si>
  <si>
    <t xml:space="preserve">T98</t>
  </si>
  <si>
    <t xml:space="preserve">U98</t>
  </si>
  <si>
    <t xml:space="preserve">V98</t>
  </si>
  <si>
    <t xml:space="preserve">W98</t>
  </si>
  <si>
    <t xml:space="preserve">X98</t>
  </si>
  <si>
    <t xml:space="preserve">Y98</t>
  </si>
  <si>
    <t xml:space="preserve">Z98</t>
  </si>
  <si>
    <t xml:space="preserve">AA98</t>
  </si>
  <si>
    <t xml:space="preserve">AB98</t>
  </si>
  <si>
    <t xml:space="preserve">AC98</t>
  </si>
  <si>
    <t xml:space="preserve">AD98</t>
  </si>
  <si>
    <t xml:space="preserve">AE98</t>
  </si>
  <si>
    <t xml:space="preserve">AF98</t>
  </si>
  <si>
    <t xml:space="preserve">E99</t>
  </si>
  <si>
    <t xml:space="preserve">F99</t>
  </si>
  <si>
    <t xml:space="preserve">G99</t>
  </si>
  <si>
    <t xml:space="preserve">H99</t>
  </si>
  <si>
    <t xml:space="preserve">I99</t>
  </si>
  <si>
    <t xml:space="preserve">J99</t>
  </si>
  <si>
    <t xml:space="preserve">K99</t>
  </si>
  <si>
    <t xml:space="preserve">L99</t>
  </si>
  <si>
    <t xml:space="preserve">M99</t>
  </si>
  <si>
    <t xml:space="preserve">N99</t>
  </si>
  <si>
    <t xml:space="preserve">O99</t>
  </si>
  <si>
    <t xml:space="preserve">P99</t>
  </si>
  <si>
    <t xml:space="preserve">"Later in 2026"</t>
  </si>
  <si>
    <t xml:space="preserve">Q99</t>
  </si>
  <si>
    <t xml:space="preserve">R99</t>
  </si>
  <si>
    <t xml:space="preserve">S99</t>
  </si>
  <si>
    <t xml:space="preserve">T99</t>
  </si>
  <si>
    <t xml:space="preserve">U99</t>
  </si>
  <si>
    <t xml:space="preserve">V99</t>
  </si>
  <si>
    <t xml:space="preserve">W99</t>
  </si>
  <si>
    <t xml:space="preserve">X99</t>
  </si>
  <si>
    <t xml:space="preserve">Y99</t>
  </si>
  <si>
    <t xml:space="preserve">Z99</t>
  </si>
  <si>
    <t xml:space="preserve">AA99</t>
  </si>
  <si>
    <t xml:space="preserve">AB99</t>
  </si>
  <si>
    <t xml:space="preserve">AC99</t>
  </si>
  <si>
    <t xml:space="preserve">AD99</t>
  </si>
  <si>
    <t xml:space="preserve">AE99</t>
  </si>
  <si>
    <t xml:space="preserve">AF99</t>
  </si>
  <si>
    <t xml:space="preserve">E100</t>
  </si>
  <si>
    <t xml:space="preserve">F100</t>
  </si>
  <si>
    <t xml:space="preserve">G100</t>
  </si>
  <si>
    <t xml:space="preserve">H100</t>
  </si>
  <si>
    <t xml:space="preserve">I100</t>
  </si>
  <si>
    <t xml:space="preserve">J100</t>
  </si>
  <si>
    <t xml:space="preserve">K100</t>
  </si>
  <si>
    <t xml:space="preserve">L100</t>
  </si>
  <si>
    <t xml:space="preserve">M100</t>
  </si>
  <si>
    <t xml:space="preserve">N100</t>
  </si>
  <si>
    <t xml:space="preserve">O100</t>
  </si>
  <si>
    <t xml:space="preserve">P100</t>
  </si>
  <si>
    <t xml:space="preserve">Q100</t>
  </si>
  <si>
    <t xml:space="preserve">R100</t>
  </si>
  <si>
    <t xml:space="preserve">S100</t>
  </si>
  <si>
    <t xml:space="preserve">T100</t>
  </si>
  <si>
    <t xml:space="preserve">U100</t>
  </si>
  <si>
    <t xml:space="preserve">V100</t>
  </si>
  <si>
    <t xml:space="preserve">W100</t>
  </si>
  <si>
    <t xml:space="preserve">X100</t>
  </si>
  <si>
    <t xml:space="preserve">Y100</t>
  </si>
  <si>
    <t xml:space="preserve">Z100</t>
  </si>
  <si>
    <t xml:space="preserve">AA100</t>
  </si>
  <si>
    <t xml:space="preserve">AB100</t>
  </si>
  <si>
    <t xml:space="preserve">AC100</t>
  </si>
  <si>
    <t xml:space="preserve">AD100</t>
  </si>
  <si>
    <t xml:space="preserve">AE100</t>
  </si>
  <si>
    <t xml:space="preserve">AF100</t>
  </si>
  <si>
    <t xml:space="preserve">E101</t>
  </si>
  <si>
    <t xml:space="preserve">formula: =(E99+E100)/2</t>
  </si>
  <si>
    <t xml:space="preserve">F101</t>
  </si>
  <si>
    <t xml:space="preserve">formula: =(F99+F100)/2</t>
  </si>
  <si>
    <t xml:space="preserve">G101</t>
  </si>
  <si>
    <t xml:space="preserve">formula: =(G99+G100)/2</t>
  </si>
  <si>
    <t xml:space="preserve">H101</t>
  </si>
  <si>
    <t xml:space="preserve">formula: =(H99+H100)/2</t>
  </si>
  <si>
    <t xml:space="preserve">I101</t>
  </si>
  <si>
    <t xml:space="preserve">formula: =(I99+I100)/2</t>
  </si>
  <si>
    <t xml:space="preserve">J101</t>
  </si>
  <si>
    <t xml:space="preserve">formula: =(J99+J100)/2</t>
  </si>
  <si>
    <t xml:space="preserve">K101</t>
  </si>
  <si>
    <t xml:space="preserve">formula: =(K99+K100)/2</t>
  </si>
  <si>
    <t xml:space="preserve">L101</t>
  </si>
  <si>
    <t xml:space="preserve">formula: =(L99+L100)/2</t>
  </si>
  <si>
    <t xml:space="preserve">M101</t>
  </si>
  <si>
    <t xml:space="preserve">formula: =(M99+M100)/2</t>
  </si>
  <si>
    <t xml:space="preserve">N101</t>
  </si>
  <si>
    <t xml:space="preserve">formula: =(N99+N100)/2</t>
  </si>
  <si>
    <t xml:space="preserve">O101</t>
  </si>
  <si>
    <t xml:space="preserve">formula: =(O99+O100)/2</t>
  </si>
  <si>
    <t xml:space="preserve">P101</t>
  </si>
  <si>
    <t xml:space="preserve">formula: =(P99+P100)/2</t>
  </si>
  <si>
    <t xml:space="preserve">Q101</t>
  </si>
  <si>
    <t xml:space="preserve">formula: =(Q99+Q100)/2</t>
  </si>
  <si>
    <t xml:space="preserve">R101</t>
  </si>
  <si>
    <t xml:space="preserve">formula: =(R99+R100)/2</t>
  </si>
  <si>
    <t xml:space="preserve">S101</t>
  </si>
  <si>
    <t xml:space="preserve">formula: =(S99+S100)/2</t>
  </si>
  <si>
    <t xml:space="preserve">T101</t>
  </si>
  <si>
    <t xml:space="preserve">formula: =(T99+T100)/2</t>
  </si>
  <si>
    <t xml:space="preserve">U101</t>
  </si>
  <si>
    <t xml:space="preserve">formula: =(U99+U100)/2</t>
  </si>
  <si>
    <t xml:space="preserve">V101</t>
  </si>
  <si>
    <t xml:space="preserve">formula: =(V99+V100)/2</t>
  </si>
  <si>
    <t xml:space="preserve">W101</t>
  </si>
  <si>
    <t xml:space="preserve">formula: =(W99+W100)/2</t>
  </si>
  <si>
    <t xml:space="preserve">X101</t>
  </si>
  <si>
    <t xml:space="preserve">formula: =(X99+X100)/2</t>
  </si>
  <si>
    <t xml:space="preserve">Y101</t>
  </si>
  <si>
    <t xml:space="preserve">formula: =(Y99+Y100)/2</t>
  </si>
  <si>
    <t xml:space="preserve">Z101</t>
  </si>
  <si>
    <t xml:space="preserve">formula: =(Z99+Z100)/2</t>
  </si>
  <si>
    <t xml:space="preserve">AA101</t>
  </si>
  <si>
    <t xml:space="preserve">formula: =(AA99+AA100)/2</t>
  </si>
  <si>
    <t xml:space="preserve">AB101</t>
  </si>
  <si>
    <t xml:space="preserve">formula: =(AB99+AB100)/2</t>
  </si>
  <si>
    <t xml:space="preserve">AC101</t>
  </si>
  <si>
    <t xml:space="preserve">formula: =(AC99+AC100)/2</t>
  </si>
  <si>
    <t xml:space="preserve">AD101</t>
  </si>
  <si>
    <t xml:space="preserve">formula: =(AD99+AD100)/2</t>
  </si>
  <si>
    <t xml:space="preserve">AE101</t>
  </si>
  <si>
    <t xml:space="preserve">formula: =(AE99+AE100)/2</t>
  </si>
  <si>
    <t xml:space="preserve">AF101</t>
  </si>
  <si>
    <t xml:space="preserve">formula: =(AF99+AF100)/2</t>
  </si>
  <si>
    <t xml:space="preserve">P102</t>
  </si>
  <si>
    <t xml:space="preserve">Q2-26: later in 2026 | https://news.err.ee/1610109073/baltics-first-ai-factory-to-open-in-estonia; https://www.datacenterdynamics.com/en/news/nebius-expands-european-presence-announces-deployment-in-estonia-and-second-data-</t>
  </si>
  <si>
    <t xml:space="preserve">E103</t>
  </si>
  <si>
    <t xml:space="preserve">F103</t>
  </si>
  <si>
    <t xml:space="preserve">G103</t>
  </si>
  <si>
    <t xml:space="preserve">H103</t>
  </si>
  <si>
    <t xml:space="preserve">I103</t>
  </si>
  <si>
    <t xml:space="preserve">J103</t>
  </si>
  <si>
    <t xml:space="preserve">K103</t>
  </si>
  <si>
    <t xml:space="preserve">L103</t>
  </si>
  <si>
    <t xml:space="preserve">M103</t>
  </si>
  <si>
    <t xml:space="preserve">N103</t>
  </si>
  <si>
    <t xml:space="preserve">O103</t>
  </si>
  <si>
    <t xml:space="preserve">P103</t>
  </si>
  <si>
    <t xml:space="preserve">Q103</t>
  </si>
  <si>
    <t xml:space="preserve">R103</t>
  </si>
  <si>
    <t xml:space="preserve">S103</t>
  </si>
  <si>
    <t xml:space="preserve">T103</t>
  </si>
  <si>
    <t xml:space="preserve">U103</t>
  </si>
  <si>
    <t xml:space="preserve">V103</t>
  </si>
  <si>
    <t xml:space="preserve">W103</t>
  </si>
  <si>
    <t xml:space="preserve">X103</t>
  </si>
  <si>
    <t xml:space="preserve">Y103</t>
  </si>
  <si>
    <t xml:space="preserve">Z103</t>
  </si>
  <si>
    <t xml:space="preserve">AA103</t>
  </si>
  <si>
    <t xml:space="preserve">AB103</t>
  </si>
  <si>
    <t xml:space="preserve">AC103</t>
  </si>
  <si>
    <t xml:space="preserve">AD103</t>
  </si>
  <si>
    <t xml:space="preserve">AE103</t>
  </si>
  <si>
    <t xml:space="preserve">AF103</t>
  </si>
  <si>
    <t xml:space="preserve">E104</t>
  </si>
  <si>
    <t xml:space="preserve">F104</t>
  </si>
  <si>
    <t xml:space="preserve">G104</t>
  </si>
  <si>
    <t xml:space="preserve">H104</t>
  </si>
  <si>
    <t xml:space="preserve">I104</t>
  </si>
  <si>
    <t xml:space="preserve">J104</t>
  </si>
  <si>
    <t xml:space="preserve">K104</t>
  </si>
  <si>
    <t xml:space="preserve">L104</t>
  </si>
  <si>
    <t xml:space="preserve">M104</t>
  </si>
  <si>
    <t xml:space="preserve">us-north1 live (docs); DC technician "onsite in our Minnesota data center" Feb 20 2026; IronGate MSP01 15 MW live fully leased (Woodbury News Net Sep 9 2026) -&gt; 5-15 MW (inference)</t>
  </si>
  <si>
    <t xml:space="preserve">N104</t>
  </si>
  <si>
    <t xml:space="preserve">O104</t>
  </si>
  <si>
    <t xml:space="preserve">P104</t>
  </si>
  <si>
    <t xml:space="preserve">Q104</t>
  </si>
  <si>
    <t xml:space="preserve">R104</t>
  </si>
  <si>
    <t xml:space="preserve">S104</t>
  </si>
  <si>
    <t xml:space="preserve">T104</t>
  </si>
  <si>
    <t xml:space="preserve">U104</t>
  </si>
  <si>
    <t xml:space="preserve">V104</t>
  </si>
  <si>
    <t xml:space="preserve">W104</t>
  </si>
  <si>
    <t xml:space="preserve">X104</t>
  </si>
  <si>
    <t xml:space="preserve">Y104</t>
  </si>
  <si>
    <t xml:space="preserve">Z104</t>
  </si>
  <si>
    <t xml:space="preserve">AA104</t>
  </si>
  <si>
    <t xml:space="preserve">AB104</t>
  </si>
  <si>
    <t xml:space="preserve">AC104</t>
  </si>
  <si>
    <t xml:space="preserve">AD104</t>
  </si>
  <si>
    <t xml:space="preserve">AE104</t>
  </si>
  <si>
    <t xml:space="preserve">AF104</t>
  </si>
  <si>
    <t xml:space="preserve">E105</t>
  </si>
  <si>
    <t xml:space="preserve">F105</t>
  </si>
  <si>
    <t xml:space="preserve">G105</t>
  </si>
  <si>
    <t xml:space="preserve">H105</t>
  </si>
  <si>
    <t xml:space="preserve">I105</t>
  </si>
  <si>
    <t xml:space="preserve">J105</t>
  </si>
  <si>
    <t xml:space="preserve">K105</t>
  </si>
  <si>
    <t xml:space="preserve">L105</t>
  </si>
  <si>
    <t xml:space="preserve">M105</t>
  </si>
  <si>
    <t xml:space="preserve">N105</t>
  </si>
  <si>
    <t xml:space="preserve">O105</t>
  </si>
  <si>
    <t xml:space="preserve">P105</t>
  </si>
  <si>
    <t xml:space="preserve">Q105</t>
  </si>
  <si>
    <t xml:space="preserve">R105</t>
  </si>
  <si>
    <t xml:space="preserve">S105</t>
  </si>
  <si>
    <t xml:space="preserve">T105</t>
  </si>
  <si>
    <t xml:space="preserve">U105</t>
  </si>
  <si>
    <t xml:space="preserve">V105</t>
  </si>
  <si>
    <t xml:space="preserve">W105</t>
  </si>
  <si>
    <t xml:space="preserve">X105</t>
  </si>
  <si>
    <t xml:space="preserve">Y105</t>
  </si>
  <si>
    <t xml:space="preserve">Z105</t>
  </si>
  <si>
    <t xml:space="preserve">AA105</t>
  </si>
  <si>
    <t xml:space="preserve">AB105</t>
  </si>
  <si>
    <t xml:space="preserve">AC105</t>
  </si>
  <si>
    <t xml:space="preserve">AD105</t>
  </si>
  <si>
    <t xml:space="preserve">AE105</t>
  </si>
  <si>
    <t xml:space="preserve">AF105</t>
  </si>
  <si>
    <t xml:space="preserve">E106</t>
  </si>
  <si>
    <t xml:space="preserve">formula: =(E104+E105)/2</t>
  </si>
  <si>
    <t xml:space="preserve">F106</t>
  </si>
  <si>
    <t xml:space="preserve">formula: =(F104+F105)/2</t>
  </si>
  <si>
    <t xml:space="preserve">G106</t>
  </si>
  <si>
    <t xml:space="preserve">formula: =(G104+G105)/2</t>
  </si>
  <si>
    <t xml:space="preserve">H106</t>
  </si>
  <si>
    <t xml:space="preserve">formula: =(H104+H105)/2</t>
  </si>
  <si>
    <t xml:space="preserve">I106</t>
  </si>
  <si>
    <t xml:space="preserve">formula: =(I104+I105)/2</t>
  </si>
  <si>
    <t xml:space="preserve">J106</t>
  </si>
  <si>
    <t xml:space="preserve">formula: =(J104+J105)/2</t>
  </si>
  <si>
    <t xml:space="preserve">K106</t>
  </si>
  <si>
    <t xml:space="preserve">formula: =(K104+K105)/2</t>
  </si>
  <si>
    <t xml:space="preserve">L106</t>
  </si>
  <si>
    <t xml:space="preserve">formula: =(L104+L105)/2</t>
  </si>
  <si>
    <t xml:space="preserve">M106</t>
  </si>
  <si>
    <t xml:space="preserve">formula: =(M104+M105)/2</t>
  </si>
  <si>
    <t xml:space="preserve">N106</t>
  </si>
  <si>
    <t xml:space="preserve">formula: =(N104+N105)/2</t>
  </si>
  <si>
    <t xml:space="preserve">O106</t>
  </si>
  <si>
    <t xml:space="preserve">formula: =(O104+O105)/2</t>
  </si>
  <si>
    <t xml:space="preserve">P106</t>
  </si>
  <si>
    <t xml:space="preserve">formula: =(P104+P105)/2</t>
  </si>
  <si>
    <t xml:space="preserve">Q106</t>
  </si>
  <si>
    <t xml:space="preserve">formula: =(Q104+Q105)/2</t>
  </si>
  <si>
    <t xml:space="preserve">R106</t>
  </si>
  <si>
    <t xml:space="preserve">formula: =(R104+R105)/2</t>
  </si>
  <si>
    <t xml:space="preserve">S106</t>
  </si>
  <si>
    <t xml:space="preserve">formula: =(S104+S105)/2</t>
  </si>
  <si>
    <t xml:space="preserve">T106</t>
  </si>
  <si>
    <t xml:space="preserve">formula: =(T104+T105)/2</t>
  </si>
  <si>
    <t xml:space="preserve">U106</t>
  </si>
  <si>
    <t xml:space="preserve">formula: =(U104+U105)/2</t>
  </si>
  <si>
    <t xml:space="preserve">V106</t>
  </si>
  <si>
    <t xml:space="preserve">formula: =(V104+V105)/2</t>
  </si>
  <si>
    <t xml:space="preserve">W106</t>
  </si>
  <si>
    <t xml:space="preserve">formula: =(W104+W105)/2</t>
  </si>
  <si>
    <t xml:space="preserve">X106</t>
  </si>
  <si>
    <t xml:space="preserve">formula: =(X104+X105)/2</t>
  </si>
  <si>
    <t xml:space="preserve">Y106</t>
  </si>
  <si>
    <t xml:space="preserve">formula: =(Y104+Y105)/2</t>
  </si>
  <si>
    <t xml:space="preserve">Z106</t>
  </si>
  <si>
    <t xml:space="preserve">formula: =(Z104+Z105)/2</t>
  </si>
  <si>
    <t xml:space="preserve">AA106</t>
  </si>
  <si>
    <t xml:space="preserve">formula: =(AA104+AA105)/2</t>
  </si>
  <si>
    <t xml:space="preserve">AB106</t>
  </si>
  <si>
    <t xml:space="preserve">formula: =(AB104+AB105)/2</t>
  </si>
  <si>
    <t xml:space="preserve">AC106</t>
  </si>
  <si>
    <t xml:space="preserve">formula: =(AC104+AC105)/2</t>
  </si>
  <si>
    <t xml:space="preserve">AD106</t>
  </si>
  <si>
    <t xml:space="preserve">formula: =(AD104+AD105)/2</t>
  </si>
  <si>
    <t xml:space="preserve">AE106</t>
  </si>
  <si>
    <t xml:space="preserve">formula: =(AE104+AE105)/2</t>
  </si>
  <si>
    <t xml:space="preserve">AF106</t>
  </si>
  <si>
    <t xml:space="preserve">formula: =(AF104+AF105)/2</t>
  </si>
  <si>
    <t xml:space="preserve">E108</t>
  </si>
  <si>
    <t xml:space="preserve">F108</t>
  </si>
  <si>
    <t xml:space="preserve">G108</t>
  </si>
  <si>
    <t xml:space="preserve">H108</t>
  </si>
  <si>
    <t xml:space="preserve">I108</t>
  </si>
  <si>
    <t xml:space="preserve">J108</t>
  </si>
  <si>
    <t xml:space="preserve">K108</t>
  </si>
  <si>
    <t xml:space="preserve">L108</t>
  </si>
  <si>
    <t xml:space="preserve">M108</t>
  </si>
  <si>
    <t xml:space="preserve">N108</t>
  </si>
  <si>
    <t xml:space="preserve">O108</t>
  </si>
  <si>
    <t xml:space="preserve">P108</t>
  </si>
  <si>
    <t xml:space="preserve">Q108</t>
  </si>
  <si>
    <t xml:space="preserve">R108</t>
  </si>
  <si>
    <t xml:space="preserve">S108</t>
  </si>
  <si>
    <t xml:space="preserve">T108</t>
  </si>
  <si>
    <t xml:space="preserve">U108</t>
  </si>
  <si>
    <t xml:space="preserve">V108</t>
  </si>
  <si>
    <t xml:space="preserve">W108</t>
  </si>
  <si>
    <t xml:space="preserve">X108</t>
  </si>
  <si>
    <t xml:space="preserve">Y108</t>
  </si>
  <si>
    <t xml:space="preserve">Z108</t>
  </si>
  <si>
    <t xml:space="preserve">AA108</t>
  </si>
  <si>
    <t xml:space="preserve">AB108</t>
  </si>
  <si>
    <t xml:space="preserve">AC108</t>
  </si>
  <si>
    <t xml:space="preserve">AD108</t>
  </si>
  <si>
    <t xml:space="preserve">AE108</t>
  </si>
  <si>
    <t xml:space="preserve">AF108</t>
  </si>
  <si>
    <t xml:space="preserve">E109</t>
  </si>
  <si>
    <t xml:space="preserve">F109</t>
  </si>
  <si>
    <t xml:space="preserve">G109</t>
  </si>
  <si>
    <t xml:space="preserve">H109</t>
  </si>
  <si>
    <t xml:space="preserve">I109</t>
  </si>
  <si>
    <t xml:space="preserve">J109</t>
  </si>
  <si>
    <t xml:space="preserve">K109</t>
  </si>
  <si>
    <t xml:space="preserve">L109</t>
  </si>
  <si>
    <t xml:space="preserve">M109</t>
  </si>
  <si>
    <t xml:space="preserve">N109</t>
  </si>
  <si>
    <t xml:space="preserve">On-site DC IT technician roles Mar 2 / May 28 2026 ("onsite in our Oklahoma data center"); scale n/d</t>
  </si>
  <si>
    <t xml:space="preserve">O109</t>
  </si>
  <si>
    <t xml:space="preserve">Security (Jun 23), admin services mgr (Aug 17), warehouse (Sep 15)</t>
  </si>
  <si>
    <t xml:space="preserve">P109</t>
  </si>
  <si>
    <t xml:space="preserve">Site manager (Sep 30) + liquid-cooling critical-infra engineer (Oct 2); map "&gt;100MW" = eventual size</t>
  </si>
  <si>
    <t xml:space="preserve">Q109</t>
  </si>
  <si>
    <t xml:space="preserve">R109</t>
  </si>
  <si>
    <t xml:space="preserve">S109</t>
  </si>
  <si>
    <t xml:space="preserve">T109</t>
  </si>
  <si>
    <t xml:space="preserve">Q2-26 letter map category "Sites &gt;100MW" (Reported category; MW n/d)</t>
  </si>
  <si>
    <t xml:space="preserve">U109</t>
  </si>
  <si>
    <t xml:space="preserve">V109</t>
  </si>
  <si>
    <t xml:space="preserve">W109</t>
  </si>
  <si>
    <t xml:space="preserve">X109</t>
  </si>
  <si>
    <t xml:space="preserve">Y109</t>
  </si>
  <si>
    <t xml:space="preserve">Z109</t>
  </si>
  <si>
    <t xml:space="preserve">AA109</t>
  </si>
  <si>
    <t xml:space="preserve">AB109</t>
  </si>
  <si>
    <t xml:space="preserve">AC109</t>
  </si>
  <si>
    <t xml:space="preserve">AD109</t>
  </si>
  <si>
    <t xml:space="preserve">AE109</t>
  </si>
  <si>
    <t xml:space="preserve">AF109</t>
  </si>
  <si>
    <t xml:space="preserve">E110</t>
  </si>
  <si>
    <t xml:space="preserve">F110</t>
  </si>
  <si>
    <t xml:space="preserve">G110</t>
  </si>
  <si>
    <t xml:space="preserve">H110</t>
  </si>
  <si>
    <t xml:space="preserve">I110</t>
  </si>
  <si>
    <t xml:space="preserve">J110</t>
  </si>
  <si>
    <t xml:space="preserve">K110</t>
  </si>
  <si>
    <t xml:space="preserve">L110</t>
  </si>
  <si>
    <t xml:space="preserve">M110</t>
  </si>
  <si>
    <t xml:space="preserve">N110</t>
  </si>
  <si>
    <t xml:space="preserve">O110</t>
  </si>
  <si>
    <t xml:space="preserve">P110</t>
  </si>
  <si>
    <t xml:space="preserve">Q110</t>
  </si>
  <si>
    <t xml:space="preserve">R110</t>
  </si>
  <si>
    <t xml:space="preserve">S110</t>
  </si>
  <si>
    <t xml:space="preserve">125</t>
  </si>
  <si>
    <t xml:space="preserve">T110</t>
  </si>
  <si>
    <t xml:space="preserve">U110</t>
  </si>
  <si>
    <t xml:space="preserve">V110</t>
  </si>
  <si>
    <t xml:space="preserve">W110</t>
  </si>
  <si>
    <t xml:space="preserve">X110</t>
  </si>
  <si>
    <t xml:space="preserve">Y110</t>
  </si>
  <si>
    <t xml:space="preserve">Z110</t>
  </si>
  <si>
    <t xml:space="preserve">AA110</t>
  </si>
  <si>
    <t xml:space="preserve">AB110</t>
  </si>
  <si>
    <t xml:space="preserve">AC110</t>
  </si>
  <si>
    <t xml:space="preserve">AD110</t>
  </si>
  <si>
    <t xml:space="preserve">AE110</t>
  </si>
  <si>
    <t xml:space="preserve">AF110</t>
  </si>
  <si>
    <t xml:space="preserve">E111</t>
  </si>
  <si>
    <t xml:space="preserve">formula: =(E109+E110)/2</t>
  </si>
  <si>
    <t xml:space="preserve">F111</t>
  </si>
  <si>
    <t xml:space="preserve">formula: =(F109+F110)/2</t>
  </si>
  <si>
    <t xml:space="preserve">G111</t>
  </si>
  <si>
    <t xml:space="preserve">formula: =(G109+G110)/2</t>
  </si>
  <si>
    <t xml:space="preserve">H111</t>
  </si>
  <si>
    <t xml:space="preserve">formula: =(H109+H110)/2</t>
  </si>
  <si>
    <t xml:space="preserve">I111</t>
  </si>
  <si>
    <t xml:space="preserve">formula: =(I109+I110)/2</t>
  </si>
  <si>
    <t xml:space="preserve">J111</t>
  </si>
  <si>
    <t xml:space="preserve">formula: =(J109+J110)/2</t>
  </si>
  <si>
    <t xml:space="preserve">K111</t>
  </si>
  <si>
    <t xml:space="preserve">formula: =(K109+K110)/2</t>
  </si>
  <si>
    <t xml:space="preserve">L111</t>
  </si>
  <si>
    <t xml:space="preserve">formula: =(L109+L110)/2</t>
  </si>
  <si>
    <t xml:space="preserve">M111</t>
  </si>
  <si>
    <t xml:space="preserve">formula: =(M109+M110)/2</t>
  </si>
  <si>
    <t xml:space="preserve">N111</t>
  </si>
  <si>
    <t xml:space="preserve">formula: =(N109+N110)/2</t>
  </si>
  <si>
    <t xml:space="preserve">O111</t>
  </si>
  <si>
    <t xml:space="preserve">formula: =(O109+O110)/2</t>
  </si>
  <si>
    <t xml:space="preserve">P111</t>
  </si>
  <si>
    <t xml:space="preserve">formula: =(P109+P110)/2</t>
  </si>
  <si>
    <t xml:space="preserve">Q111</t>
  </si>
  <si>
    <t xml:space="preserve">formula: =(Q109+Q110)/2</t>
  </si>
  <si>
    <t xml:space="preserve">R111</t>
  </si>
  <si>
    <t xml:space="preserve">formula: =(R109+R110)/2</t>
  </si>
  <si>
    <t xml:space="preserve">S111</t>
  </si>
  <si>
    <t xml:space="preserve">formula: =(S109+S110)/2</t>
  </si>
  <si>
    <t xml:space="preserve">T111</t>
  </si>
  <si>
    <t xml:space="preserve">formula: =(T109+T110)/2</t>
  </si>
  <si>
    <t xml:space="preserve">U111</t>
  </si>
  <si>
    <t xml:space="preserve">formula: =(U109+U110)/2</t>
  </si>
  <si>
    <t xml:space="preserve">V111</t>
  </si>
  <si>
    <t xml:space="preserve">formula: =(V109+V110)/2</t>
  </si>
  <si>
    <t xml:space="preserve">W111</t>
  </si>
  <si>
    <t xml:space="preserve">formula: =(W109+W110)/2</t>
  </si>
  <si>
    <t xml:space="preserve">X111</t>
  </si>
  <si>
    <t xml:space="preserve">formula: =(X109+X110)/2</t>
  </si>
  <si>
    <t xml:space="preserve">Y111</t>
  </si>
  <si>
    <t xml:space="preserve">formula: =(Y109+Y110)/2</t>
  </si>
  <si>
    <t xml:space="preserve">Z111</t>
  </si>
  <si>
    <t xml:space="preserve">formula: =(Z109+Z110)/2</t>
  </si>
  <si>
    <t xml:space="preserve">AA111</t>
  </si>
  <si>
    <t xml:space="preserve">formula: =(AA109+AA110)/2</t>
  </si>
  <si>
    <t xml:space="preserve">AB111</t>
  </si>
  <si>
    <t xml:space="preserve">formula: =(AB109+AB110)/2</t>
  </si>
  <si>
    <t xml:space="preserve">AC111</t>
  </si>
  <si>
    <t xml:space="preserve">formula: =(AC109+AC110)/2</t>
  </si>
  <si>
    <t xml:space="preserve">AD111</t>
  </si>
  <si>
    <t xml:space="preserve">formula: =(AD109+AD110)/2</t>
  </si>
  <si>
    <t xml:space="preserve">AE111</t>
  </si>
  <si>
    <t xml:space="preserve">formula: =(AE109+AE110)/2</t>
  </si>
  <si>
    <t xml:space="preserve">AF111</t>
  </si>
  <si>
    <t xml:space="preserve">formula: =(AF109+AF110)/2</t>
  </si>
  <si>
    <t xml:space="preserve">N112</t>
  </si>
  <si>
    <t xml:space="preserve">Q2-26 letter map https://assets.nebius.com/assets/a6ecfd85-a6cb-4967-8ef7-9a25bd261f9c/SHLQ226.pdf | https://www.sec.gov/Archives/edgar/data/1513845/000110465926052948/nbis-20251231x20f.htm; https://assets.nebius.com/assets/a6ecfd85-a6cb-4967-8ef7-9a25bd261f9c/SHLQ226.pdf (p.2 map); https://boards-ap</t>
  </si>
  <si>
    <t xml:space="preserve">E113</t>
  </si>
  <si>
    <t xml:space="preserve">F113</t>
  </si>
  <si>
    <t xml:space="preserve">G113</t>
  </si>
  <si>
    <t xml:space="preserve">H113</t>
  </si>
  <si>
    <t xml:space="preserve">I113</t>
  </si>
  <si>
    <t xml:space="preserve">J113</t>
  </si>
  <si>
    <t xml:space="preserve">K113</t>
  </si>
  <si>
    <t xml:space="preserve">L113</t>
  </si>
  <si>
    <t xml:space="preserve">M113</t>
  </si>
  <si>
    <t xml:space="preserve">N113</t>
  </si>
  <si>
    <t xml:space="preserve">O113</t>
  </si>
  <si>
    <t xml:space="preserve">P113</t>
  </si>
  <si>
    <t xml:space="preserve">Q113</t>
  </si>
  <si>
    <t xml:space="preserve">R113</t>
  </si>
  <si>
    <t xml:space="preserve">S113</t>
  </si>
  <si>
    <t xml:space="preserve">T113</t>
  </si>
  <si>
    <t xml:space="preserve">U113</t>
  </si>
  <si>
    <t xml:space="preserve">V113</t>
  </si>
  <si>
    <t xml:space="preserve">W113</t>
  </si>
  <si>
    <t xml:space="preserve">X113</t>
  </si>
  <si>
    <t xml:space="preserve">Y113</t>
  </si>
  <si>
    <t xml:space="preserve">Z113</t>
  </si>
  <si>
    <t xml:space="preserve">AA113</t>
  </si>
  <si>
    <t xml:space="preserve">AB113</t>
  </si>
  <si>
    <t xml:space="preserve">AC113</t>
  </si>
  <si>
    <t xml:space="preserve">AD113</t>
  </si>
  <si>
    <t xml:space="preserve">AE113</t>
  </si>
  <si>
    <t xml:space="preserve">AF113</t>
  </si>
  <si>
    <t xml:space="preserve">E114</t>
  </si>
  <si>
    <t xml:space="preserve">MW not disclosed -&gt; captured in plug row</t>
  </si>
  <si>
    <t xml:space="preserve">F114</t>
  </si>
  <si>
    <t xml:space="preserve">G114</t>
  </si>
  <si>
    <t xml:space="preserve">H114</t>
  </si>
  <si>
    <t xml:space="preserve">I114</t>
  </si>
  <si>
    <t xml:space="preserve">J114</t>
  </si>
  <si>
    <t xml:space="preserve">K114</t>
  </si>
  <si>
    <t xml:space="preserve">L114</t>
  </si>
  <si>
    <t xml:space="preserve">M114</t>
  </si>
  <si>
    <t xml:space="preserve">N114</t>
  </si>
  <si>
    <t xml:space="preserve">O114</t>
  </si>
  <si>
    <t xml:space="preserve">P114</t>
  </si>
  <si>
    <t xml:space="preserve">Q114</t>
  </si>
  <si>
    <t xml:space="preserve">R114</t>
  </si>
  <si>
    <t xml:space="preserve">S114</t>
  </si>
  <si>
    <t xml:space="preserve">T114</t>
  </si>
  <si>
    <t xml:space="preserve">U114</t>
  </si>
  <si>
    <t xml:space="preserve">V114</t>
  </si>
  <si>
    <t xml:space="preserve">W114</t>
  </si>
  <si>
    <t xml:space="preserve">X114</t>
  </si>
  <si>
    <t xml:space="preserve">Y114</t>
  </si>
  <si>
    <t xml:space="preserve">Z114</t>
  </si>
  <si>
    <t xml:space="preserve">AA114</t>
  </si>
  <si>
    <t xml:space="preserve">AB114</t>
  </si>
  <si>
    <t xml:space="preserve">AC114</t>
  </si>
  <si>
    <t xml:space="preserve">AD114</t>
  </si>
  <si>
    <t xml:space="preserve">AE114</t>
  </si>
  <si>
    <t xml:space="preserve">AF114</t>
  </si>
  <si>
    <t xml:space="preserve">E115</t>
  </si>
  <si>
    <t xml:space="preserve">F115</t>
  </si>
  <si>
    <t xml:space="preserve">G115</t>
  </si>
  <si>
    <t xml:space="preserve">H115</t>
  </si>
  <si>
    <t xml:space="preserve">I115</t>
  </si>
  <si>
    <t xml:space="preserve">J115</t>
  </si>
  <si>
    <t xml:space="preserve">K115</t>
  </si>
  <si>
    <t xml:space="preserve">L115</t>
  </si>
  <si>
    <t xml:space="preserve">M115</t>
  </si>
  <si>
    <t xml:space="preserve">N115</t>
  </si>
  <si>
    <t xml:space="preserve">O115</t>
  </si>
  <si>
    <t xml:space="preserve">P115</t>
  </si>
  <si>
    <t xml:space="preserve">Q115</t>
  </si>
  <si>
    <t xml:space="preserve">R115</t>
  </si>
  <si>
    <t xml:space="preserve">S115</t>
  </si>
  <si>
    <t xml:space="preserve">T115</t>
  </si>
  <si>
    <t xml:space="preserve">U115</t>
  </si>
  <si>
    <t xml:space="preserve">V115</t>
  </si>
  <si>
    <t xml:space="preserve">W115</t>
  </si>
  <si>
    <t xml:space="preserve">X115</t>
  </si>
  <si>
    <t xml:space="preserve">Y115</t>
  </si>
  <si>
    <t xml:space="preserve">Z115</t>
  </si>
  <si>
    <t xml:space="preserve">AA115</t>
  </si>
  <si>
    <t xml:space="preserve">AB115</t>
  </si>
  <si>
    <t xml:space="preserve">AC115</t>
  </si>
  <si>
    <t xml:space="preserve">AD115</t>
  </si>
  <si>
    <t xml:space="preserve">AE115</t>
  </si>
  <si>
    <t xml:space="preserve">AF115</t>
  </si>
  <si>
    <t xml:space="preserve">E116</t>
  </si>
  <si>
    <t xml:space="preserve">F116</t>
  </si>
  <si>
    <t xml:space="preserve">G116</t>
  </si>
  <si>
    <t xml:space="preserve">H116</t>
  </si>
  <si>
    <t xml:space="preserve">I116</t>
  </si>
  <si>
    <t xml:space="preserve">J116</t>
  </si>
  <si>
    <t xml:space="preserve">K116</t>
  </si>
  <si>
    <t xml:space="preserve">L116</t>
  </si>
  <si>
    <t xml:space="preserve">M116</t>
  </si>
  <si>
    <t xml:space="preserve">N116</t>
  </si>
  <si>
    <t xml:space="preserve">O116</t>
  </si>
  <si>
    <t xml:space="preserve">P116</t>
  </si>
  <si>
    <t xml:space="preserve">Q116</t>
  </si>
  <si>
    <t xml:space="preserve">R116</t>
  </si>
  <si>
    <t xml:space="preserve">S116</t>
  </si>
  <si>
    <t xml:space="preserve">T116</t>
  </si>
  <si>
    <t xml:space="preserve">U116</t>
  </si>
  <si>
    <t xml:space="preserve">V116</t>
  </si>
  <si>
    <t xml:space="preserve">W116</t>
  </si>
  <si>
    <t xml:space="preserve">X116</t>
  </si>
  <si>
    <t xml:space="preserve">Y116</t>
  </si>
  <si>
    <t xml:space="preserve">Z116</t>
  </si>
  <si>
    <t xml:space="preserve">AA116</t>
  </si>
  <si>
    <t xml:space="preserve">AB116</t>
  </si>
  <si>
    <t xml:space="preserve">AC116</t>
  </si>
  <si>
    <t xml:space="preserve">AD116</t>
  </si>
  <si>
    <t xml:space="preserve">AE116</t>
  </si>
  <si>
    <t xml:space="preserve">AF116</t>
  </si>
  <si>
    <t xml:space="preserve">O118</t>
  </si>
  <si>
    <t xml:space="preserve">P118</t>
  </si>
  <si>
    <t xml:space="preserve">Q118</t>
  </si>
  <si>
    <t xml:space="preserve">R118</t>
  </si>
  <si>
    <t xml:space="preserve">S118</t>
  </si>
  <si>
    <t xml:space="preserve">T118</t>
  </si>
  <si>
    <t xml:space="preserve">U118</t>
  </si>
  <si>
    <t xml:space="preserve">V118</t>
  </si>
  <si>
    <t xml:space="preserve">W118</t>
  </si>
  <si>
    <t xml:space="preserve">X118</t>
  </si>
  <si>
    <t xml:space="preserve">Y118</t>
  </si>
  <si>
    <t xml:space="preserve">Z118</t>
  </si>
  <si>
    <t xml:space="preserve">AA118</t>
  </si>
  <si>
    <t xml:space="preserve">AB118</t>
  </si>
  <si>
    <t xml:space="preserve">AC118</t>
  </si>
  <si>
    <t xml:space="preserve">AD118</t>
  </si>
  <si>
    <t xml:space="preserve">AE118</t>
  </si>
  <si>
    <t xml:space="preserve">AF118</t>
  </si>
  <si>
    <t xml:space="preserve">E119</t>
  </si>
  <si>
    <t xml:space="preserve">F119</t>
  </si>
  <si>
    <t xml:space="preserve">G119</t>
  </si>
  <si>
    <t xml:space="preserve">H119</t>
  </si>
  <si>
    <t xml:space="preserve">I119</t>
  </si>
  <si>
    <t xml:space="preserve">J119</t>
  </si>
  <si>
    <t xml:space="preserve">K119</t>
  </si>
  <si>
    <t xml:space="preserve">L119</t>
  </si>
  <si>
    <t xml:space="preserve">M119</t>
  </si>
  <si>
    <t xml:space="preserve">N119</t>
  </si>
  <si>
    <t xml:space="preserve">O119</t>
  </si>
  <si>
    <t xml:space="preserve">P119</t>
  </si>
  <si>
    <t xml:space="preserve">Q119</t>
  </si>
  <si>
    <t xml:space="preserve">R119</t>
  </si>
  <si>
    <t xml:space="preserve">S119</t>
  </si>
  <si>
    <t xml:space="preserve">Hall 1 ~month 10 after Oct 1 2026 (~Aug 2027)</t>
  </si>
  <si>
    <t xml:space="preserve">T119</t>
  </si>
  <si>
    <t xml:space="preserve">Hall 2 ~month 14 (~Dec 2027)</t>
  </si>
  <si>
    <t xml:space="preserve">U119</t>
  </si>
  <si>
    <t xml:space="preserve">Financing not arranged; permits submitted only</t>
  </si>
  <si>
    <t xml:space="preserve">V119</t>
  </si>
  <si>
    <t xml:space="preserve">W119</t>
  </si>
  <si>
    <t xml:space="preserve">X119</t>
  </si>
  <si>
    <t xml:space="preserve">carried forward from Q3 2028</t>
  </si>
  <si>
    <t xml:space="preserve">Y119</t>
  </si>
  <si>
    <t xml:space="preserve">Z119</t>
  </si>
  <si>
    <t xml:space="preserve">AA119</t>
  </si>
  <si>
    <t xml:space="preserve">AB119</t>
  </si>
  <si>
    <t xml:space="preserve">AC119</t>
  </si>
  <si>
    <t xml:space="preserve">AD119</t>
  </si>
  <si>
    <t xml:space="preserve">AE119</t>
  </si>
  <si>
    <t xml:space="preserve">AF119</t>
  </si>
  <si>
    <t xml:space="preserve">E120</t>
  </si>
  <si>
    <t xml:space="preserve">F120</t>
  </si>
  <si>
    <t xml:space="preserve">G120</t>
  </si>
  <si>
    <t xml:space="preserve">H120</t>
  </si>
  <si>
    <t xml:space="preserve">I120</t>
  </si>
  <si>
    <t xml:space="preserve">J120</t>
  </si>
  <si>
    <t xml:space="preserve">K120</t>
  </si>
  <si>
    <t xml:space="preserve">L120</t>
  </si>
  <si>
    <t xml:space="preserve">M120</t>
  </si>
  <si>
    <t xml:space="preserve">N120</t>
  </si>
  <si>
    <t xml:space="preserve">O120</t>
  </si>
  <si>
    <t xml:space="preserve">P120</t>
  </si>
  <si>
    <t xml:space="preserve">Q120</t>
  </si>
  <si>
    <t xml:space="preserve">R120</t>
  </si>
  <si>
    <t xml:space="preserve">S120</t>
  </si>
  <si>
    <t xml:space="preserve">T120</t>
  </si>
  <si>
    <t xml:space="preserve">U120</t>
  </si>
  <si>
    <t xml:space="preserve">V120</t>
  </si>
  <si>
    <t xml:space="preserve">W120</t>
  </si>
  <si>
    <t xml:space="preserve">X120</t>
  </si>
  <si>
    <t xml:space="preserve">Y120</t>
  </si>
  <si>
    <t xml:space="preserve">Z120</t>
  </si>
  <si>
    <t xml:space="preserve">AA120</t>
  </si>
  <si>
    <t xml:space="preserve">AB120</t>
  </si>
  <si>
    <t xml:space="preserve">AC120</t>
  </si>
  <si>
    <t xml:space="preserve">AD120</t>
  </si>
  <si>
    <t xml:space="preserve">AE120</t>
  </si>
  <si>
    <t xml:space="preserve">AF120</t>
  </si>
  <si>
    <t xml:space="preserve">E121</t>
  </si>
  <si>
    <t xml:space="preserve">formula: =(E119+E120)/2</t>
  </si>
  <si>
    <t xml:space="preserve">F121</t>
  </si>
  <si>
    <t xml:space="preserve">formula: =(F119+F120)/2</t>
  </si>
  <si>
    <t xml:space="preserve">G121</t>
  </si>
  <si>
    <t xml:space="preserve">formula: =(G119+G120)/2</t>
  </si>
  <si>
    <t xml:space="preserve">H121</t>
  </si>
  <si>
    <t xml:space="preserve">formula: =(H119+H120)/2</t>
  </si>
  <si>
    <t xml:space="preserve">I121</t>
  </si>
  <si>
    <t xml:space="preserve">formula: =(I119+I120)/2</t>
  </si>
  <si>
    <t xml:space="preserve">J121</t>
  </si>
  <si>
    <t xml:space="preserve">formula: =(J119+J120)/2</t>
  </si>
  <si>
    <t xml:space="preserve">K121</t>
  </si>
  <si>
    <t xml:space="preserve">formula: =(K119+K120)/2</t>
  </si>
  <si>
    <t xml:space="preserve">L121</t>
  </si>
  <si>
    <t xml:space="preserve">formula: =(L119+L120)/2</t>
  </si>
  <si>
    <t xml:space="preserve">M121</t>
  </si>
  <si>
    <t xml:space="preserve">formula: =(M119+M120)/2</t>
  </si>
  <si>
    <t xml:space="preserve">N121</t>
  </si>
  <si>
    <t xml:space="preserve">formula: =(N119+N120)/2</t>
  </si>
  <si>
    <t xml:space="preserve">O121</t>
  </si>
  <si>
    <t xml:space="preserve">formula: =(O119+O120)/2</t>
  </si>
  <si>
    <t xml:space="preserve">P121</t>
  </si>
  <si>
    <t xml:space="preserve">formula: =(P119+P120)/2</t>
  </si>
  <si>
    <t xml:space="preserve">Q121</t>
  </si>
  <si>
    <t xml:space="preserve">formula: =(Q119+Q120)/2</t>
  </si>
  <si>
    <t xml:space="preserve">R121</t>
  </si>
  <si>
    <t xml:space="preserve">formula: =(R119+R120)/2</t>
  </si>
  <si>
    <t xml:space="preserve">S121</t>
  </si>
  <si>
    <t xml:space="preserve">formula: =(S119+S120)/2</t>
  </si>
  <si>
    <t xml:space="preserve">T121</t>
  </si>
  <si>
    <t xml:space="preserve">formula: =(T119+T120)/2</t>
  </si>
  <si>
    <t xml:space="preserve">U121</t>
  </si>
  <si>
    <t xml:space="preserve">formula: =(U119+U120)/2</t>
  </si>
  <si>
    <t xml:space="preserve">V121</t>
  </si>
  <si>
    <t xml:space="preserve">formula: =(V119+V120)/2</t>
  </si>
  <si>
    <t xml:space="preserve">W121</t>
  </si>
  <si>
    <t xml:space="preserve">formula: =(W119+W120)/2</t>
  </si>
  <si>
    <t xml:space="preserve">X121</t>
  </si>
  <si>
    <t xml:space="preserve">formula: =(X119+X120)/2</t>
  </si>
  <si>
    <t xml:space="preserve">Y121</t>
  </si>
  <si>
    <t xml:space="preserve">formula: =(Y119+Y120)/2</t>
  </si>
  <si>
    <t xml:space="preserve">Z121</t>
  </si>
  <si>
    <t xml:space="preserve">formula: =(Z119+Z120)/2</t>
  </si>
  <si>
    <t xml:space="preserve">AA121</t>
  </si>
  <si>
    <t xml:space="preserve">formula: =(AA119+AA120)/2</t>
  </si>
  <si>
    <t xml:space="preserve">AB121</t>
  </si>
  <si>
    <t xml:space="preserve">formula: =(AB119+AB120)/2</t>
  </si>
  <si>
    <t xml:space="preserve">AC121</t>
  </si>
  <si>
    <t xml:space="preserve">formula: =(AC119+AC120)/2</t>
  </si>
  <si>
    <t xml:space="preserve">AD121</t>
  </si>
  <si>
    <t xml:space="preserve">formula: =(AD119+AD120)/2</t>
  </si>
  <si>
    <t xml:space="preserve">AE121</t>
  </si>
  <si>
    <t xml:space="preserve">formula: =(AE119+AE120)/2</t>
  </si>
  <si>
    <t xml:space="preserve">AF121</t>
  </si>
  <si>
    <t xml:space="preserve">formula: =(AF119+AF120)/2</t>
  </si>
  <si>
    <t xml:space="preserve">S122</t>
  </si>
  <si>
    <t xml:space="preserve">AIB: Hall 1 ~month 10 | http://archive.fast-edgar.com/20260930/AB2ZM22DL222P26L222Q2MY2R6GDZ222ZQ82/ea030723301ex99-1.htm (AIB 8-K Ex.99.1, Sep 30 2026); https://www.globenewswire.com/news-release/2026/09/30/3371855/0/en/aib</t>
  </si>
  <si>
    <t xml:space="preserve">T122</t>
  </si>
  <si>
    <t xml:space="preserve">AIB: Hall 2 ~month 14 | http://archive.fast-edgar.com/20260930/AB2ZM22DL222P26L222Q2MY2R6GDZ222ZQ82/ea030723301ex99-1.htm (AIB 8-K Ex.99.1, Sep 30 2026); https://www.globenewswire.com/news-release/2026/09/30/3371855/0/en/aib</t>
  </si>
  <si>
    <t xml:space="preserve">E124</t>
  </si>
  <si>
    <t xml:space="preserve">formula: =SUM(E4,E9,E14,E19,E24,E29,E34,E39,E44,E49,E54,E59,E64,E69,E74,E79,E84,E89,E94,E99,E104,E109,E114,E119)</t>
  </si>
  <si>
    <t xml:space="preserve">sum of site low rows (n/d excluded)</t>
  </si>
  <si>
    <t xml:space="preserve">F124</t>
  </si>
  <si>
    <t xml:space="preserve">formula: =SUM(F4,F9,F14,F19,F24,F29,F34,F39,F44,F49,F54,F59,F64,F69,F74,F79,F84,F89,F94,F99,F104,F109,F114,F119)</t>
  </si>
  <si>
    <t xml:space="preserve">G124</t>
  </si>
  <si>
    <t xml:space="preserve">formula: =SUM(G4,G9,G14,G19,G24,G29,G34,G39,G44,G49,G54,G59,G64,G69,G74,G79,G84,G89,G94,G99,G104,G109,G114,G119)</t>
  </si>
  <si>
    <t xml:space="preserve">H124</t>
  </si>
  <si>
    <t xml:space="preserve">formula: =SUM(H4,H9,H14,H19,H24,H29,H34,H39,H44,H49,H54,H59,H64,H69,H74,H79,H84,H89,H94,H99,H104,H109,H114,H119)</t>
  </si>
  <si>
    <t xml:space="preserve">I124</t>
  </si>
  <si>
    <t xml:space="preserve">formula: =SUM(I4,I9,I14,I19,I24,I29,I34,I39,I44,I49,I54,I59,I64,I69,I74,I79,I84,I89,I94,I99,I104,I109,I114,I119)</t>
  </si>
  <si>
    <t xml:space="preserve">J124</t>
  </si>
  <si>
    <t xml:space="preserve">formula: =SUM(J4,J9,J14,J19,J24,J29,J34,J39,J44,J49,J54,J59,J64,J69,J74,J79,J84,J89,J94,J99,J104,J109,J114,J119)</t>
  </si>
  <si>
    <t xml:space="preserve">K124</t>
  </si>
  <si>
    <t xml:space="preserve">formula: =SUM(K4,K9,K14,K19,K24,K29,K34,K39,K44,K49,K54,K59,K64,K69,K74,K79,K84,K89,K94,K99,K104,K109,K114,K119)</t>
  </si>
  <si>
    <t xml:space="preserve">L124</t>
  </si>
  <si>
    <t xml:space="preserve">formula: =SUM(L4,L9,L14,L19,L24,L29,L34,L39,L44,L49,L54,L59,L64,L69,L74,L79,L84,L89,L94,L99,L104,L109,L114,L119)</t>
  </si>
  <si>
    <t xml:space="preserve">M124</t>
  </si>
  <si>
    <t xml:space="preserve">formula: =SUM(M4,M9,M14,M19,M24,M29,M34,M39,M44,M49,M54,M59,M64,M69,M74,M79,M84,M89,M94,M99,M104,M109,M114,M119)</t>
  </si>
  <si>
    <t xml:space="preserve">N124</t>
  </si>
  <si>
    <t xml:space="preserve">formula: =SUM(N4,N9,N14,N19,N24,N29,N34,N39,N44,N49,N54,N59,N64,N69,N74,N79,N84,N89,N94,N99,N104,N109,N114,N119)</t>
  </si>
  <si>
    <t xml:space="preserve">O124</t>
  </si>
  <si>
    <t xml:space="preserve">formula: =SUM(O4,O9,O14,O19,O24,O29,O34,O39,O44,O49,O54,O59,O64,O69,O74,O79,O84,O89,O94,O99,O104,O109,O114,O119)</t>
  </si>
  <si>
    <t xml:space="preserve">P124</t>
  </si>
  <si>
    <t xml:space="preserve">formula: =SUM(P4,P9,P14,P19,P24,P29,P34,P39,P44,P49,P54,P59,P64,P69,P74,P79,P84,P89,P94,P99,P104,P109,P114,P119)</t>
  </si>
  <si>
    <t xml:space="preserve">Q124</t>
  </si>
  <si>
    <t xml:space="preserve">formula: =SUM(Q4,Q9,Q14,Q19,Q24,Q29,Q34,Q39,Q44,Q49,Q54,Q59,Q64,Q69,Q74,Q79,Q84,Q89,Q94,Q99,Q104,Q109,Q114,Q119)</t>
  </si>
  <si>
    <t xml:space="preserve">R124</t>
  </si>
  <si>
    <t xml:space="preserve">formula: =SUM(R4,R9,R14,R19,R24,R29,R34,R39,R44,R49,R54,R59,R64,R69,R74,R79,R84,R89,R94,R99,R104,R109,R114,R119)</t>
  </si>
  <si>
    <t xml:space="preserve">S124</t>
  </si>
  <si>
    <t xml:space="preserve">formula: =SUM(S4,S9,S14,S19,S24,S29,S34,S39,S44,S49,S54,S59,S64,S69,S74,S79,S84,S89,S94,S99,S104,S109,S114,S119)</t>
  </si>
  <si>
    <t xml:space="preserve">T124</t>
  </si>
  <si>
    <t xml:space="preserve">formula: =SUM(T4,T9,T14,T19,T24,T29,T34,T39,T44,T49,T54,T59,T64,T69,T74,T79,T84,T89,T94,T99,T104,T109,T114,T119)</t>
  </si>
  <si>
    <t xml:space="preserve">U124</t>
  </si>
  <si>
    <t xml:space="preserve">formula: =SUM(U4,U9,U14,U19,U24,U29,U34,U39,U44,U49,U54,U59,U64,U69,U74,U79,U84,U89,U94,U99,U104,U109,U114,U119)</t>
  </si>
  <si>
    <t xml:space="preserve">V124</t>
  </si>
  <si>
    <t xml:space="preserve">formula: =SUM(V4,V9,V14,V19,V24,V29,V34,V39,V44,V49,V54,V59,V64,V69,V74,V79,V84,V89,V94,V99,V104,V109,V114,V119)</t>
  </si>
  <si>
    <t xml:space="preserve">W124</t>
  </si>
  <si>
    <t xml:space="preserve">formula: =SUM(W4,W9,W14,W19,W24,W29,W34,W39,W44,W49,W54,W59,W64,W69,W74,W79,W84,W89,W94,W99,W104,W109,W114,W119)</t>
  </si>
  <si>
    <t xml:space="preserve">X124</t>
  </si>
  <si>
    <t xml:space="preserve">formula: =SUM(X4,X9,X14,X19,X24,X29,X34,X39,X44,X49,X54,X59,X64,X69,X74,X79,X84,X89,X94,X99,X104,X109,X114,X119)</t>
  </si>
  <si>
    <t xml:space="preserve">Y124</t>
  </si>
  <si>
    <t xml:space="preserve">formula: =SUM(Y4,Y9,Y14,Y19,Y24,Y29,Y34,Y39,Y44,Y49,Y54,Y59,Y64,Y69,Y74,Y79,Y84,Y89,Y94,Y99,Y104,Y109,Y114,Y119)</t>
  </si>
  <si>
    <t xml:space="preserve">Z124</t>
  </si>
  <si>
    <t xml:space="preserve">formula: =SUM(Z4,Z9,Z14,Z19,Z24,Z29,Z34,Z39,Z44,Z49,Z54,Z59,Z64,Z69,Z74,Z79,Z84,Z89,Z94,Z99,Z104,Z109,Z114,Z119)</t>
  </si>
  <si>
    <t xml:space="preserve">AA124</t>
  </si>
  <si>
    <t xml:space="preserve">formula: =SUM(AA4,AA9,AA14,AA19,AA24,AA29,AA34,AA39,AA44,AA49,AA54,AA59,AA64,AA69,AA74,AA79,AA84,AA89,AA94,AA99,AA104,AA109,AA114,AA119)</t>
  </si>
  <si>
    <t xml:space="preserve">AB124</t>
  </si>
  <si>
    <t xml:space="preserve">formula: =SUM(AB4,AB9,AB14,AB19,AB24,AB29,AB34,AB39,AB44,AB49,AB54,AB59,AB64,AB69,AB74,AB79,AB84,AB89,AB94,AB99,AB104,AB109,AB114,AB119)</t>
  </si>
  <si>
    <t xml:space="preserve">AC124</t>
  </si>
  <si>
    <t xml:space="preserve">formula: =SUM(AC4,AC9,AC14,AC19,AC24,AC29,AC34,AC39,AC44,AC49,AC54,AC59,AC64,AC69,AC74,AC79,AC84,AC89,AC94,AC99,AC104,AC109,AC114,AC119)</t>
  </si>
  <si>
    <t xml:space="preserve">AD124</t>
  </si>
  <si>
    <t xml:space="preserve">formula: =SUM(AD4,AD9,AD14,AD19,AD24,AD29,AD34,AD39,AD44,AD49,AD54,AD59,AD64,AD69,AD74,AD79,AD84,AD89,AD94,AD99,AD104,AD109,AD114,AD119)</t>
  </si>
  <si>
    <t xml:space="preserve">AE124</t>
  </si>
  <si>
    <t xml:space="preserve">formula: =SUM(AE4,AE9,AE14,AE19,AE24,AE29,AE34,AE39,AE44,AE49,AE54,AE59,AE64,AE69,AE74,AE79,AE84,AE89,AE94,AE99,AE104,AE109,AE114,AE119)</t>
  </si>
  <si>
    <t xml:space="preserve">AF124</t>
  </si>
  <si>
    <t xml:space="preserve">formula: =SUM(AF4,AF9,AF14,AF19,AF24,AF29,AF34,AF39,AF44,AF49,AF54,AF59,AF64,AF69,AF74,AF79,AF84,AF89,AF94,AF99,AF104,AF109,AF114,AF119)</t>
  </si>
  <si>
    <t xml:space="preserve">E125</t>
  </si>
  <si>
    <t xml:space="preserve">formula: =SUM(E5,E10,E15,E20,E25,E30,E35,E40,E45,E50,E55,E60,E65,E70,E75,E80,E85,E90,E95,E100,E105,E110,E115,E120)</t>
  </si>
  <si>
    <t xml:space="preserve">sum of site high rows</t>
  </si>
  <si>
    <t xml:space="preserve">F125</t>
  </si>
  <si>
    <t xml:space="preserve">formula: =SUM(F5,F10,F15,F20,F25,F30,F35,F40,F45,F50,F55,F60,F65,F70,F75,F80,F85,F90,F95,F100,F105,F110,F115,F120)</t>
  </si>
  <si>
    <t xml:space="preserve">G125</t>
  </si>
  <si>
    <t xml:space="preserve">formula: =SUM(G5,G10,G15,G20,G25,G30,G35,G40,G45,G50,G55,G60,G65,G70,G75,G80,G85,G90,G95,G100,G105,G110,G115,G120)</t>
  </si>
  <si>
    <t xml:space="preserve">H125</t>
  </si>
  <si>
    <t xml:space="preserve">formula: =SUM(H5,H10,H15,H20,H25,H30,H35,H40,H45,H50,H55,H60,H65,H70,H75,H80,H85,H90,H95,H100,H105,H110,H115,H120)</t>
  </si>
  <si>
    <t xml:space="preserve">I125</t>
  </si>
  <si>
    <t xml:space="preserve">formula: =SUM(I5,I10,I15,I20,I25,I30,I35,I40,I45,I50,I55,I60,I65,I70,I75,I80,I85,I90,I95,I100,I105,I110,I115,I120)</t>
  </si>
  <si>
    <t xml:space="preserve">J125</t>
  </si>
  <si>
    <t xml:space="preserve">formula: =SUM(J5,J10,J15,J20,J25,J30,J35,J40,J45,J50,J55,J60,J65,J70,J75,J80,J85,J90,J95,J100,J105,J110,J115,J120)</t>
  </si>
  <si>
    <t xml:space="preserve">K125</t>
  </si>
  <si>
    <t xml:space="preserve">formula: =SUM(K5,K10,K15,K20,K25,K30,K35,K40,K45,K50,K55,K60,K65,K70,K75,K80,K85,K90,K95,K100,K105,K110,K115,K120)</t>
  </si>
  <si>
    <t xml:space="preserve">L125</t>
  </si>
  <si>
    <t xml:space="preserve">formula: =SUM(L5,L10,L15,L20,L25,L30,L35,L40,L45,L50,L55,L60,L65,L70,L75,L80,L85,L90,L95,L100,L105,L110,L115,L120)</t>
  </si>
  <si>
    <t xml:space="preserve">M125</t>
  </si>
  <si>
    <t xml:space="preserve">formula: =SUM(M5,M10,M15,M20,M25,M30,M35,M40,M45,M50,M55,M60,M65,M70,M75,M80,M85,M90,M95,M100,M105,M110,M115,M120)</t>
  </si>
  <si>
    <t xml:space="preserve">N125</t>
  </si>
  <si>
    <t xml:space="preserve">formula: =SUM(N5,N10,N15,N20,N25,N30,N35,N40,N45,N50,N55,N60,N65,N70,N75,N80,N85,N90,N95,N100,N105,N110,N115,N120)</t>
  </si>
  <si>
    <t xml:space="preserve">O125</t>
  </si>
  <si>
    <t xml:space="preserve">formula: =SUM(O5,O10,O15,O20,O25,O30,O35,O40,O45,O50,O55,O60,O65,O70,O75,O80,O85,O90,O95,O100,O105,O110,O115,O120)</t>
  </si>
  <si>
    <t xml:space="preserve">P125</t>
  </si>
  <si>
    <t xml:space="preserve">formula: =SUM(P5,P10,P15,P20,P25,P30,P35,P40,P45,P50,P55,P60,P65,P70,P75,P80,P85,P90,P95,P100,P105,P110,P115,P120)</t>
  </si>
  <si>
    <t xml:space="preserve">Q125</t>
  </si>
  <si>
    <t xml:space="preserve">formula: =SUM(Q5,Q10,Q15,Q20,Q25,Q30,Q35,Q40,Q45,Q50,Q55,Q60,Q65,Q70,Q75,Q80,Q85,Q90,Q95,Q100,Q105,Q110,Q115,Q120)</t>
  </si>
  <si>
    <t xml:space="preserve">R125</t>
  </si>
  <si>
    <t xml:space="preserve">formula: =SUM(R5,R10,R15,R20,R25,R30,R35,R40,R45,R50,R55,R60,R65,R70,R75,R80,R85,R90,R95,R100,R105,R110,R115,R120)</t>
  </si>
  <si>
    <t xml:space="preserve">S125</t>
  </si>
  <si>
    <t xml:space="preserve">formula: =SUM(S5,S10,S15,S20,S25,S30,S35,S40,S45,S50,S55,S60,S65,S70,S75,S80,S85,S90,S95,S100,S105,S110,S115,S120)</t>
  </si>
  <si>
    <t xml:space="preserve">T125</t>
  </si>
  <si>
    <t xml:space="preserve">formula: =SUM(T5,T10,T15,T20,T25,T30,T35,T40,T45,T50,T55,T60,T65,T70,T75,T80,T85,T90,T95,T100,T105,T110,T115,T120)</t>
  </si>
  <si>
    <t xml:space="preserve">U125</t>
  </si>
  <si>
    <t xml:space="preserve">formula: =SUM(U5,U10,U15,U20,U25,U30,U35,U40,U45,U50,U55,U60,U65,U70,U75,U80,U85,U90,U95,U100,U105,U110,U115,U120)</t>
  </si>
  <si>
    <t xml:space="preserve">V125</t>
  </si>
  <si>
    <t xml:space="preserve">formula: =SUM(V5,V10,V15,V20,V25,V30,V35,V40,V45,V50,V55,V60,V65,V70,V75,V80,V85,V90,V95,V100,V105,V110,V115,V120)</t>
  </si>
  <si>
    <t xml:space="preserve">W125</t>
  </si>
  <si>
    <t xml:space="preserve">formula: =SUM(W5,W10,W15,W20,W25,W30,W35,W40,W45,W50,W55,W60,W65,W70,W75,W80,W85,W90,W95,W100,W105,W110,W115,W120)</t>
  </si>
  <si>
    <t xml:space="preserve">X125</t>
  </si>
  <si>
    <t xml:space="preserve">formula: =SUM(X5,X10,X15,X20,X25,X30,X35,X40,X45,X50,X55,X60,X65,X70,X75,X80,X85,X90,X95,X100,X105,X110,X115,X120)</t>
  </si>
  <si>
    <t xml:space="preserve">Y125</t>
  </si>
  <si>
    <t xml:space="preserve">formula: =SUM(Y5,Y10,Y15,Y20,Y25,Y30,Y35,Y40,Y45,Y50,Y55,Y60,Y65,Y70,Y75,Y80,Y85,Y90,Y95,Y100,Y105,Y110,Y115,Y120)</t>
  </si>
  <si>
    <t xml:space="preserve">Z125</t>
  </si>
  <si>
    <t xml:space="preserve">formula: =SUM(Z5,Z10,Z15,Z20,Z25,Z30,Z35,Z40,Z45,Z50,Z55,Z60,Z65,Z70,Z75,Z80,Z85,Z90,Z95,Z100,Z105,Z110,Z115,Z120)</t>
  </si>
  <si>
    <t xml:space="preserve">AA125</t>
  </si>
  <si>
    <t xml:space="preserve">formula: =SUM(AA5,AA10,AA15,AA20,AA25,AA30,AA35,AA40,AA45,AA50,AA55,AA60,AA65,AA70,AA75,AA80,AA85,AA90,AA95,AA100,AA105,AA110,AA115,AA120)</t>
  </si>
  <si>
    <t xml:space="preserve">AB125</t>
  </si>
  <si>
    <t xml:space="preserve">formula: =SUM(AB5,AB10,AB15,AB20,AB25,AB30,AB35,AB40,AB45,AB50,AB55,AB60,AB65,AB70,AB75,AB80,AB85,AB90,AB95,AB100,AB105,AB110,AB115,AB120)</t>
  </si>
  <si>
    <t xml:space="preserve">AC125</t>
  </si>
  <si>
    <t xml:space="preserve">formula: =SUM(AC5,AC10,AC15,AC20,AC25,AC30,AC35,AC40,AC45,AC50,AC55,AC60,AC65,AC70,AC75,AC80,AC85,AC90,AC95,AC100,AC105,AC110,AC115,AC120)</t>
  </si>
  <si>
    <t xml:space="preserve">AD125</t>
  </si>
  <si>
    <t xml:space="preserve">formula: =SUM(AD5,AD10,AD15,AD20,AD25,AD30,AD35,AD40,AD45,AD50,AD55,AD60,AD65,AD70,AD75,AD80,AD85,AD90,AD95,AD100,AD105,AD110,AD115,AD120)</t>
  </si>
  <si>
    <t xml:space="preserve">AE125</t>
  </si>
  <si>
    <t xml:space="preserve">formula: =SUM(AE5,AE10,AE15,AE20,AE25,AE30,AE35,AE40,AE45,AE50,AE55,AE60,AE65,AE70,AE75,AE80,AE85,AE90,AE95,AE100,AE105,AE110,AE115,AE120)</t>
  </si>
  <si>
    <t xml:space="preserve">AF125</t>
  </si>
  <si>
    <t xml:space="preserve">formula: =SUM(AF5,AF10,AF15,AF20,AF25,AF30,AF35,AF40,AF45,AF50,AF55,AF60,AF65,AF70,AF75,AF80,AF85,AF90,AF95,AF100,AF105,AF110,AF115,AF120)</t>
  </si>
  <si>
    <t xml:space="preserve">E126</t>
  </si>
  <si>
    <t xml:space="preserve">formula: =SUM(E6,E11,E16,E21,E26,E31,E36,E41,E46,E51,E56,E61,E66,E71,E76,E81,E86,E91,E96,E101,E106,E111,E116,E121)</t>
  </si>
  <si>
    <t xml:space="preserve">sum of site base rows</t>
  </si>
  <si>
    <t xml:space="preserve">F126</t>
  </si>
  <si>
    <t xml:space="preserve">formula: =SUM(F6,F11,F16,F21,F26,F31,F36,F41,F46,F51,F56,F61,F66,F71,F76,F81,F86,F91,F96,F101,F106,F111,F116,F121)</t>
  </si>
  <si>
    <t xml:space="preserve">G126</t>
  </si>
  <si>
    <t xml:space="preserve">formula: =SUM(G6,G11,G16,G21,G26,G31,G36,G41,G46,G51,G56,G61,G66,G71,G76,G81,G86,G91,G96,G101,G106,G111,G116,G121)</t>
  </si>
  <si>
    <t xml:space="preserve">H126</t>
  </si>
  <si>
    <t xml:space="preserve">formula: =SUM(H6,H11,H16,H21,H26,H31,H36,H41,H46,H51,H56,H61,H66,H71,H76,H81,H86,H91,H96,H101,H106,H111,H116,H121)</t>
  </si>
  <si>
    <t xml:space="preserve">I126</t>
  </si>
  <si>
    <t xml:space="preserve">formula: =SUM(I6,I11,I16,I21,I26,I31,I36,I41,I46,I51,I56,I61,I66,I71,I76,I81,I86,I91,I96,I101,I106,I111,I116,I121)</t>
  </si>
  <si>
    <t xml:space="preserve">J126</t>
  </si>
  <si>
    <t xml:space="preserve">formula: =SUM(J6,J11,J16,J21,J26,J31,J36,J41,J46,J51,J56,J61,J66,J71,J76,J81,J86,J91,J96,J101,J106,J111,J116,J121)</t>
  </si>
  <si>
    <t xml:space="preserve">K126</t>
  </si>
  <si>
    <t xml:space="preserve">formula: =SUM(K6,K11,K16,K21,K26,K31,K36,K41,K46,K51,K56,K61,K66,K71,K76,K81,K86,K91,K96,K101,K106,K111,K116,K121)</t>
  </si>
  <si>
    <t xml:space="preserve">L126</t>
  </si>
  <si>
    <t xml:space="preserve">formula: =SUM(L6,L11,L16,L21,L26,L31,L36,L41,L46,L51,L56,L61,L66,L71,L76,L81,L86,L91,L96,L101,L106,L111,L116,L121)</t>
  </si>
  <si>
    <t xml:space="preserve">M126</t>
  </si>
  <si>
    <t xml:space="preserve">formula: =SUM(M6,M11,M16,M21,M26,M31,M36,M41,M46,M51,M56,M61,M66,M71,M76,M81,M86,M91,M96,M101,M106,M111,M116,M121)</t>
  </si>
  <si>
    <t xml:space="preserve">N126</t>
  </si>
  <si>
    <t xml:space="preserve">formula: =SUM(N6,N11,N16,N21,N26,N31,N36,N41,N46,N51,N56,N61,N66,N71,N76,N81,N86,N91,N96,N101,N106,N111,N116,N121)</t>
  </si>
  <si>
    <t xml:space="preserve">O126</t>
  </si>
  <si>
    <t xml:space="preserve">formula: =SUM(O6,O11,O16,O21,O26,O31,O36,O41,O46,O51,O56,O61,O66,O71,O76,O81,O86,O91,O96,O101,O106,O111,O116,O121)</t>
  </si>
  <si>
    <t xml:space="preserve">P126</t>
  </si>
  <si>
    <t xml:space="preserve">formula: =SUM(P6,P11,P16,P21,P26,P31,P36,P41,P46,P51,P56,P61,P66,P71,P76,P81,P86,P91,P96,P101,P106,P111,P116,P121)</t>
  </si>
  <si>
    <t xml:space="preserve">Q126</t>
  </si>
  <si>
    <t xml:space="preserve">formula: =SUM(Q6,Q11,Q16,Q21,Q26,Q31,Q36,Q41,Q46,Q51,Q56,Q61,Q66,Q71,Q76,Q81,Q86,Q91,Q96,Q101,Q106,Q111,Q116,Q121)</t>
  </si>
  <si>
    <t xml:space="preserve">R126</t>
  </si>
  <si>
    <t xml:space="preserve">formula: =SUM(R6,R11,R16,R21,R26,R31,R36,R41,R46,R51,R56,R61,R66,R71,R76,R81,R86,R91,R96,R101,R106,R111,R116,R121)</t>
  </si>
  <si>
    <t xml:space="preserve">S126</t>
  </si>
  <si>
    <t xml:space="preserve">formula: =SUM(S6,S11,S16,S21,S26,S31,S36,S41,S46,S51,S56,S61,S66,S71,S76,S81,S86,S91,S96,S101,S106,S111,S116,S121)</t>
  </si>
  <si>
    <t xml:space="preserve">T126</t>
  </si>
  <si>
    <t xml:space="preserve">formula: =SUM(T6,T11,T16,T21,T26,T31,T36,T41,T46,T51,T56,T61,T66,T71,T76,T81,T86,T91,T96,T101,T106,T111,T116,T121)</t>
  </si>
  <si>
    <t xml:space="preserve">U126</t>
  </si>
  <si>
    <t xml:space="preserve">formula: =SUM(U6,U11,U16,U21,U26,U31,U36,U41,U46,U51,U56,U61,U66,U71,U76,U81,U86,U91,U96,U101,U106,U111,U116,U121)</t>
  </si>
  <si>
    <t xml:space="preserve">V126</t>
  </si>
  <si>
    <t xml:space="preserve">formula: =SUM(V6,V11,V16,V21,V26,V31,V36,V41,V46,V51,V56,V61,V66,V71,V76,V81,V86,V91,V96,V101,V106,V111,V116,V121)</t>
  </si>
  <si>
    <t xml:space="preserve">W126</t>
  </si>
  <si>
    <t xml:space="preserve">formula: =SUM(W6,W11,W16,W21,W26,W31,W36,W41,W46,W51,W56,W61,W66,W71,W76,W81,W86,W91,W96,W101,W106,W111,W116,W121)</t>
  </si>
  <si>
    <t xml:space="preserve">X126</t>
  </si>
  <si>
    <t xml:space="preserve">formula: =SUM(X6,X11,X16,X21,X26,X31,X36,X41,X46,X51,X56,X61,X66,X71,X76,X81,X86,X91,X96,X101,X106,X111,X116,X121)</t>
  </si>
  <si>
    <t xml:space="preserve">Y126</t>
  </si>
  <si>
    <t xml:space="preserve">formula: =SUM(Y6,Y11,Y16,Y21,Y26,Y31,Y36,Y41,Y46,Y51,Y56,Y61,Y66,Y71,Y76,Y81,Y86,Y91,Y96,Y101,Y106,Y111,Y116,Y121)</t>
  </si>
  <si>
    <t xml:space="preserve">Z126</t>
  </si>
  <si>
    <t xml:space="preserve">formula: =SUM(Z6,Z11,Z16,Z21,Z26,Z31,Z36,Z41,Z46,Z51,Z56,Z61,Z66,Z71,Z76,Z81,Z86,Z91,Z96,Z101,Z106,Z111,Z116,Z121)</t>
  </si>
  <si>
    <t xml:space="preserve">AA126</t>
  </si>
  <si>
    <t xml:space="preserve">formula: =SUM(AA6,AA11,AA16,AA21,AA26,AA31,AA36,AA41,AA46,AA51,AA56,AA61,AA66,AA71,AA76,AA81,AA86,AA91,AA96,AA101,AA106,AA111,AA116,AA121)</t>
  </si>
  <si>
    <t xml:space="preserve">AB126</t>
  </si>
  <si>
    <t xml:space="preserve">formula: =SUM(AB6,AB11,AB16,AB21,AB26,AB31,AB36,AB41,AB46,AB51,AB56,AB61,AB66,AB71,AB76,AB81,AB86,AB91,AB96,AB101,AB106,AB111,AB116,AB121)</t>
  </si>
  <si>
    <t xml:space="preserve">AC126</t>
  </si>
  <si>
    <t xml:space="preserve">formula: =SUM(AC6,AC11,AC16,AC21,AC26,AC31,AC36,AC41,AC46,AC51,AC56,AC61,AC66,AC71,AC76,AC81,AC86,AC91,AC96,AC101,AC106,AC111,AC116,AC121)</t>
  </si>
  <si>
    <t xml:space="preserve">AD126</t>
  </si>
  <si>
    <t xml:space="preserve">formula: =SUM(AD6,AD11,AD16,AD21,AD26,AD31,AD36,AD41,AD46,AD51,AD56,AD61,AD66,AD71,AD76,AD81,AD86,AD91,AD96,AD101,AD106,AD111,AD116,AD121)</t>
  </si>
  <si>
    <t xml:space="preserve">AE126</t>
  </si>
  <si>
    <t xml:space="preserve">formula: =SUM(AE6,AE11,AE16,AE21,AE26,AE31,AE36,AE41,AE46,AE51,AE56,AE61,AE66,AE71,AE76,AE81,AE86,AE91,AE96,AE101,AE106,AE111,AE116,AE121)</t>
  </si>
  <si>
    <t xml:space="preserve">AF126</t>
  </si>
  <si>
    <t xml:space="preserve">formula: =SUM(AF6,AF11,AF16,AF21,AF26,AF31,AF36,AF41,AF46,AF51,AF56,AF61,AF66,AF71,AF76,AF81,AF86,AF91,AF96,AF101,AF106,AF111,AF116,AF121)</t>
  </si>
  <si>
    <t xml:space="preserve">E127</t>
  </si>
  <si>
    <t xml:space="preserve">formula: =SUM(E3,E8,E13,E18,E23,E28,E33,E38,E43,E48,E53,E58,E63,E68,E73,E78,E83,E88,E93,E98,E103,E108,E113,E118)</t>
  </si>
  <si>
    <t xml:space="preserve">sum of site contracted MW (named sites only)</t>
  </si>
  <si>
    <t xml:space="preserve">F127</t>
  </si>
  <si>
    <t xml:space="preserve">formula: =SUM(F3,F8,F13,F18,F23,F28,F33,F38,F43,F48,F53,F58,F63,F68,F73,F78,F83,F88,F93,F98,F103,F108,F113,F118)</t>
  </si>
  <si>
    <t xml:space="preserve">G127</t>
  </si>
  <si>
    <t xml:space="preserve">formula: =SUM(G3,G8,G13,G18,G23,G28,G33,G38,G43,G48,G53,G58,G63,G68,G73,G78,G83,G88,G93,G98,G103,G108,G113,G118)</t>
  </si>
  <si>
    <t xml:space="preserve">H127</t>
  </si>
  <si>
    <t xml:space="preserve">formula: =SUM(H3,H8,H13,H18,H23,H28,H33,H38,H43,H48,H53,H58,H63,H68,H73,H78,H83,H88,H93,H98,H103,H108,H113,H118)</t>
  </si>
  <si>
    <t xml:space="preserve">I127</t>
  </si>
  <si>
    <t xml:space="preserve">formula: =SUM(I3,I8,I13,I18,I23,I28,I33,I38,I43,I48,I53,I58,I63,I68,I73,I78,I83,I88,I93,I98,I103,I108,I113,I118)</t>
  </si>
  <si>
    <t xml:space="preserve">J127</t>
  </si>
  <si>
    <t xml:space="preserve">formula: =SUM(J3,J8,J13,J18,J23,J28,J33,J38,J43,J48,J53,J58,J63,J68,J73,J78,J83,J88,J93,J98,J103,J108,J113,J118)</t>
  </si>
  <si>
    <t xml:space="preserve">K127</t>
  </si>
  <si>
    <t xml:space="preserve">formula: =SUM(K3,K8,K13,K18,K23,K28,K33,K38,K43,K48,K53,K58,K63,K68,K73,K78,K83,K88,K93,K98,K103,K108,K113,K118)</t>
  </si>
  <si>
    <t xml:space="preserve">L127</t>
  </si>
  <si>
    <t xml:space="preserve">formula: =SUM(L3,L8,L13,L18,L23,L28,L33,L38,L43,L48,L53,L58,L63,L68,L73,L78,L83,L88,L93,L98,L103,L108,L113,L118)</t>
  </si>
  <si>
    <t xml:space="preserve">M127</t>
  </si>
  <si>
    <t xml:space="preserve">formula: =SUM(M3,M8,M13,M18,M23,M28,M33,M38,M43,M48,M53,M58,M63,M68,M73,M78,M83,M88,M93,M98,M103,M108,M113,M118)</t>
  </si>
  <si>
    <t xml:space="preserve">N127</t>
  </si>
  <si>
    <t xml:space="preserve">formula: =SUM(N3,N8,N13,N18,N23,N28,N33,N38,N43,N48,N53,N58,N63,N68,N73,N78,N83,N88,N93,N98,N103,N108,N113,N118)</t>
  </si>
  <si>
    <t xml:space="preserve">O127</t>
  </si>
  <si>
    <t xml:space="preserve">formula: =SUM(O3,O8,O13,O18,O23,O28,O33,O38,O43,O48,O53,O58,O63,O68,O73,O78,O83,O88,O93,O98,O103,O108,O113,O118)</t>
  </si>
  <si>
    <t xml:space="preserve">P127</t>
  </si>
  <si>
    <t xml:space="preserve">formula: =SUM(P3,P8,P13,P18,P23,P28,P33,P38,P43,P48,P53,P58,P63,P68,P73,P78,P83,P88,P93,P98,P103,P108,P113,P118)</t>
  </si>
  <si>
    <t xml:space="preserve">Q127</t>
  </si>
  <si>
    <t xml:space="preserve">formula: =SUM(Q3,Q8,Q13,Q18,Q23,Q28,Q33,Q38,Q43,Q48,Q53,Q58,Q63,Q68,Q73,Q78,Q83,Q88,Q93,Q98,Q103,Q108,Q113,Q118)</t>
  </si>
  <si>
    <t xml:space="preserve">R127</t>
  </si>
  <si>
    <t xml:space="preserve">formula: =SUM(R3,R8,R13,R18,R23,R28,R33,R38,R43,R48,R53,R58,R63,R68,R73,R78,R83,R88,R93,R98,R103,R108,R113,R118)</t>
  </si>
  <si>
    <t xml:space="preserve">S127</t>
  </si>
  <si>
    <t xml:space="preserve">formula: =SUM(S3,S8,S13,S18,S23,S28,S33,S38,S43,S48,S53,S58,S63,S68,S73,S78,S83,S88,S93,S98,S103,S108,S113,S118)</t>
  </si>
  <si>
    <t xml:space="preserve">T127</t>
  </si>
  <si>
    <t xml:space="preserve">formula: =SUM(T3,T8,T13,T18,T23,T28,T33,T38,T43,T48,T53,T58,T63,T68,T73,T78,T83,T88,T93,T98,T103,T108,T113,T118)</t>
  </si>
  <si>
    <t xml:space="preserve">U127</t>
  </si>
  <si>
    <t xml:space="preserve">formula: =SUM(U3,U8,U13,U18,U23,U28,U33,U38,U43,U48,U53,U58,U63,U68,U73,U78,U83,U88,U93,U98,U103,U108,U113,U118)</t>
  </si>
  <si>
    <t xml:space="preserve">V127</t>
  </si>
  <si>
    <t xml:space="preserve">formula: =SUM(V3,V8,V13,V18,V23,V28,V33,V38,V43,V48,V53,V58,V63,V68,V73,V78,V83,V88,V93,V98,V103,V108,V113,V118)</t>
  </si>
  <si>
    <t xml:space="preserve">W127</t>
  </si>
  <si>
    <t xml:space="preserve">formula: =SUM(W3,W8,W13,W18,W23,W28,W33,W38,W43,W48,W53,W58,W63,W68,W73,W78,W83,W88,W93,W98,W103,W108,W113,W118)</t>
  </si>
  <si>
    <t xml:space="preserve">X127</t>
  </si>
  <si>
    <t xml:space="preserve">formula: =SUM(X3,X8,X13,X18,X23,X28,X33,X38,X43,X48,X53,X58,X63,X68,X73,X78,X83,X88,X93,X98,X103,X108,X113,X118)</t>
  </si>
  <si>
    <t xml:space="preserve">Y127</t>
  </si>
  <si>
    <t xml:space="preserve">formula: =SUM(Y3,Y8,Y13,Y18,Y23,Y28,Y33,Y38,Y43,Y48,Y53,Y58,Y63,Y68,Y73,Y78,Y83,Y88,Y93,Y98,Y103,Y108,Y113,Y118)</t>
  </si>
  <si>
    <t xml:space="preserve">Z127</t>
  </si>
  <si>
    <t xml:space="preserve">formula: =SUM(Z3,Z8,Z13,Z18,Z23,Z28,Z33,Z38,Z43,Z48,Z53,Z58,Z63,Z68,Z73,Z78,Z83,Z88,Z93,Z98,Z103,Z108,Z113,Z118)</t>
  </si>
  <si>
    <t xml:space="preserve">AA127</t>
  </si>
  <si>
    <t xml:space="preserve">formula: =SUM(AA3,AA8,AA13,AA18,AA23,AA28,AA33,AA38,AA43,AA48,AA53,AA58,AA63,AA68,AA73,AA78,AA83,AA88,AA93,AA98,AA103,AA108,AA113,AA118)</t>
  </si>
  <si>
    <t xml:space="preserve">AB127</t>
  </si>
  <si>
    <t xml:space="preserve">formula: =SUM(AB3,AB8,AB13,AB18,AB23,AB28,AB33,AB38,AB43,AB48,AB53,AB58,AB63,AB68,AB73,AB78,AB83,AB88,AB93,AB98,AB103,AB108,AB113,AB118)</t>
  </si>
  <si>
    <t xml:space="preserve">AC127</t>
  </si>
  <si>
    <t xml:space="preserve">formula: =SUM(AC3,AC8,AC13,AC18,AC23,AC28,AC33,AC38,AC43,AC48,AC53,AC58,AC63,AC68,AC73,AC78,AC83,AC88,AC93,AC98,AC103,AC108,AC113,AC118)</t>
  </si>
  <si>
    <t xml:space="preserve">AD127</t>
  </si>
  <si>
    <t xml:space="preserve">formula: =SUM(AD3,AD8,AD13,AD18,AD23,AD28,AD33,AD38,AD43,AD48,AD53,AD58,AD63,AD68,AD73,AD78,AD83,AD88,AD93,AD98,AD103,AD108,AD113,AD118)</t>
  </si>
  <si>
    <t xml:space="preserve">AE127</t>
  </si>
  <si>
    <t xml:space="preserve">formula: =SUM(AE3,AE8,AE13,AE18,AE23,AE28,AE33,AE38,AE43,AE48,AE53,AE58,AE63,AE68,AE73,AE78,AE83,AE88,AE93,AE98,AE103,AE108,AE113,AE118)</t>
  </si>
  <si>
    <t xml:space="preserve">AF127</t>
  </si>
  <si>
    <t xml:space="preserve">formula: =SUM(AF3,AF8,AF13,AF18,AF23,AF28,AF33,AF38,AF43,AF48,AF53,AF58,AF63,AF68,AF73,AF78,AF83,AF88,AF93,AF98,AF103,AF108,AF113,AF118)</t>
  </si>
  <si>
    <t xml:space="preserve">H128</t>
  </si>
  <si>
    <t xml:space="preserve">Connected MW YE24 25 MW (Q3-25 letter chart) https://www.sec.gov/Archives/edgar/data/1513845/000110465925109806/tm2530882d1_ex99-2.htm</t>
  </si>
  <si>
    <t xml:space="preserve">L128</t>
  </si>
  <si>
    <t xml:space="preserve">170</t>
  </si>
  <si>
    <t xml:space="preserve">~170 MW ACTIVE power YE25 (Q4-25 letter) https://www.sec.gov/Archives/edgar/data/1513845/000110465926013946/tm266173d1_ex99-2.htm</t>
  </si>
  <si>
    <t xml:space="preserve">P128</t>
  </si>
  <si>
    <t xml:space="preserve">Reported (guide low end)</t>
  </si>
  <si>
    <t xml:space="preserve">800 MW-1 GW CONNECTED by YE26 (Q3-25/Q4-25/Q1-26 letters; Q2-26 call) https://www.sec.gov/Archives/edgar/data/1513845/000110465926059872/tm2614392d1_ex99-2.htm</t>
  </si>
  <si>
    <t xml:space="preserve">T128</t>
  </si>
  <si>
    <t xml:space="preserve">formula: =800+1000</t>
  </si>
  <si>
    <t xml:space="preserve">YE26 guide low (800) + "&gt;1 GW per year starting 2027" (Q2-26 letter) https://www.sec.gov/Archives/edgar/data/1513845/000110465926094568/tm2622968d1_ex99-2.htm</t>
  </si>
  <si>
    <t xml:space="preserve">H129</t>
  </si>
  <si>
    <t xml:space="preserve">formula: =H128-H126</t>
  </si>
  <si>
    <t xml:space="preserve">plug so that identified base + plug = mgmt reported/guided figure; NOT an estimate of what exists</t>
  </si>
  <si>
    <t xml:space="preserve">L129</t>
  </si>
  <si>
    <t xml:space="preserve">formula: =L128-L126</t>
  </si>
  <si>
    <t xml:space="preserve">P129</t>
  </si>
  <si>
    <t xml:space="preserve">formula: =P128-P126</t>
  </si>
  <si>
    <t xml:space="preserve">T129</t>
  </si>
  <si>
    <t xml:space="preserve">formula: =T128-T126</t>
  </si>
  <si>
    <t xml:space="preserve">E130</t>
  </si>
  <si>
    <t xml:space="preserve">formula: =E126+N(E129)</t>
  </si>
  <si>
    <t xml:space="preserve">identified base + plug</t>
  </si>
  <si>
    <t xml:space="preserve">F130</t>
  </si>
  <si>
    <t xml:space="preserve">formula: =F126+N(F129)</t>
  </si>
  <si>
    <t xml:space="preserve">G130</t>
  </si>
  <si>
    <t xml:space="preserve">formula: =G126+N(G129)</t>
  </si>
  <si>
    <t xml:space="preserve">H130</t>
  </si>
  <si>
    <t xml:space="preserve">formula: =H126+N(H129)</t>
  </si>
  <si>
    <t xml:space="preserve">I130</t>
  </si>
  <si>
    <t xml:space="preserve">formula: =I126+N(I129)</t>
  </si>
  <si>
    <t xml:space="preserve">J130</t>
  </si>
  <si>
    <t xml:space="preserve">formula: =J126+N(J129)</t>
  </si>
  <si>
    <t xml:space="preserve">K130</t>
  </si>
  <si>
    <t xml:space="preserve">formula: =K126+N(K129)</t>
  </si>
  <si>
    <t xml:space="preserve">L130</t>
  </si>
  <si>
    <t xml:space="preserve">formula: =L126+N(L129)</t>
  </si>
  <si>
    <t xml:space="preserve">M130</t>
  </si>
  <si>
    <t xml:space="preserve">formula: =M126+N(M129)</t>
  </si>
  <si>
    <t xml:space="preserve">N130</t>
  </si>
  <si>
    <t xml:space="preserve">formula: =N126+N(N129)</t>
  </si>
  <si>
    <t xml:space="preserve">O130</t>
  </si>
  <si>
    <t xml:space="preserve">formula: =O126+N(O129)</t>
  </si>
  <si>
    <t xml:space="preserve">P130</t>
  </si>
  <si>
    <t xml:space="preserve">formula: =P126+N(P129)</t>
  </si>
  <si>
    <t xml:space="preserve">Q130</t>
  </si>
  <si>
    <t xml:space="preserve">formula: =Q126+N(Q129)</t>
  </si>
  <si>
    <t xml:space="preserve">R130</t>
  </si>
  <si>
    <t xml:space="preserve">formula: =R126+N(R129)</t>
  </si>
  <si>
    <t xml:space="preserve">S130</t>
  </si>
  <si>
    <t xml:space="preserve">formula: =S126+N(S129)</t>
  </si>
  <si>
    <t xml:space="preserve">T130</t>
  </si>
  <si>
    <t xml:space="preserve">formula: =T126+N(T129)</t>
  </si>
  <si>
    <t xml:space="preserve">U130</t>
  </si>
  <si>
    <t xml:space="preserve">formula: =U126+N(U129)</t>
  </si>
  <si>
    <t xml:space="preserve">V130</t>
  </si>
  <si>
    <t xml:space="preserve">formula: =V126+N(V129)</t>
  </si>
  <si>
    <t xml:space="preserve">W130</t>
  </si>
  <si>
    <t xml:space="preserve">formula: =W126+N(W129)</t>
  </si>
  <si>
    <t xml:space="preserve">X130</t>
  </si>
  <si>
    <t xml:space="preserve">formula: =X126+N(X129)</t>
  </si>
  <si>
    <t xml:space="preserve">Y130</t>
  </si>
  <si>
    <t xml:space="preserve">formula: =Y126+N(Y129)</t>
  </si>
  <si>
    <t xml:space="preserve">Z130</t>
  </si>
  <si>
    <t xml:space="preserve">formula: =Z126+N(Z129)</t>
  </si>
  <si>
    <t xml:space="preserve">AA130</t>
  </si>
  <si>
    <t xml:space="preserve">formula: =AA126+N(AA129)</t>
  </si>
  <si>
    <t xml:space="preserve">AB130</t>
  </si>
  <si>
    <t xml:space="preserve">formula: =AB126+N(AB129)</t>
  </si>
  <si>
    <t xml:space="preserve">AC130</t>
  </si>
  <si>
    <t xml:space="preserve">formula: =AC126+N(AC129)</t>
  </si>
  <si>
    <t xml:space="preserve">AD130</t>
  </si>
  <si>
    <t xml:space="preserve">formula: =AD126+N(AD129)</t>
  </si>
  <si>
    <t xml:space="preserve">AE130</t>
  </si>
  <si>
    <t xml:space="preserve">formula: =AE126+N(AE129)</t>
  </si>
  <si>
    <t xml:space="preserve">AF130</t>
  </si>
  <si>
    <t xml:space="preserve">formula: =AF126+N(AF129)</t>
  </si>
  <si>
    <t xml:space="preserve">L131</t>
  </si>
  <si>
    <t xml:space="preserve">2000</t>
  </si>
  <si>
    <t xml:space="preserve">&gt;2 GW secured (Feb 12 2026) https://www.sec.gov/Archives/edgar/data/1513845/000110465926013946/tm266173d1_ex99-2.htm</t>
  </si>
  <si>
    <t xml:space="preserve">M131</t>
  </si>
  <si>
    <t xml:space="preserve">3500</t>
  </si>
  <si>
    <t xml:space="preserve">&gt;3.5 GW (May 13 2026) https://www.sec.gov/Archives/edgar/data/1513845/000110465926059872/tm2614392d1_ex99-2.htm</t>
  </si>
  <si>
    <t xml:space="preserve">P131</t>
  </si>
  <si>
    <t xml:space="preserve">5000</t>
  </si>
  <si>
    <t xml:space="preserve">Reported (target)</t>
  </si>
  <si>
    <t xml:space="preserve">5 GW YE26 target (Aug 12 2026) https://www.sec.gov/Archives/edgar/data/1513845/000110465926094568/tm2622968d1_ex99-2.htm</t>
  </si>
  <si>
    <t xml:space="preserve">L132</t>
  </si>
  <si>
    <t xml:space="preserve">formula: =L131-L127</t>
  </si>
  <si>
    <t xml:space="preserve">company contracted - sum of named-site contracted MW</t>
  </si>
  <si>
    <t xml:space="preserve">M132</t>
  </si>
  <si>
    <t xml:space="preserve">formula: =M131-M127</t>
  </si>
  <si>
    <t xml:space="preserve">P132</t>
  </si>
  <si>
    <t xml:space="preserve">formula: =P131-P127</t>
  </si>
  <si>
    <t xml:space="preserve">M2</t>
  </si>
  <si>
    <t xml:space="preserve">formula: ='Quarterly MW'!P4</t>
  </si>
  <si>
    <t xml:space="preserve">link to Quarterly MW Q4 2026</t>
  </si>
  <si>
    <t xml:space="preserve">N2</t>
  </si>
  <si>
    <t xml:space="preserve">formula: ='Quarterly MW'!P5</t>
  </si>
  <si>
    <t xml:space="preserve">O2</t>
  </si>
  <si>
    <t xml:space="preserve">formula: ='Quarterly MW'!P6</t>
  </si>
  <si>
    <t xml:space="preserve">formula: ='Quarterly MW'!P9</t>
  </si>
  <si>
    <t xml:space="preserve">formula: ='Quarterly MW'!P10</t>
  </si>
  <si>
    <t xml:space="preserve">formula: ='Quarterly MW'!P11</t>
  </si>
  <si>
    <t xml:space="preserve">formula: ='Quarterly MW'!P14</t>
  </si>
  <si>
    <t xml:space="preserve">formula: ='Quarterly MW'!P15</t>
  </si>
  <si>
    <t xml:space="preserve">formula: ='Quarterly MW'!P16</t>
  </si>
  <si>
    <t xml:space="preserve">formula: ='Quarterly MW'!P19</t>
  </si>
  <si>
    <t xml:space="preserve">formula: ='Quarterly MW'!P20</t>
  </si>
  <si>
    <t xml:space="preserve">formula: ='Quarterly MW'!P21</t>
  </si>
  <si>
    <t xml:space="preserve">formula: ='Quarterly MW'!P24</t>
  </si>
  <si>
    <t xml:space="preserve">formula: ='Quarterly MW'!P25</t>
  </si>
  <si>
    <t xml:space="preserve">formula: ='Quarterly MW'!P26</t>
  </si>
  <si>
    <t xml:space="preserve">M7</t>
  </si>
  <si>
    <t xml:space="preserve">formula: ='Quarterly MW'!P29</t>
  </si>
  <si>
    <t xml:space="preserve">N7</t>
  </si>
  <si>
    <t xml:space="preserve">formula: ='Quarterly MW'!P30</t>
  </si>
  <si>
    <t xml:space="preserve">O7</t>
  </si>
  <si>
    <t xml:space="preserve">formula: ='Quarterly MW'!P31</t>
  </si>
  <si>
    <t xml:space="preserve">formula: ='Quarterly MW'!P34</t>
  </si>
  <si>
    <t xml:space="preserve">formula: ='Quarterly MW'!P35</t>
  </si>
  <si>
    <t xml:space="preserve">formula: ='Quarterly MW'!P36</t>
  </si>
  <si>
    <t xml:space="preserve">formula: ='Quarterly MW'!P39</t>
  </si>
  <si>
    <t xml:space="preserve">formula: ='Quarterly MW'!P40</t>
  </si>
  <si>
    <t xml:space="preserve">formula: ='Quarterly MW'!P41</t>
  </si>
  <si>
    <t xml:space="preserve">formula: ='Quarterly MW'!P44</t>
  </si>
  <si>
    <t xml:space="preserve">formula: ='Quarterly MW'!P45</t>
  </si>
  <si>
    <t xml:space="preserve">formula: ='Quarterly MW'!P46</t>
  </si>
  <si>
    <t xml:space="preserve">formula: ='Quarterly MW'!P49</t>
  </si>
  <si>
    <t xml:space="preserve">formula: ='Quarterly MW'!P50</t>
  </si>
  <si>
    <t xml:space="preserve">formula: ='Quarterly MW'!P51</t>
  </si>
  <si>
    <t xml:space="preserve">M12</t>
  </si>
  <si>
    <t xml:space="preserve">formula: ='Quarterly MW'!P54</t>
  </si>
  <si>
    <t xml:space="preserve">N12</t>
  </si>
  <si>
    <t xml:space="preserve">formula: ='Quarterly MW'!P55</t>
  </si>
  <si>
    <t xml:space="preserve">formula: ='Quarterly MW'!P56</t>
  </si>
  <si>
    <t xml:space="preserve">M13</t>
  </si>
  <si>
    <t xml:space="preserve">formula: ='Quarterly MW'!P59</t>
  </si>
  <si>
    <t xml:space="preserve">formula: ='Quarterly MW'!P60</t>
  </si>
  <si>
    <t xml:space="preserve">formula: ='Quarterly MW'!P61</t>
  </si>
  <si>
    <t xml:space="preserve">formula: ='Quarterly MW'!P64</t>
  </si>
  <si>
    <t xml:space="preserve">formula: ='Quarterly MW'!P65</t>
  </si>
  <si>
    <t xml:space="preserve">formula: ='Quarterly MW'!P66</t>
  </si>
  <si>
    <t xml:space="preserve">formula: ='Quarterly MW'!P69</t>
  </si>
  <si>
    <t xml:space="preserve">formula: ='Quarterly MW'!P70</t>
  </si>
  <si>
    <t xml:space="preserve">formula: ='Quarterly MW'!P71</t>
  </si>
  <si>
    <t xml:space="preserve">formula: ='Quarterly MW'!P74</t>
  </si>
  <si>
    <t xml:space="preserve">formula: ='Quarterly MW'!P75</t>
  </si>
  <si>
    <t xml:space="preserve">formula: ='Quarterly MW'!P76</t>
  </si>
  <si>
    <t xml:space="preserve">M17</t>
  </si>
  <si>
    <t xml:space="preserve">formula: ='Quarterly MW'!P79</t>
  </si>
  <si>
    <t xml:space="preserve">N17</t>
  </si>
  <si>
    <t xml:space="preserve">formula: ='Quarterly MW'!P80</t>
  </si>
  <si>
    <t xml:space="preserve">O17</t>
  </si>
  <si>
    <t xml:space="preserve">formula: ='Quarterly MW'!P81</t>
  </si>
  <si>
    <t xml:space="preserve">formula: ='Quarterly MW'!P84</t>
  </si>
  <si>
    <t xml:space="preserve">formula: ='Quarterly MW'!P85</t>
  </si>
  <si>
    <t xml:space="preserve">formula: ='Quarterly MW'!P86</t>
  </si>
  <si>
    <t xml:space="preserve">formula: ='Quarterly MW'!P89</t>
  </si>
  <si>
    <t xml:space="preserve">formula: ='Quarterly MW'!P90</t>
  </si>
  <si>
    <t xml:space="preserve">formula: ='Quarterly MW'!P91</t>
  </si>
  <si>
    <t xml:space="preserve">formula: ='Quarterly MW'!P94</t>
  </si>
  <si>
    <t xml:space="preserve">formula: ='Quarterly MW'!P95</t>
  </si>
  <si>
    <t xml:space="preserve">formula: ='Quarterly MW'!P96</t>
  </si>
  <si>
    <t xml:space="preserve">formula: ='Quarterly MW'!P99</t>
  </si>
  <si>
    <t xml:space="preserve">formula: ='Quarterly MW'!P100</t>
  </si>
  <si>
    <t xml:space="preserve">formula: ='Quarterly MW'!P101</t>
  </si>
  <si>
    <t xml:space="preserve">M22</t>
  </si>
  <si>
    <t xml:space="preserve">formula: ='Quarterly MW'!P104</t>
  </si>
  <si>
    <t xml:space="preserve">N22</t>
  </si>
  <si>
    <t xml:space="preserve">formula: ='Quarterly MW'!P105</t>
  </si>
  <si>
    <t xml:space="preserve">O22</t>
  </si>
  <si>
    <t xml:space="preserve">formula: ='Quarterly MW'!P106</t>
  </si>
  <si>
    <t xml:space="preserve">formula: ='Quarterly MW'!P109</t>
  </si>
  <si>
    <t xml:space="preserve">formula: ='Quarterly MW'!P110</t>
  </si>
  <si>
    <t xml:space="preserve">formula: ='Quarterly MW'!P111</t>
  </si>
  <si>
    <t xml:space="preserve">formula: ='Quarterly MW'!P114</t>
  </si>
  <si>
    <t xml:space="preserve">formula: ='Quarterly MW'!P115</t>
  </si>
  <si>
    <t xml:space="preserve">formula: ='Quarterly MW'!P116</t>
  </si>
  <si>
    <t xml:space="preserve">formula: ='Quarterly MW'!P119</t>
  </si>
  <si>
    <t xml:space="preserve">formula: ='Quarterly MW'!P120</t>
  </si>
  <si>
    <t xml:space="preserve">formula: ='Quarterly MW'!P121</t>
  </si>
  <si>
    <t xml:space="preserve">GPUs deployed</t>
  </si>
  <si>
    <t xml:space="preserve">B2</t>
  </si>
  <si>
    <t xml:space="preserve">713.0</t>
  </si>
  <si>
    <t xml:space="preserve">/workspace/nebius/capacity/gpu_mw_capex.xlsx GPUsPerMW!I6 (base row; value reproduced from its formula)</t>
  </si>
  <si>
    <t xml:space="preserve">548.5</t>
  </si>
  <si>
    <t xml:space="preserve">/workspace/nebius/capacity/gpu_mw_capex.xlsx GPUsPerMW!L6 (base row)</t>
  </si>
  <si>
    <t xml:space="preserve">B3</t>
  </si>
  <si>
    <t xml:space="preserve">508.6</t>
  </si>
  <si>
    <t xml:space="preserve">/workspace/nebius/capacity/gpu_mw_capex.xlsx GPUsPerMW!I9 (base row; value reproduced from its formula)</t>
  </si>
  <si>
    <t xml:space="preserve">391.2</t>
  </si>
  <si>
    <t xml:space="preserve">/workspace/nebius/capacity/gpu_mw_capex.xlsx GPUsPerMW!L9 (base row)</t>
  </si>
  <si>
    <t xml:space="preserve">B4</t>
  </si>
  <si>
    <t xml:space="preserve">501.6</t>
  </si>
  <si>
    <t xml:space="preserve">/workspace/nebius/capacity/gpu_mw_capex.xlsx GPUsPerMW!I15 (base row; value reproduced from its formula)</t>
  </si>
  <si>
    <t xml:space="preserve">385.8</t>
  </si>
  <si>
    <t xml:space="preserve">/workspace/nebius/capacity/gpu_mw_capex.xlsx GPUsPerMW!L15 (base row)</t>
  </si>
  <si>
    <t xml:space="preserve">B5</t>
  </si>
  <si>
    <t xml:space="preserve">491.2</t>
  </si>
  <si>
    <t xml:space="preserve">/workspace/nebius/capacity/gpu_mw_capex.xlsx GPUsPerMW!I18 (base row; value reproduced from its formula)</t>
  </si>
  <si>
    <t xml:space="preserve">409.3</t>
  </si>
  <si>
    <t xml:space="preserve">/workspace/nebius/capacity/gpu_mw_capex.xlsx GPUsPerMW!L18 (base row)</t>
  </si>
  <si>
    <t xml:space="preserve">B6</t>
  </si>
  <si>
    <t xml:space="preserve">320.0</t>
  </si>
  <si>
    <t xml:space="preserve">/workspace/nebius/capacity/gpu_mw_capex.xlsx GPUsPerMW!I21 (base row; value reproduced from its formula)</t>
  </si>
  <si>
    <t xml:space="preserve">267.0</t>
  </si>
  <si>
    <t xml:space="preserve">/workspace/nebius/capacity/gpu_mw_capex.xlsx GPUsPerMW!L21 (base row); VR values from gpu_mw_capex.md table</t>
  </si>
  <si>
    <t xml:space="preserve">formula: =ROUND('Quarterly MW'!E6*$B$5,0)</t>
  </si>
  <si>
    <t xml:space="preserve">energized base MW x GPUs/MW (gpu_mw_capex.xlsx base); generation assumed per Sites tab</t>
  </si>
  <si>
    <t xml:space="preserve">formula: =ROUND('Quarterly MW'!F6*$B$5,0)</t>
  </si>
  <si>
    <t xml:space="preserve">formula: =ROUND('Quarterly MW'!G6*$B$5,0)</t>
  </si>
  <si>
    <t xml:space="preserve">formula: =ROUND('Quarterly MW'!H6*$B$5,0)</t>
  </si>
  <si>
    <t xml:space="preserve">formula: =ROUND('Quarterly MW'!I6*$B$5,0)</t>
  </si>
  <si>
    <t xml:space="preserve">formula: =ROUND('Quarterly MW'!J6*$B$5,0)</t>
  </si>
  <si>
    <t xml:space="preserve">formula: =ROUND('Quarterly MW'!K6*$B$5,0)</t>
  </si>
  <si>
    <t xml:space="preserve">formula: =ROUND('Quarterly MW'!L6*$B$5,0)</t>
  </si>
  <si>
    <t xml:space="preserve">formula: =ROUND('Quarterly MW'!M6*$B$5,0)</t>
  </si>
  <si>
    <t xml:space="preserve">formula: =ROUND('Quarterly MW'!N6*$B$5,0)</t>
  </si>
  <si>
    <t xml:space="preserve">formula: =ROUND('Quarterly MW'!O6*$B$5,0)</t>
  </si>
  <si>
    <t xml:space="preserve">formula: =ROUND('Quarterly MW'!P6*$B$5,0)</t>
  </si>
  <si>
    <t xml:space="preserve">formula: =ROUND('Quarterly MW'!Q6*$B$5,0)</t>
  </si>
  <si>
    <t xml:space="preserve">formula: =ROUND('Quarterly MW'!R6*$B$5,0)</t>
  </si>
  <si>
    <t xml:space="preserve">formula: =ROUND('Quarterly MW'!S6*$B$5,0)</t>
  </si>
  <si>
    <t xml:space="preserve">formula: =ROUND('Quarterly MW'!T6*$B$5,0)</t>
  </si>
  <si>
    <t xml:space="preserve">formula: =ROUND('Quarterly MW'!U6*$B$5,0)</t>
  </si>
  <si>
    <t xml:space="preserve">formula: =ROUND('Quarterly MW'!V6*$B$5,0)</t>
  </si>
  <si>
    <t xml:space="preserve">formula: =ROUND('Quarterly MW'!W6*$B$5,0)</t>
  </si>
  <si>
    <t xml:space="preserve">formula: =ROUND('Quarterly MW'!X6*$B$5,0)</t>
  </si>
  <si>
    <t xml:space="preserve">formula: =ROUND('Quarterly MW'!Y6*$B$5,0)</t>
  </si>
  <si>
    <t xml:space="preserve">formula: =ROUND('Quarterly MW'!Z6*$B$5,0)</t>
  </si>
  <si>
    <t xml:space="preserve">formula: =ROUND('Quarterly MW'!AA6*$B$5,0)</t>
  </si>
  <si>
    <t xml:space="preserve">formula: =ROUND('Quarterly MW'!AB6*$B$5,0)</t>
  </si>
  <si>
    <t xml:space="preserve">formula: =ROUND('Quarterly MW'!AC6*$B$5,0)</t>
  </si>
  <si>
    <t xml:space="preserve">formula: =ROUND('Quarterly MW'!AD6*$B$5,0)</t>
  </si>
  <si>
    <t xml:space="preserve">formula: =ROUND('Quarterly MW'!AE6*$B$5,0)</t>
  </si>
  <si>
    <t xml:space="preserve">formula: =ROUND('Quarterly MW'!AF6*$B$5,0)</t>
  </si>
  <si>
    <t xml:space="preserve">E12</t>
  </si>
  <si>
    <t xml:space="preserve">formula: =ROUND('Quarterly MW'!E11*$C$6,0)</t>
  </si>
  <si>
    <t xml:space="preserve">formula: =ROUND('Quarterly MW'!F11*$C$6,0)</t>
  </si>
  <si>
    <t xml:space="preserve">formula: =ROUND('Quarterly MW'!G11*$C$6,0)</t>
  </si>
  <si>
    <t xml:space="preserve">formula: =ROUND('Quarterly MW'!H11*$C$6,0)</t>
  </si>
  <si>
    <t xml:space="preserve">formula: =ROUND('Quarterly MW'!I11*$C$6,0)</t>
  </si>
  <si>
    <t xml:space="preserve">formula: =ROUND('Quarterly MW'!J11*$C$6,0)</t>
  </si>
  <si>
    <t xml:space="preserve">formula: =ROUND('Quarterly MW'!K11*$C$6,0)</t>
  </si>
  <si>
    <t xml:space="preserve">formula: =ROUND('Quarterly MW'!L11*$C$6,0)</t>
  </si>
  <si>
    <t xml:space="preserve">formula: =ROUND('Quarterly MW'!M11*$C$6,0)</t>
  </si>
  <si>
    <t xml:space="preserve">formula: =ROUND('Quarterly MW'!N11*$C$6,0)</t>
  </si>
  <si>
    <t xml:space="preserve">formula: =ROUND('Quarterly MW'!O11*$C$6,0)</t>
  </si>
  <si>
    <t xml:space="preserve">P12</t>
  </si>
  <si>
    <t xml:space="preserve">formula: =ROUND('Quarterly MW'!P11*$C$6,0)</t>
  </si>
  <si>
    <t xml:space="preserve">Q12</t>
  </si>
  <si>
    <t xml:space="preserve">formula: =ROUND('Quarterly MW'!Q11*$C$6,0)</t>
  </si>
  <si>
    <t xml:space="preserve">R12</t>
  </si>
  <si>
    <t xml:space="preserve">formula: =ROUND('Quarterly MW'!R11*$C$6,0)</t>
  </si>
  <si>
    <t xml:space="preserve">S12</t>
  </si>
  <si>
    <t xml:space="preserve">formula: =ROUND('Quarterly MW'!S11*$C$6,0)</t>
  </si>
  <si>
    <t xml:space="preserve">formula: =ROUND('Quarterly MW'!T11*$C$6,0)</t>
  </si>
  <si>
    <t xml:space="preserve">U12</t>
  </si>
  <si>
    <t xml:space="preserve">formula: =ROUND('Quarterly MW'!U11*$C$6,0)</t>
  </si>
  <si>
    <t xml:space="preserve">V12</t>
  </si>
  <si>
    <t xml:space="preserve">formula: =ROUND('Quarterly MW'!V11*$C$6,0)</t>
  </si>
  <si>
    <t xml:space="preserve">W12</t>
  </si>
  <si>
    <t xml:space="preserve">formula: =ROUND('Quarterly MW'!W11*$C$6,0)</t>
  </si>
  <si>
    <t xml:space="preserve">X12</t>
  </si>
  <si>
    <t xml:space="preserve">formula: =ROUND('Quarterly MW'!X11*$C$6,0)</t>
  </si>
  <si>
    <t xml:space="preserve">Y12</t>
  </si>
  <si>
    <t xml:space="preserve">formula: =ROUND('Quarterly MW'!Y11*$C$6,0)</t>
  </si>
  <si>
    <t xml:space="preserve">Z12</t>
  </si>
  <si>
    <t xml:space="preserve">formula: =ROUND('Quarterly MW'!Z11*$C$6,0)</t>
  </si>
  <si>
    <t xml:space="preserve">AA12</t>
  </si>
  <si>
    <t xml:space="preserve">formula: =ROUND('Quarterly MW'!AA11*$C$6,0)</t>
  </si>
  <si>
    <t xml:space="preserve">AB12</t>
  </si>
  <si>
    <t xml:space="preserve">formula: =ROUND('Quarterly MW'!AB11*$C$6,0)</t>
  </si>
  <si>
    <t xml:space="preserve">AC12</t>
  </si>
  <si>
    <t xml:space="preserve">formula: =ROUND('Quarterly MW'!AC11*$C$6,0)</t>
  </si>
  <si>
    <t xml:space="preserve">AD12</t>
  </si>
  <si>
    <t xml:space="preserve">formula: =ROUND('Quarterly MW'!AD11*$C$6,0)</t>
  </si>
  <si>
    <t xml:space="preserve">AE12</t>
  </si>
  <si>
    <t xml:space="preserve">formula: =ROUND('Quarterly MW'!AE11*$C$6,0)</t>
  </si>
  <si>
    <t xml:space="preserve">AF12</t>
  </si>
  <si>
    <t xml:space="preserve">formula: =ROUND('Quarterly MW'!AF11*$C$6,0)</t>
  </si>
  <si>
    <t xml:space="preserve">E13</t>
  </si>
  <si>
    <t xml:space="preserve">formula: =ROUND('Quarterly MW'!E16*$C$6,0)</t>
  </si>
  <si>
    <t xml:space="preserve">formula: =ROUND('Quarterly MW'!F16*$C$6,0)</t>
  </si>
  <si>
    <t xml:space="preserve">formula: =ROUND('Quarterly MW'!G16*$C$6,0)</t>
  </si>
  <si>
    <t xml:space="preserve">formula: =ROUND('Quarterly MW'!H16*$C$6,0)</t>
  </si>
  <si>
    <t xml:space="preserve">formula: =ROUND('Quarterly MW'!I16*$C$6,0)</t>
  </si>
  <si>
    <t xml:space="preserve">formula: =ROUND('Quarterly MW'!J16*$C$6,0)</t>
  </si>
  <si>
    <t xml:space="preserve">formula: =ROUND('Quarterly MW'!K16*$C$6,0)</t>
  </si>
  <si>
    <t xml:space="preserve">formula: =ROUND('Quarterly MW'!L16*$C$6,0)</t>
  </si>
  <si>
    <t xml:space="preserve">formula: =ROUND('Quarterly MW'!M16*$C$6,0)</t>
  </si>
  <si>
    <t xml:space="preserve">formula: =ROUND('Quarterly MW'!N16*$C$6,0)</t>
  </si>
  <si>
    <t xml:space="preserve">formula: =ROUND('Quarterly MW'!O16*$C$6,0)</t>
  </si>
  <si>
    <t xml:space="preserve">formula: =ROUND('Quarterly MW'!P16*$C$6,0)</t>
  </si>
  <si>
    <t xml:space="preserve">formula: =ROUND('Quarterly MW'!Q16*$C$6,0)</t>
  </si>
  <si>
    <t xml:space="preserve">formula: =ROUND('Quarterly MW'!R16*$C$6,0)</t>
  </si>
  <si>
    <t xml:space="preserve">formula: =ROUND('Quarterly MW'!S16*$C$6,0)</t>
  </si>
  <si>
    <t xml:space="preserve">formula: =ROUND('Quarterly MW'!T16*$C$6,0)</t>
  </si>
  <si>
    <t xml:space="preserve">formula: =ROUND('Quarterly MW'!U16*$C$6,0)</t>
  </si>
  <si>
    <t xml:space="preserve">formula: =ROUND('Quarterly MW'!V16*$C$6,0)</t>
  </si>
  <si>
    <t xml:space="preserve">formula: =ROUND('Quarterly MW'!W16*$C$6,0)</t>
  </si>
  <si>
    <t xml:space="preserve">formula: =ROUND('Quarterly MW'!X16*$C$6,0)</t>
  </si>
  <si>
    <t xml:space="preserve">formula: =ROUND('Quarterly MW'!Y16*$C$6,0)</t>
  </si>
  <si>
    <t xml:space="preserve">formula: =ROUND('Quarterly MW'!Z16*$C$6,0)</t>
  </si>
  <si>
    <t xml:space="preserve">formula: =ROUND('Quarterly MW'!AA16*$C$6,0)</t>
  </si>
  <si>
    <t xml:space="preserve">formula: =ROUND('Quarterly MW'!AB16*$C$6,0)</t>
  </si>
  <si>
    <t xml:space="preserve">formula: =ROUND('Quarterly MW'!AC16*$C$6,0)</t>
  </si>
  <si>
    <t xml:space="preserve">formula: =ROUND('Quarterly MW'!AD16*$C$6,0)</t>
  </si>
  <si>
    <t xml:space="preserve">formula: =ROUND('Quarterly MW'!AE16*$C$6,0)</t>
  </si>
  <si>
    <t xml:space="preserve">formula: =ROUND('Quarterly MW'!AF16*$C$6,0)</t>
  </si>
  <si>
    <t xml:space="preserve">formula: =ROUND('Quarterly MW'!E21*$C$6,0)</t>
  </si>
  <si>
    <t xml:space="preserve">formula: =ROUND('Quarterly MW'!F21*$C$6,0)</t>
  </si>
  <si>
    <t xml:space="preserve">formula: =ROUND('Quarterly MW'!G21*$C$6,0)</t>
  </si>
  <si>
    <t xml:space="preserve">formula: =ROUND('Quarterly MW'!H21*$C$6,0)</t>
  </si>
  <si>
    <t xml:space="preserve">formula: =ROUND('Quarterly MW'!I21*$C$6,0)</t>
  </si>
  <si>
    <t xml:space="preserve">formula: =ROUND('Quarterly MW'!J21*$C$6,0)</t>
  </si>
  <si>
    <t xml:space="preserve">formula: =ROUND('Quarterly MW'!K21*$C$6,0)</t>
  </si>
  <si>
    <t xml:space="preserve">formula: =ROUND('Quarterly MW'!L21*$C$6,0)</t>
  </si>
  <si>
    <t xml:space="preserve">formula: =ROUND('Quarterly MW'!M21*$C$6,0)</t>
  </si>
  <si>
    <t xml:space="preserve">formula: =ROUND('Quarterly MW'!N21*$C$6,0)</t>
  </si>
  <si>
    <t xml:space="preserve">formula: =ROUND('Quarterly MW'!O21*$C$6,0)</t>
  </si>
  <si>
    <t xml:space="preserve">formula: =ROUND('Quarterly MW'!P21*$C$6,0)</t>
  </si>
  <si>
    <t xml:space="preserve">formula: =ROUND('Quarterly MW'!Q21*$C$6,0)</t>
  </si>
  <si>
    <t xml:space="preserve">formula: =ROUND('Quarterly MW'!R21*$C$6,0)</t>
  </si>
  <si>
    <t xml:space="preserve">formula: =ROUND('Quarterly MW'!S21*$C$6,0)</t>
  </si>
  <si>
    <t xml:space="preserve">formula: =ROUND('Quarterly MW'!T21*$C$6,0)</t>
  </si>
  <si>
    <t xml:space="preserve">formula: =ROUND('Quarterly MW'!U21*$C$6,0)</t>
  </si>
  <si>
    <t xml:space="preserve">formula: =ROUND('Quarterly MW'!V21*$C$6,0)</t>
  </si>
  <si>
    <t xml:space="preserve">formula: =ROUND('Quarterly MW'!W21*$C$6,0)</t>
  </si>
  <si>
    <t xml:space="preserve">formula: =ROUND('Quarterly MW'!X21*$C$6,0)</t>
  </si>
  <si>
    <t xml:space="preserve">formula: =ROUND('Quarterly MW'!Y21*$C$6,0)</t>
  </si>
  <si>
    <t xml:space="preserve">formula: =ROUND('Quarterly MW'!Z21*$C$6,0)</t>
  </si>
  <si>
    <t xml:space="preserve">formula: =ROUND('Quarterly MW'!AA21*$C$6,0)</t>
  </si>
  <si>
    <t xml:space="preserve">formula: =ROUND('Quarterly MW'!AB21*$C$6,0)</t>
  </si>
  <si>
    <t xml:space="preserve">formula: =ROUND('Quarterly MW'!AC21*$C$6,0)</t>
  </si>
  <si>
    <t xml:space="preserve">formula: =ROUND('Quarterly MW'!AD21*$C$6,0)</t>
  </si>
  <si>
    <t xml:space="preserve">formula: =ROUND('Quarterly MW'!AE21*$C$6,0)</t>
  </si>
  <si>
    <t xml:space="preserve">formula: =ROUND('Quarterly MW'!AF21*$C$6,0)</t>
  </si>
  <si>
    <t xml:space="preserve">formula: =ROUND('Quarterly MW'!E26*$C$5,0)</t>
  </si>
  <si>
    <t xml:space="preserve">formula: =ROUND('Quarterly MW'!F26*$C$5,0)</t>
  </si>
  <si>
    <t xml:space="preserve">formula: =ROUND('Quarterly MW'!G26*$C$5,0)</t>
  </si>
  <si>
    <t xml:space="preserve">formula: =ROUND('Quarterly MW'!H26*$C$5,0)</t>
  </si>
  <si>
    <t xml:space="preserve">formula: =ROUND('Quarterly MW'!I26*$C$5,0)</t>
  </si>
  <si>
    <t xml:space="preserve">formula: =ROUND('Quarterly MW'!J26*$C$5,0)</t>
  </si>
  <si>
    <t xml:space="preserve">formula: =ROUND('Quarterly MW'!K26*$C$5,0)</t>
  </si>
  <si>
    <t xml:space="preserve">formula: =ROUND('Quarterly MW'!L26*$C$5,0)</t>
  </si>
  <si>
    <t xml:space="preserve">formula: =ROUND('Quarterly MW'!M26*$C$5,0)</t>
  </si>
  <si>
    <t xml:space="preserve">formula: =ROUND('Quarterly MW'!N26*$C$5,0)</t>
  </si>
  <si>
    <t xml:space="preserve">formula: =ROUND('Quarterly MW'!O26*$C$5,0)</t>
  </si>
  <si>
    <t xml:space="preserve">formula: =ROUND('Quarterly MW'!P26*$C$5,0)</t>
  </si>
  <si>
    <t xml:space="preserve">formula: =ROUND('Quarterly MW'!Q26*$C$5,0)</t>
  </si>
  <si>
    <t xml:space="preserve">formula: =ROUND('Quarterly MW'!R26*$C$5,0)</t>
  </si>
  <si>
    <t xml:space="preserve">formula: =ROUND('Quarterly MW'!S26*$C$5,0)</t>
  </si>
  <si>
    <t xml:space="preserve">formula: =ROUND('Quarterly MW'!T26*$C$5,0)</t>
  </si>
  <si>
    <t xml:space="preserve">formula: =ROUND('Quarterly MW'!U26*$C$5,0)</t>
  </si>
  <si>
    <t xml:space="preserve">formula: =ROUND('Quarterly MW'!V26*$C$5,0)</t>
  </si>
  <si>
    <t xml:space="preserve">formula: =ROUND('Quarterly MW'!W26*$C$5,0)</t>
  </si>
  <si>
    <t xml:space="preserve">formula: =ROUND('Quarterly MW'!X26*$C$5,0)</t>
  </si>
  <si>
    <t xml:space="preserve">formula: =ROUND('Quarterly MW'!Y26*$C$5,0)</t>
  </si>
  <si>
    <t xml:space="preserve">formula: =ROUND('Quarterly MW'!Z26*$C$5,0)</t>
  </si>
  <si>
    <t xml:space="preserve">formula: =ROUND('Quarterly MW'!AA26*$C$5,0)</t>
  </si>
  <si>
    <t xml:space="preserve">formula: =ROUND('Quarterly MW'!AB26*$C$5,0)</t>
  </si>
  <si>
    <t xml:space="preserve">formula: =ROUND('Quarterly MW'!AC26*$C$5,0)</t>
  </si>
  <si>
    <t xml:space="preserve">formula: =ROUND('Quarterly MW'!AD26*$C$5,0)</t>
  </si>
  <si>
    <t xml:space="preserve">formula: =ROUND('Quarterly MW'!AE26*$C$5,0)</t>
  </si>
  <si>
    <t xml:space="preserve">formula: =ROUND('Quarterly MW'!AF26*$C$5,0)</t>
  </si>
  <si>
    <t xml:space="preserve">formula: =ROUND('Quarterly MW'!E31*$C$6,0)</t>
  </si>
  <si>
    <t xml:space="preserve">formula: =ROUND('Quarterly MW'!F31*$C$6,0)</t>
  </si>
  <si>
    <t xml:space="preserve">formula: =ROUND('Quarterly MW'!G31*$C$6,0)</t>
  </si>
  <si>
    <t xml:space="preserve">formula: =ROUND('Quarterly MW'!H31*$C$6,0)</t>
  </si>
  <si>
    <t xml:space="preserve">formula: =ROUND('Quarterly MW'!I31*$C$6,0)</t>
  </si>
  <si>
    <t xml:space="preserve">formula: =ROUND('Quarterly MW'!J31*$C$6,0)</t>
  </si>
  <si>
    <t xml:space="preserve">formula: =ROUND('Quarterly MW'!K31*$C$6,0)</t>
  </si>
  <si>
    <t xml:space="preserve">formula: =ROUND('Quarterly MW'!L31*$C$6,0)</t>
  </si>
  <si>
    <t xml:space="preserve">formula: =ROUND('Quarterly MW'!M31*$C$6,0)</t>
  </si>
  <si>
    <t xml:space="preserve">formula: =ROUND('Quarterly MW'!N31*$C$6,0)</t>
  </si>
  <si>
    <t xml:space="preserve">formula: =ROUND('Quarterly MW'!O31*$C$6,0)</t>
  </si>
  <si>
    <t xml:space="preserve">formula: =ROUND('Quarterly MW'!P31*$C$6,0)</t>
  </si>
  <si>
    <t xml:space="preserve">formula: =ROUND('Quarterly MW'!Q31*$C$6,0)</t>
  </si>
  <si>
    <t xml:space="preserve">formula: =ROUND('Quarterly MW'!R31*$C$6,0)</t>
  </si>
  <si>
    <t xml:space="preserve">formula: =ROUND('Quarterly MW'!S31*$C$6,0)</t>
  </si>
  <si>
    <t xml:space="preserve">formula: =ROUND('Quarterly MW'!T31*$C$6,0)</t>
  </si>
  <si>
    <t xml:space="preserve">formula: =ROUND('Quarterly MW'!U31*$C$6,0)</t>
  </si>
  <si>
    <t xml:space="preserve">formula: =ROUND('Quarterly MW'!V31*$C$6,0)</t>
  </si>
  <si>
    <t xml:space="preserve">formula: =ROUND('Quarterly MW'!W31*$C$6,0)</t>
  </si>
  <si>
    <t xml:space="preserve">formula: =ROUND('Quarterly MW'!X31*$C$6,0)</t>
  </si>
  <si>
    <t xml:space="preserve">formula: =ROUND('Quarterly MW'!Y31*$C$6,0)</t>
  </si>
  <si>
    <t xml:space="preserve">formula: =ROUND('Quarterly MW'!Z31*$C$6,0)</t>
  </si>
  <si>
    <t xml:space="preserve">formula: =ROUND('Quarterly MW'!AA31*$C$6,0)</t>
  </si>
  <si>
    <t xml:space="preserve">formula: =ROUND('Quarterly MW'!AB31*$C$6,0)</t>
  </si>
  <si>
    <t xml:space="preserve">formula: =ROUND('Quarterly MW'!AC31*$C$6,0)</t>
  </si>
  <si>
    <t xml:space="preserve">formula: =ROUND('Quarterly MW'!AD31*$C$6,0)</t>
  </si>
  <si>
    <t xml:space="preserve">formula: =ROUND('Quarterly MW'!AE31*$C$6,0)</t>
  </si>
  <si>
    <t xml:space="preserve">formula: =ROUND('Quarterly MW'!AF31*$C$6,0)</t>
  </si>
  <si>
    <t xml:space="preserve">E17</t>
  </si>
  <si>
    <t xml:space="preserve">formula: =ROUND(MIN('Quarterly MW'!E36,25)*$C$2+MAX('Quarterly MW'!E36-25,0)*$C$5,0)</t>
  </si>
  <si>
    <t xml:space="preserve">formula: =ROUND(MIN('Quarterly MW'!F36,25)*$C$2+MAX('Quarterly MW'!F36-25,0)*$C$5,0)</t>
  </si>
  <si>
    <t xml:space="preserve">formula: =ROUND(MIN('Quarterly MW'!G36,25)*$C$2+MAX('Quarterly MW'!G36-25,0)*$C$5,0)</t>
  </si>
  <si>
    <t xml:space="preserve">formula: =ROUND(MIN('Quarterly MW'!H36,25)*$C$2+MAX('Quarterly MW'!H36-25,0)*$C$5,0)</t>
  </si>
  <si>
    <t xml:space="preserve">formula: =ROUND(MIN('Quarterly MW'!I36,25)*$C$2+MAX('Quarterly MW'!I36-25,0)*$C$5,0)</t>
  </si>
  <si>
    <t xml:space="preserve">formula: =ROUND(MIN('Quarterly MW'!J36,25)*$C$2+MAX('Quarterly MW'!J36-25,0)*$C$5,0)</t>
  </si>
  <si>
    <t xml:space="preserve">formula: =ROUND(MIN('Quarterly MW'!K36,25)*$C$2+MAX('Quarterly MW'!K36-25,0)*$C$5,0)</t>
  </si>
  <si>
    <t xml:space="preserve">formula: =ROUND(MIN('Quarterly MW'!L36,25)*$C$2+MAX('Quarterly MW'!L36-25,0)*$C$5,0)</t>
  </si>
  <si>
    <t xml:space="preserve">formula: =ROUND(MIN('Quarterly MW'!M36,25)*$C$2+MAX('Quarterly MW'!M36-25,0)*$C$5,0)</t>
  </si>
  <si>
    <t xml:space="preserve">formula: =ROUND(MIN('Quarterly MW'!N36,25)*$C$2+MAX('Quarterly MW'!N36-25,0)*$C$5,0)</t>
  </si>
  <si>
    <t xml:space="preserve">formula: =ROUND(MIN('Quarterly MW'!O36,25)*$C$2+MAX('Quarterly MW'!O36-25,0)*$C$5,0)</t>
  </si>
  <si>
    <t xml:space="preserve">P17</t>
  </si>
  <si>
    <t xml:space="preserve">formula: =ROUND(MIN('Quarterly MW'!P36,25)*$C$2+MAX('Quarterly MW'!P36-25,0)*$C$5,0)</t>
  </si>
  <si>
    <t xml:space="preserve">Q17</t>
  </si>
  <si>
    <t xml:space="preserve">formula: =ROUND(MIN('Quarterly MW'!Q36,25)*$C$2+MAX('Quarterly MW'!Q36-25,0)*$C$5,0)</t>
  </si>
  <si>
    <t xml:space="preserve">R17</t>
  </si>
  <si>
    <t xml:space="preserve">formula: =ROUND(MIN('Quarterly MW'!R36,25)*$C$2+MAX('Quarterly MW'!R36-25,0)*$C$5,0)</t>
  </si>
  <si>
    <t xml:space="preserve">S17</t>
  </si>
  <si>
    <t xml:space="preserve">formula: =ROUND(MIN('Quarterly MW'!S36,25)*$C$2+MAX('Quarterly MW'!S36-25,0)*$C$5,0)</t>
  </si>
  <si>
    <t xml:space="preserve">formula: =ROUND(MIN('Quarterly MW'!T36,25)*$C$2+MAX('Quarterly MW'!T36-25,0)*$C$5,0)</t>
  </si>
  <si>
    <t xml:space="preserve">U17</t>
  </si>
  <si>
    <t xml:space="preserve">formula: =ROUND(MIN('Quarterly MW'!U36,25)*$C$2+MAX('Quarterly MW'!U36-25,0)*$C$5,0)</t>
  </si>
  <si>
    <t xml:space="preserve">V17</t>
  </si>
  <si>
    <t xml:space="preserve">formula: =ROUND(MIN('Quarterly MW'!V36,25)*$C$2+MAX('Quarterly MW'!V36-25,0)*$C$5,0)</t>
  </si>
  <si>
    <t xml:space="preserve">W17</t>
  </si>
  <si>
    <t xml:space="preserve">formula: =ROUND(MIN('Quarterly MW'!W36,25)*$C$2+MAX('Quarterly MW'!W36-25,0)*$C$5,0)</t>
  </si>
  <si>
    <t xml:space="preserve">X17</t>
  </si>
  <si>
    <t xml:space="preserve">formula: =ROUND(MIN('Quarterly MW'!X36,25)*$C$2+MAX('Quarterly MW'!X36-25,0)*$C$5,0)</t>
  </si>
  <si>
    <t xml:space="preserve">formula: =ROUND(MIN('Quarterly MW'!Y36,25)*$C$2+MAX('Quarterly MW'!Y36-25,0)*$C$5,0)</t>
  </si>
  <si>
    <t xml:space="preserve">Z17</t>
  </si>
  <si>
    <t xml:space="preserve">formula: =ROUND(MIN('Quarterly MW'!Z36,25)*$C$2+MAX('Quarterly MW'!Z36-25,0)*$C$5,0)</t>
  </si>
  <si>
    <t xml:space="preserve">AA17</t>
  </si>
  <si>
    <t xml:space="preserve">formula: =ROUND(MIN('Quarterly MW'!AA36,25)*$C$2+MAX('Quarterly MW'!AA36-25,0)*$C$5,0)</t>
  </si>
  <si>
    <t xml:space="preserve">formula: =ROUND(MIN('Quarterly MW'!AB36,25)*$C$2+MAX('Quarterly MW'!AB36-25,0)*$C$5,0)</t>
  </si>
  <si>
    <t xml:space="preserve">AC17</t>
  </si>
  <si>
    <t xml:space="preserve">formula: =ROUND(MIN('Quarterly MW'!AC36,25)*$C$2+MAX('Quarterly MW'!AC36-25,0)*$C$5,0)</t>
  </si>
  <si>
    <t xml:space="preserve">AD17</t>
  </si>
  <si>
    <t xml:space="preserve">formula: =ROUND(MIN('Quarterly MW'!AD36,25)*$C$2+MAX('Quarterly MW'!AD36-25,0)*$C$5,0)</t>
  </si>
  <si>
    <t xml:space="preserve">AE17</t>
  </si>
  <si>
    <t xml:space="preserve">formula: =ROUND(MIN('Quarterly MW'!AE36,25)*$C$2+MAX('Quarterly MW'!AE36-25,0)*$C$5,0)</t>
  </si>
  <si>
    <t xml:space="preserve">AF17</t>
  </si>
  <si>
    <t xml:space="preserve">formula: =ROUND(MIN('Quarterly MW'!AF36,25)*$C$2+MAX('Quarterly MW'!AF36-25,0)*$C$5,0)</t>
  </si>
  <si>
    <t xml:space="preserve">E18</t>
  </si>
  <si>
    <t xml:space="preserve">formula: =ROUND('Quarterly MW'!E41*$C$6,0)</t>
  </si>
  <si>
    <t xml:space="preserve">formula: =ROUND('Quarterly MW'!F41*$C$6,0)</t>
  </si>
  <si>
    <t xml:space="preserve">formula: =ROUND('Quarterly MW'!G41*$C$6,0)</t>
  </si>
  <si>
    <t xml:space="preserve">formula: =ROUND('Quarterly MW'!H41*$C$6,0)</t>
  </si>
  <si>
    <t xml:space="preserve">formula: =ROUND('Quarterly MW'!I41*$C$6,0)</t>
  </si>
  <si>
    <t xml:space="preserve">formula: =ROUND('Quarterly MW'!J41*$C$6,0)</t>
  </si>
  <si>
    <t xml:space="preserve">formula: =ROUND('Quarterly MW'!K41*$C$6,0)</t>
  </si>
  <si>
    <t xml:space="preserve">formula: =ROUND('Quarterly MW'!L41*$C$6,0)</t>
  </si>
  <si>
    <t xml:space="preserve">formula: =ROUND('Quarterly MW'!M41*$C$6,0)</t>
  </si>
  <si>
    <t xml:space="preserve">formula: =ROUND('Quarterly MW'!N41*$C$6,0)</t>
  </si>
  <si>
    <t xml:space="preserve">formula: =ROUND('Quarterly MW'!O41*$C$6,0)</t>
  </si>
  <si>
    <t xml:space="preserve">formula: =ROUND('Quarterly MW'!P41*$C$6,0)</t>
  </si>
  <si>
    <t xml:space="preserve">formula: =ROUND('Quarterly MW'!Q41*$C$6,0)</t>
  </si>
  <si>
    <t xml:space="preserve">formula: =ROUND('Quarterly MW'!R41*$C$6,0)</t>
  </si>
  <si>
    <t xml:space="preserve">formula: =ROUND('Quarterly MW'!S41*$C$6,0)</t>
  </si>
  <si>
    <t xml:space="preserve">formula: =ROUND('Quarterly MW'!T41*$C$6,0)</t>
  </si>
  <si>
    <t xml:space="preserve">formula: =ROUND('Quarterly MW'!U41*$C$6,0)</t>
  </si>
  <si>
    <t xml:space="preserve">formula: =ROUND('Quarterly MW'!V41*$C$6,0)</t>
  </si>
  <si>
    <t xml:space="preserve">formula: =ROUND('Quarterly MW'!W41*$C$6,0)</t>
  </si>
  <si>
    <t xml:space="preserve">formula: =ROUND('Quarterly MW'!X41*$C$6,0)</t>
  </si>
  <si>
    <t xml:space="preserve">formula: =ROUND('Quarterly MW'!Y41*$C$6,0)</t>
  </si>
  <si>
    <t xml:space="preserve">formula: =ROUND('Quarterly MW'!Z41*$C$6,0)</t>
  </si>
  <si>
    <t xml:space="preserve">formula: =ROUND('Quarterly MW'!AA41*$C$6,0)</t>
  </si>
  <si>
    <t xml:space="preserve">formula: =ROUND('Quarterly MW'!AB41*$C$6,0)</t>
  </si>
  <si>
    <t xml:space="preserve">formula: =ROUND('Quarterly MW'!AC41*$C$6,0)</t>
  </si>
  <si>
    <t xml:space="preserve">formula: =ROUND('Quarterly MW'!AD41*$C$6,0)</t>
  </si>
  <si>
    <t xml:space="preserve">formula: =ROUND('Quarterly MW'!AE41*$C$6,0)</t>
  </si>
  <si>
    <t xml:space="preserve">formula: =ROUND('Quarterly MW'!AF41*$C$6,0)</t>
  </si>
  <si>
    <t xml:space="preserve">formula: =ROUND(MIN('Quarterly MW'!E46,10)*$C$2+MAX('Quarterly MW'!E46-10,0)*$C$3,0)</t>
  </si>
  <si>
    <t xml:space="preserve">formula: =ROUND(MIN('Quarterly MW'!F46,10)*$C$2+MAX('Quarterly MW'!F46-10,0)*$C$3,0)</t>
  </si>
  <si>
    <t xml:space="preserve">formula: =ROUND(MIN('Quarterly MW'!G46,10)*$C$2+MAX('Quarterly MW'!G46-10,0)*$C$3,0)</t>
  </si>
  <si>
    <t xml:space="preserve">formula: =ROUND(MIN('Quarterly MW'!H46,10)*$C$2+MAX('Quarterly MW'!H46-10,0)*$C$3,0)</t>
  </si>
  <si>
    <t xml:space="preserve">formula: =ROUND(MIN('Quarterly MW'!I46,10)*$C$2+MAX('Quarterly MW'!I46-10,0)*$C$3,0)</t>
  </si>
  <si>
    <t xml:space="preserve">formula: =ROUND(MIN('Quarterly MW'!J46,10)*$C$2+MAX('Quarterly MW'!J46-10,0)*$C$3,0)</t>
  </si>
  <si>
    <t xml:space="preserve">formula: =ROUND(MIN('Quarterly MW'!K46,10)*$C$2+MAX('Quarterly MW'!K46-10,0)*$C$3,0)</t>
  </si>
  <si>
    <t xml:space="preserve">formula: =ROUND(MIN('Quarterly MW'!L46,10)*$C$2+MAX('Quarterly MW'!L46-10,0)*$C$3,0)</t>
  </si>
  <si>
    <t xml:space="preserve">formula: =ROUND(MIN('Quarterly MW'!M46,10)*$C$2+MAX('Quarterly MW'!M46-10,0)*$C$3,0)</t>
  </si>
  <si>
    <t xml:space="preserve">formula: =ROUND(MIN('Quarterly MW'!N46,10)*$C$2+MAX('Quarterly MW'!N46-10,0)*$C$3,0)</t>
  </si>
  <si>
    <t xml:space="preserve">formula: =ROUND(MIN('Quarterly MW'!O46,10)*$C$2+MAX('Quarterly MW'!O46-10,0)*$C$3,0)</t>
  </si>
  <si>
    <t xml:space="preserve">formula: =ROUND(MIN('Quarterly MW'!P46,10)*$C$2+MAX('Quarterly MW'!P46-10,0)*$C$3,0)</t>
  </si>
  <si>
    <t xml:space="preserve">formula: =ROUND(MIN('Quarterly MW'!Q46,10)*$C$2+MAX('Quarterly MW'!Q46-10,0)*$C$3,0)</t>
  </si>
  <si>
    <t xml:space="preserve">formula: =ROUND(MIN('Quarterly MW'!R46,10)*$C$2+MAX('Quarterly MW'!R46-10,0)*$C$3,0)</t>
  </si>
  <si>
    <t xml:space="preserve">formula: =ROUND(MIN('Quarterly MW'!S46,10)*$C$2+MAX('Quarterly MW'!S46-10,0)*$C$3,0)</t>
  </si>
  <si>
    <t xml:space="preserve">formula: =ROUND(MIN('Quarterly MW'!T46,10)*$C$2+MAX('Quarterly MW'!T46-10,0)*$C$3,0)</t>
  </si>
  <si>
    <t xml:space="preserve">formula: =ROUND(MIN('Quarterly MW'!U46,10)*$C$2+MAX('Quarterly MW'!U46-10,0)*$C$3,0)</t>
  </si>
  <si>
    <t xml:space="preserve">formula: =ROUND(MIN('Quarterly MW'!V46,10)*$C$2+MAX('Quarterly MW'!V46-10,0)*$C$3,0)</t>
  </si>
  <si>
    <t xml:space="preserve">formula: =ROUND(MIN('Quarterly MW'!W46,10)*$C$2+MAX('Quarterly MW'!W46-10,0)*$C$3,0)</t>
  </si>
  <si>
    <t xml:space="preserve">formula: =ROUND(MIN('Quarterly MW'!X46,10)*$C$2+MAX('Quarterly MW'!X46-10,0)*$C$3,0)</t>
  </si>
  <si>
    <t xml:space="preserve">formula: =ROUND(MIN('Quarterly MW'!Y46,10)*$C$2+MAX('Quarterly MW'!Y46-10,0)*$C$3,0)</t>
  </si>
  <si>
    <t xml:space="preserve">formula: =ROUND(MIN('Quarterly MW'!Z46,10)*$C$2+MAX('Quarterly MW'!Z46-10,0)*$C$3,0)</t>
  </si>
  <si>
    <t xml:space="preserve">formula: =ROUND(MIN('Quarterly MW'!AA46,10)*$C$2+MAX('Quarterly MW'!AA46-10,0)*$C$3,0)</t>
  </si>
  <si>
    <t xml:space="preserve">formula: =ROUND(MIN('Quarterly MW'!AB46,10)*$C$2+MAX('Quarterly MW'!AB46-10,0)*$C$3,0)</t>
  </si>
  <si>
    <t xml:space="preserve">formula: =ROUND(MIN('Quarterly MW'!AC46,10)*$C$2+MAX('Quarterly MW'!AC46-10,0)*$C$3,0)</t>
  </si>
  <si>
    <t xml:space="preserve">formula: =ROUND(MIN('Quarterly MW'!AD46,10)*$C$2+MAX('Quarterly MW'!AD46-10,0)*$C$3,0)</t>
  </si>
  <si>
    <t xml:space="preserve">formula: =ROUND(MIN('Quarterly MW'!AE46,10)*$C$2+MAX('Quarterly MW'!AE46-10,0)*$C$3,0)</t>
  </si>
  <si>
    <t xml:space="preserve">formula: =ROUND(MIN('Quarterly MW'!AF46,10)*$C$2+MAX('Quarterly MW'!AF46-10,0)*$C$3,0)</t>
  </si>
  <si>
    <t xml:space="preserve">formula: =ROUND('Quarterly MW'!E51*$C$2,0)</t>
  </si>
  <si>
    <t xml:space="preserve">formula: =ROUND('Quarterly MW'!F51*$C$2,0)</t>
  </si>
  <si>
    <t xml:space="preserve">formula: =ROUND('Quarterly MW'!G51*$C$2,0)</t>
  </si>
  <si>
    <t xml:space="preserve">formula: =ROUND('Quarterly MW'!H51*$C$2,0)</t>
  </si>
  <si>
    <t xml:space="preserve">formula: =ROUND('Quarterly MW'!I51*$C$2,0)</t>
  </si>
  <si>
    <t xml:space="preserve">formula: =ROUND('Quarterly MW'!J51*$C$2,0)</t>
  </si>
  <si>
    <t xml:space="preserve">formula: =ROUND('Quarterly MW'!K51*$C$2,0)</t>
  </si>
  <si>
    <t xml:space="preserve">formula: =ROUND('Quarterly MW'!L51*$C$2,0)</t>
  </si>
  <si>
    <t xml:space="preserve">formula: =ROUND('Quarterly MW'!M51*$C$2,0)</t>
  </si>
  <si>
    <t xml:space="preserve">formula: =ROUND('Quarterly MW'!N51*$C$2,0)</t>
  </si>
  <si>
    <t xml:space="preserve">formula: =ROUND('Quarterly MW'!O51*$C$2,0)</t>
  </si>
  <si>
    <t xml:space="preserve">formula: =ROUND('Quarterly MW'!P51*$C$2,0)</t>
  </si>
  <si>
    <t xml:space="preserve">formula: =ROUND('Quarterly MW'!Q51*$C$2,0)</t>
  </si>
  <si>
    <t xml:space="preserve">formula: =ROUND('Quarterly MW'!R51*$C$2,0)</t>
  </si>
  <si>
    <t xml:space="preserve">formula: =ROUND('Quarterly MW'!S51*$C$2,0)</t>
  </si>
  <si>
    <t xml:space="preserve">formula: =ROUND('Quarterly MW'!T51*$C$2,0)</t>
  </si>
  <si>
    <t xml:space="preserve">formula: =ROUND('Quarterly MW'!U51*$C$2,0)</t>
  </si>
  <si>
    <t xml:space="preserve">formula: =ROUND('Quarterly MW'!V51*$C$2,0)</t>
  </si>
  <si>
    <t xml:space="preserve">formula: =ROUND('Quarterly MW'!W51*$C$2,0)</t>
  </si>
  <si>
    <t xml:space="preserve">formula: =ROUND('Quarterly MW'!X51*$C$2,0)</t>
  </si>
  <si>
    <t xml:space="preserve">formula: =ROUND('Quarterly MW'!Y51*$C$2,0)</t>
  </si>
  <si>
    <t xml:space="preserve">formula: =ROUND('Quarterly MW'!Z51*$C$2,0)</t>
  </si>
  <si>
    <t xml:space="preserve">formula: =ROUND('Quarterly MW'!AA51*$C$2,0)</t>
  </si>
  <si>
    <t xml:space="preserve">formula: =ROUND('Quarterly MW'!AB51*$C$2,0)</t>
  </si>
  <si>
    <t xml:space="preserve">formula: =ROUND('Quarterly MW'!AC51*$C$2,0)</t>
  </si>
  <si>
    <t xml:space="preserve">formula: =ROUND('Quarterly MW'!AD51*$C$2,0)</t>
  </si>
  <si>
    <t xml:space="preserve">formula: =ROUND('Quarterly MW'!AE51*$C$2,0)</t>
  </si>
  <si>
    <t xml:space="preserve">formula: =ROUND('Quarterly MW'!AF51*$C$2,0)</t>
  </si>
  <si>
    <t xml:space="preserve">formula: =ROUND('Quarterly MW'!E56*$C$2,0)</t>
  </si>
  <si>
    <t xml:space="preserve">formula: =ROUND('Quarterly MW'!F56*$C$2,0)</t>
  </si>
  <si>
    <t xml:space="preserve">formula: =ROUND('Quarterly MW'!G56*$C$2,0)</t>
  </si>
  <si>
    <t xml:space="preserve">formula: =ROUND('Quarterly MW'!H56*$C$2,0)</t>
  </si>
  <si>
    <t xml:space="preserve">formula: =ROUND('Quarterly MW'!I56*$C$2,0)</t>
  </si>
  <si>
    <t xml:space="preserve">formula: =ROUND('Quarterly MW'!J56*$C$2,0)</t>
  </si>
  <si>
    <t xml:space="preserve">formula: =ROUND('Quarterly MW'!K56*$C$2,0)</t>
  </si>
  <si>
    <t xml:space="preserve">formula: =ROUND('Quarterly MW'!L56*$C$2,0)</t>
  </si>
  <si>
    <t xml:space="preserve">formula: =ROUND('Quarterly MW'!M56*$C$2,0)</t>
  </si>
  <si>
    <t xml:space="preserve">formula: =ROUND('Quarterly MW'!N56*$C$2,0)</t>
  </si>
  <si>
    <t xml:space="preserve">formula: =ROUND('Quarterly MW'!O56*$C$2,0)</t>
  </si>
  <si>
    <t xml:space="preserve">formula: =ROUND('Quarterly MW'!P56*$C$2,0)</t>
  </si>
  <si>
    <t xml:space="preserve">formula: =ROUND('Quarterly MW'!Q56*$C$2,0)</t>
  </si>
  <si>
    <t xml:space="preserve">formula: =ROUND('Quarterly MW'!R56*$C$2,0)</t>
  </si>
  <si>
    <t xml:space="preserve">formula: =ROUND('Quarterly MW'!S56*$C$2,0)</t>
  </si>
  <si>
    <t xml:space="preserve">formula: =ROUND('Quarterly MW'!T56*$C$2,0)</t>
  </si>
  <si>
    <t xml:space="preserve">formula: =ROUND('Quarterly MW'!U56*$C$2,0)</t>
  </si>
  <si>
    <t xml:space="preserve">formula: =ROUND('Quarterly MW'!V56*$C$2,0)</t>
  </si>
  <si>
    <t xml:space="preserve">formula: =ROUND('Quarterly MW'!W56*$C$2,0)</t>
  </si>
  <si>
    <t xml:space="preserve">formula: =ROUND('Quarterly MW'!X56*$C$2,0)</t>
  </si>
  <si>
    <t xml:space="preserve">formula: =ROUND('Quarterly MW'!Y56*$C$2,0)</t>
  </si>
  <si>
    <t xml:space="preserve">formula: =ROUND('Quarterly MW'!Z56*$C$2,0)</t>
  </si>
  <si>
    <t xml:space="preserve">formula: =ROUND('Quarterly MW'!AA56*$C$2,0)</t>
  </si>
  <si>
    <t xml:space="preserve">formula: =ROUND('Quarterly MW'!AB56*$C$2,0)</t>
  </si>
  <si>
    <t xml:space="preserve">formula: =ROUND('Quarterly MW'!AC56*$C$2,0)</t>
  </si>
  <si>
    <t xml:space="preserve">formula: =ROUND('Quarterly MW'!AD56*$C$2,0)</t>
  </si>
  <si>
    <t xml:space="preserve">formula: =ROUND('Quarterly MW'!AE56*$C$2,0)</t>
  </si>
  <si>
    <t xml:space="preserve">formula: =ROUND('Quarterly MW'!AF56*$C$2,0)</t>
  </si>
  <si>
    <t xml:space="preserve">E22</t>
  </si>
  <si>
    <t xml:space="preserve">formula: =ROUND('Quarterly MW'!E61*$C$4,0)</t>
  </si>
  <si>
    <t xml:space="preserve">formula: =ROUND('Quarterly MW'!F61*$C$4,0)</t>
  </si>
  <si>
    <t xml:space="preserve">formula: =ROUND('Quarterly MW'!G61*$C$4,0)</t>
  </si>
  <si>
    <t xml:space="preserve">formula: =ROUND('Quarterly MW'!H61*$C$4,0)</t>
  </si>
  <si>
    <t xml:space="preserve">formula: =ROUND('Quarterly MW'!I61*$C$4,0)</t>
  </si>
  <si>
    <t xml:space="preserve">formula: =ROUND('Quarterly MW'!J61*$C$4,0)</t>
  </si>
  <si>
    <t xml:space="preserve">formula: =ROUND('Quarterly MW'!K61*$C$4,0)</t>
  </si>
  <si>
    <t xml:space="preserve">formula: =ROUND('Quarterly MW'!L61*$C$4,0)</t>
  </si>
  <si>
    <t xml:space="preserve">formula: =ROUND('Quarterly MW'!M61*$C$4,0)</t>
  </si>
  <si>
    <t xml:space="preserve">formula: =ROUND('Quarterly MW'!N61*$C$4,0)</t>
  </si>
  <si>
    <t xml:space="preserve">formula: =ROUND('Quarterly MW'!O61*$C$4,0)</t>
  </si>
  <si>
    <t xml:space="preserve">formula: =ROUND('Quarterly MW'!P61*$C$4,0)</t>
  </si>
  <si>
    <t xml:space="preserve">Q22</t>
  </si>
  <si>
    <t xml:space="preserve">formula: =ROUND('Quarterly MW'!Q61*$C$4,0)</t>
  </si>
  <si>
    <t xml:space="preserve">R22</t>
  </si>
  <si>
    <t xml:space="preserve">formula: =ROUND('Quarterly MW'!R61*$C$4,0)</t>
  </si>
  <si>
    <t xml:space="preserve">S22</t>
  </si>
  <si>
    <t xml:space="preserve">formula: =ROUND('Quarterly MW'!S61*$C$4,0)</t>
  </si>
  <si>
    <t xml:space="preserve">T22</t>
  </si>
  <si>
    <t xml:space="preserve">formula: =ROUND('Quarterly MW'!T61*$C$4,0)</t>
  </si>
  <si>
    <t xml:space="preserve">U22</t>
  </si>
  <si>
    <t xml:space="preserve">formula: =ROUND('Quarterly MW'!U61*$C$4,0)</t>
  </si>
  <si>
    <t xml:space="preserve">V22</t>
  </si>
  <si>
    <t xml:space="preserve">formula: =ROUND('Quarterly MW'!V61*$C$4,0)</t>
  </si>
  <si>
    <t xml:space="preserve">W22</t>
  </si>
  <si>
    <t xml:space="preserve">formula: =ROUND('Quarterly MW'!W61*$C$4,0)</t>
  </si>
  <si>
    <t xml:space="preserve">X22</t>
  </si>
  <si>
    <t xml:space="preserve">formula: =ROUND('Quarterly MW'!X61*$C$4,0)</t>
  </si>
  <si>
    <t xml:space="preserve">Y22</t>
  </si>
  <si>
    <t xml:space="preserve">formula: =ROUND('Quarterly MW'!Y61*$C$4,0)</t>
  </si>
  <si>
    <t xml:space="preserve">Z22</t>
  </si>
  <si>
    <t xml:space="preserve">formula: =ROUND('Quarterly MW'!Z61*$C$4,0)</t>
  </si>
  <si>
    <t xml:space="preserve">AA22</t>
  </si>
  <si>
    <t xml:space="preserve">formula: =ROUND('Quarterly MW'!AA61*$C$4,0)</t>
  </si>
  <si>
    <t xml:space="preserve">AB22</t>
  </si>
  <si>
    <t xml:space="preserve">formula: =ROUND('Quarterly MW'!AB61*$C$4,0)</t>
  </si>
  <si>
    <t xml:space="preserve">AC22</t>
  </si>
  <si>
    <t xml:space="preserve">formula: =ROUND('Quarterly MW'!AC61*$C$4,0)</t>
  </si>
  <si>
    <t xml:space="preserve">AD22</t>
  </si>
  <si>
    <t xml:space="preserve">formula: =ROUND('Quarterly MW'!AD61*$C$4,0)</t>
  </si>
  <si>
    <t xml:space="preserve">AE22</t>
  </si>
  <si>
    <t xml:space="preserve">formula: =ROUND('Quarterly MW'!AE61*$C$4,0)</t>
  </si>
  <si>
    <t xml:space="preserve">AF22</t>
  </si>
  <si>
    <t xml:space="preserve">formula: =ROUND('Quarterly MW'!AF61*$C$4,0)</t>
  </si>
  <si>
    <t xml:space="preserve">E23</t>
  </si>
  <si>
    <t xml:space="preserve">formula: =ROUND('Quarterly MW'!E66*$C$4,0)</t>
  </si>
  <si>
    <t xml:space="preserve">formula: =ROUND('Quarterly MW'!F66*$C$4,0)</t>
  </si>
  <si>
    <t xml:space="preserve">formula: =ROUND('Quarterly MW'!G66*$C$4,0)</t>
  </si>
  <si>
    <t xml:space="preserve">formula: =ROUND('Quarterly MW'!H66*$C$4,0)</t>
  </si>
  <si>
    <t xml:space="preserve">formula: =ROUND('Quarterly MW'!I66*$C$4,0)</t>
  </si>
  <si>
    <t xml:space="preserve">formula: =ROUND('Quarterly MW'!J66*$C$4,0)</t>
  </si>
  <si>
    <t xml:space="preserve">formula: =ROUND('Quarterly MW'!K66*$C$4,0)</t>
  </si>
  <si>
    <t xml:space="preserve">formula: =ROUND('Quarterly MW'!L66*$C$4,0)</t>
  </si>
  <si>
    <t xml:space="preserve">formula: =ROUND('Quarterly MW'!M66*$C$4,0)</t>
  </si>
  <si>
    <t xml:space="preserve">formula: =ROUND('Quarterly MW'!N66*$C$4,0)</t>
  </si>
  <si>
    <t xml:space="preserve">formula: =ROUND('Quarterly MW'!O66*$C$4,0)</t>
  </si>
  <si>
    <t xml:space="preserve">formula: =ROUND('Quarterly MW'!P66*$C$4,0)</t>
  </si>
  <si>
    <t xml:space="preserve">formula: =ROUND('Quarterly MW'!Q66*$C$4,0)</t>
  </si>
  <si>
    <t xml:space="preserve">formula: =ROUND('Quarterly MW'!R66*$C$4,0)</t>
  </si>
  <si>
    <t xml:space="preserve">formula: =ROUND('Quarterly MW'!S66*$C$4,0)</t>
  </si>
  <si>
    <t xml:space="preserve">formula: =ROUND('Quarterly MW'!T66*$C$4,0)</t>
  </si>
  <si>
    <t xml:space="preserve">formula: =ROUND('Quarterly MW'!U66*$C$4,0)</t>
  </si>
  <si>
    <t xml:space="preserve">formula: =ROUND('Quarterly MW'!V66*$C$4,0)</t>
  </si>
  <si>
    <t xml:space="preserve">formula: =ROUND('Quarterly MW'!W66*$C$4,0)</t>
  </si>
  <si>
    <t xml:space="preserve">formula: =ROUND('Quarterly MW'!X66*$C$4,0)</t>
  </si>
  <si>
    <t xml:space="preserve">formula: =ROUND('Quarterly MW'!Y66*$C$4,0)</t>
  </si>
  <si>
    <t xml:space="preserve">formula: =ROUND('Quarterly MW'!Z66*$C$4,0)</t>
  </si>
  <si>
    <t xml:space="preserve">formula: =ROUND('Quarterly MW'!AA66*$C$4,0)</t>
  </si>
  <si>
    <t xml:space="preserve">formula: =ROUND('Quarterly MW'!AB66*$C$4,0)</t>
  </si>
  <si>
    <t xml:space="preserve">formula: =ROUND('Quarterly MW'!AC66*$C$4,0)</t>
  </si>
  <si>
    <t xml:space="preserve">formula: =ROUND('Quarterly MW'!AD66*$C$4,0)</t>
  </si>
  <si>
    <t xml:space="preserve">formula: =ROUND('Quarterly MW'!AE66*$C$4,0)</t>
  </si>
  <si>
    <t xml:space="preserve">formula: =ROUND('Quarterly MW'!AF66*$C$4,0)</t>
  </si>
  <si>
    <t xml:space="preserve">formula: =ROUND('Quarterly MW'!E71*$C$5,0)</t>
  </si>
  <si>
    <t xml:space="preserve">formula: =ROUND('Quarterly MW'!F71*$C$5,0)</t>
  </si>
  <si>
    <t xml:space="preserve">formula: =ROUND('Quarterly MW'!G71*$C$5,0)</t>
  </si>
  <si>
    <t xml:space="preserve">formula: =ROUND('Quarterly MW'!H71*$C$5,0)</t>
  </si>
  <si>
    <t xml:space="preserve">formula: =ROUND('Quarterly MW'!I71*$C$5,0)</t>
  </si>
  <si>
    <t xml:space="preserve">formula: =ROUND('Quarterly MW'!J71*$C$5,0)</t>
  </si>
  <si>
    <t xml:space="preserve">formula: =ROUND('Quarterly MW'!K71*$C$5,0)</t>
  </si>
  <si>
    <t xml:space="preserve">formula: =ROUND('Quarterly MW'!L71*$C$5,0)</t>
  </si>
  <si>
    <t xml:space="preserve">formula: =ROUND('Quarterly MW'!M71*$C$5,0)</t>
  </si>
  <si>
    <t xml:space="preserve">formula: =ROUND('Quarterly MW'!N71*$C$5,0)</t>
  </si>
  <si>
    <t xml:space="preserve">formula: =ROUND('Quarterly MW'!O71*$C$5,0)</t>
  </si>
  <si>
    <t xml:space="preserve">formula: =ROUND('Quarterly MW'!P71*$C$5,0)</t>
  </si>
  <si>
    <t xml:space="preserve">formula: =ROUND('Quarterly MW'!Q71*$C$5,0)</t>
  </si>
  <si>
    <t xml:space="preserve">formula: =ROUND('Quarterly MW'!R71*$C$5,0)</t>
  </si>
  <si>
    <t xml:space="preserve">formula: =ROUND('Quarterly MW'!S71*$C$5,0)</t>
  </si>
  <si>
    <t xml:space="preserve">formula: =ROUND('Quarterly MW'!T71*$C$5,0)</t>
  </si>
  <si>
    <t xml:space="preserve">formula: =ROUND('Quarterly MW'!U71*$C$5,0)</t>
  </si>
  <si>
    <t xml:space="preserve">formula: =ROUND('Quarterly MW'!V71*$C$5,0)</t>
  </si>
  <si>
    <t xml:space="preserve">formula: =ROUND('Quarterly MW'!W71*$C$5,0)</t>
  </si>
  <si>
    <t xml:space="preserve">formula: =ROUND('Quarterly MW'!X71*$C$5,0)</t>
  </si>
  <si>
    <t xml:space="preserve">formula: =ROUND('Quarterly MW'!Y71*$C$5,0)</t>
  </si>
  <si>
    <t xml:space="preserve">formula: =ROUND('Quarterly MW'!Z71*$C$5,0)</t>
  </si>
  <si>
    <t xml:space="preserve">formula: =ROUND('Quarterly MW'!AA71*$C$5,0)</t>
  </si>
  <si>
    <t xml:space="preserve">formula: =ROUND('Quarterly MW'!AB71*$C$5,0)</t>
  </si>
  <si>
    <t xml:space="preserve">formula: =ROUND('Quarterly MW'!AC71*$C$5,0)</t>
  </si>
  <si>
    <t xml:space="preserve">formula: =ROUND('Quarterly MW'!AD71*$C$5,0)</t>
  </si>
  <si>
    <t xml:space="preserve">formula: =ROUND('Quarterly MW'!AE71*$C$5,0)</t>
  </si>
  <si>
    <t xml:space="preserve">formula: =ROUND('Quarterly MW'!AF71*$C$5,0)</t>
  </si>
  <si>
    <t xml:space="preserve">formula: =ROUND('Quarterly MW'!E76*$C$5,0)</t>
  </si>
  <si>
    <t xml:space="preserve">formula: =ROUND('Quarterly MW'!F76*$C$5,0)</t>
  </si>
  <si>
    <t xml:space="preserve">formula: =ROUND('Quarterly MW'!G76*$C$5,0)</t>
  </si>
  <si>
    <t xml:space="preserve">formula: =ROUND('Quarterly MW'!H76*$C$5,0)</t>
  </si>
  <si>
    <t xml:space="preserve">formula: =ROUND('Quarterly MW'!I76*$C$5,0)</t>
  </si>
  <si>
    <t xml:space="preserve">formula: =ROUND('Quarterly MW'!J76*$C$5,0)</t>
  </si>
  <si>
    <t xml:space="preserve">formula: =ROUND('Quarterly MW'!K76*$C$5,0)</t>
  </si>
  <si>
    <t xml:space="preserve">formula: =ROUND('Quarterly MW'!L76*$C$5,0)</t>
  </si>
  <si>
    <t xml:space="preserve">formula: =ROUND('Quarterly MW'!M76*$C$5,0)</t>
  </si>
  <si>
    <t xml:space="preserve">formula: =ROUND('Quarterly MW'!N76*$C$5,0)</t>
  </si>
  <si>
    <t xml:space="preserve">formula: =ROUND('Quarterly MW'!O76*$C$5,0)</t>
  </si>
  <si>
    <t xml:space="preserve">formula: =ROUND('Quarterly MW'!P76*$C$5,0)</t>
  </si>
  <si>
    <t xml:space="preserve">formula: =ROUND('Quarterly MW'!Q76*$C$5,0)</t>
  </si>
  <si>
    <t xml:space="preserve">formula: =ROUND('Quarterly MW'!R76*$C$5,0)</t>
  </si>
  <si>
    <t xml:space="preserve">formula: =ROUND('Quarterly MW'!S76*$C$5,0)</t>
  </si>
  <si>
    <t xml:space="preserve">formula: =ROUND('Quarterly MW'!T76*$C$5,0)</t>
  </si>
  <si>
    <t xml:space="preserve">formula: =ROUND('Quarterly MW'!U76*$C$5,0)</t>
  </si>
  <si>
    <t xml:space="preserve">formula: =ROUND('Quarterly MW'!V76*$C$5,0)</t>
  </si>
  <si>
    <t xml:space="preserve">formula: =ROUND('Quarterly MW'!W76*$C$5,0)</t>
  </si>
  <si>
    <t xml:space="preserve">formula: =ROUND('Quarterly MW'!X76*$C$5,0)</t>
  </si>
  <si>
    <t xml:space="preserve">formula: =ROUND('Quarterly MW'!Y76*$C$5,0)</t>
  </si>
  <si>
    <t xml:space="preserve">formula: =ROUND('Quarterly MW'!Z76*$C$5,0)</t>
  </si>
  <si>
    <t xml:space="preserve">formula: =ROUND('Quarterly MW'!AA76*$C$5,0)</t>
  </si>
  <si>
    <t xml:space="preserve">formula: =ROUND('Quarterly MW'!AB76*$C$5,0)</t>
  </si>
  <si>
    <t xml:space="preserve">formula: =ROUND('Quarterly MW'!AC76*$C$5,0)</t>
  </si>
  <si>
    <t xml:space="preserve">formula: =ROUND('Quarterly MW'!AD76*$C$5,0)</t>
  </si>
  <si>
    <t xml:space="preserve">formula: =ROUND('Quarterly MW'!AE76*$C$5,0)</t>
  </si>
  <si>
    <t xml:space="preserve">formula: =ROUND('Quarterly MW'!AF76*$C$5,0)</t>
  </si>
  <si>
    <t xml:space="preserve">formula: =ROUND('Quarterly MW'!E81*$B$3,0)</t>
  </si>
  <si>
    <t xml:space="preserve">formula: =ROUND('Quarterly MW'!F81*$B$3,0)</t>
  </si>
  <si>
    <t xml:space="preserve">formula: =ROUND('Quarterly MW'!G81*$B$3,0)</t>
  </si>
  <si>
    <t xml:space="preserve">formula: =ROUND('Quarterly MW'!H81*$B$3,0)</t>
  </si>
  <si>
    <t xml:space="preserve">formula: =ROUND('Quarterly MW'!I81*$B$3,0)</t>
  </si>
  <si>
    <t xml:space="preserve">formula: =ROUND('Quarterly MW'!J81*$B$3,0)</t>
  </si>
  <si>
    <t xml:space="preserve">formula: =ROUND('Quarterly MW'!K81*$B$3,0)</t>
  </si>
  <si>
    <t xml:space="preserve">formula: =ROUND('Quarterly MW'!L81*$B$3,0)</t>
  </si>
  <si>
    <t xml:space="preserve">formula: =ROUND('Quarterly MW'!M81*$B$3,0)</t>
  </si>
  <si>
    <t xml:space="preserve">formula: =ROUND('Quarterly MW'!N81*$B$3,0)</t>
  </si>
  <si>
    <t xml:space="preserve">formula: =ROUND('Quarterly MW'!O81*$B$3,0)</t>
  </si>
  <si>
    <t xml:space="preserve">formula: =ROUND('Quarterly MW'!P81*$B$3,0)</t>
  </si>
  <si>
    <t xml:space="preserve">formula: =ROUND('Quarterly MW'!Q81*$B$3,0)</t>
  </si>
  <si>
    <t xml:space="preserve">formula: =ROUND('Quarterly MW'!R81*$B$3,0)</t>
  </si>
  <si>
    <t xml:space="preserve">formula: =ROUND('Quarterly MW'!S81*$B$3,0)</t>
  </si>
  <si>
    <t xml:space="preserve">formula: =ROUND('Quarterly MW'!T81*$B$3,0)</t>
  </si>
  <si>
    <t xml:space="preserve">formula: =ROUND('Quarterly MW'!U81*$B$3,0)</t>
  </si>
  <si>
    <t xml:space="preserve">formula: =ROUND('Quarterly MW'!V81*$B$3,0)</t>
  </si>
  <si>
    <t xml:space="preserve">formula: =ROUND('Quarterly MW'!W81*$B$3,0)</t>
  </si>
  <si>
    <t xml:space="preserve">formula: =ROUND('Quarterly MW'!X81*$B$3,0)</t>
  </si>
  <si>
    <t xml:space="preserve">formula: =ROUND('Quarterly MW'!Y81*$B$3,0)</t>
  </si>
  <si>
    <t xml:space="preserve">formula: =ROUND('Quarterly MW'!Z81*$B$3,0)</t>
  </si>
  <si>
    <t xml:space="preserve">formula: =ROUND('Quarterly MW'!AA81*$B$3,0)</t>
  </si>
  <si>
    <t xml:space="preserve">formula: =ROUND('Quarterly MW'!AB81*$B$3,0)</t>
  </si>
  <si>
    <t xml:space="preserve">formula: =ROUND('Quarterly MW'!AC81*$B$3,0)</t>
  </si>
  <si>
    <t xml:space="preserve">formula: =ROUND('Quarterly MW'!AD81*$B$3,0)</t>
  </si>
  <si>
    <t xml:space="preserve">formula: =ROUND('Quarterly MW'!AE81*$B$3,0)</t>
  </si>
  <si>
    <t xml:space="preserve">formula: =ROUND('Quarterly MW'!AF81*$B$3,0)</t>
  </si>
  <si>
    <t xml:space="preserve">E27</t>
  </si>
  <si>
    <t xml:space="preserve">formula: =ROUND('Quarterly MW'!E86*$C$5,0)</t>
  </si>
  <si>
    <t xml:space="preserve">F27</t>
  </si>
  <si>
    <t xml:space="preserve">formula: =ROUND('Quarterly MW'!F86*$C$5,0)</t>
  </si>
  <si>
    <t xml:space="preserve">G27</t>
  </si>
  <si>
    <t xml:space="preserve">formula: =ROUND('Quarterly MW'!G86*$C$5,0)</t>
  </si>
  <si>
    <t xml:space="preserve">H27</t>
  </si>
  <si>
    <t xml:space="preserve">formula: =ROUND('Quarterly MW'!H86*$C$5,0)</t>
  </si>
  <si>
    <t xml:space="preserve">I27</t>
  </si>
  <si>
    <t xml:space="preserve">formula: =ROUND('Quarterly MW'!I86*$C$5,0)</t>
  </si>
  <si>
    <t xml:space="preserve">J27</t>
  </si>
  <si>
    <t xml:space="preserve">formula: =ROUND('Quarterly MW'!J86*$C$5,0)</t>
  </si>
  <si>
    <t xml:space="preserve">K27</t>
  </si>
  <si>
    <t xml:space="preserve">formula: =ROUND('Quarterly MW'!K86*$C$5,0)</t>
  </si>
  <si>
    <t xml:space="preserve">L27</t>
  </si>
  <si>
    <t xml:space="preserve">formula: =ROUND('Quarterly MW'!L86*$C$5,0)</t>
  </si>
  <si>
    <t xml:space="preserve">M27</t>
  </si>
  <si>
    <t xml:space="preserve">formula: =ROUND('Quarterly MW'!M86*$C$5,0)</t>
  </si>
  <si>
    <t xml:space="preserve">N27</t>
  </si>
  <si>
    <t xml:space="preserve">formula: =ROUND('Quarterly MW'!N86*$C$5,0)</t>
  </si>
  <si>
    <t xml:space="preserve">formula: =ROUND('Quarterly MW'!O86*$C$5,0)</t>
  </si>
  <si>
    <t xml:space="preserve">formula: =ROUND('Quarterly MW'!P86*$C$5,0)</t>
  </si>
  <si>
    <t xml:space="preserve">Q27</t>
  </si>
  <si>
    <t xml:space="preserve">formula: =ROUND('Quarterly MW'!Q86*$C$5,0)</t>
  </si>
  <si>
    <t xml:space="preserve">R27</t>
  </si>
  <si>
    <t xml:space="preserve">formula: =ROUND('Quarterly MW'!R86*$C$5,0)</t>
  </si>
  <si>
    <t xml:space="preserve">S27</t>
  </si>
  <si>
    <t xml:space="preserve">formula: =ROUND('Quarterly MW'!S86*$C$5,0)</t>
  </si>
  <si>
    <t xml:space="preserve">formula: =ROUND('Quarterly MW'!T86*$C$5,0)</t>
  </si>
  <si>
    <t xml:space="preserve">U27</t>
  </si>
  <si>
    <t xml:space="preserve">formula: =ROUND('Quarterly MW'!U86*$C$5,0)</t>
  </si>
  <si>
    <t xml:space="preserve">V27</t>
  </si>
  <si>
    <t xml:space="preserve">formula: =ROUND('Quarterly MW'!V86*$C$5,0)</t>
  </si>
  <si>
    <t xml:space="preserve">W27</t>
  </si>
  <si>
    <t xml:space="preserve">formula: =ROUND('Quarterly MW'!W86*$C$5,0)</t>
  </si>
  <si>
    <t xml:space="preserve">X27</t>
  </si>
  <si>
    <t xml:space="preserve">formula: =ROUND('Quarterly MW'!X86*$C$5,0)</t>
  </si>
  <si>
    <t xml:space="preserve">Y27</t>
  </si>
  <si>
    <t xml:space="preserve">formula: =ROUND('Quarterly MW'!Y86*$C$5,0)</t>
  </si>
  <si>
    <t xml:space="preserve">Z27</t>
  </si>
  <si>
    <t xml:space="preserve">formula: =ROUND('Quarterly MW'!Z86*$C$5,0)</t>
  </si>
  <si>
    <t xml:space="preserve">AA27</t>
  </si>
  <si>
    <t xml:space="preserve">formula: =ROUND('Quarterly MW'!AA86*$C$5,0)</t>
  </si>
  <si>
    <t xml:space="preserve">AB27</t>
  </si>
  <si>
    <t xml:space="preserve">formula: =ROUND('Quarterly MW'!AB86*$C$5,0)</t>
  </si>
  <si>
    <t xml:space="preserve">AC27</t>
  </si>
  <si>
    <t xml:space="preserve">formula: =ROUND('Quarterly MW'!AC86*$C$5,0)</t>
  </si>
  <si>
    <t xml:space="preserve">AD27</t>
  </si>
  <si>
    <t xml:space="preserve">formula: =ROUND('Quarterly MW'!AD86*$C$5,0)</t>
  </si>
  <si>
    <t xml:space="preserve">AE27</t>
  </si>
  <si>
    <t xml:space="preserve">formula: =ROUND('Quarterly MW'!AE86*$C$5,0)</t>
  </si>
  <si>
    <t xml:space="preserve">AF27</t>
  </si>
  <si>
    <t xml:space="preserve">formula: =ROUND('Quarterly MW'!AF86*$C$5,0)</t>
  </si>
  <si>
    <t xml:space="preserve">E28</t>
  </si>
  <si>
    <t xml:space="preserve">formula: =ROUND('Quarterly MW'!E91*$C$5,0)</t>
  </si>
  <si>
    <t xml:space="preserve">F28</t>
  </si>
  <si>
    <t xml:space="preserve">formula: =ROUND('Quarterly MW'!F91*$C$5,0)</t>
  </si>
  <si>
    <t xml:space="preserve">G28</t>
  </si>
  <si>
    <t xml:space="preserve">formula: =ROUND('Quarterly MW'!G91*$C$5,0)</t>
  </si>
  <si>
    <t xml:space="preserve">H28</t>
  </si>
  <si>
    <t xml:space="preserve">formula: =ROUND('Quarterly MW'!H91*$C$5,0)</t>
  </si>
  <si>
    <t xml:space="preserve">I28</t>
  </si>
  <si>
    <t xml:space="preserve">formula: =ROUND('Quarterly MW'!I91*$C$5,0)</t>
  </si>
  <si>
    <t xml:space="preserve">J28</t>
  </si>
  <si>
    <t xml:space="preserve">formula: =ROUND('Quarterly MW'!J91*$C$5,0)</t>
  </si>
  <si>
    <t xml:space="preserve">K28</t>
  </si>
  <si>
    <t xml:space="preserve">formula: =ROUND('Quarterly MW'!K91*$C$5,0)</t>
  </si>
  <si>
    <t xml:space="preserve">L28</t>
  </si>
  <si>
    <t xml:space="preserve">formula: =ROUND('Quarterly MW'!L91*$C$5,0)</t>
  </si>
  <si>
    <t xml:space="preserve">formula: =ROUND('Quarterly MW'!M91*$C$5,0)</t>
  </si>
  <si>
    <t xml:space="preserve">formula: =ROUND('Quarterly MW'!N91*$C$5,0)</t>
  </si>
  <si>
    <t xml:space="preserve">formula: =ROUND('Quarterly MW'!O91*$C$5,0)</t>
  </si>
  <si>
    <t xml:space="preserve">formula: =ROUND('Quarterly MW'!P91*$C$5,0)</t>
  </si>
  <si>
    <t xml:space="preserve">formula: =ROUND('Quarterly MW'!Q91*$C$5,0)</t>
  </si>
  <si>
    <t xml:space="preserve">formula: =ROUND('Quarterly MW'!R91*$C$5,0)</t>
  </si>
  <si>
    <t xml:space="preserve">formula: =ROUND('Quarterly MW'!S91*$C$5,0)</t>
  </si>
  <si>
    <t xml:space="preserve">formula: =ROUND('Quarterly MW'!T91*$C$5,0)</t>
  </si>
  <si>
    <t xml:space="preserve">formula: =ROUND('Quarterly MW'!U91*$C$5,0)</t>
  </si>
  <si>
    <t xml:space="preserve">formula: =ROUND('Quarterly MW'!V91*$C$5,0)</t>
  </si>
  <si>
    <t xml:space="preserve">formula: =ROUND('Quarterly MW'!W91*$C$5,0)</t>
  </si>
  <si>
    <t xml:space="preserve">formula: =ROUND('Quarterly MW'!X91*$C$5,0)</t>
  </si>
  <si>
    <t xml:space="preserve">formula: =ROUND('Quarterly MW'!Y91*$C$5,0)</t>
  </si>
  <si>
    <t xml:space="preserve">formula: =ROUND('Quarterly MW'!Z91*$C$5,0)</t>
  </si>
  <si>
    <t xml:space="preserve">formula: =ROUND('Quarterly MW'!AA91*$C$5,0)</t>
  </si>
  <si>
    <t xml:space="preserve">formula: =ROUND('Quarterly MW'!AB91*$C$5,0)</t>
  </si>
  <si>
    <t xml:space="preserve">formula: =ROUND('Quarterly MW'!AC91*$C$5,0)</t>
  </si>
  <si>
    <t xml:space="preserve">formula: =ROUND('Quarterly MW'!AD91*$C$5,0)</t>
  </si>
  <si>
    <t xml:space="preserve">formula: =ROUND('Quarterly MW'!AE91*$C$5,0)</t>
  </si>
  <si>
    <t xml:space="preserve">formula: =ROUND('Quarterly MW'!AF91*$C$5,0)</t>
  </si>
  <si>
    <t xml:space="preserve">formula: =ROUND('Quarterly MW'!E96*$C$4,0)</t>
  </si>
  <si>
    <t xml:space="preserve">formula: =ROUND('Quarterly MW'!F96*$C$4,0)</t>
  </si>
  <si>
    <t xml:space="preserve">formula: =ROUND('Quarterly MW'!G96*$C$4,0)</t>
  </si>
  <si>
    <t xml:space="preserve">formula: =ROUND('Quarterly MW'!H96*$C$4,0)</t>
  </si>
  <si>
    <t xml:space="preserve">formula: =ROUND('Quarterly MW'!I96*$C$4,0)</t>
  </si>
  <si>
    <t xml:space="preserve">formula: =ROUND('Quarterly MW'!J96*$C$4,0)</t>
  </si>
  <si>
    <t xml:space="preserve">formula: =ROUND('Quarterly MW'!K96*$C$4,0)</t>
  </si>
  <si>
    <t xml:space="preserve">formula: =ROUND('Quarterly MW'!L96*$C$4,0)</t>
  </si>
  <si>
    <t xml:space="preserve">formula: =ROUND('Quarterly MW'!M96*$C$4,0)</t>
  </si>
  <si>
    <t xml:space="preserve">formula: =ROUND('Quarterly MW'!N96*$C$4,0)</t>
  </si>
  <si>
    <t xml:space="preserve">formula: =ROUND('Quarterly MW'!O96*$C$4,0)</t>
  </si>
  <si>
    <t xml:space="preserve">formula: =ROUND('Quarterly MW'!P96*$C$4,0)</t>
  </si>
  <si>
    <t xml:space="preserve">formula: =ROUND('Quarterly MW'!Q96*$C$4,0)</t>
  </si>
  <si>
    <t xml:space="preserve">formula: =ROUND('Quarterly MW'!R96*$C$4,0)</t>
  </si>
  <si>
    <t xml:space="preserve">formula: =ROUND('Quarterly MW'!S96*$C$4,0)</t>
  </si>
  <si>
    <t xml:space="preserve">formula: =ROUND('Quarterly MW'!T96*$C$4,0)</t>
  </si>
  <si>
    <t xml:space="preserve">formula: =ROUND('Quarterly MW'!U96*$C$4,0)</t>
  </si>
  <si>
    <t xml:space="preserve">formula: =ROUND('Quarterly MW'!V96*$C$4,0)</t>
  </si>
  <si>
    <t xml:space="preserve">formula: =ROUND('Quarterly MW'!W96*$C$4,0)</t>
  </si>
  <si>
    <t xml:space="preserve">formula: =ROUND('Quarterly MW'!X96*$C$4,0)</t>
  </si>
  <si>
    <t xml:space="preserve">formula: =ROUND('Quarterly MW'!Y96*$C$4,0)</t>
  </si>
  <si>
    <t xml:space="preserve">formula: =ROUND('Quarterly MW'!Z96*$C$4,0)</t>
  </si>
  <si>
    <t xml:space="preserve">formula: =ROUND('Quarterly MW'!AA96*$C$4,0)</t>
  </si>
  <si>
    <t xml:space="preserve">formula: =ROUND('Quarterly MW'!AB96*$C$4,0)</t>
  </si>
  <si>
    <t xml:space="preserve">formula: =ROUND('Quarterly MW'!AC96*$C$4,0)</t>
  </si>
  <si>
    <t xml:space="preserve">formula: =ROUND('Quarterly MW'!AD96*$C$4,0)</t>
  </si>
  <si>
    <t xml:space="preserve">formula: =ROUND('Quarterly MW'!AE96*$C$4,0)</t>
  </si>
  <si>
    <t xml:space="preserve">formula: =ROUND('Quarterly MW'!AF96*$C$4,0)</t>
  </si>
  <si>
    <t xml:space="preserve">formula: =ROUND('Quarterly MW'!E101*$C$5,0)</t>
  </si>
  <si>
    <t xml:space="preserve">formula: =ROUND('Quarterly MW'!F101*$C$5,0)</t>
  </si>
  <si>
    <t xml:space="preserve">formula: =ROUND('Quarterly MW'!G101*$C$5,0)</t>
  </si>
  <si>
    <t xml:space="preserve">formula: =ROUND('Quarterly MW'!H101*$C$5,0)</t>
  </si>
  <si>
    <t xml:space="preserve">formula: =ROUND('Quarterly MW'!I101*$C$5,0)</t>
  </si>
  <si>
    <t xml:space="preserve">formula: =ROUND('Quarterly MW'!J101*$C$5,0)</t>
  </si>
  <si>
    <t xml:space="preserve">formula: =ROUND('Quarterly MW'!K101*$C$5,0)</t>
  </si>
  <si>
    <t xml:space="preserve">formula: =ROUND('Quarterly MW'!L101*$C$5,0)</t>
  </si>
  <si>
    <t xml:space="preserve">formula: =ROUND('Quarterly MW'!M101*$C$5,0)</t>
  </si>
  <si>
    <t xml:space="preserve">formula: =ROUND('Quarterly MW'!N101*$C$5,0)</t>
  </si>
  <si>
    <t xml:space="preserve">formula: =ROUND('Quarterly MW'!O101*$C$5,0)</t>
  </si>
  <si>
    <t xml:space="preserve">formula: =ROUND('Quarterly MW'!P101*$C$5,0)</t>
  </si>
  <si>
    <t xml:space="preserve">formula: =ROUND('Quarterly MW'!Q101*$C$5,0)</t>
  </si>
  <si>
    <t xml:space="preserve">formula: =ROUND('Quarterly MW'!R101*$C$5,0)</t>
  </si>
  <si>
    <t xml:space="preserve">formula: =ROUND('Quarterly MW'!S101*$C$5,0)</t>
  </si>
  <si>
    <t xml:space="preserve">formula: =ROUND('Quarterly MW'!T101*$C$5,0)</t>
  </si>
  <si>
    <t xml:space="preserve">formula: =ROUND('Quarterly MW'!U101*$C$5,0)</t>
  </si>
  <si>
    <t xml:space="preserve">formula: =ROUND('Quarterly MW'!V101*$C$5,0)</t>
  </si>
  <si>
    <t xml:space="preserve">formula: =ROUND('Quarterly MW'!W101*$C$5,0)</t>
  </si>
  <si>
    <t xml:space="preserve">formula: =ROUND('Quarterly MW'!X101*$C$5,0)</t>
  </si>
  <si>
    <t xml:space="preserve">formula: =ROUND('Quarterly MW'!Y101*$C$5,0)</t>
  </si>
  <si>
    <t xml:space="preserve">formula: =ROUND('Quarterly MW'!Z101*$C$5,0)</t>
  </si>
  <si>
    <t xml:space="preserve">formula: =ROUND('Quarterly MW'!AA101*$C$5,0)</t>
  </si>
  <si>
    <t xml:space="preserve">formula: =ROUND('Quarterly MW'!AB101*$C$5,0)</t>
  </si>
  <si>
    <t xml:space="preserve">formula: =ROUND('Quarterly MW'!AC101*$C$5,0)</t>
  </si>
  <si>
    <t xml:space="preserve">formula: =ROUND('Quarterly MW'!AD101*$C$5,0)</t>
  </si>
  <si>
    <t xml:space="preserve">formula: =ROUND('Quarterly MW'!AE101*$C$5,0)</t>
  </si>
  <si>
    <t xml:space="preserve">formula: =ROUND('Quarterly MW'!AF101*$C$5,0)</t>
  </si>
  <si>
    <t xml:space="preserve">formula: =ROUND('Quarterly MW'!E106*$C$4,0)</t>
  </si>
  <si>
    <t xml:space="preserve">formula: =ROUND('Quarterly MW'!F106*$C$4,0)</t>
  </si>
  <si>
    <t xml:space="preserve">formula: =ROUND('Quarterly MW'!G106*$C$4,0)</t>
  </si>
  <si>
    <t xml:space="preserve">formula: =ROUND('Quarterly MW'!H106*$C$4,0)</t>
  </si>
  <si>
    <t xml:space="preserve">formula: =ROUND('Quarterly MW'!I106*$C$4,0)</t>
  </si>
  <si>
    <t xml:space="preserve">formula: =ROUND('Quarterly MW'!J106*$C$4,0)</t>
  </si>
  <si>
    <t xml:space="preserve">formula: =ROUND('Quarterly MW'!K106*$C$4,0)</t>
  </si>
  <si>
    <t xml:space="preserve">formula: =ROUND('Quarterly MW'!L106*$C$4,0)</t>
  </si>
  <si>
    <t xml:space="preserve">formula: =ROUND('Quarterly MW'!M106*$C$4,0)</t>
  </si>
  <si>
    <t xml:space="preserve">formula: =ROUND('Quarterly MW'!N106*$C$4,0)</t>
  </si>
  <si>
    <t xml:space="preserve">formula: =ROUND('Quarterly MW'!O106*$C$4,0)</t>
  </si>
  <si>
    <t xml:space="preserve">formula: =ROUND('Quarterly MW'!P106*$C$4,0)</t>
  </si>
  <si>
    <t xml:space="preserve">formula: =ROUND('Quarterly MW'!Q106*$C$4,0)</t>
  </si>
  <si>
    <t xml:space="preserve">formula: =ROUND('Quarterly MW'!R106*$C$4,0)</t>
  </si>
  <si>
    <t xml:space="preserve">formula: =ROUND('Quarterly MW'!S106*$C$4,0)</t>
  </si>
  <si>
    <t xml:space="preserve">formula: =ROUND('Quarterly MW'!T106*$C$4,0)</t>
  </si>
  <si>
    <t xml:space="preserve">formula: =ROUND('Quarterly MW'!U106*$C$4,0)</t>
  </si>
  <si>
    <t xml:space="preserve">formula: =ROUND('Quarterly MW'!V106*$C$4,0)</t>
  </si>
  <si>
    <t xml:space="preserve">formula: =ROUND('Quarterly MW'!W106*$C$4,0)</t>
  </si>
  <si>
    <t xml:space="preserve">formula: =ROUND('Quarterly MW'!X106*$C$4,0)</t>
  </si>
  <si>
    <t xml:space="preserve">formula: =ROUND('Quarterly MW'!Y106*$C$4,0)</t>
  </si>
  <si>
    <t xml:space="preserve">formula: =ROUND('Quarterly MW'!Z106*$C$4,0)</t>
  </si>
  <si>
    <t xml:space="preserve">formula: =ROUND('Quarterly MW'!AA106*$C$4,0)</t>
  </si>
  <si>
    <t xml:space="preserve">formula: =ROUND('Quarterly MW'!AB106*$C$4,0)</t>
  </si>
  <si>
    <t xml:space="preserve">formula: =ROUND('Quarterly MW'!AC106*$C$4,0)</t>
  </si>
  <si>
    <t xml:space="preserve">formula: =ROUND('Quarterly MW'!AD106*$C$4,0)</t>
  </si>
  <si>
    <t xml:space="preserve">formula: =ROUND('Quarterly MW'!AE106*$C$4,0)</t>
  </si>
  <si>
    <t xml:space="preserve">formula: =ROUND('Quarterly MW'!AF106*$C$4,0)</t>
  </si>
  <si>
    <t xml:space="preserve">E32</t>
  </si>
  <si>
    <t xml:space="preserve">formula: =ROUND('Quarterly MW'!E111*$C$5,0)</t>
  </si>
  <si>
    <t xml:space="preserve">F32</t>
  </si>
  <si>
    <t xml:space="preserve">formula: =ROUND('Quarterly MW'!F111*$C$5,0)</t>
  </si>
  <si>
    <t xml:space="preserve">G32</t>
  </si>
  <si>
    <t xml:space="preserve">formula: =ROUND('Quarterly MW'!G111*$C$5,0)</t>
  </si>
  <si>
    <t xml:space="preserve">H32</t>
  </si>
  <si>
    <t xml:space="preserve">formula: =ROUND('Quarterly MW'!H111*$C$5,0)</t>
  </si>
  <si>
    <t xml:space="preserve">I32</t>
  </si>
  <si>
    <t xml:space="preserve">formula: =ROUND('Quarterly MW'!I111*$C$5,0)</t>
  </si>
  <si>
    <t xml:space="preserve">J32</t>
  </si>
  <si>
    <t xml:space="preserve">formula: =ROUND('Quarterly MW'!J111*$C$5,0)</t>
  </si>
  <si>
    <t xml:space="preserve">K32</t>
  </si>
  <si>
    <t xml:space="preserve">formula: =ROUND('Quarterly MW'!K111*$C$5,0)</t>
  </si>
  <si>
    <t xml:space="preserve">L32</t>
  </si>
  <si>
    <t xml:space="preserve">formula: =ROUND('Quarterly MW'!L111*$C$5,0)</t>
  </si>
  <si>
    <t xml:space="preserve">M32</t>
  </si>
  <si>
    <t xml:space="preserve">formula: =ROUND('Quarterly MW'!M111*$C$5,0)</t>
  </si>
  <si>
    <t xml:space="preserve">N32</t>
  </si>
  <si>
    <t xml:space="preserve">formula: =ROUND('Quarterly MW'!N111*$C$5,0)</t>
  </si>
  <si>
    <t xml:space="preserve">O32</t>
  </si>
  <si>
    <t xml:space="preserve">formula: =ROUND('Quarterly MW'!O111*$C$5,0)</t>
  </si>
  <si>
    <t xml:space="preserve">P32</t>
  </si>
  <si>
    <t xml:space="preserve">formula: =ROUND('Quarterly MW'!P111*$C$5,0)</t>
  </si>
  <si>
    <t xml:space="preserve">Q32</t>
  </si>
  <si>
    <t xml:space="preserve">formula: =ROUND('Quarterly MW'!Q111*$C$5,0)</t>
  </si>
  <si>
    <t xml:space="preserve">R32</t>
  </si>
  <si>
    <t xml:space="preserve">formula: =ROUND('Quarterly MW'!R111*$C$5,0)</t>
  </si>
  <si>
    <t xml:space="preserve">S32</t>
  </si>
  <si>
    <t xml:space="preserve">formula: =ROUND('Quarterly MW'!S111*$C$5,0)</t>
  </si>
  <si>
    <t xml:space="preserve">formula: =ROUND('Quarterly MW'!T111*$C$5,0)</t>
  </si>
  <si>
    <t xml:space="preserve">U32</t>
  </si>
  <si>
    <t xml:space="preserve">formula: =ROUND('Quarterly MW'!U111*$C$5,0)</t>
  </si>
  <si>
    <t xml:space="preserve">V32</t>
  </si>
  <si>
    <t xml:space="preserve">formula: =ROUND('Quarterly MW'!V111*$C$5,0)</t>
  </si>
  <si>
    <t xml:space="preserve">W32</t>
  </si>
  <si>
    <t xml:space="preserve">formula: =ROUND('Quarterly MW'!W111*$C$5,0)</t>
  </si>
  <si>
    <t xml:space="preserve">X32</t>
  </si>
  <si>
    <t xml:space="preserve">formula: =ROUND('Quarterly MW'!X111*$C$5,0)</t>
  </si>
  <si>
    <t xml:space="preserve">Y32</t>
  </si>
  <si>
    <t xml:space="preserve">formula: =ROUND('Quarterly MW'!Y111*$C$5,0)</t>
  </si>
  <si>
    <t xml:space="preserve">Z32</t>
  </si>
  <si>
    <t xml:space="preserve">formula: =ROUND('Quarterly MW'!Z111*$C$5,0)</t>
  </si>
  <si>
    <t xml:space="preserve">AA32</t>
  </si>
  <si>
    <t xml:space="preserve">formula: =ROUND('Quarterly MW'!AA111*$C$5,0)</t>
  </si>
  <si>
    <t xml:space="preserve">AB32</t>
  </si>
  <si>
    <t xml:space="preserve">formula: =ROUND('Quarterly MW'!AB111*$C$5,0)</t>
  </si>
  <si>
    <t xml:space="preserve">AC32</t>
  </si>
  <si>
    <t xml:space="preserve">formula: =ROUND('Quarterly MW'!AC111*$C$5,0)</t>
  </si>
  <si>
    <t xml:space="preserve">AD32</t>
  </si>
  <si>
    <t xml:space="preserve">formula: =ROUND('Quarterly MW'!AD111*$C$5,0)</t>
  </si>
  <si>
    <t xml:space="preserve">AE32</t>
  </si>
  <si>
    <t xml:space="preserve">formula: =ROUND('Quarterly MW'!AE111*$C$5,0)</t>
  </si>
  <si>
    <t xml:space="preserve">AF32</t>
  </si>
  <si>
    <t xml:space="preserve">formula: =ROUND('Quarterly MW'!AF111*$C$5,0)</t>
  </si>
  <si>
    <t xml:space="preserve">E33</t>
  </si>
  <si>
    <t xml:space="preserve">formula: =ROUND('Quarterly MW'!E121*$B$6,0)</t>
  </si>
  <si>
    <t xml:space="preserve">F33</t>
  </si>
  <si>
    <t xml:space="preserve">formula: =ROUND('Quarterly MW'!F121*$B$6,0)</t>
  </si>
  <si>
    <t xml:space="preserve">G33</t>
  </si>
  <si>
    <t xml:space="preserve">formula: =ROUND('Quarterly MW'!G121*$B$6,0)</t>
  </si>
  <si>
    <t xml:space="preserve">formula: =ROUND('Quarterly MW'!H121*$B$6,0)</t>
  </si>
  <si>
    <t xml:space="preserve">formula: =ROUND('Quarterly MW'!I121*$B$6,0)</t>
  </si>
  <si>
    <t xml:space="preserve">formula: =ROUND('Quarterly MW'!J121*$B$6,0)</t>
  </si>
  <si>
    <t xml:space="preserve">formula: =ROUND('Quarterly MW'!K121*$B$6,0)</t>
  </si>
  <si>
    <t xml:space="preserve">formula: =ROUND('Quarterly MW'!L121*$B$6,0)</t>
  </si>
  <si>
    <t xml:space="preserve">formula: =ROUND('Quarterly MW'!M121*$B$6,0)</t>
  </si>
  <si>
    <t xml:space="preserve">formula: =ROUND('Quarterly MW'!N121*$B$6,0)</t>
  </si>
  <si>
    <t xml:space="preserve">formula: =ROUND('Quarterly MW'!O121*$B$6,0)</t>
  </si>
  <si>
    <t xml:space="preserve">formula: =ROUND('Quarterly MW'!P121*$B$6,0)</t>
  </si>
  <si>
    <t xml:space="preserve">formula: =ROUND('Quarterly MW'!Q121*$B$6,0)</t>
  </si>
  <si>
    <t xml:space="preserve">formula: =ROUND('Quarterly MW'!R121*$B$6,0)</t>
  </si>
  <si>
    <t xml:space="preserve">formula: =ROUND('Quarterly MW'!S121*$B$6,0)</t>
  </si>
  <si>
    <t xml:space="preserve">formula: =ROUND('Quarterly MW'!T121*$B$6,0)</t>
  </si>
  <si>
    <t xml:space="preserve">formula: =ROUND('Quarterly MW'!U121*$B$6,0)</t>
  </si>
  <si>
    <t xml:space="preserve">formula: =ROUND('Quarterly MW'!V121*$B$6,0)</t>
  </si>
  <si>
    <t xml:space="preserve">formula: =ROUND('Quarterly MW'!W121*$B$6,0)</t>
  </si>
  <si>
    <t xml:space="preserve">formula: =ROUND('Quarterly MW'!X121*$B$6,0)</t>
  </si>
  <si>
    <t xml:space="preserve">formula: =ROUND('Quarterly MW'!Y121*$B$6,0)</t>
  </si>
  <si>
    <t xml:space="preserve">formula: =ROUND('Quarterly MW'!Z121*$B$6,0)</t>
  </si>
  <si>
    <t xml:space="preserve">formula: =ROUND('Quarterly MW'!AA121*$B$6,0)</t>
  </si>
  <si>
    <t xml:space="preserve">formula: =ROUND('Quarterly MW'!AB121*$B$6,0)</t>
  </si>
  <si>
    <t xml:space="preserve">formula: =ROUND('Quarterly MW'!AC121*$B$6,0)</t>
  </si>
  <si>
    <t xml:space="preserve">formula: =ROUND('Quarterly MW'!AD121*$B$6,0)</t>
  </si>
  <si>
    <t xml:space="preserve">formula: =ROUND('Quarterly MW'!AE121*$B$6,0)</t>
  </si>
  <si>
    <t xml:space="preserve">formula: =ROUND('Quarterly MW'!AF121*$B$6,0)</t>
  </si>
  <si>
    <t xml:space="preserve">formula: =SUM(E11:E33)</t>
  </si>
  <si>
    <t xml:space="preserve">sum</t>
  </si>
  <si>
    <t xml:space="preserve">formula: =SUM(F11:F33)</t>
  </si>
  <si>
    <t xml:space="preserve">formula: =SUM(G11:G33)</t>
  </si>
  <si>
    <t xml:space="preserve">formula: =SUM(H11:H33)</t>
  </si>
  <si>
    <t xml:space="preserve">formula: =SUM(I11:I33)</t>
  </si>
  <si>
    <t xml:space="preserve">formula: =SUM(J11:J33)</t>
  </si>
  <si>
    <t xml:space="preserve">formula: =SUM(K11:K33)</t>
  </si>
  <si>
    <t xml:space="preserve">formula: =SUM(L11:L33)</t>
  </si>
  <si>
    <t xml:space="preserve">formula: =SUM(M11:M33)</t>
  </si>
  <si>
    <t xml:space="preserve">formula: =SUM(N11:N33)</t>
  </si>
  <si>
    <t xml:space="preserve">formula: =SUM(O11:O33)</t>
  </si>
  <si>
    <t xml:space="preserve">formula: =SUM(P11:P33)</t>
  </si>
  <si>
    <t xml:space="preserve">formula: =SUM(Q11:Q33)</t>
  </si>
  <si>
    <t xml:space="preserve">formula: =SUM(R11:R33)</t>
  </si>
  <si>
    <t xml:space="preserve">formula: =SUM(S11:S33)</t>
  </si>
  <si>
    <t xml:space="preserve">formula: =SUM(T11:T33)</t>
  </si>
  <si>
    <t xml:space="preserve">formula: =SUM(U11:U33)</t>
  </si>
  <si>
    <t xml:space="preserve">formula: =SUM(V11:V33)</t>
  </si>
  <si>
    <t xml:space="preserve">formula: =SUM(W11:W33)</t>
  </si>
  <si>
    <t xml:space="preserve">formula: =SUM(X11:X33)</t>
  </si>
  <si>
    <t xml:space="preserve">formula: =SUM(Y11:Y33)</t>
  </si>
  <si>
    <t xml:space="preserve">formula: =SUM(Z11:Z33)</t>
  </si>
  <si>
    <t xml:space="preserve">formula: =SUM(AA11:AA33)</t>
  </si>
  <si>
    <t xml:space="preserve">formula: =SUM(AB11:AB33)</t>
  </si>
  <si>
    <t xml:space="preserve">formula: =SUM(AC11:AC33)</t>
  </si>
  <si>
    <t xml:space="preserve">formula: =SUM(AD11:AD33)</t>
  </si>
  <si>
    <t xml:space="preserve">formula: =SUM(AE11:AE33)</t>
  </si>
  <si>
    <t xml:space="preserve">formula: =SUM(AF11:AF33)</t>
  </si>
  <si>
    <t xml:space="preserve">10000</t>
  </si>
  <si>
    <t xml:space="preserve">site_list KPI pivot: ~10k ("&gt;20k by YE24" / "nearly doubled"); no primary source found</t>
  </si>
  <si>
    <t xml:space="preserve">20000</t>
  </si>
  <si>
    <t xml:space="preserve">"&gt;20,000 GPUs by YE2024" target (Q3-24 call); Q4-24 release: Hopper base "nearly doubled QoQ" (Reported, qualitative)</t>
  </si>
  <si>
    <t xml:space="preserve">30000</t>
  </si>
  <si>
    <t xml:space="preserve">FY24 20-F: "As of March 31, 2025, we have deployed approximately 30,000 GPUs ... primarily NVIDIA H200s" https://www.sec.gov/Archives/edgar/data/1513845/000155837025005991/nbis-20241231x20f.htm (v2: replaces ~38k call figure)</t>
  </si>
  <si>
    <t xml:space="preserve">formula: =4000+4000</t>
  </si>
  <si>
    <t xml:space="preserve">Modi'in 4,000 B200 + Longcross 4,000 B300 https://nebius.com/newsroom/nebius-brings-nvidia-blackwell-to-israel-with-one-of-the-country-s-first-ai-infrastructure-deployments; https://datacentrenews.uk/story/nebius-fills-ark-s-longcross-data-centre-to-capacity</t>
  </si>
  <si>
    <t xml:space="preserve">GPU vintage</t>
  </si>
  <si>
    <t xml:space="preserve">E2</t>
  </si>
  <si>
    <t xml:space="preserve">formula: =IF('Quarterly MW'!E6&gt;0,"GB300 NVL72","")</t>
  </si>
  <si>
    <t xml:space="preserve">generation label when energized base &gt; 0</t>
  </si>
  <si>
    <t xml:space="preserve">formula: =IF('Quarterly MW'!F6&gt;0,"GB300 NVL72","")</t>
  </si>
  <si>
    <t xml:space="preserve">formula: =IF('Quarterly MW'!G6&gt;0,"GB300 NVL72","")</t>
  </si>
  <si>
    <t xml:space="preserve">formula: =IF('Quarterly MW'!H6&gt;0,"GB300 NVL72","")</t>
  </si>
  <si>
    <t xml:space="preserve">formula: =IF('Quarterly MW'!I6&gt;0,"GB300 NVL72","")</t>
  </si>
  <si>
    <t xml:space="preserve">formula: =IF('Quarterly MW'!J6&gt;0,"GB300 NVL72","")</t>
  </si>
  <si>
    <t xml:space="preserve">formula: =IF('Quarterly MW'!K6&gt;0,"GB300 NVL72","")</t>
  </si>
  <si>
    <t xml:space="preserve">formula: =IF('Quarterly MW'!L6&gt;0,"GB300 NVL72","")</t>
  </si>
  <si>
    <t xml:space="preserve">formula: =IF('Quarterly MW'!M6&gt;0,"GB300 NVL72","")</t>
  </si>
  <si>
    <t xml:space="preserve">formula: =IF('Quarterly MW'!N6&gt;0,"GB300 NVL72","")</t>
  </si>
  <si>
    <t xml:space="preserve">formula: =IF('Quarterly MW'!O6&gt;0,"GB300 NVL72","")</t>
  </si>
  <si>
    <t xml:space="preserve">P2</t>
  </si>
  <si>
    <t xml:space="preserve">formula: =IF('Quarterly MW'!P6&gt;0,"GB300 NVL72","")</t>
  </si>
  <si>
    <t xml:space="preserve">Q2</t>
  </si>
  <si>
    <t xml:space="preserve">formula: =IF('Quarterly MW'!Q6&gt;0,"GB300 NVL72","")</t>
  </si>
  <si>
    <t xml:space="preserve">R2</t>
  </si>
  <si>
    <t xml:space="preserve">formula: =IF('Quarterly MW'!R6&gt;0,"GB300 NVL72","")</t>
  </si>
  <si>
    <t xml:space="preserve">S2</t>
  </si>
  <si>
    <t xml:space="preserve">formula: =IF('Quarterly MW'!S6&gt;0,"GB300 NVL72","")</t>
  </si>
  <si>
    <t xml:space="preserve">formula: =IF('Quarterly MW'!T6&gt;0,"GB300 NVL72","")</t>
  </si>
  <si>
    <t xml:space="preserve">U2</t>
  </si>
  <si>
    <t xml:space="preserve">formula: =IF('Quarterly MW'!U6&gt;0,"GB300 NVL72","")</t>
  </si>
  <si>
    <t xml:space="preserve">V2</t>
  </si>
  <si>
    <t xml:space="preserve">formula: =IF('Quarterly MW'!V6&gt;0,"GB300 NVL72","")</t>
  </si>
  <si>
    <t xml:space="preserve">W2</t>
  </si>
  <si>
    <t xml:space="preserve">formula: =IF('Quarterly MW'!W6&gt;0,"GB300 NVL72","")</t>
  </si>
  <si>
    <t xml:space="preserve">X2</t>
  </si>
  <si>
    <t xml:space="preserve">formula: =IF('Quarterly MW'!X6&gt;0,"GB300 NVL72","")</t>
  </si>
  <si>
    <t xml:space="preserve">Y2</t>
  </si>
  <si>
    <t xml:space="preserve">formula: =IF('Quarterly MW'!Y6&gt;0,"GB300 NVL72","")</t>
  </si>
  <si>
    <t xml:space="preserve">Z2</t>
  </si>
  <si>
    <t xml:space="preserve">formula: =IF('Quarterly MW'!Z6&gt;0,"GB300 NVL72","")</t>
  </si>
  <si>
    <t xml:space="preserve">AA2</t>
  </si>
  <si>
    <t xml:space="preserve">formula: =IF('Quarterly MW'!AA6&gt;0,"GB300 NVL72","")</t>
  </si>
  <si>
    <t xml:space="preserve">AB2</t>
  </si>
  <si>
    <t xml:space="preserve">formula: =IF('Quarterly MW'!AB6&gt;0,"GB300 NVL72","")</t>
  </si>
  <si>
    <t xml:space="preserve">AC2</t>
  </si>
  <si>
    <t xml:space="preserve">formula: =IF('Quarterly MW'!AC6&gt;0,"GB300 NVL72","")</t>
  </si>
  <si>
    <t xml:space="preserve">AD2</t>
  </si>
  <si>
    <t xml:space="preserve">formula: =IF('Quarterly MW'!AD6&gt;0,"GB300 NVL72","")</t>
  </si>
  <si>
    <t xml:space="preserve">AE2</t>
  </si>
  <si>
    <t xml:space="preserve">formula: =IF('Quarterly MW'!AE6&gt;0,"GB300 NVL72","")</t>
  </si>
  <si>
    <t xml:space="preserve">AF2</t>
  </si>
  <si>
    <t xml:space="preserve">formula: =IF('Quarterly MW'!AF6&gt;0,"GB300 NVL72","")</t>
  </si>
  <si>
    <t xml:space="preserve">E3</t>
  </si>
  <si>
    <t xml:space="preserve">formula: ='Quarterly MW'!E6-0</t>
  </si>
  <si>
    <t xml:space="preserve">delta of energized base MW = in-service cohort for vintage depreciation (5-yr life from Jan 2026 per 20-F)</t>
  </si>
  <si>
    <t xml:space="preserve">formula: ='Quarterly MW'!F6-'Quarterly MW'!E6</t>
  </si>
  <si>
    <t xml:space="preserve">formula: ='Quarterly MW'!G6-'Quarterly MW'!F6</t>
  </si>
  <si>
    <t xml:space="preserve">formula: ='Quarterly MW'!H6-'Quarterly MW'!G6</t>
  </si>
  <si>
    <t xml:space="preserve">formula: ='Quarterly MW'!I6-'Quarterly MW'!H6</t>
  </si>
  <si>
    <t xml:space="preserve">formula: ='Quarterly MW'!J6-'Quarterly MW'!I6</t>
  </si>
  <si>
    <t xml:space="preserve">formula: ='Quarterly MW'!K6-'Quarterly MW'!J6</t>
  </si>
  <si>
    <t xml:space="preserve">formula: ='Quarterly MW'!L6-'Quarterly MW'!K6</t>
  </si>
  <si>
    <t xml:space="preserve">formula: ='Quarterly MW'!M6-'Quarterly MW'!L6</t>
  </si>
  <si>
    <t xml:space="preserve">formula: ='Quarterly MW'!N6-'Quarterly MW'!M6</t>
  </si>
  <si>
    <t xml:space="preserve">formula: ='Quarterly MW'!O6-'Quarterly MW'!N6</t>
  </si>
  <si>
    <t xml:space="preserve">formula: ='Quarterly MW'!P6-'Quarterly MW'!O6</t>
  </si>
  <si>
    <t xml:space="preserve">formula: ='Quarterly MW'!Q6-'Quarterly MW'!P6</t>
  </si>
  <si>
    <t xml:space="preserve">formula: ='Quarterly MW'!R6-'Quarterly MW'!Q6</t>
  </si>
  <si>
    <t xml:space="preserve">formula: ='Quarterly MW'!S6-'Quarterly MW'!R6</t>
  </si>
  <si>
    <t xml:space="preserve">formula: ='Quarterly MW'!T6-'Quarterly MW'!S6</t>
  </si>
  <si>
    <t xml:space="preserve">formula: ='Quarterly MW'!U6-'Quarterly MW'!T6</t>
  </si>
  <si>
    <t xml:space="preserve">formula: ='Quarterly MW'!V6-'Quarterly MW'!U6</t>
  </si>
  <si>
    <t xml:space="preserve">formula: ='Quarterly MW'!W6-'Quarterly MW'!V6</t>
  </si>
  <si>
    <t xml:space="preserve">formula: ='Quarterly MW'!X6-'Quarterly MW'!W6</t>
  </si>
  <si>
    <t xml:space="preserve">formula: ='Quarterly MW'!Y6-'Quarterly MW'!X6</t>
  </si>
  <si>
    <t xml:space="preserve">formula: ='Quarterly MW'!Z6-'Quarterly MW'!Y6</t>
  </si>
  <si>
    <t xml:space="preserve">formula: ='Quarterly MW'!AA6-'Quarterly MW'!Z6</t>
  </si>
  <si>
    <t xml:space="preserve">formula: ='Quarterly MW'!AB6-'Quarterly MW'!AA6</t>
  </si>
  <si>
    <t xml:space="preserve">formula: ='Quarterly MW'!AC6-'Quarterly MW'!AB6</t>
  </si>
  <si>
    <t xml:space="preserve">formula: ='Quarterly MW'!AD6-'Quarterly MW'!AC6</t>
  </si>
  <si>
    <t xml:space="preserve">formula: ='Quarterly MW'!AE6-'Quarterly MW'!AD6</t>
  </si>
  <si>
    <t xml:space="preserve">formula: ='Quarterly MW'!AF6-'Quarterly MW'!AE6</t>
  </si>
  <si>
    <t xml:space="preserve">formula: =IF('Quarterly MW'!E11&gt;0,"Vera Rubin NVL72","")</t>
  </si>
  <si>
    <t xml:space="preserve">formula: =IF('Quarterly MW'!F11&gt;0,"Vera Rubin NVL72","")</t>
  </si>
  <si>
    <t xml:space="preserve">formula: =IF('Quarterly MW'!G11&gt;0,"Vera Rubin NVL72","")</t>
  </si>
  <si>
    <t xml:space="preserve">formula: =IF('Quarterly MW'!H11&gt;0,"Vera Rubin NVL72","")</t>
  </si>
  <si>
    <t xml:space="preserve">formula: =IF('Quarterly MW'!I11&gt;0,"Vera Rubin NVL72","")</t>
  </si>
  <si>
    <t xml:space="preserve">formula: =IF('Quarterly MW'!J11&gt;0,"Vera Rubin NVL72","")</t>
  </si>
  <si>
    <t xml:space="preserve">formula: =IF('Quarterly MW'!K11&gt;0,"Vera Rubin NVL72","")</t>
  </si>
  <si>
    <t xml:space="preserve">formula: =IF('Quarterly MW'!L11&gt;0,"Vera Rubin NVL72","")</t>
  </si>
  <si>
    <t xml:space="preserve">formula: =IF('Quarterly MW'!M11&gt;0,"Vera Rubin NVL72","")</t>
  </si>
  <si>
    <t xml:space="preserve">formula: =IF('Quarterly MW'!N11&gt;0,"Vera Rubin NVL72","")</t>
  </si>
  <si>
    <t xml:space="preserve">formula: =IF('Quarterly MW'!O11&gt;0,"Vera Rubin NVL72","")</t>
  </si>
  <si>
    <t xml:space="preserve">formula: =IF('Quarterly MW'!P11&gt;0,"Vera Rubin NVL72","")</t>
  </si>
  <si>
    <t xml:space="preserve">formula: =IF('Quarterly MW'!Q11&gt;0,"Vera Rubin NVL72","")</t>
  </si>
  <si>
    <t xml:space="preserve">formula: =IF('Quarterly MW'!R11&gt;0,"Vera Rubin NVL72","")</t>
  </si>
  <si>
    <t xml:space="preserve">formula: =IF('Quarterly MW'!S11&gt;0,"Vera Rubin NVL72","")</t>
  </si>
  <si>
    <t xml:space="preserve">formula: =IF('Quarterly MW'!T11&gt;0,"Vera Rubin NVL72","")</t>
  </si>
  <si>
    <t xml:space="preserve">formula: =IF('Quarterly MW'!U11&gt;0,"Vera Rubin NVL72","")</t>
  </si>
  <si>
    <t xml:space="preserve">formula: =IF('Quarterly MW'!V11&gt;0,"Vera Rubin NVL72","")</t>
  </si>
  <si>
    <t xml:space="preserve">formula: =IF('Quarterly MW'!W11&gt;0,"Vera Rubin NVL72","")</t>
  </si>
  <si>
    <t xml:space="preserve">formula: =IF('Quarterly MW'!X11&gt;0,"Vera Rubin NVL72","")</t>
  </si>
  <si>
    <t xml:space="preserve">formula: =IF('Quarterly MW'!Y11&gt;0,"Vera Rubin NVL72","")</t>
  </si>
  <si>
    <t xml:space="preserve">formula: =IF('Quarterly MW'!Z11&gt;0,"Vera Rubin NVL72","")</t>
  </si>
  <si>
    <t xml:space="preserve">formula: =IF('Quarterly MW'!AA11&gt;0,"Vera Rubin NVL72","")</t>
  </si>
  <si>
    <t xml:space="preserve">formula: =IF('Quarterly MW'!AB11&gt;0,"Vera Rubin NVL72","")</t>
  </si>
  <si>
    <t xml:space="preserve">formula: =IF('Quarterly MW'!AC11&gt;0,"Vera Rubin NVL72","")</t>
  </si>
  <si>
    <t xml:space="preserve">formula: =IF('Quarterly MW'!AD11&gt;0,"Vera Rubin NVL72","")</t>
  </si>
  <si>
    <t xml:space="preserve">formula: =IF('Quarterly MW'!AE11&gt;0,"Vera Rubin NVL72","")</t>
  </si>
  <si>
    <t xml:space="preserve">formula: =IF('Quarterly MW'!AF11&gt;0,"Vera Rubin NVL72","")</t>
  </si>
  <si>
    <t xml:space="preserve">formula: ='Quarterly MW'!E11-0</t>
  </si>
  <si>
    <t xml:space="preserve">formula: ='Quarterly MW'!F11-'Quarterly MW'!E11</t>
  </si>
  <si>
    <t xml:space="preserve">formula: ='Quarterly MW'!G11-'Quarterly MW'!F11</t>
  </si>
  <si>
    <t xml:space="preserve">formula: ='Quarterly MW'!H11-'Quarterly MW'!G11</t>
  </si>
  <si>
    <t xml:space="preserve">formula: ='Quarterly MW'!I11-'Quarterly MW'!H11</t>
  </si>
  <si>
    <t xml:space="preserve">formula: ='Quarterly MW'!J11-'Quarterly MW'!I11</t>
  </si>
  <si>
    <t xml:space="preserve">formula: ='Quarterly MW'!K11-'Quarterly MW'!J11</t>
  </si>
  <si>
    <t xml:space="preserve">formula: ='Quarterly MW'!L11-'Quarterly MW'!K11</t>
  </si>
  <si>
    <t xml:space="preserve">formula: ='Quarterly MW'!M11-'Quarterly MW'!L11</t>
  </si>
  <si>
    <t xml:space="preserve">formula: ='Quarterly MW'!N11-'Quarterly MW'!M11</t>
  </si>
  <si>
    <t xml:space="preserve">formula: ='Quarterly MW'!O11-'Quarterly MW'!N11</t>
  </si>
  <si>
    <t xml:space="preserve">formula: ='Quarterly MW'!P11-'Quarterly MW'!O11</t>
  </si>
  <si>
    <t xml:space="preserve">formula: ='Quarterly MW'!Q11-'Quarterly MW'!P11</t>
  </si>
  <si>
    <t xml:space="preserve">formula: ='Quarterly MW'!R11-'Quarterly MW'!Q11</t>
  </si>
  <si>
    <t xml:space="preserve">formula: ='Quarterly MW'!S11-'Quarterly MW'!R11</t>
  </si>
  <si>
    <t xml:space="preserve">formula: ='Quarterly MW'!T11-'Quarterly MW'!S11</t>
  </si>
  <si>
    <t xml:space="preserve">formula: ='Quarterly MW'!U11-'Quarterly MW'!T11</t>
  </si>
  <si>
    <t xml:space="preserve">formula: ='Quarterly MW'!V11-'Quarterly MW'!U11</t>
  </si>
  <si>
    <t xml:space="preserve">formula: ='Quarterly MW'!W11-'Quarterly MW'!V11</t>
  </si>
  <si>
    <t xml:space="preserve">formula: ='Quarterly MW'!X11-'Quarterly MW'!W11</t>
  </si>
  <si>
    <t xml:space="preserve">formula: ='Quarterly MW'!Y11-'Quarterly MW'!X11</t>
  </si>
  <si>
    <t xml:space="preserve">formula: ='Quarterly MW'!Z11-'Quarterly MW'!Y11</t>
  </si>
  <si>
    <t xml:space="preserve">formula: ='Quarterly MW'!AA11-'Quarterly MW'!Z11</t>
  </si>
  <si>
    <t xml:space="preserve">formula: ='Quarterly MW'!AB11-'Quarterly MW'!AA11</t>
  </si>
  <si>
    <t xml:space="preserve">formula: ='Quarterly MW'!AC11-'Quarterly MW'!AB11</t>
  </si>
  <si>
    <t xml:space="preserve">formula: ='Quarterly MW'!AD11-'Quarterly MW'!AC11</t>
  </si>
  <si>
    <t xml:space="preserve">formula: ='Quarterly MW'!AE11-'Quarterly MW'!AD11</t>
  </si>
  <si>
    <t xml:space="preserve">formula: ='Quarterly MW'!AF11-'Quarterly MW'!AE11</t>
  </si>
  <si>
    <t xml:space="preserve">formula: =IF('Quarterly MW'!E16&gt;0,"Vera Rubin NVL72","")</t>
  </si>
  <si>
    <t xml:space="preserve">formula: =IF('Quarterly MW'!F16&gt;0,"Vera Rubin NVL72","")</t>
  </si>
  <si>
    <t xml:space="preserve">formula: =IF('Quarterly MW'!G16&gt;0,"Vera Rubin NVL72","")</t>
  </si>
  <si>
    <t xml:space="preserve">formula: =IF('Quarterly MW'!H16&gt;0,"Vera Rubin NVL72","")</t>
  </si>
  <si>
    <t xml:space="preserve">formula: =IF('Quarterly MW'!I16&gt;0,"Vera Rubin NVL72","")</t>
  </si>
  <si>
    <t xml:space="preserve">formula: =IF('Quarterly MW'!J16&gt;0,"Vera Rubin NVL72","")</t>
  </si>
  <si>
    <t xml:space="preserve">formula: =IF('Quarterly MW'!K16&gt;0,"Vera Rubin NVL72","")</t>
  </si>
  <si>
    <t xml:space="preserve">formula: =IF('Quarterly MW'!L16&gt;0,"Vera Rubin NVL72","")</t>
  </si>
  <si>
    <t xml:space="preserve">formula: =IF('Quarterly MW'!M16&gt;0,"Vera Rubin NVL72","")</t>
  </si>
  <si>
    <t xml:space="preserve">formula: =IF('Quarterly MW'!N16&gt;0,"Vera Rubin NVL72","")</t>
  </si>
  <si>
    <t xml:space="preserve">formula: =IF('Quarterly MW'!O16&gt;0,"Vera Rubin NVL72","")</t>
  </si>
  <si>
    <t xml:space="preserve">formula: =IF('Quarterly MW'!P16&gt;0,"Vera Rubin NVL72","")</t>
  </si>
  <si>
    <t xml:space="preserve">formula: =IF('Quarterly MW'!Q16&gt;0,"Vera Rubin NVL72","")</t>
  </si>
  <si>
    <t xml:space="preserve">formula: =IF('Quarterly MW'!R16&gt;0,"Vera Rubin NVL72","")</t>
  </si>
  <si>
    <t xml:space="preserve">formula: =IF('Quarterly MW'!S16&gt;0,"Vera Rubin NVL72","")</t>
  </si>
  <si>
    <t xml:space="preserve">formula: =IF('Quarterly MW'!T16&gt;0,"Vera Rubin NVL72","")</t>
  </si>
  <si>
    <t xml:space="preserve">formula: =IF('Quarterly MW'!U16&gt;0,"Vera Rubin NVL72","")</t>
  </si>
  <si>
    <t xml:space="preserve">formula: =IF('Quarterly MW'!V16&gt;0,"Vera Rubin NVL72","")</t>
  </si>
  <si>
    <t xml:space="preserve">formula: =IF('Quarterly MW'!W16&gt;0,"Vera Rubin NVL72","")</t>
  </si>
  <si>
    <t xml:space="preserve">formula: =IF('Quarterly MW'!X16&gt;0,"Vera Rubin NVL72","")</t>
  </si>
  <si>
    <t xml:space="preserve">formula: =IF('Quarterly MW'!Y16&gt;0,"Vera Rubin NVL72","")</t>
  </si>
  <si>
    <t xml:space="preserve">formula: =IF('Quarterly MW'!Z16&gt;0,"Vera Rubin NVL72","")</t>
  </si>
  <si>
    <t xml:space="preserve">formula: =IF('Quarterly MW'!AA16&gt;0,"Vera Rubin NVL72","")</t>
  </si>
  <si>
    <t xml:space="preserve">formula: =IF('Quarterly MW'!AB16&gt;0,"Vera Rubin NVL72","")</t>
  </si>
  <si>
    <t xml:space="preserve">formula: =IF('Quarterly MW'!AC16&gt;0,"Vera Rubin NVL72","")</t>
  </si>
  <si>
    <t xml:space="preserve">formula: =IF('Quarterly MW'!AD16&gt;0,"Vera Rubin NVL72","")</t>
  </si>
  <si>
    <t xml:space="preserve">formula: =IF('Quarterly MW'!AE16&gt;0,"Vera Rubin NVL72","")</t>
  </si>
  <si>
    <t xml:space="preserve">formula: =IF('Quarterly MW'!AF16&gt;0,"Vera Rubin NVL72","")</t>
  </si>
  <si>
    <t xml:space="preserve">E7</t>
  </si>
  <si>
    <t xml:space="preserve">formula: ='Quarterly MW'!E16-0</t>
  </si>
  <si>
    <t xml:space="preserve">formula: ='Quarterly MW'!F16-'Quarterly MW'!E16</t>
  </si>
  <si>
    <t xml:space="preserve">formula: ='Quarterly MW'!G16-'Quarterly MW'!F16</t>
  </si>
  <si>
    <t xml:space="preserve">formula: ='Quarterly MW'!H16-'Quarterly MW'!G16</t>
  </si>
  <si>
    <t xml:space="preserve">formula: ='Quarterly MW'!I16-'Quarterly MW'!H16</t>
  </si>
  <si>
    <t xml:space="preserve">formula: ='Quarterly MW'!J16-'Quarterly MW'!I16</t>
  </si>
  <si>
    <t xml:space="preserve">formula: ='Quarterly MW'!K16-'Quarterly MW'!J16</t>
  </si>
  <si>
    <t xml:space="preserve">formula: ='Quarterly MW'!L16-'Quarterly MW'!K16</t>
  </si>
  <si>
    <t xml:space="preserve">formula: ='Quarterly MW'!M16-'Quarterly MW'!L16</t>
  </si>
  <si>
    <t xml:space="preserve">formula: ='Quarterly MW'!N16-'Quarterly MW'!M16</t>
  </si>
  <si>
    <t xml:space="preserve">formula: ='Quarterly MW'!O16-'Quarterly MW'!N16</t>
  </si>
  <si>
    <t xml:space="preserve">formula: ='Quarterly MW'!P16-'Quarterly MW'!O16</t>
  </si>
  <si>
    <t xml:space="preserve">Q7</t>
  </si>
  <si>
    <t xml:space="preserve">formula: ='Quarterly MW'!Q16-'Quarterly MW'!P16</t>
  </si>
  <si>
    <t xml:space="preserve">R7</t>
  </si>
  <si>
    <t xml:space="preserve">formula: ='Quarterly MW'!R16-'Quarterly MW'!Q16</t>
  </si>
  <si>
    <t xml:space="preserve">S7</t>
  </si>
  <si>
    <t xml:space="preserve">formula: ='Quarterly MW'!S16-'Quarterly MW'!R16</t>
  </si>
  <si>
    <t xml:space="preserve">formula: ='Quarterly MW'!T16-'Quarterly MW'!S16</t>
  </si>
  <si>
    <t xml:space="preserve">U7</t>
  </si>
  <si>
    <t xml:space="preserve">formula: ='Quarterly MW'!U16-'Quarterly MW'!T16</t>
  </si>
  <si>
    <t xml:space="preserve">V7</t>
  </si>
  <si>
    <t xml:space="preserve">formula: ='Quarterly MW'!V16-'Quarterly MW'!U16</t>
  </si>
  <si>
    <t xml:space="preserve">W7</t>
  </si>
  <si>
    <t xml:space="preserve">formula: ='Quarterly MW'!W16-'Quarterly MW'!V16</t>
  </si>
  <si>
    <t xml:space="preserve">X7</t>
  </si>
  <si>
    <t xml:space="preserve">formula: ='Quarterly MW'!X16-'Quarterly MW'!W16</t>
  </si>
  <si>
    <t xml:space="preserve">Y7</t>
  </si>
  <si>
    <t xml:space="preserve">formula: ='Quarterly MW'!Y16-'Quarterly MW'!X16</t>
  </si>
  <si>
    <t xml:space="preserve">Z7</t>
  </si>
  <si>
    <t xml:space="preserve">formula: ='Quarterly MW'!Z16-'Quarterly MW'!Y16</t>
  </si>
  <si>
    <t xml:space="preserve">AA7</t>
  </si>
  <si>
    <t xml:space="preserve">formula: ='Quarterly MW'!AA16-'Quarterly MW'!Z16</t>
  </si>
  <si>
    <t xml:space="preserve">AB7</t>
  </si>
  <si>
    <t xml:space="preserve">formula: ='Quarterly MW'!AB16-'Quarterly MW'!AA16</t>
  </si>
  <si>
    <t xml:space="preserve">AC7</t>
  </si>
  <si>
    <t xml:space="preserve">formula: ='Quarterly MW'!AC16-'Quarterly MW'!AB16</t>
  </si>
  <si>
    <t xml:space="preserve">AD7</t>
  </si>
  <si>
    <t xml:space="preserve">formula: ='Quarterly MW'!AD16-'Quarterly MW'!AC16</t>
  </si>
  <si>
    <t xml:space="preserve">AE7</t>
  </si>
  <si>
    <t xml:space="preserve">formula: ='Quarterly MW'!AE16-'Quarterly MW'!AD16</t>
  </si>
  <si>
    <t xml:space="preserve">AF7</t>
  </si>
  <si>
    <t xml:space="preserve">formula: ='Quarterly MW'!AF16-'Quarterly MW'!AE16</t>
  </si>
  <si>
    <t xml:space="preserve">E8</t>
  </si>
  <si>
    <t xml:space="preserve">formula: =IF('Quarterly MW'!E21&gt;0,"Vera Rubin NVL72","")</t>
  </si>
  <si>
    <t xml:space="preserve">formula: =IF('Quarterly MW'!F21&gt;0,"Vera Rubin NVL72","")</t>
  </si>
  <si>
    <t xml:space="preserve">formula: =IF('Quarterly MW'!G21&gt;0,"Vera Rubin NVL72","")</t>
  </si>
  <si>
    <t xml:space="preserve">formula: =IF('Quarterly MW'!H21&gt;0,"Vera Rubin NVL72","")</t>
  </si>
  <si>
    <t xml:space="preserve">formula: =IF('Quarterly MW'!I21&gt;0,"Vera Rubin NVL72","")</t>
  </si>
  <si>
    <t xml:space="preserve">formula: =IF('Quarterly MW'!J21&gt;0,"Vera Rubin NVL72","")</t>
  </si>
  <si>
    <t xml:space="preserve">formula: =IF('Quarterly MW'!K21&gt;0,"Vera Rubin NVL72","")</t>
  </si>
  <si>
    <t xml:space="preserve">formula: =IF('Quarterly MW'!L21&gt;0,"Vera Rubin NVL72","")</t>
  </si>
  <si>
    <t xml:space="preserve">formula: =IF('Quarterly MW'!M21&gt;0,"Vera Rubin NVL72","")</t>
  </si>
  <si>
    <t xml:space="preserve">formula: =IF('Quarterly MW'!N21&gt;0,"Vera Rubin NVL72","")</t>
  </si>
  <si>
    <t xml:space="preserve">formula: =IF('Quarterly MW'!O21&gt;0,"Vera Rubin NVL72","")</t>
  </si>
  <si>
    <t xml:space="preserve">formula: =IF('Quarterly MW'!P21&gt;0,"Vera Rubin NVL72","")</t>
  </si>
  <si>
    <t xml:space="preserve">formula: =IF('Quarterly MW'!Q21&gt;0,"Vera Rubin NVL72","")</t>
  </si>
  <si>
    <t xml:space="preserve">formula: =IF('Quarterly MW'!R21&gt;0,"Vera Rubin NVL72","")</t>
  </si>
  <si>
    <t xml:space="preserve">formula: =IF('Quarterly MW'!S21&gt;0,"Vera Rubin NVL72","")</t>
  </si>
  <si>
    <t xml:space="preserve">formula: =IF('Quarterly MW'!T21&gt;0,"Vera Rubin NVL72","")</t>
  </si>
  <si>
    <t xml:space="preserve">formula: =IF('Quarterly MW'!U21&gt;0,"Vera Rubin NVL72","")</t>
  </si>
  <si>
    <t xml:space="preserve">formula: =IF('Quarterly MW'!V21&gt;0,"Vera Rubin NVL72","")</t>
  </si>
  <si>
    <t xml:space="preserve">formula: =IF('Quarterly MW'!W21&gt;0,"Vera Rubin NVL72","")</t>
  </si>
  <si>
    <t xml:space="preserve">formula: =IF('Quarterly MW'!X21&gt;0,"Vera Rubin NVL72","")</t>
  </si>
  <si>
    <t xml:space="preserve">formula: =IF('Quarterly MW'!Y21&gt;0,"Vera Rubin NVL72","")</t>
  </si>
  <si>
    <t xml:space="preserve">formula: =IF('Quarterly MW'!Z21&gt;0,"Vera Rubin NVL72","")</t>
  </si>
  <si>
    <t xml:space="preserve">formula: =IF('Quarterly MW'!AA21&gt;0,"Vera Rubin NVL72","")</t>
  </si>
  <si>
    <t xml:space="preserve">formula: =IF('Quarterly MW'!AB21&gt;0,"Vera Rubin NVL72","")</t>
  </si>
  <si>
    <t xml:space="preserve">formula: =IF('Quarterly MW'!AC21&gt;0,"Vera Rubin NVL72","")</t>
  </si>
  <si>
    <t xml:space="preserve">formula: =IF('Quarterly MW'!AD21&gt;0,"Vera Rubin NVL72","")</t>
  </si>
  <si>
    <t xml:space="preserve">formula: =IF('Quarterly MW'!AE21&gt;0,"Vera Rubin NVL72","")</t>
  </si>
  <si>
    <t xml:space="preserve">formula: =IF('Quarterly MW'!AF21&gt;0,"Vera Rubin NVL72","")</t>
  </si>
  <si>
    <t xml:space="preserve">formula: ='Quarterly MW'!E21-0</t>
  </si>
  <si>
    <t xml:space="preserve">formula: ='Quarterly MW'!F21-'Quarterly MW'!E21</t>
  </si>
  <si>
    <t xml:space="preserve">formula: ='Quarterly MW'!G21-'Quarterly MW'!F21</t>
  </si>
  <si>
    <t xml:space="preserve">formula: ='Quarterly MW'!H21-'Quarterly MW'!G21</t>
  </si>
  <si>
    <t xml:space="preserve">formula: ='Quarterly MW'!I21-'Quarterly MW'!H21</t>
  </si>
  <si>
    <t xml:space="preserve">formula: ='Quarterly MW'!J21-'Quarterly MW'!I21</t>
  </si>
  <si>
    <t xml:space="preserve">formula: ='Quarterly MW'!K21-'Quarterly MW'!J21</t>
  </si>
  <si>
    <t xml:space="preserve">formula: ='Quarterly MW'!L21-'Quarterly MW'!K21</t>
  </si>
  <si>
    <t xml:space="preserve">formula: ='Quarterly MW'!M21-'Quarterly MW'!L21</t>
  </si>
  <si>
    <t xml:space="preserve">formula: ='Quarterly MW'!N21-'Quarterly MW'!M21</t>
  </si>
  <si>
    <t xml:space="preserve">formula: ='Quarterly MW'!O21-'Quarterly MW'!N21</t>
  </si>
  <si>
    <t xml:space="preserve">formula: ='Quarterly MW'!P21-'Quarterly MW'!O21</t>
  </si>
  <si>
    <t xml:space="preserve">formula: ='Quarterly MW'!Q21-'Quarterly MW'!P21</t>
  </si>
  <si>
    <t xml:space="preserve">formula: ='Quarterly MW'!R21-'Quarterly MW'!Q21</t>
  </si>
  <si>
    <t xml:space="preserve">formula: ='Quarterly MW'!S21-'Quarterly MW'!R21</t>
  </si>
  <si>
    <t xml:space="preserve">formula: ='Quarterly MW'!T21-'Quarterly MW'!S21</t>
  </si>
  <si>
    <t xml:space="preserve">formula: ='Quarterly MW'!U21-'Quarterly MW'!T21</t>
  </si>
  <si>
    <t xml:space="preserve">formula: ='Quarterly MW'!V21-'Quarterly MW'!U21</t>
  </si>
  <si>
    <t xml:space="preserve">formula: ='Quarterly MW'!W21-'Quarterly MW'!V21</t>
  </si>
  <si>
    <t xml:space="preserve">formula: ='Quarterly MW'!X21-'Quarterly MW'!W21</t>
  </si>
  <si>
    <t xml:space="preserve">formula: ='Quarterly MW'!Y21-'Quarterly MW'!X21</t>
  </si>
  <si>
    <t xml:space="preserve">formula: ='Quarterly MW'!Z21-'Quarterly MW'!Y21</t>
  </si>
  <si>
    <t xml:space="preserve">formula: ='Quarterly MW'!AA21-'Quarterly MW'!Z21</t>
  </si>
  <si>
    <t xml:space="preserve">formula: ='Quarterly MW'!AB21-'Quarterly MW'!AA21</t>
  </si>
  <si>
    <t xml:space="preserve">formula: ='Quarterly MW'!AC21-'Quarterly MW'!AB21</t>
  </si>
  <si>
    <t xml:space="preserve">formula: ='Quarterly MW'!AD21-'Quarterly MW'!AC21</t>
  </si>
  <si>
    <t xml:space="preserve">formula: ='Quarterly MW'!AE21-'Quarterly MW'!AD21</t>
  </si>
  <si>
    <t xml:space="preserve">formula: ='Quarterly MW'!AF21-'Quarterly MW'!AE21</t>
  </si>
  <si>
    <t xml:space="preserve">formula: =IF('Quarterly MW'!E26&gt;0,"GB300 NVL72","")</t>
  </si>
  <si>
    <t xml:space="preserve">formula: =IF('Quarterly MW'!F26&gt;0,"GB300 NVL72","")</t>
  </si>
  <si>
    <t xml:space="preserve">formula: =IF('Quarterly MW'!G26&gt;0,"GB300 NVL72","")</t>
  </si>
  <si>
    <t xml:space="preserve">formula: =IF('Quarterly MW'!H26&gt;0,"GB300 NVL72","")</t>
  </si>
  <si>
    <t xml:space="preserve">formula: =IF('Quarterly MW'!I26&gt;0,"GB300 NVL72","")</t>
  </si>
  <si>
    <t xml:space="preserve">formula: =IF('Quarterly MW'!J26&gt;0,"GB300 NVL72","")</t>
  </si>
  <si>
    <t xml:space="preserve">formula: =IF('Quarterly MW'!K26&gt;0,"GB300 NVL72","")</t>
  </si>
  <si>
    <t xml:space="preserve">formula: =IF('Quarterly MW'!L26&gt;0,"GB300 NVL72","")</t>
  </si>
  <si>
    <t xml:space="preserve">formula: =IF('Quarterly MW'!M26&gt;0,"GB300 NVL72","")</t>
  </si>
  <si>
    <t xml:space="preserve">formula: =IF('Quarterly MW'!N26&gt;0,"GB300 NVL72","")</t>
  </si>
  <si>
    <t xml:space="preserve">formula: =IF('Quarterly MW'!O26&gt;0,"GB300 NVL72","")</t>
  </si>
  <si>
    <t xml:space="preserve">formula: =IF('Quarterly MW'!P26&gt;0,"GB300 NVL72","")</t>
  </si>
  <si>
    <t xml:space="preserve">formula: =IF('Quarterly MW'!Q26&gt;0,"GB300 NVL72","")</t>
  </si>
  <si>
    <t xml:space="preserve">formula: =IF('Quarterly MW'!R26&gt;0,"GB300 NVL72","")</t>
  </si>
  <si>
    <t xml:space="preserve">formula: =IF('Quarterly MW'!S26&gt;0,"GB300 NVL72","")</t>
  </si>
  <si>
    <t xml:space="preserve">formula: =IF('Quarterly MW'!T26&gt;0,"GB300 NVL72","")</t>
  </si>
  <si>
    <t xml:space="preserve">formula: =IF('Quarterly MW'!U26&gt;0,"GB300 NVL72","")</t>
  </si>
  <si>
    <t xml:space="preserve">formula: =IF('Quarterly MW'!V26&gt;0,"GB300 NVL72","")</t>
  </si>
  <si>
    <t xml:space="preserve">formula: =IF('Quarterly MW'!W26&gt;0,"GB300 NVL72","")</t>
  </si>
  <si>
    <t xml:space="preserve">formula: =IF('Quarterly MW'!X26&gt;0,"GB300 NVL72","")</t>
  </si>
  <si>
    <t xml:space="preserve">formula: =IF('Quarterly MW'!Y26&gt;0,"GB300 NVL72","")</t>
  </si>
  <si>
    <t xml:space="preserve">formula: =IF('Quarterly MW'!Z26&gt;0,"GB300 NVL72","")</t>
  </si>
  <si>
    <t xml:space="preserve">formula: =IF('Quarterly MW'!AA26&gt;0,"GB300 NVL72","")</t>
  </si>
  <si>
    <t xml:space="preserve">formula: =IF('Quarterly MW'!AB26&gt;0,"GB300 NVL72","")</t>
  </si>
  <si>
    <t xml:space="preserve">formula: =IF('Quarterly MW'!AC26&gt;0,"GB300 NVL72","")</t>
  </si>
  <si>
    <t xml:space="preserve">formula: =IF('Quarterly MW'!AD26&gt;0,"GB300 NVL72","")</t>
  </si>
  <si>
    <t xml:space="preserve">formula: =IF('Quarterly MW'!AE26&gt;0,"GB300 NVL72","")</t>
  </si>
  <si>
    <t xml:space="preserve">formula: =IF('Quarterly MW'!AF26&gt;0,"GB300 NVL72","")</t>
  </si>
  <si>
    <t xml:space="preserve">formula: ='Quarterly MW'!E26-0</t>
  </si>
  <si>
    <t xml:space="preserve">formula: ='Quarterly MW'!F26-'Quarterly MW'!E26</t>
  </si>
  <si>
    <t xml:space="preserve">formula: ='Quarterly MW'!G26-'Quarterly MW'!F26</t>
  </si>
  <si>
    <t xml:space="preserve">formula: ='Quarterly MW'!H26-'Quarterly MW'!G26</t>
  </si>
  <si>
    <t xml:space="preserve">formula: ='Quarterly MW'!I26-'Quarterly MW'!H26</t>
  </si>
  <si>
    <t xml:space="preserve">formula: ='Quarterly MW'!J26-'Quarterly MW'!I26</t>
  </si>
  <si>
    <t xml:space="preserve">formula: ='Quarterly MW'!K26-'Quarterly MW'!J26</t>
  </si>
  <si>
    <t xml:space="preserve">formula: ='Quarterly MW'!L26-'Quarterly MW'!K26</t>
  </si>
  <si>
    <t xml:space="preserve">formula: ='Quarterly MW'!M26-'Quarterly MW'!L26</t>
  </si>
  <si>
    <t xml:space="preserve">formula: ='Quarterly MW'!N26-'Quarterly MW'!M26</t>
  </si>
  <si>
    <t xml:space="preserve">formula: ='Quarterly MW'!O26-'Quarterly MW'!N26</t>
  </si>
  <si>
    <t xml:space="preserve">formula: ='Quarterly MW'!P26-'Quarterly MW'!O26</t>
  </si>
  <si>
    <t xml:space="preserve">formula: ='Quarterly MW'!Q26-'Quarterly MW'!P26</t>
  </si>
  <si>
    <t xml:space="preserve">formula: ='Quarterly MW'!R26-'Quarterly MW'!Q26</t>
  </si>
  <si>
    <t xml:space="preserve">formula: ='Quarterly MW'!S26-'Quarterly MW'!R26</t>
  </si>
  <si>
    <t xml:space="preserve">formula: ='Quarterly MW'!T26-'Quarterly MW'!S26</t>
  </si>
  <si>
    <t xml:space="preserve">formula: ='Quarterly MW'!U26-'Quarterly MW'!T26</t>
  </si>
  <si>
    <t xml:space="preserve">formula: ='Quarterly MW'!V26-'Quarterly MW'!U26</t>
  </si>
  <si>
    <t xml:space="preserve">formula: ='Quarterly MW'!W26-'Quarterly MW'!V26</t>
  </si>
  <si>
    <t xml:space="preserve">formula: ='Quarterly MW'!X26-'Quarterly MW'!W26</t>
  </si>
  <si>
    <t xml:space="preserve">formula: ='Quarterly MW'!Y26-'Quarterly MW'!X26</t>
  </si>
  <si>
    <t xml:space="preserve">formula: ='Quarterly MW'!Z26-'Quarterly MW'!Y26</t>
  </si>
  <si>
    <t xml:space="preserve">formula: ='Quarterly MW'!AA26-'Quarterly MW'!Z26</t>
  </si>
  <si>
    <t xml:space="preserve">formula: ='Quarterly MW'!AB26-'Quarterly MW'!AA26</t>
  </si>
  <si>
    <t xml:space="preserve">formula: ='Quarterly MW'!AC26-'Quarterly MW'!AB26</t>
  </si>
  <si>
    <t xml:space="preserve">formula: ='Quarterly MW'!AD26-'Quarterly MW'!AC26</t>
  </si>
  <si>
    <t xml:space="preserve">formula: ='Quarterly MW'!AE26-'Quarterly MW'!AD26</t>
  </si>
  <si>
    <t xml:space="preserve">formula: ='Quarterly MW'!AF26-'Quarterly MW'!AE26</t>
  </si>
  <si>
    <t xml:space="preserve">formula: =IF('Quarterly MW'!E31&gt;0,"Vera Rubin NVL72","")</t>
  </si>
  <si>
    <t xml:space="preserve">formula: =IF('Quarterly MW'!F31&gt;0,"Vera Rubin NVL72","")</t>
  </si>
  <si>
    <t xml:space="preserve">formula: =IF('Quarterly MW'!G31&gt;0,"Vera Rubin NVL72","")</t>
  </si>
  <si>
    <t xml:space="preserve">formula: =IF('Quarterly MW'!H31&gt;0,"Vera Rubin NVL72","")</t>
  </si>
  <si>
    <t xml:space="preserve">formula: =IF('Quarterly MW'!I31&gt;0,"Vera Rubin NVL72","")</t>
  </si>
  <si>
    <t xml:space="preserve">formula: =IF('Quarterly MW'!J31&gt;0,"Vera Rubin NVL72","")</t>
  </si>
  <si>
    <t xml:space="preserve">formula: =IF('Quarterly MW'!K31&gt;0,"Vera Rubin NVL72","")</t>
  </si>
  <si>
    <t xml:space="preserve">formula: =IF('Quarterly MW'!L31&gt;0,"Vera Rubin NVL72","")</t>
  </si>
  <si>
    <t xml:space="preserve">formula: =IF('Quarterly MW'!M31&gt;0,"Vera Rubin NVL72","")</t>
  </si>
  <si>
    <t xml:space="preserve">formula: =IF('Quarterly MW'!N31&gt;0,"Vera Rubin NVL72","")</t>
  </si>
  <si>
    <t xml:space="preserve">formula: =IF('Quarterly MW'!O31&gt;0,"Vera Rubin NVL72","")</t>
  </si>
  <si>
    <t xml:space="preserve">formula: =IF('Quarterly MW'!P31&gt;0,"Vera Rubin NVL72","")</t>
  </si>
  <si>
    <t xml:space="preserve">formula: =IF('Quarterly MW'!Q31&gt;0,"Vera Rubin NVL72","")</t>
  </si>
  <si>
    <t xml:space="preserve">formula: =IF('Quarterly MW'!R31&gt;0,"Vera Rubin NVL72","")</t>
  </si>
  <si>
    <t xml:space="preserve">formula: =IF('Quarterly MW'!S31&gt;0,"Vera Rubin NVL72","")</t>
  </si>
  <si>
    <t xml:space="preserve">formula: =IF('Quarterly MW'!T31&gt;0,"Vera Rubin NVL72","")</t>
  </si>
  <si>
    <t xml:space="preserve">formula: =IF('Quarterly MW'!U31&gt;0,"Vera Rubin NVL72","")</t>
  </si>
  <si>
    <t xml:space="preserve">formula: =IF('Quarterly MW'!V31&gt;0,"Vera Rubin NVL72","")</t>
  </si>
  <si>
    <t xml:space="preserve">formula: =IF('Quarterly MW'!W31&gt;0,"Vera Rubin NVL72","")</t>
  </si>
  <si>
    <t xml:space="preserve">formula: =IF('Quarterly MW'!X31&gt;0,"Vera Rubin NVL72","")</t>
  </si>
  <si>
    <t xml:space="preserve">formula: =IF('Quarterly MW'!Y31&gt;0,"Vera Rubin NVL72","")</t>
  </si>
  <si>
    <t xml:space="preserve">formula: =IF('Quarterly MW'!Z31&gt;0,"Vera Rubin NVL72","")</t>
  </si>
  <si>
    <t xml:space="preserve">formula: =IF('Quarterly MW'!AA31&gt;0,"Vera Rubin NVL72","")</t>
  </si>
  <si>
    <t xml:space="preserve">formula: =IF('Quarterly MW'!AB31&gt;0,"Vera Rubin NVL72","")</t>
  </si>
  <si>
    <t xml:space="preserve">formula: =IF('Quarterly MW'!AC31&gt;0,"Vera Rubin NVL72","")</t>
  </si>
  <si>
    <t xml:space="preserve">formula: =IF('Quarterly MW'!AD31&gt;0,"Vera Rubin NVL72","")</t>
  </si>
  <si>
    <t xml:space="preserve">formula: =IF('Quarterly MW'!AE31&gt;0,"Vera Rubin NVL72","")</t>
  </si>
  <si>
    <t xml:space="preserve">formula: =IF('Quarterly MW'!AF31&gt;0,"Vera Rubin NVL72","")</t>
  </si>
  <si>
    <t xml:space="preserve">formula: ='Quarterly MW'!E31-0</t>
  </si>
  <si>
    <t xml:space="preserve">formula: ='Quarterly MW'!F31-'Quarterly MW'!E31</t>
  </si>
  <si>
    <t xml:space="preserve">formula: ='Quarterly MW'!G31-'Quarterly MW'!F31</t>
  </si>
  <si>
    <t xml:space="preserve">formula: ='Quarterly MW'!H31-'Quarterly MW'!G31</t>
  </si>
  <si>
    <t xml:space="preserve">formula: ='Quarterly MW'!I31-'Quarterly MW'!H31</t>
  </si>
  <si>
    <t xml:space="preserve">formula: ='Quarterly MW'!J31-'Quarterly MW'!I31</t>
  </si>
  <si>
    <t xml:space="preserve">formula: ='Quarterly MW'!K31-'Quarterly MW'!J31</t>
  </si>
  <si>
    <t xml:space="preserve">formula: ='Quarterly MW'!L31-'Quarterly MW'!K31</t>
  </si>
  <si>
    <t xml:space="preserve">formula: ='Quarterly MW'!M31-'Quarterly MW'!L31</t>
  </si>
  <si>
    <t xml:space="preserve">formula: ='Quarterly MW'!N31-'Quarterly MW'!M31</t>
  </si>
  <si>
    <t xml:space="preserve">formula: ='Quarterly MW'!O31-'Quarterly MW'!N31</t>
  </si>
  <si>
    <t xml:space="preserve">formula: ='Quarterly MW'!P31-'Quarterly MW'!O31</t>
  </si>
  <si>
    <t xml:space="preserve">formula: ='Quarterly MW'!Q31-'Quarterly MW'!P31</t>
  </si>
  <si>
    <t xml:space="preserve">formula: ='Quarterly MW'!R31-'Quarterly MW'!Q31</t>
  </si>
  <si>
    <t xml:space="preserve">formula: ='Quarterly MW'!S31-'Quarterly MW'!R31</t>
  </si>
  <si>
    <t xml:space="preserve">formula: ='Quarterly MW'!T31-'Quarterly MW'!S31</t>
  </si>
  <si>
    <t xml:space="preserve">formula: ='Quarterly MW'!U31-'Quarterly MW'!T31</t>
  </si>
  <si>
    <t xml:space="preserve">formula: ='Quarterly MW'!V31-'Quarterly MW'!U31</t>
  </si>
  <si>
    <t xml:space="preserve">formula: ='Quarterly MW'!W31-'Quarterly MW'!V31</t>
  </si>
  <si>
    <t xml:space="preserve">formula: ='Quarterly MW'!X31-'Quarterly MW'!W31</t>
  </si>
  <si>
    <t xml:space="preserve">formula: ='Quarterly MW'!Y31-'Quarterly MW'!X31</t>
  </si>
  <si>
    <t xml:space="preserve">formula: ='Quarterly MW'!Z31-'Quarterly MW'!Y31</t>
  </si>
  <si>
    <t xml:space="preserve">formula: ='Quarterly MW'!AA31-'Quarterly MW'!Z31</t>
  </si>
  <si>
    <t xml:space="preserve">formula: ='Quarterly MW'!AB31-'Quarterly MW'!AA31</t>
  </si>
  <si>
    <t xml:space="preserve">formula: ='Quarterly MW'!AC31-'Quarterly MW'!AB31</t>
  </si>
  <si>
    <t xml:space="preserve">formula: ='Quarterly MW'!AD31-'Quarterly MW'!AC31</t>
  </si>
  <si>
    <t xml:space="preserve">formula: ='Quarterly MW'!AE31-'Quarterly MW'!AD31</t>
  </si>
  <si>
    <t xml:space="preserve">formula: ='Quarterly MW'!AF31-'Quarterly MW'!AE31</t>
  </si>
  <si>
    <t xml:space="preserve">formula: =IF('Quarterly MW'!E36&gt;25,"Hopper+GB300",IF('Quarterly MW'!E36&gt;0,"Hopper",""))</t>
  </si>
  <si>
    <t xml:space="preserve">formula: =IF('Quarterly MW'!F36&gt;25,"Hopper+GB300",IF('Quarterly MW'!F36&gt;0,"Hopper",""))</t>
  </si>
  <si>
    <t xml:space="preserve">formula: =IF('Quarterly MW'!G36&gt;25,"Hopper+GB300",IF('Quarterly MW'!G36&gt;0,"Hopper",""))</t>
  </si>
  <si>
    <t xml:space="preserve">formula: =IF('Quarterly MW'!H36&gt;25,"Hopper+GB300",IF('Quarterly MW'!H36&gt;0,"Hopper",""))</t>
  </si>
  <si>
    <t xml:space="preserve">formula: =IF('Quarterly MW'!I36&gt;25,"Hopper+GB300",IF('Quarterly MW'!I36&gt;0,"Hopper",""))</t>
  </si>
  <si>
    <t xml:space="preserve">formula: =IF('Quarterly MW'!J36&gt;25,"Hopper+GB300",IF('Quarterly MW'!J36&gt;0,"Hopper",""))</t>
  </si>
  <si>
    <t xml:space="preserve">formula: =IF('Quarterly MW'!K36&gt;25,"Hopper+GB300",IF('Quarterly MW'!K36&gt;0,"Hopper",""))</t>
  </si>
  <si>
    <t xml:space="preserve">formula: =IF('Quarterly MW'!L36&gt;25,"Hopper+GB300",IF('Quarterly MW'!L36&gt;0,"Hopper",""))</t>
  </si>
  <si>
    <t xml:space="preserve">formula: =IF('Quarterly MW'!M36&gt;25,"Hopper+GB300",IF('Quarterly MW'!M36&gt;0,"Hopper",""))</t>
  </si>
  <si>
    <t xml:space="preserve">formula: =IF('Quarterly MW'!N36&gt;25,"Hopper+GB300",IF('Quarterly MW'!N36&gt;0,"Hopper",""))</t>
  </si>
  <si>
    <t xml:space="preserve">formula: =IF('Quarterly MW'!O36&gt;25,"Hopper+GB300",IF('Quarterly MW'!O36&gt;0,"Hopper",""))</t>
  </si>
  <si>
    <t xml:space="preserve">formula: =IF('Quarterly MW'!P36&gt;25,"Hopper+GB300",IF('Quarterly MW'!P36&gt;0,"Hopper",""))</t>
  </si>
  <si>
    <t xml:space="preserve">formula: =IF('Quarterly MW'!Q36&gt;25,"Hopper+GB300",IF('Quarterly MW'!Q36&gt;0,"Hopper",""))</t>
  </si>
  <si>
    <t xml:space="preserve">formula: =IF('Quarterly MW'!R36&gt;25,"Hopper+GB300",IF('Quarterly MW'!R36&gt;0,"Hopper",""))</t>
  </si>
  <si>
    <t xml:space="preserve">formula: =IF('Quarterly MW'!S36&gt;25,"Hopper+GB300",IF('Quarterly MW'!S36&gt;0,"Hopper",""))</t>
  </si>
  <si>
    <t xml:space="preserve">formula: =IF('Quarterly MW'!T36&gt;25,"Hopper+GB300",IF('Quarterly MW'!T36&gt;0,"Hopper",""))</t>
  </si>
  <si>
    <t xml:space="preserve">formula: =IF('Quarterly MW'!U36&gt;25,"Hopper+GB300",IF('Quarterly MW'!U36&gt;0,"Hopper",""))</t>
  </si>
  <si>
    <t xml:space="preserve">formula: =IF('Quarterly MW'!V36&gt;25,"Hopper+GB300",IF('Quarterly MW'!V36&gt;0,"Hopper",""))</t>
  </si>
  <si>
    <t xml:space="preserve">formula: =IF('Quarterly MW'!W36&gt;25,"Hopper+GB300",IF('Quarterly MW'!W36&gt;0,"Hopper",""))</t>
  </si>
  <si>
    <t xml:space="preserve">formula: =IF('Quarterly MW'!X36&gt;25,"Hopper+GB300",IF('Quarterly MW'!X36&gt;0,"Hopper",""))</t>
  </si>
  <si>
    <t xml:space="preserve">formula: =IF('Quarterly MW'!Y36&gt;25,"Hopper+GB300",IF('Quarterly MW'!Y36&gt;0,"Hopper",""))</t>
  </si>
  <si>
    <t xml:space="preserve">formula: =IF('Quarterly MW'!Z36&gt;25,"Hopper+GB300",IF('Quarterly MW'!Z36&gt;0,"Hopper",""))</t>
  </si>
  <si>
    <t xml:space="preserve">formula: =IF('Quarterly MW'!AA36&gt;25,"Hopper+GB300",IF('Quarterly MW'!AA36&gt;0,"Hopper",""))</t>
  </si>
  <si>
    <t xml:space="preserve">formula: =IF('Quarterly MW'!AB36&gt;25,"Hopper+GB300",IF('Quarterly MW'!AB36&gt;0,"Hopper",""))</t>
  </si>
  <si>
    <t xml:space="preserve">formula: =IF('Quarterly MW'!AC36&gt;25,"Hopper+GB300",IF('Quarterly MW'!AC36&gt;0,"Hopper",""))</t>
  </si>
  <si>
    <t xml:space="preserve">formula: =IF('Quarterly MW'!AD36&gt;25,"Hopper+GB300",IF('Quarterly MW'!AD36&gt;0,"Hopper",""))</t>
  </si>
  <si>
    <t xml:space="preserve">formula: =IF('Quarterly MW'!AE36&gt;25,"Hopper+GB300",IF('Quarterly MW'!AE36&gt;0,"Hopper",""))</t>
  </si>
  <si>
    <t xml:space="preserve">formula: =IF('Quarterly MW'!AF36&gt;25,"Hopper+GB300",IF('Quarterly MW'!AF36&gt;0,"Hopper",""))</t>
  </si>
  <si>
    <t xml:space="preserve">formula: ='Quarterly MW'!E36-0</t>
  </si>
  <si>
    <t xml:space="preserve">formula: ='Quarterly MW'!F36-'Quarterly MW'!E36</t>
  </si>
  <si>
    <t xml:space="preserve">formula: ='Quarterly MW'!G36-'Quarterly MW'!F36</t>
  </si>
  <si>
    <t xml:space="preserve">formula: ='Quarterly MW'!H36-'Quarterly MW'!G36</t>
  </si>
  <si>
    <t xml:space="preserve">formula: ='Quarterly MW'!I36-'Quarterly MW'!H36</t>
  </si>
  <si>
    <t xml:space="preserve">formula: ='Quarterly MW'!J36-'Quarterly MW'!I36</t>
  </si>
  <si>
    <t xml:space="preserve">formula: ='Quarterly MW'!K36-'Quarterly MW'!J36</t>
  </si>
  <si>
    <t xml:space="preserve">formula: ='Quarterly MW'!L36-'Quarterly MW'!K36</t>
  </si>
  <si>
    <t xml:space="preserve">formula: ='Quarterly MW'!M36-'Quarterly MW'!L36</t>
  </si>
  <si>
    <t xml:space="preserve">formula: ='Quarterly MW'!N36-'Quarterly MW'!M36</t>
  </si>
  <si>
    <t xml:space="preserve">formula: ='Quarterly MW'!O36-'Quarterly MW'!N36</t>
  </si>
  <si>
    <t xml:space="preserve">formula: ='Quarterly MW'!P36-'Quarterly MW'!O36</t>
  </si>
  <si>
    <t xml:space="preserve">formula: ='Quarterly MW'!Q36-'Quarterly MW'!P36</t>
  </si>
  <si>
    <t xml:space="preserve">formula: ='Quarterly MW'!R36-'Quarterly MW'!Q36</t>
  </si>
  <si>
    <t xml:space="preserve">formula: ='Quarterly MW'!S36-'Quarterly MW'!R36</t>
  </si>
  <si>
    <t xml:space="preserve">formula: ='Quarterly MW'!T36-'Quarterly MW'!S36</t>
  </si>
  <si>
    <t xml:space="preserve">formula: ='Quarterly MW'!U36-'Quarterly MW'!T36</t>
  </si>
  <si>
    <t xml:space="preserve">formula: ='Quarterly MW'!V36-'Quarterly MW'!U36</t>
  </si>
  <si>
    <t xml:space="preserve">formula: ='Quarterly MW'!W36-'Quarterly MW'!V36</t>
  </si>
  <si>
    <t xml:space="preserve">formula: ='Quarterly MW'!X36-'Quarterly MW'!W36</t>
  </si>
  <si>
    <t xml:space="preserve">formula: ='Quarterly MW'!Y36-'Quarterly MW'!X36</t>
  </si>
  <si>
    <t xml:space="preserve">formula: ='Quarterly MW'!Z36-'Quarterly MW'!Y36</t>
  </si>
  <si>
    <t xml:space="preserve">formula: ='Quarterly MW'!AA36-'Quarterly MW'!Z36</t>
  </si>
  <si>
    <t xml:space="preserve">formula: ='Quarterly MW'!AB36-'Quarterly MW'!AA36</t>
  </si>
  <si>
    <t xml:space="preserve">formula: ='Quarterly MW'!AC36-'Quarterly MW'!AB36</t>
  </si>
  <si>
    <t xml:space="preserve">formula: ='Quarterly MW'!AD36-'Quarterly MW'!AC36</t>
  </si>
  <si>
    <t xml:space="preserve">formula: ='Quarterly MW'!AE36-'Quarterly MW'!AD36</t>
  </si>
  <si>
    <t xml:space="preserve">formula: ='Quarterly MW'!AF36-'Quarterly MW'!AE36</t>
  </si>
  <si>
    <t xml:space="preserve">formula: =IF('Quarterly MW'!E41&gt;0,"Vera Rubin NVL72","")</t>
  </si>
  <si>
    <t xml:space="preserve">formula: =IF('Quarterly MW'!F41&gt;0,"Vera Rubin NVL72","")</t>
  </si>
  <si>
    <t xml:space="preserve">formula: =IF('Quarterly MW'!G41&gt;0,"Vera Rubin NVL72","")</t>
  </si>
  <si>
    <t xml:space="preserve">formula: =IF('Quarterly MW'!H41&gt;0,"Vera Rubin NVL72","")</t>
  </si>
  <si>
    <t xml:space="preserve">formula: =IF('Quarterly MW'!I41&gt;0,"Vera Rubin NVL72","")</t>
  </si>
  <si>
    <t xml:space="preserve">formula: =IF('Quarterly MW'!J41&gt;0,"Vera Rubin NVL72","")</t>
  </si>
  <si>
    <t xml:space="preserve">formula: =IF('Quarterly MW'!K41&gt;0,"Vera Rubin NVL72","")</t>
  </si>
  <si>
    <t xml:space="preserve">formula: =IF('Quarterly MW'!L41&gt;0,"Vera Rubin NVL72","")</t>
  </si>
  <si>
    <t xml:space="preserve">formula: =IF('Quarterly MW'!M41&gt;0,"Vera Rubin NVL72","")</t>
  </si>
  <si>
    <t xml:space="preserve">formula: =IF('Quarterly MW'!N41&gt;0,"Vera Rubin NVL72","")</t>
  </si>
  <si>
    <t xml:space="preserve">formula: =IF('Quarterly MW'!O41&gt;0,"Vera Rubin NVL72","")</t>
  </si>
  <si>
    <t xml:space="preserve">formula: =IF('Quarterly MW'!P41&gt;0,"Vera Rubin NVL72","")</t>
  </si>
  <si>
    <t xml:space="preserve">formula: =IF('Quarterly MW'!Q41&gt;0,"Vera Rubin NVL72","")</t>
  </si>
  <si>
    <t xml:space="preserve">formula: =IF('Quarterly MW'!R41&gt;0,"Vera Rubin NVL72","")</t>
  </si>
  <si>
    <t xml:space="preserve">formula: =IF('Quarterly MW'!S41&gt;0,"Vera Rubin NVL72","")</t>
  </si>
  <si>
    <t xml:space="preserve">formula: =IF('Quarterly MW'!T41&gt;0,"Vera Rubin NVL72","")</t>
  </si>
  <si>
    <t xml:space="preserve">formula: =IF('Quarterly MW'!U41&gt;0,"Vera Rubin NVL72","")</t>
  </si>
  <si>
    <t xml:space="preserve">formula: =IF('Quarterly MW'!V41&gt;0,"Vera Rubin NVL72","")</t>
  </si>
  <si>
    <t xml:space="preserve">formula: =IF('Quarterly MW'!W41&gt;0,"Vera Rubin NVL72","")</t>
  </si>
  <si>
    <t xml:space="preserve">formula: =IF('Quarterly MW'!X41&gt;0,"Vera Rubin NVL72","")</t>
  </si>
  <si>
    <t xml:space="preserve">formula: =IF('Quarterly MW'!Y41&gt;0,"Vera Rubin NVL72","")</t>
  </si>
  <si>
    <t xml:space="preserve">formula: =IF('Quarterly MW'!Z41&gt;0,"Vera Rubin NVL72","")</t>
  </si>
  <si>
    <t xml:space="preserve">formula: =IF('Quarterly MW'!AA41&gt;0,"Vera Rubin NVL72","")</t>
  </si>
  <si>
    <t xml:space="preserve">formula: =IF('Quarterly MW'!AB41&gt;0,"Vera Rubin NVL72","")</t>
  </si>
  <si>
    <t xml:space="preserve">formula: =IF('Quarterly MW'!AC41&gt;0,"Vera Rubin NVL72","")</t>
  </si>
  <si>
    <t xml:space="preserve">formula: =IF('Quarterly MW'!AD41&gt;0,"Vera Rubin NVL72","")</t>
  </si>
  <si>
    <t xml:space="preserve">formula: =IF('Quarterly MW'!AE41&gt;0,"Vera Rubin NVL72","")</t>
  </si>
  <si>
    <t xml:space="preserve">formula: =IF('Quarterly MW'!AF41&gt;0,"Vera Rubin NVL72","")</t>
  </si>
  <si>
    <t xml:space="preserve">formula: ='Quarterly MW'!E41-0</t>
  </si>
  <si>
    <t xml:space="preserve">formula: ='Quarterly MW'!F41-'Quarterly MW'!E41</t>
  </si>
  <si>
    <t xml:space="preserve">formula: ='Quarterly MW'!G41-'Quarterly MW'!F41</t>
  </si>
  <si>
    <t xml:space="preserve">formula: ='Quarterly MW'!H41-'Quarterly MW'!G41</t>
  </si>
  <si>
    <t xml:space="preserve">formula: ='Quarterly MW'!I41-'Quarterly MW'!H41</t>
  </si>
  <si>
    <t xml:space="preserve">formula: ='Quarterly MW'!J41-'Quarterly MW'!I41</t>
  </si>
  <si>
    <t xml:space="preserve">formula: ='Quarterly MW'!K41-'Quarterly MW'!J41</t>
  </si>
  <si>
    <t xml:space="preserve">formula: ='Quarterly MW'!L41-'Quarterly MW'!K41</t>
  </si>
  <si>
    <t xml:space="preserve">formula: ='Quarterly MW'!M41-'Quarterly MW'!L41</t>
  </si>
  <si>
    <t xml:space="preserve">formula: ='Quarterly MW'!N41-'Quarterly MW'!M41</t>
  </si>
  <si>
    <t xml:space="preserve">formula: ='Quarterly MW'!O41-'Quarterly MW'!N41</t>
  </si>
  <si>
    <t xml:space="preserve">formula: ='Quarterly MW'!P41-'Quarterly MW'!O41</t>
  </si>
  <si>
    <t xml:space="preserve">formula: ='Quarterly MW'!Q41-'Quarterly MW'!P41</t>
  </si>
  <si>
    <t xml:space="preserve">formula: ='Quarterly MW'!R41-'Quarterly MW'!Q41</t>
  </si>
  <si>
    <t xml:space="preserve">formula: ='Quarterly MW'!S41-'Quarterly MW'!R41</t>
  </si>
  <si>
    <t xml:space="preserve">formula: ='Quarterly MW'!T41-'Quarterly MW'!S41</t>
  </si>
  <si>
    <t xml:space="preserve">formula: ='Quarterly MW'!U41-'Quarterly MW'!T41</t>
  </si>
  <si>
    <t xml:space="preserve">formula: ='Quarterly MW'!V41-'Quarterly MW'!U41</t>
  </si>
  <si>
    <t xml:space="preserve">formula: ='Quarterly MW'!W41-'Quarterly MW'!V41</t>
  </si>
  <si>
    <t xml:space="preserve">formula: ='Quarterly MW'!X41-'Quarterly MW'!W41</t>
  </si>
  <si>
    <t xml:space="preserve">formula: ='Quarterly MW'!Y41-'Quarterly MW'!X41</t>
  </si>
  <si>
    <t xml:space="preserve">formula: ='Quarterly MW'!Z41-'Quarterly MW'!Y41</t>
  </si>
  <si>
    <t xml:space="preserve">formula: ='Quarterly MW'!AA41-'Quarterly MW'!Z41</t>
  </si>
  <si>
    <t xml:space="preserve">formula: ='Quarterly MW'!AB41-'Quarterly MW'!AA41</t>
  </si>
  <si>
    <t xml:space="preserve">formula: ='Quarterly MW'!AC41-'Quarterly MW'!AB41</t>
  </si>
  <si>
    <t xml:space="preserve">formula: ='Quarterly MW'!AD41-'Quarterly MW'!AC41</t>
  </si>
  <si>
    <t xml:space="preserve">formula: ='Quarterly MW'!AE41-'Quarterly MW'!AD41</t>
  </si>
  <si>
    <t xml:space="preserve">formula: ='Quarterly MW'!AF41-'Quarterly MW'!AE41</t>
  </si>
  <si>
    <t xml:space="preserve">formula: =IF('Quarterly MW'!E46&gt;10,"H200+B200",IF('Quarterly MW'!E46&gt;0,"H200",""))</t>
  </si>
  <si>
    <t xml:space="preserve">formula: =IF('Quarterly MW'!F46&gt;10,"H200+B200",IF('Quarterly MW'!F46&gt;0,"H200",""))</t>
  </si>
  <si>
    <t xml:space="preserve">formula: =IF('Quarterly MW'!G46&gt;10,"H200+B200",IF('Quarterly MW'!G46&gt;0,"H200",""))</t>
  </si>
  <si>
    <t xml:space="preserve">formula: =IF('Quarterly MW'!H46&gt;10,"H200+B200",IF('Quarterly MW'!H46&gt;0,"H200",""))</t>
  </si>
  <si>
    <t xml:space="preserve">formula: =IF('Quarterly MW'!I46&gt;10,"H200+B200",IF('Quarterly MW'!I46&gt;0,"H200",""))</t>
  </si>
  <si>
    <t xml:space="preserve">formula: =IF('Quarterly MW'!J46&gt;10,"H200+B200",IF('Quarterly MW'!J46&gt;0,"H200",""))</t>
  </si>
  <si>
    <t xml:space="preserve">formula: =IF('Quarterly MW'!K46&gt;10,"H200+B200",IF('Quarterly MW'!K46&gt;0,"H200",""))</t>
  </si>
  <si>
    <t xml:space="preserve">formula: =IF('Quarterly MW'!L46&gt;10,"H200+B200",IF('Quarterly MW'!L46&gt;0,"H200",""))</t>
  </si>
  <si>
    <t xml:space="preserve">formula: =IF('Quarterly MW'!M46&gt;10,"H200+B200",IF('Quarterly MW'!M46&gt;0,"H200",""))</t>
  </si>
  <si>
    <t xml:space="preserve">formula: =IF('Quarterly MW'!N46&gt;10,"H200+B200",IF('Quarterly MW'!N46&gt;0,"H200",""))</t>
  </si>
  <si>
    <t xml:space="preserve">formula: =IF('Quarterly MW'!O46&gt;10,"H200+B200",IF('Quarterly MW'!O46&gt;0,"H200",""))</t>
  </si>
  <si>
    <t xml:space="preserve">formula: =IF('Quarterly MW'!P46&gt;10,"H200+B200",IF('Quarterly MW'!P46&gt;0,"H200",""))</t>
  </si>
  <si>
    <t xml:space="preserve">formula: =IF('Quarterly MW'!Q46&gt;10,"H200+B200",IF('Quarterly MW'!Q46&gt;0,"H200",""))</t>
  </si>
  <si>
    <t xml:space="preserve">formula: =IF('Quarterly MW'!R46&gt;10,"H200+B200",IF('Quarterly MW'!R46&gt;0,"H200",""))</t>
  </si>
  <si>
    <t xml:space="preserve">formula: =IF('Quarterly MW'!S46&gt;10,"H200+B200",IF('Quarterly MW'!S46&gt;0,"H200",""))</t>
  </si>
  <si>
    <t xml:space="preserve">formula: =IF('Quarterly MW'!T46&gt;10,"H200+B200",IF('Quarterly MW'!T46&gt;0,"H200",""))</t>
  </si>
  <si>
    <t xml:space="preserve">formula: =IF('Quarterly MW'!U46&gt;10,"H200+B200",IF('Quarterly MW'!U46&gt;0,"H200",""))</t>
  </si>
  <si>
    <t xml:space="preserve">formula: =IF('Quarterly MW'!V46&gt;10,"H200+B200",IF('Quarterly MW'!V46&gt;0,"H200",""))</t>
  </si>
  <si>
    <t xml:space="preserve">formula: =IF('Quarterly MW'!W46&gt;10,"H200+B200",IF('Quarterly MW'!W46&gt;0,"H200",""))</t>
  </si>
  <si>
    <t xml:space="preserve">formula: =IF('Quarterly MW'!X46&gt;10,"H200+B200",IF('Quarterly MW'!X46&gt;0,"H200",""))</t>
  </si>
  <si>
    <t xml:space="preserve">formula: =IF('Quarterly MW'!Y46&gt;10,"H200+B200",IF('Quarterly MW'!Y46&gt;0,"H200",""))</t>
  </si>
  <si>
    <t xml:space="preserve">formula: =IF('Quarterly MW'!Z46&gt;10,"H200+B200",IF('Quarterly MW'!Z46&gt;0,"H200",""))</t>
  </si>
  <si>
    <t xml:space="preserve">formula: =IF('Quarterly MW'!AA46&gt;10,"H200+B200",IF('Quarterly MW'!AA46&gt;0,"H200",""))</t>
  </si>
  <si>
    <t xml:space="preserve">formula: =IF('Quarterly MW'!AB46&gt;10,"H200+B200",IF('Quarterly MW'!AB46&gt;0,"H200",""))</t>
  </si>
  <si>
    <t xml:space="preserve">formula: =IF('Quarterly MW'!AC46&gt;10,"H200+B200",IF('Quarterly MW'!AC46&gt;0,"H200",""))</t>
  </si>
  <si>
    <t xml:space="preserve">formula: =IF('Quarterly MW'!AD46&gt;10,"H200+B200",IF('Quarterly MW'!AD46&gt;0,"H200",""))</t>
  </si>
  <si>
    <t xml:space="preserve">formula: =IF('Quarterly MW'!AE46&gt;10,"H200+B200",IF('Quarterly MW'!AE46&gt;0,"H200",""))</t>
  </si>
  <si>
    <t xml:space="preserve">formula: =IF('Quarterly MW'!AF46&gt;10,"H200+B200",IF('Quarterly MW'!AF46&gt;0,"H200",""))</t>
  </si>
  <si>
    <t xml:space="preserve">formula: ='Quarterly MW'!E46-0</t>
  </si>
  <si>
    <t xml:space="preserve">formula: ='Quarterly MW'!F46-'Quarterly MW'!E46</t>
  </si>
  <si>
    <t xml:space="preserve">formula: ='Quarterly MW'!G46-'Quarterly MW'!F46</t>
  </si>
  <si>
    <t xml:space="preserve">formula: ='Quarterly MW'!H46-'Quarterly MW'!G46</t>
  </si>
  <si>
    <t xml:space="preserve">formula: ='Quarterly MW'!I46-'Quarterly MW'!H46</t>
  </si>
  <si>
    <t xml:space="preserve">formula: ='Quarterly MW'!J46-'Quarterly MW'!I46</t>
  </si>
  <si>
    <t xml:space="preserve">formula: ='Quarterly MW'!K46-'Quarterly MW'!J46</t>
  </si>
  <si>
    <t xml:space="preserve">formula: ='Quarterly MW'!L46-'Quarterly MW'!K46</t>
  </si>
  <si>
    <t xml:space="preserve">formula: ='Quarterly MW'!M46-'Quarterly MW'!L46</t>
  </si>
  <si>
    <t xml:space="preserve">formula: ='Quarterly MW'!N46-'Quarterly MW'!M46</t>
  </si>
  <si>
    <t xml:space="preserve">formula: ='Quarterly MW'!O46-'Quarterly MW'!N46</t>
  </si>
  <si>
    <t xml:space="preserve">formula: ='Quarterly MW'!P46-'Quarterly MW'!O46</t>
  </si>
  <si>
    <t xml:space="preserve">formula: ='Quarterly MW'!Q46-'Quarterly MW'!P46</t>
  </si>
  <si>
    <t xml:space="preserve">formula: ='Quarterly MW'!R46-'Quarterly MW'!Q46</t>
  </si>
  <si>
    <t xml:space="preserve">formula: ='Quarterly MW'!S46-'Quarterly MW'!R46</t>
  </si>
  <si>
    <t xml:space="preserve">formula: ='Quarterly MW'!T46-'Quarterly MW'!S46</t>
  </si>
  <si>
    <t xml:space="preserve">formula: ='Quarterly MW'!U46-'Quarterly MW'!T46</t>
  </si>
  <si>
    <t xml:space="preserve">formula: ='Quarterly MW'!V46-'Quarterly MW'!U46</t>
  </si>
  <si>
    <t xml:space="preserve">formula: ='Quarterly MW'!W46-'Quarterly MW'!V46</t>
  </si>
  <si>
    <t xml:space="preserve">formula: ='Quarterly MW'!X46-'Quarterly MW'!W46</t>
  </si>
  <si>
    <t xml:space="preserve">formula: ='Quarterly MW'!Y46-'Quarterly MW'!X46</t>
  </si>
  <si>
    <t xml:space="preserve">formula: ='Quarterly MW'!Z46-'Quarterly MW'!Y46</t>
  </si>
  <si>
    <t xml:space="preserve">formula: ='Quarterly MW'!AA46-'Quarterly MW'!Z46</t>
  </si>
  <si>
    <t xml:space="preserve">formula: ='Quarterly MW'!AB46-'Quarterly MW'!AA46</t>
  </si>
  <si>
    <t xml:space="preserve">formula: ='Quarterly MW'!AC46-'Quarterly MW'!AB46</t>
  </si>
  <si>
    <t xml:space="preserve">formula: ='Quarterly MW'!AD46-'Quarterly MW'!AC46</t>
  </si>
  <si>
    <t xml:space="preserve">formula: ='Quarterly MW'!AE46-'Quarterly MW'!AD46</t>
  </si>
  <si>
    <t xml:space="preserve">formula: ='Quarterly MW'!AF46-'Quarterly MW'!AE46</t>
  </si>
  <si>
    <t xml:space="preserve">formula: =IF('Quarterly MW'!E51&gt;0,"Hopper H100/H200","")</t>
  </si>
  <si>
    <t xml:space="preserve">formula: =IF('Quarterly MW'!F51&gt;0,"Hopper H100/H200","")</t>
  </si>
  <si>
    <t xml:space="preserve">formula: =IF('Quarterly MW'!G51&gt;0,"Hopper H100/H200","")</t>
  </si>
  <si>
    <t xml:space="preserve">formula: =IF('Quarterly MW'!H51&gt;0,"Hopper H100/H200","")</t>
  </si>
  <si>
    <t xml:space="preserve">formula: =IF('Quarterly MW'!I51&gt;0,"Hopper H100/H200","")</t>
  </si>
  <si>
    <t xml:space="preserve">formula: =IF('Quarterly MW'!J51&gt;0,"Hopper H100/H200","")</t>
  </si>
  <si>
    <t xml:space="preserve">formula: =IF('Quarterly MW'!K51&gt;0,"Hopper H100/H200","")</t>
  </si>
  <si>
    <t xml:space="preserve">formula: =IF('Quarterly MW'!L51&gt;0,"Hopper H100/H200","")</t>
  </si>
  <si>
    <t xml:space="preserve">formula: =IF('Quarterly MW'!M51&gt;0,"Hopper H100/H200","")</t>
  </si>
  <si>
    <t xml:space="preserve">formula: =IF('Quarterly MW'!N51&gt;0,"Hopper H100/H200","")</t>
  </si>
  <si>
    <t xml:space="preserve">formula: =IF('Quarterly MW'!O51&gt;0,"Hopper H100/H200","")</t>
  </si>
  <si>
    <t xml:space="preserve">formula: =IF('Quarterly MW'!P51&gt;0,"Hopper H100/H200","")</t>
  </si>
  <si>
    <t xml:space="preserve">formula: =IF('Quarterly MW'!Q51&gt;0,"Hopper H100/H200","")</t>
  </si>
  <si>
    <t xml:space="preserve">formula: =IF('Quarterly MW'!R51&gt;0,"Hopper H100/H200","")</t>
  </si>
  <si>
    <t xml:space="preserve">formula: =IF('Quarterly MW'!S51&gt;0,"Hopper H100/H200","")</t>
  </si>
  <si>
    <t xml:space="preserve">formula: =IF('Quarterly MW'!T51&gt;0,"Hopper H100/H200","")</t>
  </si>
  <si>
    <t xml:space="preserve">formula: =IF('Quarterly MW'!U51&gt;0,"Hopper H100/H200","")</t>
  </si>
  <si>
    <t xml:space="preserve">formula: =IF('Quarterly MW'!V51&gt;0,"Hopper H100/H200","")</t>
  </si>
  <si>
    <t xml:space="preserve">formula: =IF('Quarterly MW'!W51&gt;0,"Hopper H100/H200","")</t>
  </si>
  <si>
    <t xml:space="preserve">formula: =IF('Quarterly MW'!X51&gt;0,"Hopper H100/H200","")</t>
  </si>
  <si>
    <t xml:space="preserve">formula: =IF('Quarterly MW'!Y51&gt;0,"Hopper H100/H200","")</t>
  </si>
  <si>
    <t xml:space="preserve">formula: =IF('Quarterly MW'!Z51&gt;0,"Hopper H100/H200","")</t>
  </si>
  <si>
    <t xml:space="preserve">formula: =IF('Quarterly MW'!AA51&gt;0,"Hopper H100/H200","")</t>
  </si>
  <si>
    <t xml:space="preserve">formula: =IF('Quarterly MW'!AB51&gt;0,"Hopper H100/H200","")</t>
  </si>
  <si>
    <t xml:space="preserve">formula: =IF('Quarterly MW'!AC51&gt;0,"Hopper H100/H200","")</t>
  </si>
  <si>
    <t xml:space="preserve">formula: =IF('Quarterly MW'!AD51&gt;0,"Hopper H100/H200","")</t>
  </si>
  <si>
    <t xml:space="preserve">formula: =IF('Quarterly MW'!AE51&gt;0,"Hopper H100/H200","")</t>
  </si>
  <si>
    <t xml:space="preserve">formula: =IF('Quarterly MW'!AF51&gt;0,"Hopper H100/H200","")</t>
  </si>
  <si>
    <t xml:space="preserve">formula: ='Quarterly MW'!E51-0</t>
  </si>
  <si>
    <t xml:space="preserve">formula: ='Quarterly MW'!F51-'Quarterly MW'!E51</t>
  </si>
  <si>
    <t xml:space="preserve">formula: ='Quarterly MW'!G51-'Quarterly MW'!F51</t>
  </si>
  <si>
    <t xml:space="preserve">formula: ='Quarterly MW'!H51-'Quarterly MW'!G51</t>
  </si>
  <si>
    <t xml:space="preserve">formula: ='Quarterly MW'!I51-'Quarterly MW'!H51</t>
  </si>
  <si>
    <t xml:space="preserve">formula: ='Quarterly MW'!J51-'Quarterly MW'!I51</t>
  </si>
  <si>
    <t xml:space="preserve">formula: ='Quarterly MW'!K51-'Quarterly MW'!J51</t>
  </si>
  <si>
    <t xml:space="preserve">formula: ='Quarterly MW'!L51-'Quarterly MW'!K51</t>
  </si>
  <si>
    <t xml:space="preserve">formula: ='Quarterly MW'!M51-'Quarterly MW'!L51</t>
  </si>
  <si>
    <t xml:space="preserve">formula: ='Quarterly MW'!N51-'Quarterly MW'!M51</t>
  </si>
  <si>
    <t xml:space="preserve">formula: ='Quarterly MW'!O51-'Quarterly MW'!N51</t>
  </si>
  <si>
    <t xml:space="preserve">formula: ='Quarterly MW'!P51-'Quarterly MW'!O51</t>
  </si>
  <si>
    <t xml:space="preserve">formula: ='Quarterly MW'!Q51-'Quarterly MW'!P51</t>
  </si>
  <si>
    <t xml:space="preserve">formula: ='Quarterly MW'!R51-'Quarterly MW'!Q51</t>
  </si>
  <si>
    <t xml:space="preserve">formula: ='Quarterly MW'!S51-'Quarterly MW'!R51</t>
  </si>
  <si>
    <t xml:space="preserve">formula: ='Quarterly MW'!T51-'Quarterly MW'!S51</t>
  </si>
  <si>
    <t xml:space="preserve">formula: ='Quarterly MW'!U51-'Quarterly MW'!T51</t>
  </si>
  <si>
    <t xml:space="preserve">formula: ='Quarterly MW'!V51-'Quarterly MW'!U51</t>
  </si>
  <si>
    <t xml:space="preserve">formula: ='Quarterly MW'!W51-'Quarterly MW'!V51</t>
  </si>
  <si>
    <t xml:space="preserve">formula: ='Quarterly MW'!X51-'Quarterly MW'!W51</t>
  </si>
  <si>
    <t xml:space="preserve">formula: ='Quarterly MW'!Y51-'Quarterly MW'!X51</t>
  </si>
  <si>
    <t xml:space="preserve">formula: ='Quarterly MW'!Z51-'Quarterly MW'!Y51</t>
  </si>
  <si>
    <t xml:space="preserve">formula: ='Quarterly MW'!AA51-'Quarterly MW'!Z51</t>
  </si>
  <si>
    <t xml:space="preserve">formula: ='Quarterly MW'!AB51-'Quarterly MW'!AA51</t>
  </si>
  <si>
    <t xml:space="preserve">formula: ='Quarterly MW'!AC51-'Quarterly MW'!AB51</t>
  </si>
  <si>
    <t xml:space="preserve">formula: ='Quarterly MW'!AD51-'Quarterly MW'!AC51</t>
  </si>
  <si>
    <t xml:space="preserve">formula: ='Quarterly MW'!AE51-'Quarterly MW'!AD51</t>
  </si>
  <si>
    <t xml:space="preserve">formula: ='Quarterly MW'!AF51-'Quarterly MW'!AE51</t>
  </si>
  <si>
    <t xml:space="preserve">formula: =IF('Quarterly MW'!E56&gt;0,"Hopper H100/H200","")</t>
  </si>
  <si>
    <t xml:space="preserve">formula: =IF('Quarterly MW'!F56&gt;0,"Hopper H100/H200","")</t>
  </si>
  <si>
    <t xml:space="preserve">formula: =IF('Quarterly MW'!G56&gt;0,"Hopper H100/H200","")</t>
  </si>
  <si>
    <t xml:space="preserve">formula: =IF('Quarterly MW'!H56&gt;0,"Hopper H100/H200","")</t>
  </si>
  <si>
    <t xml:space="preserve">formula: =IF('Quarterly MW'!I56&gt;0,"Hopper H100/H200","")</t>
  </si>
  <si>
    <t xml:space="preserve">formula: =IF('Quarterly MW'!J56&gt;0,"Hopper H100/H200","")</t>
  </si>
  <si>
    <t xml:space="preserve">formula: =IF('Quarterly MW'!K56&gt;0,"Hopper H100/H200","")</t>
  </si>
  <si>
    <t xml:space="preserve">formula: =IF('Quarterly MW'!L56&gt;0,"Hopper H100/H200","")</t>
  </si>
  <si>
    <t xml:space="preserve">formula: =IF('Quarterly MW'!M56&gt;0,"Hopper H100/H200","")</t>
  </si>
  <si>
    <t xml:space="preserve">formula: =IF('Quarterly MW'!N56&gt;0,"Hopper H100/H200","")</t>
  </si>
  <si>
    <t xml:space="preserve">formula: =IF('Quarterly MW'!O56&gt;0,"Hopper H100/H200","")</t>
  </si>
  <si>
    <t xml:space="preserve">formula: =IF('Quarterly MW'!P56&gt;0,"Hopper H100/H200","")</t>
  </si>
  <si>
    <t xml:space="preserve">formula: =IF('Quarterly MW'!Q56&gt;0,"Hopper H100/H200","")</t>
  </si>
  <si>
    <t xml:space="preserve">formula: =IF('Quarterly MW'!R56&gt;0,"Hopper H100/H200","")</t>
  </si>
  <si>
    <t xml:space="preserve">formula: =IF('Quarterly MW'!S56&gt;0,"Hopper H100/H200","")</t>
  </si>
  <si>
    <t xml:space="preserve">formula: =IF('Quarterly MW'!T56&gt;0,"Hopper H100/H200","")</t>
  </si>
  <si>
    <t xml:space="preserve">formula: =IF('Quarterly MW'!U56&gt;0,"Hopper H100/H200","")</t>
  </si>
  <si>
    <t xml:space="preserve">formula: =IF('Quarterly MW'!V56&gt;0,"Hopper H100/H200","")</t>
  </si>
  <si>
    <t xml:space="preserve">formula: =IF('Quarterly MW'!W56&gt;0,"Hopper H100/H200","")</t>
  </si>
  <si>
    <t xml:space="preserve">formula: =IF('Quarterly MW'!X56&gt;0,"Hopper H100/H200","")</t>
  </si>
  <si>
    <t xml:space="preserve">formula: =IF('Quarterly MW'!Y56&gt;0,"Hopper H100/H200","")</t>
  </si>
  <si>
    <t xml:space="preserve">formula: =IF('Quarterly MW'!Z56&gt;0,"Hopper H100/H200","")</t>
  </si>
  <si>
    <t xml:space="preserve">formula: =IF('Quarterly MW'!AA56&gt;0,"Hopper H100/H200","")</t>
  </si>
  <si>
    <t xml:space="preserve">formula: =IF('Quarterly MW'!AB56&gt;0,"Hopper H100/H200","")</t>
  </si>
  <si>
    <t xml:space="preserve">formula: =IF('Quarterly MW'!AC56&gt;0,"Hopper H100/H200","")</t>
  </si>
  <si>
    <t xml:space="preserve">formula: =IF('Quarterly MW'!AD56&gt;0,"Hopper H100/H200","")</t>
  </si>
  <si>
    <t xml:space="preserve">formula: =IF('Quarterly MW'!AE56&gt;0,"Hopper H100/H200","")</t>
  </si>
  <si>
    <t xml:space="preserve">formula: =IF('Quarterly MW'!AF56&gt;0,"Hopper H100/H200","")</t>
  </si>
  <si>
    <t xml:space="preserve">formula: ='Quarterly MW'!E56-0</t>
  </si>
  <si>
    <t xml:space="preserve">formula: ='Quarterly MW'!F56-'Quarterly MW'!E56</t>
  </si>
  <si>
    <t xml:space="preserve">formula: ='Quarterly MW'!G56-'Quarterly MW'!F56</t>
  </si>
  <si>
    <t xml:space="preserve">formula: ='Quarterly MW'!H56-'Quarterly MW'!G56</t>
  </si>
  <si>
    <t xml:space="preserve">formula: ='Quarterly MW'!I56-'Quarterly MW'!H56</t>
  </si>
  <si>
    <t xml:space="preserve">formula: ='Quarterly MW'!J56-'Quarterly MW'!I56</t>
  </si>
  <si>
    <t xml:space="preserve">formula: ='Quarterly MW'!K56-'Quarterly MW'!J56</t>
  </si>
  <si>
    <t xml:space="preserve">formula: ='Quarterly MW'!L56-'Quarterly MW'!K56</t>
  </si>
  <si>
    <t xml:space="preserve">formula: ='Quarterly MW'!M56-'Quarterly MW'!L56</t>
  </si>
  <si>
    <t xml:space="preserve">formula: ='Quarterly MW'!N56-'Quarterly MW'!M56</t>
  </si>
  <si>
    <t xml:space="preserve">formula: ='Quarterly MW'!O56-'Quarterly MW'!N56</t>
  </si>
  <si>
    <t xml:space="preserve">formula: ='Quarterly MW'!P56-'Quarterly MW'!O56</t>
  </si>
  <si>
    <t xml:space="preserve">formula: ='Quarterly MW'!Q56-'Quarterly MW'!P56</t>
  </si>
  <si>
    <t xml:space="preserve">formula: ='Quarterly MW'!R56-'Quarterly MW'!Q56</t>
  </si>
  <si>
    <t xml:space="preserve">formula: ='Quarterly MW'!S56-'Quarterly MW'!R56</t>
  </si>
  <si>
    <t xml:space="preserve">formula: ='Quarterly MW'!T56-'Quarterly MW'!S56</t>
  </si>
  <si>
    <t xml:space="preserve">formula: ='Quarterly MW'!U56-'Quarterly MW'!T56</t>
  </si>
  <si>
    <t xml:space="preserve">formula: ='Quarterly MW'!V56-'Quarterly MW'!U56</t>
  </si>
  <si>
    <t xml:space="preserve">formula: ='Quarterly MW'!W56-'Quarterly MW'!V56</t>
  </si>
  <si>
    <t xml:space="preserve">formula: ='Quarterly MW'!X56-'Quarterly MW'!W56</t>
  </si>
  <si>
    <t xml:space="preserve">formula: ='Quarterly MW'!Y56-'Quarterly MW'!X56</t>
  </si>
  <si>
    <t xml:space="preserve">formula: ='Quarterly MW'!Z56-'Quarterly MW'!Y56</t>
  </si>
  <si>
    <t xml:space="preserve">formula: ='Quarterly MW'!AA56-'Quarterly MW'!Z56</t>
  </si>
  <si>
    <t xml:space="preserve">formula: ='Quarterly MW'!AB56-'Quarterly MW'!AA56</t>
  </si>
  <si>
    <t xml:space="preserve">formula: ='Quarterly MW'!AC56-'Quarterly MW'!AB56</t>
  </si>
  <si>
    <t xml:space="preserve">formula: ='Quarterly MW'!AD56-'Quarterly MW'!AC56</t>
  </si>
  <si>
    <t xml:space="preserve">formula: ='Quarterly MW'!AE56-'Quarterly MW'!AD56</t>
  </si>
  <si>
    <t xml:space="preserve">formula: ='Quarterly MW'!AF56-'Quarterly MW'!AE56</t>
  </si>
  <si>
    <t xml:space="preserve">formula: =IF('Quarterly MW'!E61&gt;0,"B300 (HGX)","")</t>
  </si>
  <si>
    <t xml:space="preserve">formula: =IF('Quarterly MW'!F61&gt;0,"B300 (HGX)","")</t>
  </si>
  <si>
    <t xml:space="preserve">formula: =IF('Quarterly MW'!G61&gt;0,"B300 (HGX)","")</t>
  </si>
  <si>
    <t xml:space="preserve">formula: =IF('Quarterly MW'!H61&gt;0,"B300 (HGX)","")</t>
  </si>
  <si>
    <t xml:space="preserve">formula: =IF('Quarterly MW'!I61&gt;0,"B300 (HGX)","")</t>
  </si>
  <si>
    <t xml:space="preserve">formula: =IF('Quarterly MW'!J61&gt;0,"B300 (HGX)","")</t>
  </si>
  <si>
    <t xml:space="preserve">formula: =IF('Quarterly MW'!K61&gt;0,"B300 (HGX)","")</t>
  </si>
  <si>
    <t xml:space="preserve">formula: =IF('Quarterly MW'!L61&gt;0,"B300 (HGX)","")</t>
  </si>
  <si>
    <t xml:space="preserve">formula: =IF('Quarterly MW'!M61&gt;0,"B300 (HGX)","")</t>
  </si>
  <si>
    <t xml:space="preserve">formula: =IF('Quarterly MW'!N61&gt;0,"B300 (HGX)","")</t>
  </si>
  <si>
    <t xml:space="preserve">formula: =IF('Quarterly MW'!O61&gt;0,"B300 (HGX)","")</t>
  </si>
  <si>
    <t xml:space="preserve">formula: =IF('Quarterly MW'!P61&gt;0,"B300 (HGX)","")</t>
  </si>
  <si>
    <t xml:space="preserve">formula: =IF('Quarterly MW'!Q61&gt;0,"B300 (HGX)","")</t>
  </si>
  <si>
    <t xml:space="preserve">formula: =IF('Quarterly MW'!R61&gt;0,"B300 (HGX)","")</t>
  </si>
  <si>
    <t xml:space="preserve">formula: =IF('Quarterly MW'!S61&gt;0,"B300 (HGX)","")</t>
  </si>
  <si>
    <t xml:space="preserve">formula: =IF('Quarterly MW'!T61&gt;0,"B300 (HGX)","")</t>
  </si>
  <si>
    <t xml:space="preserve">formula: =IF('Quarterly MW'!U61&gt;0,"B300 (HGX)","")</t>
  </si>
  <si>
    <t xml:space="preserve">formula: =IF('Quarterly MW'!V61&gt;0,"B300 (HGX)","")</t>
  </si>
  <si>
    <t xml:space="preserve">formula: =IF('Quarterly MW'!W61&gt;0,"B300 (HGX)","")</t>
  </si>
  <si>
    <t xml:space="preserve">formula: =IF('Quarterly MW'!X61&gt;0,"B300 (HGX)","")</t>
  </si>
  <si>
    <t xml:space="preserve">formula: =IF('Quarterly MW'!Y61&gt;0,"B300 (HGX)","")</t>
  </si>
  <si>
    <t xml:space="preserve">formula: =IF('Quarterly MW'!Z61&gt;0,"B300 (HGX)","")</t>
  </si>
  <si>
    <t xml:space="preserve">formula: =IF('Quarterly MW'!AA61&gt;0,"B300 (HGX)","")</t>
  </si>
  <si>
    <t xml:space="preserve">formula: =IF('Quarterly MW'!AB61&gt;0,"B300 (HGX)","")</t>
  </si>
  <si>
    <t xml:space="preserve">formula: =IF('Quarterly MW'!AC61&gt;0,"B300 (HGX)","")</t>
  </si>
  <si>
    <t xml:space="preserve">formula: =IF('Quarterly MW'!AD61&gt;0,"B300 (HGX)","")</t>
  </si>
  <si>
    <t xml:space="preserve">formula: =IF('Quarterly MW'!AE61&gt;0,"B300 (HGX)","")</t>
  </si>
  <si>
    <t xml:space="preserve">formula: =IF('Quarterly MW'!AF61&gt;0,"B300 (HGX)","")</t>
  </si>
  <si>
    <t xml:space="preserve">formula: ='Quarterly MW'!E61-0</t>
  </si>
  <si>
    <t xml:space="preserve">formula: ='Quarterly MW'!F61-'Quarterly MW'!E61</t>
  </si>
  <si>
    <t xml:space="preserve">formula: ='Quarterly MW'!G61-'Quarterly MW'!F61</t>
  </si>
  <si>
    <t xml:space="preserve">formula: ='Quarterly MW'!H61-'Quarterly MW'!G61</t>
  </si>
  <si>
    <t xml:space="preserve">formula: ='Quarterly MW'!I61-'Quarterly MW'!H61</t>
  </si>
  <si>
    <t xml:space="preserve">formula: ='Quarterly MW'!J61-'Quarterly MW'!I61</t>
  </si>
  <si>
    <t xml:space="preserve">formula: ='Quarterly MW'!K61-'Quarterly MW'!J61</t>
  </si>
  <si>
    <t xml:space="preserve">formula: ='Quarterly MW'!L61-'Quarterly MW'!K61</t>
  </si>
  <si>
    <t xml:space="preserve">formula: ='Quarterly MW'!M61-'Quarterly MW'!L61</t>
  </si>
  <si>
    <t xml:space="preserve">formula: ='Quarterly MW'!N61-'Quarterly MW'!M61</t>
  </si>
  <si>
    <t xml:space="preserve">formula: ='Quarterly MW'!O61-'Quarterly MW'!N61</t>
  </si>
  <si>
    <t xml:space="preserve">formula: ='Quarterly MW'!P61-'Quarterly MW'!O61</t>
  </si>
  <si>
    <t xml:space="preserve">formula: ='Quarterly MW'!Q61-'Quarterly MW'!P61</t>
  </si>
  <si>
    <t xml:space="preserve">formula: ='Quarterly MW'!R61-'Quarterly MW'!Q61</t>
  </si>
  <si>
    <t xml:space="preserve">formula: ='Quarterly MW'!S61-'Quarterly MW'!R61</t>
  </si>
  <si>
    <t xml:space="preserve">formula: ='Quarterly MW'!T61-'Quarterly MW'!S61</t>
  </si>
  <si>
    <t xml:space="preserve">formula: ='Quarterly MW'!U61-'Quarterly MW'!T61</t>
  </si>
  <si>
    <t xml:space="preserve">formula: ='Quarterly MW'!V61-'Quarterly MW'!U61</t>
  </si>
  <si>
    <t xml:space="preserve">formula: ='Quarterly MW'!W61-'Quarterly MW'!V61</t>
  </si>
  <si>
    <t xml:space="preserve">formula: ='Quarterly MW'!X61-'Quarterly MW'!W61</t>
  </si>
  <si>
    <t xml:space="preserve">formula: ='Quarterly MW'!Y61-'Quarterly MW'!X61</t>
  </si>
  <si>
    <t xml:space="preserve">formula: ='Quarterly MW'!Z61-'Quarterly MW'!Y61</t>
  </si>
  <si>
    <t xml:space="preserve">formula: ='Quarterly MW'!AA61-'Quarterly MW'!Z61</t>
  </si>
  <si>
    <t xml:space="preserve">formula: ='Quarterly MW'!AB61-'Quarterly MW'!AA61</t>
  </si>
  <si>
    <t xml:space="preserve">formula: ='Quarterly MW'!AC61-'Quarterly MW'!AB61</t>
  </si>
  <si>
    <t xml:space="preserve">formula: ='Quarterly MW'!AD61-'Quarterly MW'!AC61</t>
  </si>
  <si>
    <t xml:space="preserve">formula: ='Quarterly MW'!AE61-'Quarterly MW'!AD61</t>
  </si>
  <si>
    <t xml:space="preserve">formula: ='Quarterly MW'!AF61-'Quarterly MW'!AE61</t>
  </si>
  <si>
    <t xml:space="preserve">formula: =IF('Quarterly MW'!E66&gt;0,"B300 (HGX)","")</t>
  </si>
  <si>
    <t xml:space="preserve">formula: =IF('Quarterly MW'!F66&gt;0,"B300 (HGX)","")</t>
  </si>
  <si>
    <t xml:space="preserve">formula: =IF('Quarterly MW'!G66&gt;0,"B300 (HGX)","")</t>
  </si>
  <si>
    <t xml:space="preserve">formula: =IF('Quarterly MW'!H66&gt;0,"B300 (HGX)","")</t>
  </si>
  <si>
    <t xml:space="preserve">formula: =IF('Quarterly MW'!I66&gt;0,"B300 (HGX)","")</t>
  </si>
  <si>
    <t xml:space="preserve">formula: =IF('Quarterly MW'!J66&gt;0,"B300 (HGX)","")</t>
  </si>
  <si>
    <t xml:space="preserve">formula: =IF('Quarterly MW'!K66&gt;0,"B300 (HGX)","")</t>
  </si>
  <si>
    <t xml:space="preserve">formula: =IF('Quarterly MW'!L66&gt;0,"B300 (HGX)","")</t>
  </si>
  <si>
    <t xml:space="preserve">formula: =IF('Quarterly MW'!M66&gt;0,"B300 (HGX)","")</t>
  </si>
  <si>
    <t xml:space="preserve">formula: =IF('Quarterly MW'!N66&gt;0,"B300 (HGX)","")</t>
  </si>
  <si>
    <t xml:space="preserve">formula: =IF('Quarterly MW'!O66&gt;0,"B300 (HGX)","")</t>
  </si>
  <si>
    <t xml:space="preserve">formula: =IF('Quarterly MW'!P66&gt;0,"B300 (HGX)","")</t>
  </si>
  <si>
    <t xml:space="preserve">formula: =IF('Quarterly MW'!Q66&gt;0,"B300 (HGX)","")</t>
  </si>
  <si>
    <t xml:space="preserve">formula: =IF('Quarterly MW'!R66&gt;0,"B300 (HGX)","")</t>
  </si>
  <si>
    <t xml:space="preserve">formula: =IF('Quarterly MW'!S66&gt;0,"B300 (HGX)","")</t>
  </si>
  <si>
    <t xml:space="preserve">formula: =IF('Quarterly MW'!T66&gt;0,"B300 (HGX)","")</t>
  </si>
  <si>
    <t xml:space="preserve">formula: =IF('Quarterly MW'!U66&gt;0,"B300 (HGX)","")</t>
  </si>
  <si>
    <t xml:space="preserve">formula: =IF('Quarterly MW'!V66&gt;0,"B300 (HGX)","")</t>
  </si>
  <si>
    <t xml:space="preserve">formula: =IF('Quarterly MW'!W66&gt;0,"B300 (HGX)","")</t>
  </si>
  <si>
    <t xml:space="preserve">formula: =IF('Quarterly MW'!X66&gt;0,"B300 (HGX)","")</t>
  </si>
  <si>
    <t xml:space="preserve">formula: =IF('Quarterly MW'!Y66&gt;0,"B300 (HGX)","")</t>
  </si>
  <si>
    <t xml:space="preserve">formula: =IF('Quarterly MW'!Z66&gt;0,"B300 (HGX)","")</t>
  </si>
  <si>
    <t xml:space="preserve">formula: =IF('Quarterly MW'!AA66&gt;0,"B300 (HGX)","")</t>
  </si>
  <si>
    <t xml:space="preserve">formula: =IF('Quarterly MW'!AB66&gt;0,"B300 (HGX)","")</t>
  </si>
  <si>
    <t xml:space="preserve">formula: =IF('Quarterly MW'!AC66&gt;0,"B300 (HGX)","")</t>
  </si>
  <si>
    <t xml:space="preserve">formula: =IF('Quarterly MW'!AD66&gt;0,"B300 (HGX)","")</t>
  </si>
  <si>
    <t xml:space="preserve">formula: =IF('Quarterly MW'!AE66&gt;0,"B300 (HGX)","")</t>
  </si>
  <si>
    <t xml:space="preserve">formula: =IF('Quarterly MW'!AF66&gt;0,"B300 (HGX)","")</t>
  </si>
  <si>
    <t xml:space="preserve">formula: ='Quarterly MW'!E66-0</t>
  </si>
  <si>
    <t xml:space="preserve">formula: ='Quarterly MW'!F66-'Quarterly MW'!E66</t>
  </si>
  <si>
    <t xml:space="preserve">formula: ='Quarterly MW'!G66-'Quarterly MW'!F66</t>
  </si>
  <si>
    <t xml:space="preserve">formula: ='Quarterly MW'!H66-'Quarterly MW'!G66</t>
  </si>
  <si>
    <t xml:space="preserve">formula: ='Quarterly MW'!I66-'Quarterly MW'!H66</t>
  </si>
  <si>
    <t xml:space="preserve">formula: ='Quarterly MW'!J66-'Quarterly MW'!I66</t>
  </si>
  <si>
    <t xml:space="preserve">formula: ='Quarterly MW'!K66-'Quarterly MW'!J66</t>
  </si>
  <si>
    <t xml:space="preserve">formula: ='Quarterly MW'!L66-'Quarterly MW'!K66</t>
  </si>
  <si>
    <t xml:space="preserve">formula: ='Quarterly MW'!M66-'Quarterly MW'!L66</t>
  </si>
  <si>
    <t xml:space="preserve">formula: ='Quarterly MW'!N66-'Quarterly MW'!M66</t>
  </si>
  <si>
    <t xml:space="preserve">formula: ='Quarterly MW'!O66-'Quarterly MW'!N66</t>
  </si>
  <si>
    <t xml:space="preserve">formula: ='Quarterly MW'!P66-'Quarterly MW'!O66</t>
  </si>
  <si>
    <t xml:space="preserve">formula: ='Quarterly MW'!Q66-'Quarterly MW'!P66</t>
  </si>
  <si>
    <t xml:space="preserve">formula: ='Quarterly MW'!R66-'Quarterly MW'!Q66</t>
  </si>
  <si>
    <t xml:space="preserve">formula: ='Quarterly MW'!S66-'Quarterly MW'!R66</t>
  </si>
  <si>
    <t xml:space="preserve">formula: ='Quarterly MW'!T66-'Quarterly MW'!S66</t>
  </si>
  <si>
    <t xml:space="preserve">formula: ='Quarterly MW'!U66-'Quarterly MW'!T66</t>
  </si>
  <si>
    <t xml:space="preserve">formula: ='Quarterly MW'!V66-'Quarterly MW'!U66</t>
  </si>
  <si>
    <t xml:space="preserve">formula: ='Quarterly MW'!W66-'Quarterly MW'!V66</t>
  </si>
  <si>
    <t xml:space="preserve">formula: ='Quarterly MW'!X66-'Quarterly MW'!W66</t>
  </si>
  <si>
    <t xml:space="preserve">formula: ='Quarterly MW'!Y66-'Quarterly MW'!X66</t>
  </si>
  <si>
    <t xml:space="preserve">formula: ='Quarterly MW'!Z66-'Quarterly MW'!Y66</t>
  </si>
  <si>
    <t xml:space="preserve">formula: ='Quarterly MW'!AA66-'Quarterly MW'!Z66</t>
  </si>
  <si>
    <t xml:space="preserve">formula: ='Quarterly MW'!AB66-'Quarterly MW'!AA66</t>
  </si>
  <si>
    <t xml:space="preserve">formula: ='Quarterly MW'!AC66-'Quarterly MW'!AB66</t>
  </si>
  <si>
    <t xml:space="preserve">formula: ='Quarterly MW'!AD66-'Quarterly MW'!AC66</t>
  </si>
  <si>
    <t xml:space="preserve">formula: ='Quarterly MW'!AE66-'Quarterly MW'!AD66</t>
  </si>
  <si>
    <t xml:space="preserve">formula: ='Quarterly MW'!AF66-'Quarterly MW'!AE66</t>
  </si>
  <si>
    <t xml:space="preserve">formula: =IF('Quarterly MW'!E71&gt;0,"GB300 NVL72","")</t>
  </si>
  <si>
    <t xml:space="preserve">formula: =IF('Quarterly MW'!F71&gt;0,"GB300 NVL72","")</t>
  </si>
  <si>
    <t xml:space="preserve">formula: =IF('Quarterly MW'!G71&gt;0,"GB300 NVL72","")</t>
  </si>
  <si>
    <t xml:space="preserve">formula: =IF('Quarterly MW'!H71&gt;0,"GB300 NVL72","")</t>
  </si>
  <si>
    <t xml:space="preserve">formula: =IF('Quarterly MW'!I71&gt;0,"GB300 NVL72","")</t>
  </si>
  <si>
    <t xml:space="preserve">formula: =IF('Quarterly MW'!J71&gt;0,"GB300 NVL72","")</t>
  </si>
  <si>
    <t xml:space="preserve">formula: =IF('Quarterly MW'!K71&gt;0,"GB300 NVL72","")</t>
  </si>
  <si>
    <t xml:space="preserve">formula: =IF('Quarterly MW'!L71&gt;0,"GB300 NVL72","")</t>
  </si>
  <si>
    <t xml:space="preserve">formula: =IF('Quarterly MW'!M71&gt;0,"GB300 NVL72","")</t>
  </si>
  <si>
    <t xml:space="preserve">formula: =IF('Quarterly MW'!N71&gt;0,"GB300 NVL72","")</t>
  </si>
  <si>
    <t xml:space="preserve">formula: =IF('Quarterly MW'!O71&gt;0,"GB300 NVL72","")</t>
  </si>
  <si>
    <t xml:space="preserve">formula: =IF('Quarterly MW'!P71&gt;0,"GB300 NVL72","")</t>
  </si>
  <si>
    <t xml:space="preserve">formula: =IF('Quarterly MW'!Q71&gt;0,"GB300 NVL72","")</t>
  </si>
  <si>
    <t xml:space="preserve">formula: =IF('Quarterly MW'!R71&gt;0,"GB300 NVL72","")</t>
  </si>
  <si>
    <t xml:space="preserve">formula: =IF('Quarterly MW'!S71&gt;0,"GB300 NVL72","")</t>
  </si>
  <si>
    <t xml:space="preserve">formula: =IF('Quarterly MW'!T71&gt;0,"GB300 NVL72","")</t>
  </si>
  <si>
    <t xml:space="preserve">formula: =IF('Quarterly MW'!U71&gt;0,"GB300 NVL72","")</t>
  </si>
  <si>
    <t xml:space="preserve">formula: =IF('Quarterly MW'!V71&gt;0,"GB300 NVL72","")</t>
  </si>
  <si>
    <t xml:space="preserve">formula: =IF('Quarterly MW'!W71&gt;0,"GB300 NVL72","")</t>
  </si>
  <si>
    <t xml:space="preserve">formula: =IF('Quarterly MW'!X71&gt;0,"GB300 NVL72","")</t>
  </si>
  <si>
    <t xml:space="preserve">formula: =IF('Quarterly MW'!Y71&gt;0,"GB300 NVL72","")</t>
  </si>
  <si>
    <t xml:space="preserve">formula: =IF('Quarterly MW'!Z71&gt;0,"GB300 NVL72","")</t>
  </si>
  <si>
    <t xml:space="preserve">formula: =IF('Quarterly MW'!AA71&gt;0,"GB300 NVL72","")</t>
  </si>
  <si>
    <t xml:space="preserve">formula: =IF('Quarterly MW'!AB71&gt;0,"GB300 NVL72","")</t>
  </si>
  <si>
    <t xml:space="preserve">formula: =IF('Quarterly MW'!AC71&gt;0,"GB300 NVL72","")</t>
  </si>
  <si>
    <t xml:space="preserve">formula: =IF('Quarterly MW'!AD71&gt;0,"GB300 NVL72","")</t>
  </si>
  <si>
    <t xml:space="preserve">formula: =IF('Quarterly MW'!AE71&gt;0,"GB300 NVL72","")</t>
  </si>
  <si>
    <t xml:space="preserve">formula: =IF('Quarterly MW'!AF71&gt;0,"GB300 NVL72","")</t>
  </si>
  <si>
    <t xml:space="preserve">formula: ='Quarterly MW'!E71-0</t>
  </si>
  <si>
    <t xml:space="preserve">formula: ='Quarterly MW'!F71-'Quarterly MW'!E71</t>
  </si>
  <si>
    <t xml:space="preserve">formula: ='Quarterly MW'!G71-'Quarterly MW'!F71</t>
  </si>
  <si>
    <t xml:space="preserve">formula: ='Quarterly MW'!H71-'Quarterly MW'!G71</t>
  </si>
  <si>
    <t xml:space="preserve">formula: ='Quarterly MW'!I71-'Quarterly MW'!H71</t>
  </si>
  <si>
    <t xml:space="preserve">formula: ='Quarterly MW'!J71-'Quarterly MW'!I71</t>
  </si>
  <si>
    <t xml:space="preserve">formula: ='Quarterly MW'!K71-'Quarterly MW'!J71</t>
  </si>
  <si>
    <t xml:space="preserve">formula: ='Quarterly MW'!L71-'Quarterly MW'!K71</t>
  </si>
  <si>
    <t xml:space="preserve">formula: ='Quarterly MW'!M71-'Quarterly MW'!L71</t>
  </si>
  <si>
    <t xml:space="preserve">formula: ='Quarterly MW'!N71-'Quarterly MW'!M71</t>
  </si>
  <si>
    <t xml:space="preserve">formula: ='Quarterly MW'!O71-'Quarterly MW'!N71</t>
  </si>
  <si>
    <t xml:space="preserve">formula: ='Quarterly MW'!P71-'Quarterly MW'!O71</t>
  </si>
  <si>
    <t xml:space="preserve">formula: ='Quarterly MW'!Q71-'Quarterly MW'!P71</t>
  </si>
  <si>
    <t xml:space="preserve">formula: ='Quarterly MW'!R71-'Quarterly MW'!Q71</t>
  </si>
  <si>
    <t xml:space="preserve">formula: ='Quarterly MW'!S71-'Quarterly MW'!R71</t>
  </si>
  <si>
    <t xml:space="preserve">formula: ='Quarterly MW'!T71-'Quarterly MW'!S71</t>
  </si>
  <si>
    <t xml:space="preserve">formula: ='Quarterly MW'!U71-'Quarterly MW'!T71</t>
  </si>
  <si>
    <t xml:space="preserve">formula: ='Quarterly MW'!V71-'Quarterly MW'!U71</t>
  </si>
  <si>
    <t xml:space="preserve">formula: ='Quarterly MW'!W71-'Quarterly MW'!V71</t>
  </si>
  <si>
    <t xml:space="preserve">formula: ='Quarterly MW'!X71-'Quarterly MW'!W71</t>
  </si>
  <si>
    <t xml:space="preserve">formula: ='Quarterly MW'!Y71-'Quarterly MW'!X71</t>
  </si>
  <si>
    <t xml:space="preserve">formula: ='Quarterly MW'!Z71-'Quarterly MW'!Y71</t>
  </si>
  <si>
    <t xml:space="preserve">formula: ='Quarterly MW'!AA71-'Quarterly MW'!Z71</t>
  </si>
  <si>
    <t xml:space="preserve">formula: ='Quarterly MW'!AB71-'Quarterly MW'!AA71</t>
  </si>
  <si>
    <t xml:space="preserve">formula: ='Quarterly MW'!AC71-'Quarterly MW'!AB71</t>
  </si>
  <si>
    <t xml:space="preserve">formula: ='Quarterly MW'!AD71-'Quarterly MW'!AC71</t>
  </si>
  <si>
    <t xml:space="preserve">formula: ='Quarterly MW'!AE71-'Quarterly MW'!AD71</t>
  </si>
  <si>
    <t xml:space="preserve">formula: ='Quarterly MW'!AF71-'Quarterly MW'!AE71</t>
  </si>
  <si>
    <t xml:space="preserve">formula: =IF('Quarterly MW'!E76&gt;0,"GB300 NVL72","")</t>
  </si>
  <si>
    <t xml:space="preserve">formula: =IF('Quarterly MW'!F76&gt;0,"GB300 NVL72","")</t>
  </si>
  <si>
    <t xml:space="preserve">formula: =IF('Quarterly MW'!G76&gt;0,"GB300 NVL72","")</t>
  </si>
  <si>
    <t xml:space="preserve">formula: =IF('Quarterly MW'!H76&gt;0,"GB300 NVL72","")</t>
  </si>
  <si>
    <t xml:space="preserve">formula: =IF('Quarterly MW'!I76&gt;0,"GB300 NVL72","")</t>
  </si>
  <si>
    <t xml:space="preserve">formula: =IF('Quarterly MW'!J76&gt;0,"GB300 NVL72","")</t>
  </si>
  <si>
    <t xml:space="preserve">formula: =IF('Quarterly MW'!K76&gt;0,"GB300 NVL72","")</t>
  </si>
  <si>
    <t xml:space="preserve">formula: =IF('Quarterly MW'!L76&gt;0,"GB300 NVL72","")</t>
  </si>
  <si>
    <t xml:space="preserve">formula: =IF('Quarterly MW'!M76&gt;0,"GB300 NVL72","")</t>
  </si>
  <si>
    <t xml:space="preserve">formula: =IF('Quarterly MW'!N76&gt;0,"GB300 NVL72","")</t>
  </si>
  <si>
    <t xml:space="preserve">formula: =IF('Quarterly MW'!O76&gt;0,"GB300 NVL72","")</t>
  </si>
  <si>
    <t xml:space="preserve">formula: =IF('Quarterly MW'!P76&gt;0,"GB300 NVL72","")</t>
  </si>
  <si>
    <t xml:space="preserve">formula: =IF('Quarterly MW'!Q76&gt;0,"GB300 NVL72","")</t>
  </si>
  <si>
    <t xml:space="preserve">formula: =IF('Quarterly MW'!R76&gt;0,"GB300 NVL72","")</t>
  </si>
  <si>
    <t xml:space="preserve">formula: =IF('Quarterly MW'!S76&gt;0,"GB300 NVL72","")</t>
  </si>
  <si>
    <t xml:space="preserve">formula: =IF('Quarterly MW'!T76&gt;0,"GB300 NVL72","")</t>
  </si>
  <si>
    <t xml:space="preserve">formula: =IF('Quarterly MW'!U76&gt;0,"GB300 NVL72","")</t>
  </si>
  <si>
    <t xml:space="preserve">formula: =IF('Quarterly MW'!V76&gt;0,"GB300 NVL72","")</t>
  </si>
  <si>
    <t xml:space="preserve">formula: =IF('Quarterly MW'!W76&gt;0,"GB300 NVL72","")</t>
  </si>
  <si>
    <t xml:space="preserve">formula: =IF('Quarterly MW'!X76&gt;0,"GB300 NVL72","")</t>
  </si>
  <si>
    <t xml:space="preserve">formula: =IF('Quarterly MW'!Y76&gt;0,"GB300 NVL72","")</t>
  </si>
  <si>
    <t xml:space="preserve">formula: =IF('Quarterly MW'!Z76&gt;0,"GB300 NVL72","")</t>
  </si>
  <si>
    <t xml:space="preserve">formula: =IF('Quarterly MW'!AA76&gt;0,"GB300 NVL72","")</t>
  </si>
  <si>
    <t xml:space="preserve">formula: =IF('Quarterly MW'!AB76&gt;0,"GB300 NVL72","")</t>
  </si>
  <si>
    <t xml:space="preserve">formula: =IF('Quarterly MW'!AC76&gt;0,"GB300 NVL72","")</t>
  </si>
  <si>
    <t xml:space="preserve">formula: =IF('Quarterly MW'!AD76&gt;0,"GB300 NVL72","")</t>
  </si>
  <si>
    <t xml:space="preserve">formula: =IF('Quarterly MW'!AE76&gt;0,"GB300 NVL72","")</t>
  </si>
  <si>
    <t xml:space="preserve">formula: =IF('Quarterly MW'!AF76&gt;0,"GB300 NVL72","")</t>
  </si>
  <si>
    <t xml:space="preserve">formula: ='Quarterly MW'!E76-0</t>
  </si>
  <si>
    <t xml:space="preserve">formula: ='Quarterly MW'!F76-'Quarterly MW'!E76</t>
  </si>
  <si>
    <t xml:space="preserve">formula: ='Quarterly MW'!G76-'Quarterly MW'!F76</t>
  </si>
  <si>
    <t xml:space="preserve">formula: ='Quarterly MW'!H76-'Quarterly MW'!G76</t>
  </si>
  <si>
    <t xml:space="preserve">formula: ='Quarterly MW'!I76-'Quarterly MW'!H76</t>
  </si>
  <si>
    <t xml:space="preserve">formula: ='Quarterly MW'!J76-'Quarterly MW'!I76</t>
  </si>
  <si>
    <t xml:space="preserve">formula: ='Quarterly MW'!K76-'Quarterly MW'!J76</t>
  </si>
  <si>
    <t xml:space="preserve">formula: ='Quarterly MW'!L76-'Quarterly MW'!K76</t>
  </si>
  <si>
    <t xml:space="preserve">formula: ='Quarterly MW'!M76-'Quarterly MW'!L76</t>
  </si>
  <si>
    <t xml:space="preserve">formula: ='Quarterly MW'!N76-'Quarterly MW'!M76</t>
  </si>
  <si>
    <t xml:space="preserve">formula: ='Quarterly MW'!O76-'Quarterly MW'!N76</t>
  </si>
  <si>
    <t xml:space="preserve">formula: ='Quarterly MW'!P76-'Quarterly MW'!O76</t>
  </si>
  <si>
    <t xml:space="preserve">formula: ='Quarterly MW'!Q76-'Quarterly MW'!P76</t>
  </si>
  <si>
    <t xml:space="preserve">formula: ='Quarterly MW'!R76-'Quarterly MW'!Q76</t>
  </si>
  <si>
    <t xml:space="preserve">formula: ='Quarterly MW'!S76-'Quarterly MW'!R76</t>
  </si>
  <si>
    <t xml:space="preserve">formula: ='Quarterly MW'!T76-'Quarterly MW'!S76</t>
  </si>
  <si>
    <t xml:space="preserve">formula: ='Quarterly MW'!U76-'Quarterly MW'!T76</t>
  </si>
  <si>
    <t xml:space="preserve">formula: ='Quarterly MW'!V76-'Quarterly MW'!U76</t>
  </si>
  <si>
    <t xml:space="preserve">formula: ='Quarterly MW'!W76-'Quarterly MW'!V76</t>
  </si>
  <si>
    <t xml:space="preserve">formula: ='Quarterly MW'!X76-'Quarterly MW'!W76</t>
  </si>
  <si>
    <t xml:space="preserve">formula: ='Quarterly MW'!Y76-'Quarterly MW'!X76</t>
  </si>
  <si>
    <t xml:space="preserve">formula: ='Quarterly MW'!Z76-'Quarterly MW'!Y76</t>
  </si>
  <si>
    <t xml:space="preserve">formula: ='Quarterly MW'!AA76-'Quarterly MW'!Z76</t>
  </si>
  <si>
    <t xml:space="preserve">formula: ='Quarterly MW'!AB76-'Quarterly MW'!AA76</t>
  </si>
  <si>
    <t xml:space="preserve">formula: ='Quarterly MW'!AC76-'Quarterly MW'!AB76</t>
  </si>
  <si>
    <t xml:space="preserve">formula: ='Quarterly MW'!AD76-'Quarterly MW'!AC76</t>
  </si>
  <si>
    <t xml:space="preserve">formula: ='Quarterly MW'!AE76-'Quarterly MW'!AD76</t>
  </si>
  <si>
    <t xml:space="preserve">formula: ='Quarterly MW'!AF76-'Quarterly MW'!AE76</t>
  </si>
  <si>
    <t xml:space="preserve">formula: =IF('Quarterly MW'!E81&gt;0,"B200 (HGX)","")</t>
  </si>
  <si>
    <t xml:space="preserve">formula: =IF('Quarterly MW'!F81&gt;0,"B200 (HGX)","")</t>
  </si>
  <si>
    <t xml:space="preserve">formula: =IF('Quarterly MW'!G81&gt;0,"B200 (HGX)","")</t>
  </si>
  <si>
    <t xml:space="preserve">formula: =IF('Quarterly MW'!H81&gt;0,"B200 (HGX)","")</t>
  </si>
  <si>
    <t xml:space="preserve">formula: =IF('Quarterly MW'!I81&gt;0,"B200 (HGX)","")</t>
  </si>
  <si>
    <t xml:space="preserve">formula: =IF('Quarterly MW'!J81&gt;0,"B200 (HGX)","")</t>
  </si>
  <si>
    <t xml:space="preserve">formula: =IF('Quarterly MW'!K81&gt;0,"B200 (HGX)","")</t>
  </si>
  <si>
    <t xml:space="preserve">formula: =IF('Quarterly MW'!L81&gt;0,"B200 (HGX)","")</t>
  </si>
  <si>
    <t xml:space="preserve">formula: =IF('Quarterly MW'!M81&gt;0,"B200 (HGX)","")</t>
  </si>
  <si>
    <t xml:space="preserve">formula: =IF('Quarterly MW'!N81&gt;0,"B200 (HGX)","")</t>
  </si>
  <si>
    <t xml:space="preserve">formula: =IF('Quarterly MW'!O81&gt;0,"B200 (HGX)","")</t>
  </si>
  <si>
    <t xml:space="preserve">formula: =IF('Quarterly MW'!P81&gt;0,"B200 (HGX)","")</t>
  </si>
  <si>
    <t xml:space="preserve">formula: =IF('Quarterly MW'!Q81&gt;0,"B200 (HGX)","")</t>
  </si>
  <si>
    <t xml:space="preserve">formula: =IF('Quarterly MW'!R81&gt;0,"B200 (HGX)","")</t>
  </si>
  <si>
    <t xml:space="preserve">formula: =IF('Quarterly MW'!S81&gt;0,"B200 (HGX)","")</t>
  </si>
  <si>
    <t xml:space="preserve">formula: =IF('Quarterly MW'!T81&gt;0,"B200 (HGX)","")</t>
  </si>
  <si>
    <t xml:space="preserve">formula: =IF('Quarterly MW'!U81&gt;0,"B200 (HGX)","")</t>
  </si>
  <si>
    <t xml:space="preserve">formula: =IF('Quarterly MW'!V81&gt;0,"B200 (HGX)","")</t>
  </si>
  <si>
    <t xml:space="preserve">formula: =IF('Quarterly MW'!W81&gt;0,"B200 (HGX)","")</t>
  </si>
  <si>
    <t xml:space="preserve">formula: =IF('Quarterly MW'!X81&gt;0,"B200 (HGX)","")</t>
  </si>
  <si>
    <t xml:space="preserve">formula: =IF('Quarterly MW'!Y81&gt;0,"B200 (HGX)","")</t>
  </si>
  <si>
    <t xml:space="preserve">formula: =IF('Quarterly MW'!Z81&gt;0,"B200 (HGX)","")</t>
  </si>
  <si>
    <t xml:space="preserve">formula: =IF('Quarterly MW'!AA81&gt;0,"B200 (HGX)","")</t>
  </si>
  <si>
    <t xml:space="preserve">formula: =IF('Quarterly MW'!AB81&gt;0,"B200 (HGX)","")</t>
  </si>
  <si>
    <t xml:space="preserve">formula: =IF('Quarterly MW'!AC81&gt;0,"B200 (HGX)","")</t>
  </si>
  <si>
    <t xml:space="preserve">formula: =IF('Quarterly MW'!AD81&gt;0,"B200 (HGX)","")</t>
  </si>
  <si>
    <t xml:space="preserve">formula: =IF('Quarterly MW'!AE81&gt;0,"B200 (HGX)","")</t>
  </si>
  <si>
    <t xml:space="preserve">formula: =IF('Quarterly MW'!AF81&gt;0,"B200 (HGX)","")</t>
  </si>
  <si>
    <t xml:space="preserve">formula: ='Quarterly MW'!E81-0</t>
  </si>
  <si>
    <t xml:space="preserve">formula: ='Quarterly MW'!F81-'Quarterly MW'!E81</t>
  </si>
  <si>
    <t xml:space="preserve">formula: ='Quarterly MW'!G81-'Quarterly MW'!F81</t>
  </si>
  <si>
    <t xml:space="preserve">formula: ='Quarterly MW'!H81-'Quarterly MW'!G81</t>
  </si>
  <si>
    <t xml:space="preserve">formula: ='Quarterly MW'!I81-'Quarterly MW'!H81</t>
  </si>
  <si>
    <t xml:space="preserve">formula: ='Quarterly MW'!J81-'Quarterly MW'!I81</t>
  </si>
  <si>
    <t xml:space="preserve">formula: ='Quarterly MW'!K81-'Quarterly MW'!J81</t>
  </si>
  <si>
    <t xml:space="preserve">formula: ='Quarterly MW'!L81-'Quarterly MW'!K81</t>
  </si>
  <si>
    <t xml:space="preserve">formula: ='Quarterly MW'!M81-'Quarterly MW'!L81</t>
  </si>
  <si>
    <t xml:space="preserve">formula: ='Quarterly MW'!N81-'Quarterly MW'!M81</t>
  </si>
  <si>
    <t xml:space="preserve">formula: ='Quarterly MW'!O81-'Quarterly MW'!N81</t>
  </si>
  <si>
    <t xml:space="preserve">formula: ='Quarterly MW'!P81-'Quarterly MW'!O81</t>
  </si>
  <si>
    <t xml:space="preserve">formula: ='Quarterly MW'!Q81-'Quarterly MW'!P81</t>
  </si>
  <si>
    <t xml:space="preserve">formula: ='Quarterly MW'!R81-'Quarterly MW'!Q81</t>
  </si>
  <si>
    <t xml:space="preserve">formula: ='Quarterly MW'!S81-'Quarterly MW'!R81</t>
  </si>
  <si>
    <t xml:space="preserve">formula: ='Quarterly MW'!T81-'Quarterly MW'!S81</t>
  </si>
  <si>
    <t xml:space="preserve">formula: ='Quarterly MW'!U81-'Quarterly MW'!T81</t>
  </si>
  <si>
    <t xml:space="preserve">formula: ='Quarterly MW'!V81-'Quarterly MW'!U81</t>
  </si>
  <si>
    <t xml:space="preserve">formula: ='Quarterly MW'!W81-'Quarterly MW'!V81</t>
  </si>
  <si>
    <t xml:space="preserve">formula: ='Quarterly MW'!X81-'Quarterly MW'!W81</t>
  </si>
  <si>
    <t xml:space="preserve">formula: ='Quarterly MW'!Y81-'Quarterly MW'!X81</t>
  </si>
  <si>
    <t xml:space="preserve">formula: ='Quarterly MW'!Z81-'Quarterly MW'!Y81</t>
  </si>
  <si>
    <t xml:space="preserve">formula: ='Quarterly MW'!AA81-'Quarterly MW'!Z81</t>
  </si>
  <si>
    <t xml:space="preserve">formula: ='Quarterly MW'!AB81-'Quarterly MW'!AA81</t>
  </si>
  <si>
    <t xml:space="preserve">formula: ='Quarterly MW'!AC81-'Quarterly MW'!AB81</t>
  </si>
  <si>
    <t xml:space="preserve">formula: ='Quarterly MW'!AD81-'Quarterly MW'!AC81</t>
  </si>
  <si>
    <t xml:space="preserve">formula: ='Quarterly MW'!AE81-'Quarterly MW'!AD81</t>
  </si>
  <si>
    <t xml:space="preserve">formula: ='Quarterly MW'!AF81-'Quarterly MW'!AE81</t>
  </si>
  <si>
    <t xml:space="preserve">formula: =IF('Quarterly MW'!E86&gt;0,"GB300 NVL72","")</t>
  </si>
  <si>
    <t xml:space="preserve">formula: =IF('Quarterly MW'!F86&gt;0,"GB300 NVL72","")</t>
  </si>
  <si>
    <t xml:space="preserve">formula: =IF('Quarterly MW'!G86&gt;0,"GB300 NVL72","")</t>
  </si>
  <si>
    <t xml:space="preserve">formula: =IF('Quarterly MW'!H86&gt;0,"GB300 NVL72","")</t>
  </si>
  <si>
    <t xml:space="preserve">formula: =IF('Quarterly MW'!I86&gt;0,"GB300 NVL72","")</t>
  </si>
  <si>
    <t xml:space="preserve">formula: =IF('Quarterly MW'!J86&gt;0,"GB300 NVL72","")</t>
  </si>
  <si>
    <t xml:space="preserve">formula: =IF('Quarterly MW'!K86&gt;0,"GB300 NVL72","")</t>
  </si>
  <si>
    <t xml:space="preserve">formula: =IF('Quarterly MW'!L86&gt;0,"GB300 NVL72","")</t>
  </si>
  <si>
    <t xml:space="preserve">formula: =IF('Quarterly MW'!M86&gt;0,"GB300 NVL72","")</t>
  </si>
  <si>
    <t xml:space="preserve">formula: =IF('Quarterly MW'!N86&gt;0,"GB300 NVL72","")</t>
  </si>
  <si>
    <t xml:space="preserve">formula: =IF('Quarterly MW'!O86&gt;0,"GB300 NVL72","")</t>
  </si>
  <si>
    <t xml:space="preserve">formula: =IF('Quarterly MW'!P86&gt;0,"GB300 NVL72","")</t>
  </si>
  <si>
    <t xml:space="preserve">formula: =IF('Quarterly MW'!Q86&gt;0,"GB300 NVL72","")</t>
  </si>
  <si>
    <t xml:space="preserve">formula: =IF('Quarterly MW'!R86&gt;0,"GB300 NVL72","")</t>
  </si>
  <si>
    <t xml:space="preserve">formula: =IF('Quarterly MW'!S86&gt;0,"GB300 NVL72","")</t>
  </si>
  <si>
    <t xml:space="preserve">formula: =IF('Quarterly MW'!T86&gt;0,"GB300 NVL72","")</t>
  </si>
  <si>
    <t xml:space="preserve">formula: =IF('Quarterly MW'!U86&gt;0,"GB300 NVL72","")</t>
  </si>
  <si>
    <t xml:space="preserve">formula: =IF('Quarterly MW'!V86&gt;0,"GB300 NVL72","")</t>
  </si>
  <si>
    <t xml:space="preserve">formula: =IF('Quarterly MW'!W86&gt;0,"GB300 NVL72","")</t>
  </si>
  <si>
    <t xml:space="preserve">formula: =IF('Quarterly MW'!X86&gt;0,"GB300 NVL72","")</t>
  </si>
  <si>
    <t xml:space="preserve">formula: =IF('Quarterly MW'!Y86&gt;0,"GB300 NVL72","")</t>
  </si>
  <si>
    <t xml:space="preserve">formula: =IF('Quarterly MW'!Z86&gt;0,"GB300 NVL72","")</t>
  </si>
  <si>
    <t xml:space="preserve">formula: =IF('Quarterly MW'!AA86&gt;0,"GB300 NVL72","")</t>
  </si>
  <si>
    <t xml:space="preserve">formula: =IF('Quarterly MW'!AB86&gt;0,"GB300 NVL72","")</t>
  </si>
  <si>
    <t xml:space="preserve">formula: =IF('Quarterly MW'!AC86&gt;0,"GB300 NVL72","")</t>
  </si>
  <si>
    <t xml:space="preserve">formula: =IF('Quarterly MW'!AD86&gt;0,"GB300 NVL72","")</t>
  </si>
  <si>
    <t xml:space="preserve">formula: =IF('Quarterly MW'!AE86&gt;0,"GB300 NVL72","")</t>
  </si>
  <si>
    <t xml:space="preserve">formula: =IF('Quarterly MW'!AF86&gt;0,"GB300 NVL72","")</t>
  </si>
  <si>
    <t xml:space="preserve">formula: ='Quarterly MW'!E86-0</t>
  </si>
  <si>
    <t xml:space="preserve">formula: ='Quarterly MW'!F86-'Quarterly MW'!E86</t>
  </si>
  <si>
    <t xml:space="preserve">formula: ='Quarterly MW'!G86-'Quarterly MW'!F86</t>
  </si>
  <si>
    <t xml:space="preserve">formula: ='Quarterly MW'!H86-'Quarterly MW'!G86</t>
  </si>
  <si>
    <t xml:space="preserve">formula: ='Quarterly MW'!I86-'Quarterly MW'!H86</t>
  </si>
  <si>
    <t xml:space="preserve">formula: ='Quarterly MW'!J86-'Quarterly MW'!I86</t>
  </si>
  <si>
    <t xml:space="preserve">formula: ='Quarterly MW'!K86-'Quarterly MW'!J86</t>
  </si>
  <si>
    <t xml:space="preserve">formula: ='Quarterly MW'!L86-'Quarterly MW'!K86</t>
  </si>
  <si>
    <t xml:space="preserve">formula: ='Quarterly MW'!M86-'Quarterly MW'!L86</t>
  </si>
  <si>
    <t xml:space="preserve">formula: ='Quarterly MW'!N86-'Quarterly MW'!M86</t>
  </si>
  <si>
    <t xml:space="preserve">formula: ='Quarterly MW'!O86-'Quarterly MW'!N86</t>
  </si>
  <si>
    <t xml:space="preserve">formula: ='Quarterly MW'!P86-'Quarterly MW'!O86</t>
  </si>
  <si>
    <t xml:space="preserve">formula: ='Quarterly MW'!Q86-'Quarterly MW'!P86</t>
  </si>
  <si>
    <t xml:space="preserve">formula: ='Quarterly MW'!R86-'Quarterly MW'!Q86</t>
  </si>
  <si>
    <t xml:space="preserve">formula: ='Quarterly MW'!S86-'Quarterly MW'!R86</t>
  </si>
  <si>
    <t xml:space="preserve">formula: ='Quarterly MW'!T86-'Quarterly MW'!S86</t>
  </si>
  <si>
    <t xml:space="preserve">formula: ='Quarterly MW'!U86-'Quarterly MW'!T86</t>
  </si>
  <si>
    <t xml:space="preserve">formula: ='Quarterly MW'!V86-'Quarterly MW'!U86</t>
  </si>
  <si>
    <t xml:space="preserve">formula: ='Quarterly MW'!W86-'Quarterly MW'!V86</t>
  </si>
  <si>
    <t xml:space="preserve">formula: ='Quarterly MW'!X86-'Quarterly MW'!W86</t>
  </si>
  <si>
    <t xml:space="preserve">formula: ='Quarterly MW'!Y86-'Quarterly MW'!X86</t>
  </si>
  <si>
    <t xml:space="preserve">formula: ='Quarterly MW'!Z86-'Quarterly MW'!Y86</t>
  </si>
  <si>
    <t xml:space="preserve">formula: ='Quarterly MW'!AA86-'Quarterly MW'!Z86</t>
  </si>
  <si>
    <t xml:space="preserve">formula: ='Quarterly MW'!AB86-'Quarterly MW'!AA86</t>
  </si>
  <si>
    <t xml:space="preserve">formula: ='Quarterly MW'!AC86-'Quarterly MW'!AB86</t>
  </si>
  <si>
    <t xml:space="preserve">formula: ='Quarterly MW'!AD86-'Quarterly MW'!AC86</t>
  </si>
  <si>
    <t xml:space="preserve">formula: ='Quarterly MW'!AE86-'Quarterly MW'!AD86</t>
  </si>
  <si>
    <t xml:space="preserve">formula: ='Quarterly MW'!AF86-'Quarterly MW'!AE86</t>
  </si>
  <si>
    <t xml:space="preserve">formula: =IF('Quarterly MW'!E91&gt;0,"GB300 NVL72","")</t>
  </si>
  <si>
    <t xml:space="preserve">formula: =IF('Quarterly MW'!F91&gt;0,"GB300 NVL72","")</t>
  </si>
  <si>
    <t xml:space="preserve">formula: =IF('Quarterly MW'!G91&gt;0,"GB300 NVL72","")</t>
  </si>
  <si>
    <t xml:space="preserve">formula: =IF('Quarterly MW'!H91&gt;0,"GB300 NVL72","")</t>
  </si>
  <si>
    <t xml:space="preserve">formula: =IF('Quarterly MW'!I91&gt;0,"GB300 NVL72","")</t>
  </si>
  <si>
    <t xml:space="preserve">formula: =IF('Quarterly MW'!J91&gt;0,"GB300 NVL72","")</t>
  </si>
  <si>
    <t xml:space="preserve">formula: =IF('Quarterly MW'!K91&gt;0,"GB300 NVL72","")</t>
  </si>
  <si>
    <t xml:space="preserve">formula: =IF('Quarterly MW'!L91&gt;0,"GB300 NVL72","")</t>
  </si>
  <si>
    <t xml:space="preserve">formula: =IF('Quarterly MW'!M91&gt;0,"GB300 NVL72","")</t>
  </si>
  <si>
    <t xml:space="preserve">formula: =IF('Quarterly MW'!N91&gt;0,"GB300 NVL72","")</t>
  </si>
  <si>
    <t xml:space="preserve">formula: =IF('Quarterly MW'!O91&gt;0,"GB300 NVL72","")</t>
  </si>
  <si>
    <t xml:space="preserve">formula: =IF('Quarterly MW'!P91&gt;0,"GB300 NVL72","")</t>
  </si>
  <si>
    <t xml:space="preserve">formula: =IF('Quarterly MW'!Q91&gt;0,"GB300 NVL72","")</t>
  </si>
  <si>
    <t xml:space="preserve">formula: =IF('Quarterly MW'!R91&gt;0,"GB300 NVL72","")</t>
  </si>
  <si>
    <t xml:space="preserve">formula: =IF('Quarterly MW'!S91&gt;0,"GB300 NVL72","")</t>
  </si>
  <si>
    <t xml:space="preserve">formula: =IF('Quarterly MW'!T91&gt;0,"GB300 NVL72","")</t>
  </si>
  <si>
    <t xml:space="preserve">formula: =IF('Quarterly MW'!U91&gt;0,"GB300 NVL72","")</t>
  </si>
  <si>
    <t xml:space="preserve">formula: =IF('Quarterly MW'!V91&gt;0,"GB300 NVL72","")</t>
  </si>
  <si>
    <t xml:space="preserve">formula: =IF('Quarterly MW'!W91&gt;0,"GB300 NVL72","")</t>
  </si>
  <si>
    <t xml:space="preserve">formula: =IF('Quarterly MW'!X91&gt;0,"GB300 NVL72","")</t>
  </si>
  <si>
    <t xml:space="preserve">formula: =IF('Quarterly MW'!Y91&gt;0,"GB300 NVL72","")</t>
  </si>
  <si>
    <t xml:space="preserve">formula: =IF('Quarterly MW'!Z91&gt;0,"GB300 NVL72","")</t>
  </si>
  <si>
    <t xml:space="preserve">formula: =IF('Quarterly MW'!AA91&gt;0,"GB300 NVL72","")</t>
  </si>
  <si>
    <t xml:space="preserve">formula: =IF('Quarterly MW'!AB91&gt;0,"GB300 NVL72","")</t>
  </si>
  <si>
    <t xml:space="preserve">formula: =IF('Quarterly MW'!AC91&gt;0,"GB300 NVL72","")</t>
  </si>
  <si>
    <t xml:space="preserve">formula: =IF('Quarterly MW'!AD91&gt;0,"GB300 NVL72","")</t>
  </si>
  <si>
    <t xml:space="preserve">formula: =IF('Quarterly MW'!AE91&gt;0,"GB300 NVL72","")</t>
  </si>
  <si>
    <t xml:space="preserve">formula: =IF('Quarterly MW'!AF91&gt;0,"GB300 NVL72","")</t>
  </si>
  <si>
    <t xml:space="preserve">E37</t>
  </si>
  <si>
    <t xml:space="preserve">formula: ='Quarterly MW'!E91-0</t>
  </si>
  <si>
    <t xml:space="preserve">F37</t>
  </si>
  <si>
    <t xml:space="preserve">formula: ='Quarterly MW'!F91-'Quarterly MW'!E91</t>
  </si>
  <si>
    <t xml:space="preserve">G37</t>
  </si>
  <si>
    <t xml:space="preserve">formula: ='Quarterly MW'!G91-'Quarterly MW'!F91</t>
  </si>
  <si>
    <t xml:space="preserve">H37</t>
  </si>
  <si>
    <t xml:space="preserve">formula: ='Quarterly MW'!H91-'Quarterly MW'!G91</t>
  </si>
  <si>
    <t xml:space="preserve">I37</t>
  </si>
  <si>
    <t xml:space="preserve">formula: ='Quarterly MW'!I91-'Quarterly MW'!H91</t>
  </si>
  <si>
    <t xml:space="preserve">J37</t>
  </si>
  <si>
    <t xml:space="preserve">formula: ='Quarterly MW'!J91-'Quarterly MW'!I91</t>
  </si>
  <si>
    <t xml:space="preserve">K37</t>
  </si>
  <si>
    <t xml:space="preserve">formula: ='Quarterly MW'!K91-'Quarterly MW'!J91</t>
  </si>
  <si>
    <t xml:space="preserve">formula: ='Quarterly MW'!L91-'Quarterly MW'!K91</t>
  </si>
  <si>
    <t xml:space="preserve">M37</t>
  </si>
  <si>
    <t xml:space="preserve">formula: ='Quarterly MW'!M91-'Quarterly MW'!L91</t>
  </si>
  <si>
    <t xml:space="preserve">N37</t>
  </si>
  <si>
    <t xml:space="preserve">formula: ='Quarterly MW'!N91-'Quarterly MW'!M91</t>
  </si>
  <si>
    <t xml:space="preserve">O37</t>
  </si>
  <si>
    <t xml:space="preserve">formula: ='Quarterly MW'!O91-'Quarterly MW'!N91</t>
  </si>
  <si>
    <t xml:space="preserve">P37</t>
  </si>
  <si>
    <t xml:space="preserve">formula: ='Quarterly MW'!P91-'Quarterly MW'!O91</t>
  </si>
  <si>
    <t xml:space="preserve">Q37</t>
  </si>
  <si>
    <t xml:space="preserve">formula: ='Quarterly MW'!Q91-'Quarterly MW'!P91</t>
  </si>
  <si>
    <t xml:space="preserve">R37</t>
  </si>
  <si>
    <t xml:space="preserve">formula: ='Quarterly MW'!R91-'Quarterly MW'!Q91</t>
  </si>
  <si>
    <t xml:space="preserve">S37</t>
  </si>
  <si>
    <t xml:space="preserve">formula: ='Quarterly MW'!S91-'Quarterly MW'!R91</t>
  </si>
  <si>
    <t xml:space="preserve">T37</t>
  </si>
  <si>
    <t xml:space="preserve">formula: ='Quarterly MW'!T91-'Quarterly MW'!S91</t>
  </si>
  <si>
    <t xml:space="preserve">U37</t>
  </si>
  <si>
    <t xml:space="preserve">formula: ='Quarterly MW'!U91-'Quarterly MW'!T91</t>
  </si>
  <si>
    <t xml:space="preserve">V37</t>
  </si>
  <si>
    <t xml:space="preserve">formula: ='Quarterly MW'!V91-'Quarterly MW'!U91</t>
  </si>
  <si>
    <t xml:space="preserve">W37</t>
  </si>
  <si>
    <t xml:space="preserve">formula: ='Quarterly MW'!W91-'Quarterly MW'!V91</t>
  </si>
  <si>
    <t xml:space="preserve">X37</t>
  </si>
  <si>
    <t xml:space="preserve">formula: ='Quarterly MW'!X91-'Quarterly MW'!W91</t>
  </si>
  <si>
    <t xml:space="preserve">Y37</t>
  </si>
  <si>
    <t xml:space="preserve">formula: ='Quarterly MW'!Y91-'Quarterly MW'!X91</t>
  </si>
  <si>
    <t xml:space="preserve">Z37</t>
  </si>
  <si>
    <t xml:space="preserve">formula: ='Quarterly MW'!Z91-'Quarterly MW'!Y91</t>
  </si>
  <si>
    <t xml:space="preserve">AA37</t>
  </si>
  <si>
    <t xml:space="preserve">formula: ='Quarterly MW'!AA91-'Quarterly MW'!Z91</t>
  </si>
  <si>
    <t xml:space="preserve">AB37</t>
  </si>
  <si>
    <t xml:space="preserve">formula: ='Quarterly MW'!AB91-'Quarterly MW'!AA91</t>
  </si>
  <si>
    <t xml:space="preserve">AC37</t>
  </si>
  <si>
    <t xml:space="preserve">formula: ='Quarterly MW'!AC91-'Quarterly MW'!AB91</t>
  </si>
  <si>
    <t xml:space="preserve">AD37</t>
  </si>
  <si>
    <t xml:space="preserve">formula: ='Quarterly MW'!AD91-'Quarterly MW'!AC91</t>
  </si>
  <si>
    <t xml:space="preserve">AE37</t>
  </si>
  <si>
    <t xml:space="preserve">formula: ='Quarterly MW'!AE91-'Quarterly MW'!AD91</t>
  </si>
  <si>
    <t xml:space="preserve">AF37</t>
  </si>
  <si>
    <t xml:space="preserve">formula: ='Quarterly MW'!AF91-'Quarterly MW'!AE91</t>
  </si>
  <si>
    <t xml:space="preserve">E38</t>
  </si>
  <si>
    <t xml:space="preserve">formula: =IF('Quarterly MW'!E96&gt;0,"B300 (HGX)","")</t>
  </si>
  <si>
    <t xml:space="preserve">F38</t>
  </si>
  <si>
    <t xml:space="preserve">formula: =IF('Quarterly MW'!F96&gt;0,"B300 (HGX)","")</t>
  </si>
  <si>
    <t xml:space="preserve">G38</t>
  </si>
  <si>
    <t xml:space="preserve">formula: =IF('Quarterly MW'!G96&gt;0,"B300 (HGX)","")</t>
  </si>
  <si>
    <t xml:space="preserve">H38</t>
  </si>
  <si>
    <t xml:space="preserve">formula: =IF('Quarterly MW'!H96&gt;0,"B300 (HGX)","")</t>
  </si>
  <si>
    <t xml:space="preserve">I38</t>
  </si>
  <si>
    <t xml:space="preserve">formula: =IF('Quarterly MW'!I96&gt;0,"B300 (HGX)","")</t>
  </si>
  <si>
    <t xml:space="preserve">J38</t>
  </si>
  <si>
    <t xml:space="preserve">formula: =IF('Quarterly MW'!J96&gt;0,"B300 (HGX)","")</t>
  </si>
  <si>
    <t xml:space="preserve">K38</t>
  </si>
  <si>
    <t xml:space="preserve">formula: =IF('Quarterly MW'!K96&gt;0,"B300 (HGX)","")</t>
  </si>
  <si>
    <t xml:space="preserve">L38</t>
  </si>
  <si>
    <t xml:space="preserve">formula: =IF('Quarterly MW'!L96&gt;0,"B300 (HGX)","")</t>
  </si>
  <si>
    <t xml:space="preserve">M38</t>
  </si>
  <si>
    <t xml:space="preserve">formula: =IF('Quarterly MW'!M96&gt;0,"B300 (HGX)","")</t>
  </si>
  <si>
    <t xml:space="preserve">formula: =IF('Quarterly MW'!N96&gt;0,"B300 (HGX)","")</t>
  </si>
  <si>
    <t xml:space="preserve">formula: =IF('Quarterly MW'!O96&gt;0,"B300 (HGX)","")</t>
  </si>
  <si>
    <t xml:space="preserve">formula: =IF('Quarterly MW'!P96&gt;0,"B300 (HGX)","")</t>
  </si>
  <si>
    <t xml:space="preserve">formula: =IF('Quarterly MW'!Q96&gt;0,"B300 (HGX)","")</t>
  </si>
  <si>
    <t xml:space="preserve">formula: =IF('Quarterly MW'!R96&gt;0,"B300 (HGX)","")</t>
  </si>
  <si>
    <t xml:space="preserve">formula: =IF('Quarterly MW'!S96&gt;0,"B300 (HGX)","")</t>
  </si>
  <si>
    <t xml:space="preserve">formula: =IF('Quarterly MW'!T96&gt;0,"B300 (HGX)","")</t>
  </si>
  <si>
    <t xml:space="preserve">formula: =IF('Quarterly MW'!U96&gt;0,"B300 (HGX)","")</t>
  </si>
  <si>
    <t xml:space="preserve">formula: =IF('Quarterly MW'!V96&gt;0,"B300 (HGX)","")</t>
  </si>
  <si>
    <t xml:space="preserve">formula: =IF('Quarterly MW'!W96&gt;0,"B300 (HGX)","")</t>
  </si>
  <si>
    <t xml:space="preserve">formula: =IF('Quarterly MW'!X96&gt;0,"B300 (HGX)","")</t>
  </si>
  <si>
    <t xml:space="preserve">formula: =IF('Quarterly MW'!Y96&gt;0,"B300 (HGX)","")</t>
  </si>
  <si>
    <t xml:space="preserve">formula: =IF('Quarterly MW'!Z96&gt;0,"B300 (HGX)","")</t>
  </si>
  <si>
    <t xml:space="preserve">formula: =IF('Quarterly MW'!AA96&gt;0,"B300 (HGX)","")</t>
  </si>
  <si>
    <t xml:space="preserve">formula: =IF('Quarterly MW'!AB96&gt;0,"B300 (HGX)","")</t>
  </si>
  <si>
    <t xml:space="preserve">formula: =IF('Quarterly MW'!AC96&gt;0,"B300 (HGX)","")</t>
  </si>
  <si>
    <t xml:space="preserve">formula: =IF('Quarterly MW'!AD96&gt;0,"B300 (HGX)","")</t>
  </si>
  <si>
    <t xml:space="preserve">formula: =IF('Quarterly MW'!AE96&gt;0,"B300 (HGX)","")</t>
  </si>
  <si>
    <t xml:space="preserve">formula: =IF('Quarterly MW'!AF96&gt;0,"B300 (HGX)","")</t>
  </si>
  <si>
    <t xml:space="preserve">formula: ='Quarterly MW'!E96-0</t>
  </si>
  <si>
    <t xml:space="preserve">formula: ='Quarterly MW'!F96-'Quarterly MW'!E96</t>
  </si>
  <si>
    <t xml:space="preserve">formula: ='Quarterly MW'!G96-'Quarterly MW'!F96</t>
  </si>
  <si>
    <t xml:space="preserve">formula: ='Quarterly MW'!H96-'Quarterly MW'!G96</t>
  </si>
  <si>
    <t xml:space="preserve">formula: ='Quarterly MW'!I96-'Quarterly MW'!H96</t>
  </si>
  <si>
    <t xml:space="preserve">formula: ='Quarterly MW'!J96-'Quarterly MW'!I96</t>
  </si>
  <si>
    <t xml:space="preserve">formula: ='Quarterly MW'!K96-'Quarterly MW'!J96</t>
  </si>
  <si>
    <t xml:space="preserve">formula: ='Quarterly MW'!L96-'Quarterly MW'!K96</t>
  </si>
  <si>
    <t xml:space="preserve">formula: ='Quarterly MW'!M96-'Quarterly MW'!L96</t>
  </si>
  <si>
    <t xml:space="preserve">formula: ='Quarterly MW'!N96-'Quarterly MW'!M96</t>
  </si>
  <si>
    <t xml:space="preserve">formula: ='Quarterly MW'!O96-'Quarterly MW'!N96</t>
  </si>
  <si>
    <t xml:space="preserve">formula: ='Quarterly MW'!P96-'Quarterly MW'!O96</t>
  </si>
  <si>
    <t xml:space="preserve">formula: ='Quarterly MW'!Q96-'Quarterly MW'!P96</t>
  </si>
  <si>
    <t xml:space="preserve">formula: ='Quarterly MW'!R96-'Quarterly MW'!Q96</t>
  </si>
  <si>
    <t xml:space="preserve">formula: ='Quarterly MW'!S96-'Quarterly MW'!R96</t>
  </si>
  <si>
    <t xml:space="preserve">formula: ='Quarterly MW'!T96-'Quarterly MW'!S96</t>
  </si>
  <si>
    <t xml:space="preserve">formula: ='Quarterly MW'!U96-'Quarterly MW'!T96</t>
  </si>
  <si>
    <t xml:space="preserve">formula: ='Quarterly MW'!V96-'Quarterly MW'!U96</t>
  </si>
  <si>
    <t xml:space="preserve">formula: ='Quarterly MW'!W96-'Quarterly MW'!V96</t>
  </si>
  <si>
    <t xml:space="preserve">formula: ='Quarterly MW'!X96-'Quarterly MW'!W96</t>
  </si>
  <si>
    <t xml:space="preserve">formula: ='Quarterly MW'!Y96-'Quarterly MW'!X96</t>
  </si>
  <si>
    <t xml:space="preserve">formula: ='Quarterly MW'!Z96-'Quarterly MW'!Y96</t>
  </si>
  <si>
    <t xml:space="preserve">formula: ='Quarterly MW'!AA96-'Quarterly MW'!Z96</t>
  </si>
  <si>
    <t xml:space="preserve">formula: ='Quarterly MW'!AB96-'Quarterly MW'!AA96</t>
  </si>
  <si>
    <t xml:space="preserve">formula: ='Quarterly MW'!AC96-'Quarterly MW'!AB96</t>
  </si>
  <si>
    <t xml:space="preserve">formula: ='Quarterly MW'!AD96-'Quarterly MW'!AC96</t>
  </si>
  <si>
    <t xml:space="preserve">formula: ='Quarterly MW'!AE96-'Quarterly MW'!AD96</t>
  </si>
  <si>
    <t xml:space="preserve">formula: ='Quarterly MW'!AF96-'Quarterly MW'!AE96</t>
  </si>
  <si>
    <t xml:space="preserve">formula: =IF('Quarterly MW'!E101&gt;0,"GB300 NVL72","")</t>
  </si>
  <si>
    <t xml:space="preserve">formula: =IF('Quarterly MW'!F101&gt;0,"GB300 NVL72","")</t>
  </si>
  <si>
    <t xml:space="preserve">formula: =IF('Quarterly MW'!G101&gt;0,"GB300 NVL72","")</t>
  </si>
  <si>
    <t xml:space="preserve">formula: =IF('Quarterly MW'!H101&gt;0,"GB300 NVL72","")</t>
  </si>
  <si>
    <t xml:space="preserve">formula: =IF('Quarterly MW'!I101&gt;0,"GB300 NVL72","")</t>
  </si>
  <si>
    <t xml:space="preserve">formula: =IF('Quarterly MW'!J101&gt;0,"GB300 NVL72","")</t>
  </si>
  <si>
    <t xml:space="preserve">formula: =IF('Quarterly MW'!K101&gt;0,"GB300 NVL72","")</t>
  </si>
  <si>
    <t xml:space="preserve">formula: =IF('Quarterly MW'!L101&gt;0,"GB300 NVL72","")</t>
  </si>
  <si>
    <t xml:space="preserve">formula: =IF('Quarterly MW'!M101&gt;0,"GB300 NVL72","")</t>
  </si>
  <si>
    <t xml:space="preserve">formula: =IF('Quarterly MW'!N101&gt;0,"GB300 NVL72","")</t>
  </si>
  <si>
    <t xml:space="preserve">formula: =IF('Quarterly MW'!O101&gt;0,"GB300 NVL72","")</t>
  </si>
  <si>
    <t xml:space="preserve">formula: =IF('Quarterly MW'!P101&gt;0,"GB300 NVL72","")</t>
  </si>
  <si>
    <t xml:space="preserve">formula: =IF('Quarterly MW'!Q101&gt;0,"GB300 NVL72","")</t>
  </si>
  <si>
    <t xml:space="preserve">formula: =IF('Quarterly MW'!R101&gt;0,"GB300 NVL72","")</t>
  </si>
  <si>
    <t xml:space="preserve">formula: =IF('Quarterly MW'!S101&gt;0,"GB300 NVL72","")</t>
  </si>
  <si>
    <t xml:space="preserve">formula: =IF('Quarterly MW'!T101&gt;0,"GB300 NVL72","")</t>
  </si>
  <si>
    <t xml:space="preserve">formula: =IF('Quarterly MW'!U101&gt;0,"GB300 NVL72","")</t>
  </si>
  <si>
    <t xml:space="preserve">formula: =IF('Quarterly MW'!V101&gt;0,"GB300 NVL72","")</t>
  </si>
  <si>
    <t xml:space="preserve">formula: =IF('Quarterly MW'!W101&gt;0,"GB300 NVL72","")</t>
  </si>
  <si>
    <t xml:space="preserve">formula: =IF('Quarterly MW'!X101&gt;0,"GB300 NVL72","")</t>
  </si>
  <si>
    <t xml:space="preserve">formula: =IF('Quarterly MW'!Y101&gt;0,"GB300 NVL72","")</t>
  </si>
  <si>
    <t xml:space="preserve">formula: =IF('Quarterly MW'!Z101&gt;0,"GB300 NVL72","")</t>
  </si>
  <si>
    <t xml:space="preserve">formula: =IF('Quarterly MW'!AA101&gt;0,"GB300 NVL72","")</t>
  </si>
  <si>
    <t xml:space="preserve">formula: =IF('Quarterly MW'!AB101&gt;0,"GB300 NVL72","")</t>
  </si>
  <si>
    <t xml:space="preserve">formula: =IF('Quarterly MW'!AC101&gt;0,"GB300 NVL72","")</t>
  </si>
  <si>
    <t xml:space="preserve">formula: =IF('Quarterly MW'!AD101&gt;0,"GB300 NVL72","")</t>
  </si>
  <si>
    <t xml:space="preserve">formula: =IF('Quarterly MW'!AE101&gt;0,"GB300 NVL72","")</t>
  </si>
  <si>
    <t xml:space="preserve">formula: =IF('Quarterly MW'!AF101&gt;0,"GB300 NVL72","")</t>
  </si>
  <si>
    <t xml:space="preserve">formula: ='Quarterly MW'!E101-0</t>
  </si>
  <si>
    <t xml:space="preserve">formula: ='Quarterly MW'!F101-'Quarterly MW'!E101</t>
  </si>
  <si>
    <t xml:space="preserve">formula: ='Quarterly MW'!G101-'Quarterly MW'!F101</t>
  </si>
  <si>
    <t xml:space="preserve">formula: ='Quarterly MW'!H101-'Quarterly MW'!G101</t>
  </si>
  <si>
    <t xml:space="preserve">formula: ='Quarterly MW'!I101-'Quarterly MW'!H101</t>
  </si>
  <si>
    <t xml:space="preserve">formula: ='Quarterly MW'!J101-'Quarterly MW'!I101</t>
  </si>
  <si>
    <t xml:space="preserve">formula: ='Quarterly MW'!K101-'Quarterly MW'!J101</t>
  </si>
  <si>
    <t xml:space="preserve">formula: ='Quarterly MW'!L101-'Quarterly MW'!K101</t>
  </si>
  <si>
    <t xml:space="preserve">formula: ='Quarterly MW'!M101-'Quarterly MW'!L101</t>
  </si>
  <si>
    <t xml:space="preserve">formula: ='Quarterly MW'!N101-'Quarterly MW'!M101</t>
  </si>
  <si>
    <t xml:space="preserve">formula: ='Quarterly MW'!O101-'Quarterly MW'!N101</t>
  </si>
  <si>
    <t xml:space="preserve">formula: ='Quarterly MW'!P101-'Quarterly MW'!O101</t>
  </si>
  <si>
    <t xml:space="preserve">formula: ='Quarterly MW'!Q101-'Quarterly MW'!P101</t>
  </si>
  <si>
    <t xml:space="preserve">formula: ='Quarterly MW'!R101-'Quarterly MW'!Q101</t>
  </si>
  <si>
    <t xml:space="preserve">formula: ='Quarterly MW'!S101-'Quarterly MW'!R101</t>
  </si>
  <si>
    <t xml:space="preserve">formula: ='Quarterly MW'!T101-'Quarterly MW'!S101</t>
  </si>
  <si>
    <t xml:space="preserve">formula: ='Quarterly MW'!U101-'Quarterly MW'!T101</t>
  </si>
  <si>
    <t xml:space="preserve">formula: ='Quarterly MW'!V101-'Quarterly MW'!U101</t>
  </si>
  <si>
    <t xml:space="preserve">formula: ='Quarterly MW'!W101-'Quarterly MW'!V101</t>
  </si>
  <si>
    <t xml:space="preserve">formula: ='Quarterly MW'!X101-'Quarterly MW'!W101</t>
  </si>
  <si>
    <t xml:space="preserve">formula: ='Quarterly MW'!Y101-'Quarterly MW'!X101</t>
  </si>
  <si>
    <t xml:space="preserve">formula: ='Quarterly MW'!Z101-'Quarterly MW'!Y101</t>
  </si>
  <si>
    <t xml:space="preserve">formula: ='Quarterly MW'!AA101-'Quarterly MW'!Z101</t>
  </si>
  <si>
    <t xml:space="preserve">formula: ='Quarterly MW'!AB101-'Quarterly MW'!AA101</t>
  </si>
  <si>
    <t xml:space="preserve">formula: ='Quarterly MW'!AC101-'Quarterly MW'!AB101</t>
  </si>
  <si>
    <t xml:space="preserve">formula: ='Quarterly MW'!AD101-'Quarterly MW'!AC101</t>
  </si>
  <si>
    <t xml:space="preserve">formula: ='Quarterly MW'!AE101-'Quarterly MW'!AD101</t>
  </si>
  <si>
    <t xml:space="preserve">formula: ='Quarterly MW'!AF101-'Quarterly MW'!AE101</t>
  </si>
  <si>
    <t xml:space="preserve">E42</t>
  </si>
  <si>
    <t xml:space="preserve">formula: =IF('Quarterly MW'!E106&gt;0,"B300 (HGX)","")</t>
  </si>
  <si>
    <t xml:space="preserve">F42</t>
  </si>
  <si>
    <t xml:space="preserve">formula: =IF('Quarterly MW'!F106&gt;0,"B300 (HGX)","")</t>
  </si>
  <si>
    <t xml:space="preserve">G42</t>
  </si>
  <si>
    <t xml:space="preserve">formula: =IF('Quarterly MW'!G106&gt;0,"B300 (HGX)","")</t>
  </si>
  <si>
    <t xml:space="preserve">H42</t>
  </si>
  <si>
    <t xml:space="preserve">formula: =IF('Quarterly MW'!H106&gt;0,"B300 (HGX)","")</t>
  </si>
  <si>
    <t xml:space="preserve">I42</t>
  </si>
  <si>
    <t xml:space="preserve">formula: =IF('Quarterly MW'!I106&gt;0,"B300 (HGX)","")</t>
  </si>
  <si>
    <t xml:space="preserve">J42</t>
  </si>
  <si>
    <t xml:space="preserve">formula: =IF('Quarterly MW'!J106&gt;0,"B300 (HGX)","")</t>
  </si>
  <si>
    <t xml:space="preserve">K42</t>
  </si>
  <si>
    <t xml:space="preserve">formula: =IF('Quarterly MW'!K106&gt;0,"B300 (HGX)","")</t>
  </si>
  <si>
    <t xml:space="preserve">L42</t>
  </si>
  <si>
    <t xml:space="preserve">formula: =IF('Quarterly MW'!L106&gt;0,"B300 (HGX)","")</t>
  </si>
  <si>
    <t xml:space="preserve">M42</t>
  </si>
  <si>
    <t xml:space="preserve">formula: =IF('Quarterly MW'!M106&gt;0,"B300 (HGX)","")</t>
  </si>
  <si>
    <t xml:space="preserve">N42</t>
  </si>
  <si>
    <t xml:space="preserve">formula: =IF('Quarterly MW'!N106&gt;0,"B300 (HGX)","")</t>
  </si>
  <si>
    <t xml:space="preserve">O42</t>
  </si>
  <si>
    <t xml:space="preserve">formula: =IF('Quarterly MW'!O106&gt;0,"B300 (HGX)","")</t>
  </si>
  <si>
    <t xml:space="preserve">P42</t>
  </si>
  <si>
    <t xml:space="preserve">formula: =IF('Quarterly MW'!P106&gt;0,"B300 (HGX)","")</t>
  </si>
  <si>
    <t xml:space="preserve">Q42</t>
  </si>
  <si>
    <t xml:space="preserve">formula: =IF('Quarterly MW'!Q106&gt;0,"B300 (HGX)","")</t>
  </si>
  <si>
    <t xml:space="preserve">R42</t>
  </si>
  <si>
    <t xml:space="preserve">formula: =IF('Quarterly MW'!R106&gt;0,"B300 (HGX)","")</t>
  </si>
  <si>
    <t xml:space="preserve">S42</t>
  </si>
  <si>
    <t xml:space="preserve">formula: =IF('Quarterly MW'!S106&gt;0,"B300 (HGX)","")</t>
  </si>
  <si>
    <t xml:space="preserve">formula: =IF('Quarterly MW'!T106&gt;0,"B300 (HGX)","")</t>
  </si>
  <si>
    <t xml:space="preserve">U42</t>
  </si>
  <si>
    <t xml:space="preserve">formula: =IF('Quarterly MW'!U106&gt;0,"B300 (HGX)","")</t>
  </si>
  <si>
    <t xml:space="preserve">V42</t>
  </si>
  <si>
    <t xml:space="preserve">formula: =IF('Quarterly MW'!V106&gt;0,"B300 (HGX)","")</t>
  </si>
  <si>
    <t xml:space="preserve">W42</t>
  </si>
  <si>
    <t xml:space="preserve">formula: =IF('Quarterly MW'!W106&gt;0,"B300 (HGX)","")</t>
  </si>
  <si>
    <t xml:space="preserve">X42</t>
  </si>
  <si>
    <t xml:space="preserve">formula: =IF('Quarterly MW'!X106&gt;0,"B300 (HGX)","")</t>
  </si>
  <si>
    <t xml:space="preserve">Y42</t>
  </si>
  <si>
    <t xml:space="preserve">formula: =IF('Quarterly MW'!Y106&gt;0,"B300 (HGX)","")</t>
  </si>
  <si>
    <t xml:space="preserve">Z42</t>
  </si>
  <si>
    <t xml:space="preserve">formula: =IF('Quarterly MW'!Z106&gt;0,"B300 (HGX)","")</t>
  </si>
  <si>
    <t xml:space="preserve">AA42</t>
  </si>
  <si>
    <t xml:space="preserve">formula: =IF('Quarterly MW'!AA106&gt;0,"B300 (HGX)","")</t>
  </si>
  <si>
    <t xml:space="preserve">AB42</t>
  </si>
  <si>
    <t xml:space="preserve">formula: =IF('Quarterly MW'!AB106&gt;0,"B300 (HGX)","")</t>
  </si>
  <si>
    <t xml:space="preserve">AC42</t>
  </si>
  <si>
    <t xml:space="preserve">formula: =IF('Quarterly MW'!AC106&gt;0,"B300 (HGX)","")</t>
  </si>
  <si>
    <t xml:space="preserve">AD42</t>
  </si>
  <si>
    <t xml:space="preserve">formula: =IF('Quarterly MW'!AD106&gt;0,"B300 (HGX)","")</t>
  </si>
  <si>
    <t xml:space="preserve">AE42</t>
  </si>
  <si>
    <t xml:space="preserve">formula: =IF('Quarterly MW'!AE106&gt;0,"B300 (HGX)","")</t>
  </si>
  <si>
    <t xml:space="preserve">AF42</t>
  </si>
  <si>
    <t xml:space="preserve">formula: =IF('Quarterly MW'!AF106&gt;0,"B300 (HGX)","")</t>
  </si>
  <si>
    <t xml:space="preserve">E43</t>
  </si>
  <si>
    <t xml:space="preserve">formula: ='Quarterly MW'!E106-0</t>
  </si>
  <si>
    <t xml:space="preserve">F43</t>
  </si>
  <si>
    <t xml:space="preserve">formula: ='Quarterly MW'!F106-'Quarterly MW'!E106</t>
  </si>
  <si>
    <t xml:space="preserve">G43</t>
  </si>
  <si>
    <t xml:space="preserve">formula: ='Quarterly MW'!G106-'Quarterly MW'!F106</t>
  </si>
  <si>
    <t xml:space="preserve">formula: ='Quarterly MW'!H106-'Quarterly MW'!G106</t>
  </si>
  <si>
    <t xml:space="preserve">formula: ='Quarterly MW'!I106-'Quarterly MW'!H106</t>
  </si>
  <si>
    <t xml:space="preserve">formula: ='Quarterly MW'!J106-'Quarterly MW'!I106</t>
  </si>
  <si>
    <t xml:space="preserve">formula: ='Quarterly MW'!K106-'Quarterly MW'!J106</t>
  </si>
  <si>
    <t xml:space="preserve">formula: ='Quarterly MW'!L106-'Quarterly MW'!K106</t>
  </si>
  <si>
    <t xml:space="preserve">formula: ='Quarterly MW'!M106-'Quarterly MW'!L106</t>
  </si>
  <si>
    <t xml:space="preserve">formula: ='Quarterly MW'!N106-'Quarterly MW'!M106</t>
  </si>
  <si>
    <t xml:space="preserve">formula: ='Quarterly MW'!O106-'Quarterly MW'!N106</t>
  </si>
  <si>
    <t xml:space="preserve">formula: ='Quarterly MW'!P106-'Quarterly MW'!O106</t>
  </si>
  <si>
    <t xml:space="preserve">formula: ='Quarterly MW'!Q106-'Quarterly MW'!P106</t>
  </si>
  <si>
    <t xml:space="preserve">formula: ='Quarterly MW'!R106-'Quarterly MW'!Q106</t>
  </si>
  <si>
    <t xml:space="preserve">formula: ='Quarterly MW'!S106-'Quarterly MW'!R106</t>
  </si>
  <si>
    <t xml:space="preserve">formula: ='Quarterly MW'!T106-'Quarterly MW'!S106</t>
  </si>
  <si>
    <t xml:space="preserve">formula: ='Quarterly MW'!U106-'Quarterly MW'!T106</t>
  </si>
  <si>
    <t xml:space="preserve">formula: ='Quarterly MW'!V106-'Quarterly MW'!U106</t>
  </si>
  <si>
    <t xml:space="preserve">formula: ='Quarterly MW'!W106-'Quarterly MW'!V106</t>
  </si>
  <si>
    <t xml:space="preserve">formula: ='Quarterly MW'!X106-'Quarterly MW'!W106</t>
  </si>
  <si>
    <t xml:space="preserve">formula: ='Quarterly MW'!Y106-'Quarterly MW'!X106</t>
  </si>
  <si>
    <t xml:space="preserve">formula: ='Quarterly MW'!Z106-'Quarterly MW'!Y106</t>
  </si>
  <si>
    <t xml:space="preserve">formula: ='Quarterly MW'!AA106-'Quarterly MW'!Z106</t>
  </si>
  <si>
    <t xml:space="preserve">formula: ='Quarterly MW'!AB106-'Quarterly MW'!AA106</t>
  </si>
  <si>
    <t xml:space="preserve">formula: ='Quarterly MW'!AC106-'Quarterly MW'!AB106</t>
  </si>
  <si>
    <t xml:space="preserve">formula: ='Quarterly MW'!AD106-'Quarterly MW'!AC106</t>
  </si>
  <si>
    <t xml:space="preserve">formula: ='Quarterly MW'!AE106-'Quarterly MW'!AD106</t>
  </si>
  <si>
    <t xml:space="preserve">formula: ='Quarterly MW'!AF106-'Quarterly MW'!AE106</t>
  </si>
  <si>
    <t xml:space="preserve">formula: =IF('Quarterly MW'!E111&gt;0,"GB300 NVL72","")</t>
  </si>
  <si>
    <t xml:space="preserve">formula: =IF('Quarterly MW'!F111&gt;0,"GB300 NVL72","")</t>
  </si>
  <si>
    <t xml:space="preserve">formula: =IF('Quarterly MW'!G111&gt;0,"GB300 NVL72","")</t>
  </si>
  <si>
    <t xml:space="preserve">formula: =IF('Quarterly MW'!H111&gt;0,"GB300 NVL72","")</t>
  </si>
  <si>
    <t xml:space="preserve">formula: =IF('Quarterly MW'!I111&gt;0,"GB300 NVL72","")</t>
  </si>
  <si>
    <t xml:space="preserve">formula: =IF('Quarterly MW'!J111&gt;0,"GB300 NVL72","")</t>
  </si>
  <si>
    <t xml:space="preserve">formula: =IF('Quarterly MW'!K111&gt;0,"GB300 NVL72","")</t>
  </si>
  <si>
    <t xml:space="preserve">formula: =IF('Quarterly MW'!L111&gt;0,"GB300 NVL72","")</t>
  </si>
  <si>
    <t xml:space="preserve">formula: =IF('Quarterly MW'!M111&gt;0,"GB300 NVL72","")</t>
  </si>
  <si>
    <t xml:space="preserve">formula: =IF('Quarterly MW'!N111&gt;0,"GB300 NVL72","")</t>
  </si>
  <si>
    <t xml:space="preserve">formula: =IF('Quarterly MW'!O111&gt;0,"GB300 NVL72","")</t>
  </si>
  <si>
    <t xml:space="preserve">formula: =IF('Quarterly MW'!P111&gt;0,"GB300 NVL72","")</t>
  </si>
  <si>
    <t xml:space="preserve">formula: =IF('Quarterly MW'!Q111&gt;0,"GB300 NVL72","")</t>
  </si>
  <si>
    <t xml:space="preserve">formula: =IF('Quarterly MW'!R111&gt;0,"GB300 NVL72","")</t>
  </si>
  <si>
    <t xml:space="preserve">formula: =IF('Quarterly MW'!S111&gt;0,"GB300 NVL72","")</t>
  </si>
  <si>
    <t xml:space="preserve">formula: =IF('Quarterly MW'!T111&gt;0,"GB300 NVL72","")</t>
  </si>
  <si>
    <t xml:space="preserve">formula: =IF('Quarterly MW'!U111&gt;0,"GB300 NVL72","")</t>
  </si>
  <si>
    <t xml:space="preserve">formula: =IF('Quarterly MW'!V111&gt;0,"GB300 NVL72","")</t>
  </si>
  <si>
    <t xml:space="preserve">formula: =IF('Quarterly MW'!W111&gt;0,"GB300 NVL72","")</t>
  </si>
  <si>
    <t xml:space="preserve">formula: =IF('Quarterly MW'!X111&gt;0,"GB300 NVL72","")</t>
  </si>
  <si>
    <t xml:space="preserve">formula: =IF('Quarterly MW'!Y111&gt;0,"GB300 NVL72","")</t>
  </si>
  <si>
    <t xml:space="preserve">formula: =IF('Quarterly MW'!Z111&gt;0,"GB300 NVL72","")</t>
  </si>
  <si>
    <t xml:space="preserve">formula: =IF('Quarterly MW'!AA111&gt;0,"GB300 NVL72","")</t>
  </si>
  <si>
    <t xml:space="preserve">formula: =IF('Quarterly MW'!AB111&gt;0,"GB300 NVL72","")</t>
  </si>
  <si>
    <t xml:space="preserve">formula: =IF('Quarterly MW'!AC111&gt;0,"GB300 NVL72","")</t>
  </si>
  <si>
    <t xml:space="preserve">formula: =IF('Quarterly MW'!AD111&gt;0,"GB300 NVL72","")</t>
  </si>
  <si>
    <t xml:space="preserve">formula: =IF('Quarterly MW'!AE111&gt;0,"GB300 NVL72","")</t>
  </si>
  <si>
    <t xml:space="preserve">formula: =IF('Quarterly MW'!AF111&gt;0,"GB300 NVL72","")</t>
  </si>
  <si>
    <t xml:space="preserve">formula: ='Quarterly MW'!E111-0</t>
  </si>
  <si>
    <t xml:space="preserve">formula: ='Quarterly MW'!F111-'Quarterly MW'!E111</t>
  </si>
  <si>
    <t xml:space="preserve">formula: ='Quarterly MW'!G111-'Quarterly MW'!F111</t>
  </si>
  <si>
    <t xml:space="preserve">formula: ='Quarterly MW'!H111-'Quarterly MW'!G111</t>
  </si>
  <si>
    <t xml:space="preserve">formula: ='Quarterly MW'!I111-'Quarterly MW'!H111</t>
  </si>
  <si>
    <t xml:space="preserve">formula: ='Quarterly MW'!J111-'Quarterly MW'!I111</t>
  </si>
  <si>
    <t xml:space="preserve">formula: ='Quarterly MW'!K111-'Quarterly MW'!J111</t>
  </si>
  <si>
    <t xml:space="preserve">formula: ='Quarterly MW'!L111-'Quarterly MW'!K111</t>
  </si>
  <si>
    <t xml:space="preserve">formula: ='Quarterly MW'!M111-'Quarterly MW'!L111</t>
  </si>
  <si>
    <t xml:space="preserve">formula: ='Quarterly MW'!N111-'Quarterly MW'!M111</t>
  </si>
  <si>
    <t xml:space="preserve">formula: ='Quarterly MW'!O111-'Quarterly MW'!N111</t>
  </si>
  <si>
    <t xml:space="preserve">formula: ='Quarterly MW'!P111-'Quarterly MW'!O111</t>
  </si>
  <si>
    <t xml:space="preserve">formula: ='Quarterly MW'!Q111-'Quarterly MW'!P111</t>
  </si>
  <si>
    <t xml:space="preserve">formula: ='Quarterly MW'!R111-'Quarterly MW'!Q111</t>
  </si>
  <si>
    <t xml:space="preserve">formula: ='Quarterly MW'!S111-'Quarterly MW'!R111</t>
  </si>
  <si>
    <t xml:space="preserve">formula: ='Quarterly MW'!T111-'Quarterly MW'!S111</t>
  </si>
  <si>
    <t xml:space="preserve">formula: ='Quarterly MW'!U111-'Quarterly MW'!T111</t>
  </si>
  <si>
    <t xml:space="preserve">formula: ='Quarterly MW'!V111-'Quarterly MW'!U111</t>
  </si>
  <si>
    <t xml:space="preserve">formula: ='Quarterly MW'!W111-'Quarterly MW'!V111</t>
  </si>
  <si>
    <t xml:space="preserve">formula: ='Quarterly MW'!X111-'Quarterly MW'!W111</t>
  </si>
  <si>
    <t xml:space="preserve">formula: ='Quarterly MW'!Y111-'Quarterly MW'!X111</t>
  </si>
  <si>
    <t xml:space="preserve">formula: ='Quarterly MW'!Z111-'Quarterly MW'!Y111</t>
  </si>
  <si>
    <t xml:space="preserve">formula: ='Quarterly MW'!AA111-'Quarterly MW'!Z111</t>
  </si>
  <si>
    <t xml:space="preserve">formula: ='Quarterly MW'!AB111-'Quarterly MW'!AA111</t>
  </si>
  <si>
    <t xml:space="preserve">formula: ='Quarterly MW'!AC111-'Quarterly MW'!AB111</t>
  </si>
  <si>
    <t xml:space="preserve">formula: ='Quarterly MW'!AD111-'Quarterly MW'!AC111</t>
  </si>
  <si>
    <t xml:space="preserve">formula: ='Quarterly MW'!AE111-'Quarterly MW'!AD111</t>
  </si>
  <si>
    <t xml:space="preserve">formula: ='Quarterly MW'!AF111-'Quarterly MW'!AE111</t>
  </si>
  <si>
    <t xml:space="preserve">formula: =IF('Quarterly MW'!E121&gt;0,"Vera Rubin NVL72","")</t>
  </si>
  <si>
    <t xml:space="preserve">formula: =IF('Quarterly MW'!F121&gt;0,"Vera Rubin NVL72","")</t>
  </si>
  <si>
    <t xml:space="preserve">formula: =IF('Quarterly MW'!G121&gt;0,"Vera Rubin NVL72","")</t>
  </si>
  <si>
    <t xml:space="preserve">formula: =IF('Quarterly MW'!H121&gt;0,"Vera Rubin NVL72","")</t>
  </si>
  <si>
    <t xml:space="preserve">formula: =IF('Quarterly MW'!I121&gt;0,"Vera Rubin NVL72","")</t>
  </si>
  <si>
    <t xml:space="preserve">formula: =IF('Quarterly MW'!J121&gt;0,"Vera Rubin NVL72","")</t>
  </si>
  <si>
    <t xml:space="preserve">formula: =IF('Quarterly MW'!K121&gt;0,"Vera Rubin NVL72","")</t>
  </si>
  <si>
    <t xml:space="preserve">formula: =IF('Quarterly MW'!L121&gt;0,"Vera Rubin NVL72","")</t>
  </si>
  <si>
    <t xml:space="preserve">formula: =IF('Quarterly MW'!M121&gt;0,"Vera Rubin NVL72","")</t>
  </si>
  <si>
    <t xml:space="preserve">formula: =IF('Quarterly MW'!N121&gt;0,"Vera Rubin NVL72","")</t>
  </si>
  <si>
    <t xml:space="preserve">formula: =IF('Quarterly MW'!O121&gt;0,"Vera Rubin NVL72","")</t>
  </si>
  <si>
    <t xml:space="preserve">formula: =IF('Quarterly MW'!P121&gt;0,"Vera Rubin NVL72","")</t>
  </si>
  <si>
    <t xml:space="preserve">formula: =IF('Quarterly MW'!Q121&gt;0,"Vera Rubin NVL72","")</t>
  </si>
  <si>
    <t xml:space="preserve">formula: =IF('Quarterly MW'!R121&gt;0,"Vera Rubin NVL72","")</t>
  </si>
  <si>
    <t xml:space="preserve">formula: =IF('Quarterly MW'!S121&gt;0,"Vera Rubin NVL72","")</t>
  </si>
  <si>
    <t xml:space="preserve">formula: =IF('Quarterly MW'!T121&gt;0,"Vera Rubin NVL72","")</t>
  </si>
  <si>
    <t xml:space="preserve">formula: =IF('Quarterly MW'!U121&gt;0,"Vera Rubin NVL72","")</t>
  </si>
  <si>
    <t xml:space="preserve">formula: =IF('Quarterly MW'!V121&gt;0,"Vera Rubin NVL72","")</t>
  </si>
  <si>
    <t xml:space="preserve">formula: =IF('Quarterly MW'!W121&gt;0,"Vera Rubin NVL72","")</t>
  </si>
  <si>
    <t xml:space="preserve">formula: =IF('Quarterly MW'!X121&gt;0,"Vera Rubin NVL72","")</t>
  </si>
  <si>
    <t xml:space="preserve">formula: =IF('Quarterly MW'!Y121&gt;0,"Vera Rubin NVL72","")</t>
  </si>
  <si>
    <t xml:space="preserve">formula: =IF('Quarterly MW'!Z121&gt;0,"Vera Rubin NVL72","")</t>
  </si>
  <si>
    <t xml:space="preserve">formula: =IF('Quarterly MW'!AA121&gt;0,"Vera Rubin NVL72","")</t>
  </si>
  <si>
    <t xml:space="preserve">formula: =IF('Quarterly MW'!AB121&gt;0,"Vera Rubin NVL72","")</t>
  </si>
  <si>
    <t xml:space="preserve">formula: =IF('Quarterly MW'!AC121&gt;0,"Vera Rubin NVL72","")</t>
  </si>
  <si>
    <t xml:space="preserve">formula: =IF('Quarterly MW'!AD121&gt;0,"Vera Rubin NVL72","")</t>
  </si>
  <si>
    <t xml:space="preserve">formula: =IF('Quarterly MW'!AE121&gt;0,"Vera Rubin NVL72","")</t>
  </si>
  <si>
    <t xml:space="preserve">formula: =IF('Quarterly MW'!AF121&gt;0,"Vera Rubin NVL72","")</t>
  </si>
  <si>
    <t xml:space="preserve">E47</t>
  </si>
  <si>
    <t xml:space="preserve">formula: ='Quarterly MW'!E121-0</t>
  </si>
  <si>
    <t xml:space="preserve">F47</t>
  </si>
  <si>
    <t xml:space="preserve">formula: ='Quarterly MW'!F121-'Quarterly MW'!E121</t>
  </si>
  <si>
    <t xml:space="preserve">G47</t>
  </si>
  <si>
    <t xml:space="preserve">formula: ='Quarterly MW'!G121-'Quarterly MW'!F121</t>
  </si>
  <si>
    <t xml:space="preserve">H47</t>
  </si>
  <si>
    <t xml:space="preserve">formula: ='Quarterly MW'!H121-'Quarterly MW'!G121</t>
  </si>
  <si>
    <t xml:space="preserve">formula: ='Quarterly MW'!I121-'Quarterly MW'!H121</t>
  </si>
  <si>
    <t xml:space="preserve">J47</t>
  </si>
  <si>
    <t xml:space="preserve">formula: ='Quarterly MW'!J121-'Quarterly MW'!I121</t>
  </si>
  <si>
    <t xml:space="preserve">K47</t>
  </si>
  <si>
    <t xml:space="preserve">formula: ='Quarterly MW'!K121-'Quarterly MW'!J121</t>
  </si>
  <si>
    <t xml:space="preserve">L47</t>
  </si>
  <si>
    <t xml:space="preserve">formula: ='Quarterly MW'!L121-'Quarterly MW'!K121</t>
  </si>
  <si>
    <t xml:space="preserve">M47</t>
  </si>
  <si>
    <t xml:space="preserve">formula: ='Quarterly MW'!M121-'Quarterly MW'!L121</t>
  </si>
  <si>
    <t xml:space="preserve">N47</t>
  </si>
  <si>
    <t xml:space="preserve">formula: ='Quarterly MW'!N121-'Quarterly MW'!M121</t>
  </si>
  <si>
    <t xml:space="preserve">O47</t>
  </si>
  <si>
    <t xml:space="preserve">formula: ='Quarterly MW'!O121-'Quarterly MW'!N121</t>
  </si>
  <si>
    <t xml:space="preserve">P47</t>
  </si>
  <si>
    <t xml:space="preserve">formula: ='Quarterly MW'!P121-'Quarterly MW'!O121</t>
  </si>
  <si>
    <t xml:space="preserve">Q47</t>
  </si>
  <si>
    <t xml:space="preserve">formula: ='Quarterly MW'!Q121-'Quarterly MW'!P121</t>
  </si>
  <si>
    <t xml:space="preserve">R47</t>
  </si>
  <si>
    <t xml:space="preserve">formula: ='Quarterly MW'!R121-'Quarterly MW'!Q121</t>
  </si>
  <si>
    <t xml:space="preserve">S47</t>
  </si>
  <si>
    <t xml:space="preserve">formula: ='Quarterly MW'!S121-'Quarterly MW'!R121</t>
  </si>
  <si>
    <t xml:space="preserve">T47</t>
  </si>
  <si>
    <t xml:space="preserve">formula: ='Quarterly MW'!T121-'Quarterly MW'!S121</t>
  </si>
  <si>
    <t xml:space="preserve">U47</t>
  </si>
  <si>
    <t xml:space="preserve">formula: ='Quarterly MW'!U121-'Quarterly MW'!T121</t>
  </si>
  <si>
    <t xml:space="preserve">V47</t>
  </si>
  <si>
    <t xml:space="preserve">formula: ='Quarterly MW'!V121-'Quarterly MW'!U121</t>
  </si>
  <si>
    <t xml:space="preserve">W47</t>
  </si>
  <si>
    <t xml:space="preserve">formula: ='Quarterly MW'!W121-'Quarterly MW'!V121</t>
  </si>
  <si>
    <t xml:space="preserve">X47</t>
  </si>
  <si>
    <t xml:space="preserve">formula: ='Quarterly MW'!X121-'Quarterly MW'!W121</t>
  </si>
  <si>
    <t xml:space="preserve">Y47</t>
  </si>
  <si>
    <t xml:space="preserve">formula: ='Quarterly MW'!Y121-'Quarterly MW'!X121</t>
  </si>
  <si>
    <t xml:space="preserve">Z47</t>
  </si>
  <si>
    <t xml:space="preserve">formula: ='Quarterly MW'!Z121-'Quarterly MW'!Y121</t>
  </si>
  <si>
    <t xml:space="preserve">AA47</t>
  </si>
  <si>
    <t xml:space="preserve">formula: ='Quarterly MW'!AA121-'Quarterly MW'!Z121</t>
  </si>
  <si>
    <t xml:space="preserve">AB47</t>
  </si>
  <si>
    <t xml:space="preserve">formula: ='Quarterly MW'!AB121-'Quarterly MW'!AA121</t>
  </si>
  <si>
    <t xml:space="preserve">AC47</t>
  </si>
  <si>
    <t xml:space="preserve">formula: ='Quarterly MW'!AC121-'Quarterly MW'!AB121</t>
  </si>
  <si>
    <t xml:space="preserve">AD47</t>
  </si>
  <si>
    <t xml:space="preserve">formula: ='Quarterly MW'!AD121-'Quarterly MW'!AC121</t>
  </si>
  <si>
    <t xml:space="preserve">AE47</t>
  </si>
  <si>
    <t xml:space="preserve">formula: ='Quarterly MW'!AE121-'Quarterly MW'!AD121</t>
  </si>
  <si>
    <t xml:space="preserve">AF47</t>
  </si>
  <si>
    <t xml:space="preserve">formula: ='Quarterly MW'!AF121-'Quarterly MW'!AE121</t>
  </si>
  <si>
    <t xml:space="preserve">Vineland tranche track</t>
  </si>
  <si>
    <t xml:space="preserve">https://www.sec.gov/Archives/edgar/data/1513845/000110465926052948/nbis-20251231x20f.htm Note 1 F-17</t>
  </si>
  <si>
    <t xml:space="preserve">17392.9</t>
  </si>
  <si>
    <t xml:space="preserve">https://www.sec.gov/Archives/edgar/data/1513845/000110465926052948/nbis-20251231x20f.htm</t>
  </si>
  <si>
    <t xml:space="preserve">6958.1</t>
  </si>
  <si>
    <t xml:space="preserve">https://nebius.com/blog/posts/300-mw-new-jersey-and-iceland-regions</t>
  </si>
  <si>
    <t xml:space="preserve">B7</t>
  </si>
  <si>
    <t xml:space="preserve">/workspace/nebius/capacity/gpu_mw_capex.xlsx / gpu_mw_capex.md sec.4</t>
  </si>
  <si>
    <t xml:space="preserve">B8</t>
  </si>
  <si>
    <t xml:space="preserve">62</t>
  </si>
  <si>
    <t xml:space="preserve">https://www.enr.com/articles/63695-inside-the-vineland-data-center-power-dispute (NJDEP)</t>
  </si>
  <si>
    <t xml:space="preserve">B9</t>
  </si>
  <si>
    <t xml:space="preserve">1.982</t>
  </si>
  <si>
    <t xml:space="preserve">https://www.enr.com/articles/63695-inside-the-vineland-data-center-power-dispute</t>
  </si>
  <si>
    <t xml:space="preserve">B10</t>
  </si>
  <si>
    <t xml:space="preserve">Reported (secondary)</t>
  </si>
  <si>
    <t xml:space="preserve">B11</t>
  </si>
  <si>
    <t xml:space="preserve">1.2</t>
  </si>
  <si>
    <t xml:space="preserve">B12</t>
  </si>
  <si>
    <t xml:space="preserve">582.3</t>
  </si>
  <si>
    <t xml:space="preserve">/workspace/nebius/filings/nebius_filings.xlsx (Quarterly, MW_Disclosures)</t>
  </si>
  <si>
    <t xml:space="preserve">B13</t>
  </si>
  <si>
    <t xml:space="preserve">0.24</t>
  </si>
  <si>
    <t xml:space="preserve">/workspace/nebius/filings/nebius_filings.xlsx (Quarterly, MW_Disclosures) (identity not disclosed)</t>
  </si>
  <si>
    <t xml:space="preserve">B15</t>
  </si>
  <si>
    <t xml:space="preserve">formula: =$B$6/$B$3</t>
  </si>
  <si>
    <t xml:space="preserve">B16</t>
  </si>
  <si>
    <t xml:space="preserve">formula: =$B$7/$B$3</t>
  </si>
  <si>
    <t xml:space="preserve">B17</t>
  </si>
  <si>
    <t xml:space="preserve">formula: =$B$8*$B$9+$B$10</t>
  </si>
  <si>
    <t xml:space="preserve">B18</t>
  </si>
  <si>
    <t xml:space="preserve">formula: =ROUND(($B$8*$B$9+$B$10)/$B$11,1)</t>
  </si>
  <si>
    <t xml:space="preserve">B19</t>
  </si>
  <si>
    <t xml:space="preserve">formula: =ROUNDDOWN(B18/B16,1)</t>
  </si>
  <si>
    <t xml:space="preserve">B20</t>
  </si>
  <si>
    <t xml:space="preserve">formula: =$B$4/$B$3</t>
  </si>
  <si>
    <t xml:space="preserve">B21</t>
  </si>
  <si>
    <t xml:space="preserve">formula: =B20/20</t>
  </si>
  <si>
    <t xml:space="preserve">B22</t>
  </si>
  <si>
    <t xml:space="preserve">formula: =$B$4/20</t>
  </si>
  <si>
    <t xml:space="preserve">B23</t>
  </si>
  <si>
    <t xml:space="preserve">formula: =$B$12*$B$13</t>
  </si>
  <si>
    <t xml:space="preserve">B24</t>
  </si>
  <si>
    <t xml:space="preserve">formula: =2*B21</t>
  </si>
  <si>
    <t xml:space="preserve">B25</t>
  </si>
  <si>
    <t xml:space="preserve">formula: =B23/B22</t>
  </si>
  <si>
    <t xml:space="preserve">B29</t>
  </si>
  <si>
    <t xml:space="preserve">C29</t>
  </si>
  <si>
    <t xml:space="preserve">D29</t>
  </si>
  <si>
    <t xml:space="preserve">formula: =$B$15</t>
  </si>
  <si>
    <t xml:space="preserve">equal split assumption (300/9)</t>
  </si>
  <si>
    <t xml:space="preserve">formula: =$B$16</t>
  </si>
  <si>
    <t xml:space="preserve">equal split assumption (240/9)</t>
  </si>
  <si>
    <t xml:space="preserve">formula: =SUM($F$29:F29)</t>
  </si>
  <si>
    <t xml:space="preserve">cumulative</t>
  </si>
  <si>
    <t xml:space="preserve">formula: =IF(G29&lt;=$B$18+0.5,"yes","NO - needs Bloom")</t>
  </si>
  <si>
    <t xml:space="preserve">vs generator ceiling IT</t>
  </si>
  <si>
    <t xml:space="preserve">Billing = delivery for T1-T4 (contract invoiced monthly per tranche term); T5-T9 = Bloom energization + &gt;=1 qtr commissioning lag</t>
  </si>
  <si>
    <t xml:space="preserve">as col I</t>
  </si>
  <si>
    <t xml:space="preserve">B30</t>
  </si>
  <si>
    <t xml:space="preserve">C30</t>
  </si>
  <si>
    <t xml:space="preserve">D30</t>
  </si>
  <si>
    <t xml:space="preserve">formula: =SUM($F$29:F30)</t>
  </si>
  <si>
    <t xml:space="preserve">formula: =IF(G30&lt;=$B$18+0.5,"yes","NO - needs Bloom")</t>
  </si>
  <si>
    <t xml:space="preserve">B31</t>
  </si>
  <si>
    <t xml:space="preserve">C31</t>
  </si>
  <si>
    <t xml:space="preserve">D31</t>
  </si>
  <si>
    <t xml:space="preserve">formula: =SUM($F$29:F31)</t>
  </si>
  <si>
    <t xml:space="preserve">formula: =IF(G31&lt;=$B$18+0.5,"yes","NO - needs Bloom")</t>
  </si>
  <si>
    <t xml:space="preserve">B32</t>
  </si>
  <si>
    <t xml:space="preserve">C32</t>
  </si>
  <si>
    <t xml:space="preserve">D32</t>
  </si>
  <si>
    <t xml:space="preserve">formula: =SUM($F$29:F32)</t>
  </si>
  <si>
    <t xml:space="preserve">formula: =IF(G32&lt;=$B$18+0.5,"yes","NO - needs Bloom")</t>
  </si>
  <si>
    <t xml:space="preserve">B33</t>
  </si>
  <si>
    <t xml:space="preserve">Reported (call)</t>
  </si>
  <si>
    <t xml:space="preserve">C33</t>
  </si>
  <si>
    <t xml:space="preserve">D33</t>
  </si>
  <si>
    <t xml:space="preserve">formula: =SUM($F$29:F33)</t>
  </si>
  <si>
    <t xml:space="preserve">formula: =IF(G33&lt;=$B$18+0.5,"yes","NO - needs Bloom")</t>
  </si>
  <si>
    <t xml:space="preserve">B34</t>
  </si>
  <si>
    <t xml:space="preserve">C34</t>
  </si>
  <si>
    <t xml:space="preserve">D34</t>
  </si>
  <si>
    <t xml:space="preserve">formula: =SUM($F$29:F34)</t>
  </si>
  <si>
    <t xml:space="preserve">formula: =IF(G34&lt;=$B$18+0.5,"yes","NO - needs Bloom")</t>
  </si>
  <si>
    <t xml:space="preserve">B35</t>
  </si>
  <si>
    <t xml:space="preserve">C35</t>
  </si>
  <si>
    <t xml:space="preserve">D35</t>
  </si>
  <si>
    <t xml:space="preserve">formula: =SUM($F$29:F35)</t>
  </si>
  <si>
    <t xml:space="preserve">formula: =IF(G35&lt;=$B$18+0.5,"yes","NO - needs Bloom")</t>
  </si>
  <si>
    <t xml:space="preserve">B36</t>
  </si>
  <si>
    <t xml:space="preserve">C36</t>
  </si>
  <si>
    <t xml:space="preserve">D36</t>
  </si>
  <si>
    <t xml:space="preserve">formula: =SUM($F$29:F36)</t>
  </si>
  <si>
    <t xml:space="preserve">formula: =IF(G36&lt;=$B$18+0.5,"yes","NO - needs Bloom")</t>
  </si>
  <si>
    <t xml:space="preserve">B37</t>
  </si>
  <si>
    <t xml:space="preserve">C37</t>
  </si>
  <si>
    <t xml:space="preserve">D37</t>
  </si>
  <si>
    <t xml:space="preserve">formula: =SUM($F$29:F37)</t>
  </si>
  <si>
    <t xml:space="preserve">formula: =IF(G37&lt;=$B$18+0.5,"yes","NO - needs Bloom")</t>
  </si>
  <si>
    <t xml:space="preserve">https://www.sec.gov/Archives/edgar/data/1513845/000110465925088312/tm2525580d1_6k.htm; https://www.sec.gov/Archives/edgar/data/1513845/000110465926052948/nbis-20251231x20f.htm; https://www.sec.gov/Archives/edgar/data/1513845/000110465926094568/tm2622968d1_ex99-2.htm; https://www.fool.com/earnings/ca</t>
  </si>
  <si>
    <t xml:space="preserve">IT (energized rows); contracted 300 = gross</t>
  </si>
  <si>
    <t xml:space="preserve">colo/lease figures treated as critical IT unless evidence says gross; owned utility figures treated as gross</t>
  </si>
  <si>
    <t xml:space="preserve">Operating PUE 1.2 for liquid-cooled GB300 (team ceiling formula); design ratio 300/240 = 1.25 | /workspace/nebius/peers/comparison.xlsx (Contracts_$MWyr, Sites tabs)</t>
  </si>
  <si>
    <t xml:space="preserve">owned</t>
  </si>
  <si>
    <t xml:space="preserve">https://nebius.com/independencemo; https://www.independencemo.gov/sites/default/files/2026-02/Nebius%20x%20Independence%2C%20MO.cleaned.pdf; https://citizenportal.ai/articles/7477161 (Independence PUAB: IPP PPA/ESA timeline); https://ded.mo.gov/press-room/nebius-breaks-ground-gigawatt-scale-ai-facto</t>
  </si>
  <si>
    <t xml:space="preserve">not stated</t>
  </si>
  <si>
    <t xml:space="preserve">1.35</t>
  </si>
  <si>
    <t xml:space="preserve">Peer utility-to-IT design ratios 1.30-1.52 (AIB 65/50, Crusoe 900/672, Denton 394/262, Helios 800/526; peers comparison.xlsx); operating PUE ~1.2-1.3 | /workspace/nebius/peers/comparison.xlsx (Contracts_$MWyr, Sites tabs)</t>
  </si>
  <si>
    <t xml:space="preserve">https://nebius.com/schuylkillcountypa; https://www.republicanherald.com/2026/09/01/nebius-gets-green-light-to-expand-its-data-center-plan-in-butler-twp/; https://www.republicanherald.com/2026/04/24/butler-twp-switchyard-to-anchor-data-center-in-ppl-powerline-overhaul/; https://www.datacenterdynamics</t>
  </si>
  <si>
    <t xml:space="preserve">as IND | /workspace/nebius/peers/comparison.xlsx (Contracts_$MWyr, Sites tabs)</t>
  </si>
  <si>
    <t xml:space="preserve">https://nebius.com/birminghamal; https://abc3340.com/resources/pdf/9222f76a-3063-46e4-aee7-796b30ed611f-NebiusResponsestoCityLetter_Redacted.pdf; https://bhamnow.com/2026/05/18/40-million-permits-birmingham-data-center/; https://www.wbhm.org/local-news/2026-09-18/action-picks-up-in-lawsuits-targetin</t>
  </si>
  <si>
    <t xml:space="preserve">https://www.reuters.com/technology/amsterdam-based-ai-firm-nebius-build-240mw-data-centre-near-lille-france-2026-02-12/; https://www.lavoixdunord.fr/1740138/article/2026-09-24/la-premiere-ia-factory-des-hauts-de-france-va-bientot-prendre-vie-bethune; https://www.nordfranceinvest.com/success-story/du</t>
  </si>
  <si>
    <t xml:space="preserve">1.3</t>
  </si>
  <si>
    <t xml:space="preserve">Northern France climate; peer range | /workspace/nebius/peers/comparison.xlsx (Contracts_$MWyr, Sites tabs)</t>
  </si>
  <si>
    <t xml:space="preserve">https://nebius.com/newsroom/nebius-to-construct-310-mw-ai-factory-in-finland; https://fira.fi/en/tiedote/construction-and-project-development-company-fira-selected-as-main-contractor-for-one-of-europes-largest-ai-data-center-projects/; https://www.caverion.com/newsroom/releases/2026/caverion-to-deli</t>
  </si>
  <si>
    <t xml:space="preserve">1.15</t>
  </si>
  <si>
    <t xml:space="preserve">Nordic free cooling (Mantsala-class) | /workspace/nebius/peers/comparison.xlsx (Contracts_$MWyr, Sites tabs)</t>
  </si>
  <si>
    <t xml:space="preserve">1.1</t>
  </si>
  <si>
    <t xml:space="preserve">PUE ~1.1 (company statements per site_list; 20-F gives no number) | /workspace/nebius/peers/comparison.xlsx (Contracts_$MWyr, Sites tabs)</t>
  </si>
  <si>
    <t xml:space="preserve">https://www.assemblincaverion.com/news-and-media/news/2026/caverion-finland-strengthens-its-position-in-the-data-centre-market-and-will-deliver-a-eur-15-million-substation-for-ai-cloud-company-nebius/; https://www.datacenterdynamics.com/en/news/nebius-expands-european-presence-announces-deployment-i</t>
  </si>
  <si>
    <t xml:space="preserve">Nordic | /workspace/nebius/peers/comparison.xlsx (Contracts_$MWyr, Sites tabs)</t>
  </si>
  <si>
    <t xml:space="preserve">Air-cooled Hopper/B200 retrofit; colo leases usually priced on critical IT | /workspace/nebius/peers/comparison.xlsx (Contracts_$MWyr, Sites tabs)</t>
  </si>
  <si>
    <t xml:space="preserve">Equinix urban colo | /workspace/nebius/peers/comparison.xlsx (Contracts_$MWyr, Sites tabs)</t>
  </si>
  <si>
    <t xml:space="preserve">Iceland free cooling | /workspace/nebius/peers/comparison.xlsx (Contracts_$MWyr, Sites tabs)</t>
  </si>
  <si>
    <t xml:space="preserve">gross (Derived)</t>
  </si>
  <si>
    <t xml:space="preserve">Air-cooled HGX B300 | /workspace/nebius/peers/comparison.xlsx (Contracts_$MWyr, Sites tabs)</t>
  </si>
  <si>
    <t xml:space="preserve">https://www.datacenterdynamics.com/en/news/nebius-signs-22mw-capacity-agreement-with-kao-data-in-the-uk/; https://www.linkedin.com/posts/infratil_klon-03-development-update-activity-7404073674942656512-l6mm; https://nebius.com/newsroom/nebius-expands-in-uk-with-more-nvidia-powered-infrastructure-mor</t>
  </si>
  <si>
    <t xml:space="preserve">Kao Data design PUE ~1.2 (Estimated) | /workspace/nebius/peers/comparison.xlsx (Contracts_$MWyr, Sites tabs)</t>
  </si>
  <si>
    <t xml:space="preserve">https://vantage-dc.com/news/vantage-data-centers-and-nebius-expand-uk-ai-infrastructure-with-first-deployment-in-south-wales-ai-growth-zone/; https://nebius.com/newsroom/nebius-expands-in-uk-with-more-nvidia-powered-infrastructure-more-customers-and-more-cloud-capabilities-for-agentic-and-enterprise</t>
  </si>
  <si>
    <t xml:space="preserve">1.25</t>
  </si>
  <si>
    <t xml:space="preserve">UK colo | /workspace/nebius/peers/comparison.xlsx (Contracts_$MWyr, Sites tabs)</t>
  </si>
  <si>
    <t xml:space="preserve">IT (Derived)</t>
  </si>
  <si>
    <t xml:space="preserve">Israel climate | /workspace/nebius/peers/comparison.xlsx (Contracts_$MWyr, Sites tabs)</t>
  </si>
  <si>
    <t xml:space="preserve">Madrid climate | /workspace/nebius/peers/comparison.xlsx (Contracts_$MWyr, Sites tabs)</t>
  </si>
  <si>
    <t xml:space="preserve">Baltic climate | /workspace/nebius/peers/comparison.xlsx (Contracts_$MWyr, Sites tabs)</t>
  </si>
  <si>
    <t xml:space="preserve">https://www.sec.gov/Archives/edgar/data/1513845/000110465926052948/nbis-20251231x20f.htm; https://docs.nebius.com/overview/regions (accessed 2026-10-04); https://woodburynewsnet.org/7933/business/what-woodbury-residents-should-know-about-irongates-two-data-centers/; https://boards-api.greenhouse.io/</t>
  </si>
  <si>
    <t xml:space="preserve">US colo | /workspace/nebius/peers/comparison.xlsx (Contracts_$MWyr, Sites tabs)</t>
  </si>
  <si>
    <t xml:space="preserve">US colo, liquid cooling | /workspace/nebius/peers/comparison.xlsx (Contracts_$MWyr, Sites tabs)</t>
  </si>
  <si>
    <t xml:space="preserve">n/d | /workspace/nebius/peers/comparison.xlsx (Contracts_$MWyr, Sites tabs)</t>
  </si>
  <si>
    <t xml:space="preserve">http://archive.fast-edgar.com/20260930/AB2ZM22DL222P26L222Q2MY2R6GDZ222ZQ82/ea030723301ex99-1.htm (AIB 8-K Ex.99.1, Sep 30 2026); https://www.globenewswire.com/news-release/2026/09/30/3371855/0/en/aib-data-centers-signs-contract-with-nebius-for-ai-data-center-capacity.html; https://www.sec.gov/Archi</t>
  </si>
  <si>
    <t xml:space="preserve">IT (Reported)</t>
  </si>
  <si>
    <t xml:space="preserve">65/50 = 1.30 | /workspace/nebius/peers/comparison.xlsx (Contracts_$MWyr, Sites tabs)</t>
  </si>
  <si>
    <t xml:space="preserve">E135</t>
  </si>
  <si>
    <t xml:space="preserve">formula: =N(E4)+N(E9)/Basis!$G$3+N(E14)/Basis!$G$4+N(E19)/Basis!$G$5+N(E24)/Basis!$G$6+N(E29)/Basis!$G$7+N(E34)/Basis!$G$8+N(E39)/Basis!$G$9+N(E44)+N(E49)+N(E54)+N(E59)/Basis!$G$13+N(E64)+N(E69)+N(E74)+N(E79)+N(E84)+N(E89)+N(E94)+N(E99)+N(E104)+N(E109)+N(E114)+N(E119)</t>
  </si>
  <si>
    <t xml:space="preserve">sum of site Energized MW low converted to IT basis with Basis tab factors</t>
  </si>
  <si>
    <t xml:space="preserve">F135</t>
  </si>
  <si>
    <t xml:space="preserve">formula: =N(F4)+N(F9)/Basis!$G$3+N(F14)/Basis!$G$4+N(F19)/Basis!$G$5+N(F24)/Basis!$G$6+N(F29)/Basis!$G$7+N(F34)/Basis!$G$8+N(F39)/Basis!$G$9+N(F44)+N(F49)+N(F54)+N(F59)/Basis!$G$13+N(F64)+N(F69)+N(F74)+N(F79)+N(F84)+N(F89)+N(F94)+N(F99)+N(F104)+N(F109)+N(F114)+N(F119)</t>
  </si>
  <si>
    <t xml:space="preserve">G135</t>
  </si>
  <si>
    <t xml:space="preserve">formula: =N(G4)+N(G9)/Basis!$G$3+N(G14)/Basis!$G$4+N(G19)/Basis!$G$5+N(G24)/Basis!$G$6+N(G29)/Basis!$G$7+N(G34)/Basis!$G$8+N(G39)/Basis!$G$9+N(G44)+N(G49)+N(G54)+N(G59)/Basis!$G$13+N(G64)+N(G69)+N(G74)+N(G79)+N(G84)+N(G89)+N(G94)+N(G99)+N(G104)+N(G109)+N(G114)+N(G119)</t>
  </si>
  <si>
    <t xml:space="preserve">H135</t>
  </si>
  <si>
    <t xml:space="preserve">formula: =N(H4)+N(H9)/Basis!$G$3+N(H14)/Basis!$G$4+N(H19)/Basis!$G$5+N(H24)/Basis!$G$6+N(H29)/Basis!$G$7+N(H34)/Basis!$G$8+N(H39)/Basis!$G$9+N(H44)+N(H49)+N(H54)+N(H59)/Basis!$G$13+N(H64)+N(H69)+N(H74)+N(H79)+N(H84)+N(H89)+N(H94)+N(H99)+N(H104)+N(H109)+N(H114)+N(H119)</t>
  </si>
  <si>
    <t xml:space="preserve">I135</t>
  </si>
  <si>
    <t xml:space="preserve">formula: =N(I4)+N(I9)/Basis!$G$3+N(I14)/Basis!$G$4+N(I19)/Basis!$G$5+N(I24)/Basis!$G$6+N(I29)/Basis!$G$7+N(I34)/Basis!$G$8+N(I39)/Basis!$G$9+N(I44)+N(I49)+N(I54)+N(I59)/Basis!$G$13+N(I64)+N(I69)+N(I74)+N(I79)+N(I84)+N(I89)+N(I94)+N(I99)+N(I104)+N(I109)+N(I114)+N(I119)</t>
  </si>
  <si>
    <t xml:space="preserve">J135</t>
  </si>
  <si>
    <t xml:space="preserve">formula: =N(J4)+N(J9)/Basis!$G$3+N(J14)/Basis!$G$4+N(J19)/Basis!$G$5+N(J24)/Basis!$G$6+N(J29)/Basis!$G$7+N(J34)/Basis!$G$8+N(J39)/Basis!$G$9+N(J44)+N(J49)+N(J54)+N(J59)/Basis!$G$13+N(J64)+N(J69)+N(J74)+N(J79)+N(J84)+N(J89)+N(J94)+N(J99)+N(J104)+N(J109)+N(J114)+N(J119)</t>
  </si>
  <si>
    <t xml:space="preserve">K135</t>
  </si>
  <si>
    <t xml:space="preserve">formula: =N(K4)+N(K9)/Basis!$G$3+N(K14)/Basis!$G$4+N(K19)/Basis!$G$5+N(K24)/Basis!$G$6+N(K29)/Basis!$G$7+N(K34)/Basis!$G$8+N(K39)/Basis!$G$9+N(K44)+N(K49)+N(K54)+N(K59)/Basis!$G$13+N(K64)+N(K69)+N(K74)+N(K79)+N(K84)+N(K89)+N(K94)+N(K99)+N(K104)+N(K109)+N(K114)+N(K119)</t>
  </si>
  <si>
    <t xml:space="preserve">L135</t>
  </si>
  <si>
    <t xml:space="preserve">formula: =N(L4)+N(L9)/Basis!$G$3+N(L14)/Basis!$G$4+N(L19)/Basis!$G$5+N(L24)/Basis!$G$6+N(L29)/Basis!$G$7+N(L34)/Basis!$G$8+N(L39)/Basis!$G$9+N(L44)+N(L49)+N(L54)+N(L59)/Basis!$G$13+N(L64)+N(L69)+N(L74)+N(L79)+N(L84)+N(L89)+N(L94)+N(L99)+N(L104)+N(L109)+N(L114)+N(L119)</t>
  </si>
  <si>
    <t xml:space="preserve">M135</t>
  </si>
  <si>
    <t xml:space="preserve">formula: =N(M4)+N(M9)/Basis!$G$3+N(M14)/Basis!$G$4+N(M19)/Basis!$G$5+N(M24)/Basis!$G$6+N(M29)/Basis!$G$7+N(M34)/Basis!$G$8+N(M39)/Basis!$G$9+N(M44)+N(M49)+N(M54)+N(M59)/Basis!$G$13+N(M64)+N(M69)+N(M74)+N(M79)+N(M84)+N(M89)+N(M94)+N(M99)+N(M104)+N(M109)+N(M114)+N(M119)</t>
  </si>
  <si>
    <t xml:space="preserve">N135</t>
  </si>
  <si>
    <t xml:space="preserve">formula: =N(N4)+N(N9)/Basis!$G$3+N(N14)/Basis!$G$4+N(N19)/Basis!$G$5+N(N24)/Basis!$G$6+N(N29)/Basis!$G$7+N(N34)/Basis!$G$8+N(N39)/Basis!$G$9+N(N44)+N(N49)+N(N54)+N(N59)/Basis!$G$13+N(N64)+N(N69)+N(N74)+N(N79)+N(N84)+N(N89)+N(N94)+N(N99)+N(N104)+N(N109)+N(N114)+N(N119)</t>
  </si>
  <si>
    <t xml:space="preserve">O135</t>
  </si>
  <si>
    <t xml:space="preserve">formula: =N(O4)+N(O9)/Basis!$G$3+N(O14)/Basis!$G$4+N(O19)/Basis!$G$5+N(O24)/Basis!$G$6+N(O29)/Basis!$G$7+N(O34)/Basis!$G$8+N(O39)/Basis!$G$9+N(O44)+N(O49)+N(O54)+N(O59)/Basis!$G$13+N(O64)+N(O69)+N(O74)+N(O79)+N(O84)+N(O89)+N(O94)+N(O99)+N(O104)+N(O109)+N(O114)+N(O119)</t>
  </si>
  <si>
    <t xml:space="preserve">P135</t>
  </si>
  <si>
    <t xml:space="preserve">formula: =N(P4)+N(P9)/Basis!$G$3+N(P14)/Basis!$G$4+N(P19)/Basis!$G$5+N(P24)/Basis!$G$6+N(P29)/Basis!$G$7+N(P34)/Basis!$G$8+N(P39)/Basis!$G$9+N(P44)+N(P49)+N(P54)+N(P59)/Basis!$G$13+N(P64)+N(P69)+N(P74)+N(P79)+N(P84)+N(P89)+N(P94)+N(P99)+N(P104)+N(P109)+N(P114)+N(P119)</t>
  </si>
  <si>
    <t xml:space="preserve">Q135</t>
  </si>
  <si>
    <t xml:space="preserve">formula: =N(Q4)+N(Q9)/Basis!$G$3+N(Q14)/Basis!$G$4+N(Q19)/Basis!$G$5+N(Q24)/Basis!$G$6+N(Q29)/Basis!$G$7+N(Q34)/Basis!$G$8+N(Q39)/Basis!$G$9+N(Q44)+N(Q49)+N(Q54)+N(Q59)/Basis!$G$13+N(Q64)+N(Q69)+N(Q74)+N(Q79)+N(Q84)+N(Q89)+N(Q94)+N(Q99)+N(Q104)+N(Q109)+N(Q114)+N(Q119)</t>
  </si>
  <si>
    <t xml:space="preserve">R135</t>
  </si>
  <si>
    <t xml:space="preserve">formula: =N(R4)+N(R9)/Basis!$G$3+N(R14)/Basis!$G$4+N(R19)/Basis!$G$5+N(R24)/Basis!$G$6+N(R29)/Basis!$G$7+N(R34)/Basis!$G$8+N(R39)/Basis!$G$9+N(R44)+N(R49)+N(R54)+N(R59)/Basis!$G$13+N(R64)+N(R69)+N(R74)+N(R79)+N(R84)+N(R89)+N(R94)+N(R99)+N(R104)+N(R109)+N(R114)+N(R119)</t>
  </si>
  <si>
    <t xml:space="preserve">S135</t>
  </si>
  <si>
    <t xml:space="preserve">formula: =N(S4)+N(S9)/Basis!$G$3+N(S14)/Basis!$G$4+N(S19)/Basis!$G$5+N(S24)/Basis!$G$6+N(S29)/Basis!$G$7+N(S34)/Basis!$G$8+N(S39)/Basis!$G$9+N(S44)+N(S49)+N(S54)+N(S59)/Basis!$G$13+N(S64)+N(S69)+N(S74)+N(S79)+N(S84)+N(S89)+N(S94)+N(S99)+N(S104)+N(S109)+N(S114)+N(S119)</t>
  </si>
  <si>
    <t xml:space="preserve">T135</t>
  </si>
  <si>
    <t xml:space="preserve">formula: =N(T4)+N(T9)/Basis!$G$3+N(T14)/Basis!$G$4+N(T19)/Basis!$G$5+N(T24)/Basis!$G$6+N(T29)/Basis!$G$7+N(T34)/Basis!$G$8+N(T39)/Basis!$G$9+N(T44)+N(T49)+N(T54)+N(T59)/Basis!$G$13+N(T64)+N(T69)+N(T74)+N(T79)+N(T84)+N(T89)+N(T94)+N(T99)+N(T104)+N(T109)+N(T114)+N(T119)</t>
  </si>
  <si>
    <t xml:space="preserve">U135</t>
  </si>
  <si>
    <t xml:space="preserve">formula: =N(U4)+N(U9)/Basis!$G$3+N(U14)/Basis!$G$4+N(U19)/Basis!$G$5+N(U24)/Basis!$G$6+N(U29)/Basis!$G$7+N(U34)/Basis!$G$8+N(U39)/Basis!$G$9+N(U44)+N(U49)+N(U54)+N(U59)/Basis!$G$13+N(U64)+N(U69)+N(U74)+N(U79)+N(U84)+N(U89)+N(U94)+N(U99)+N(U104)+N(U109)+N(U114)+N(U119)</t>
  </si>
  <si>
    <t xml:space="preserve">V135</t>
  </si>
  <si>
    <t xml:space="preserve">formula: =N(V4)+N(V9)/Basis!$G$3+N(V14)/Basis!$G$4+N(V19)/Basis!$G$5+N(V24)/Basis!$G$6+N(V29)/Basis!$G$7+N(V34)/Basis!$G$8+N(V39)/Basis!$G$9+N(V44)+N(V49)+N(V54)+N(V59)/Basis!$G$13+N(V64)+N(V69)+N(V74)+N(V79)+N(V84)+N(V89)+N(V94)+N(V99)+N(V104)+N(V109)+N(V114)+N(V119)</t>
  </si>
  <si>
    <t xml:space="preserve">W135</t>
  </si>
  <si>
    <t xml:space="preserve">formula: =N(W4)+N(W9)/Basis!$G$3+N(W14)/Basis!$G$4+N(W19)/Basis!$G$5+N(W24)/Basis!$G$6+N(W29)/Basis!$G$7+N(W34)/Basis!$G$8+N(W39)/Basis!$G$9+N(W44)+N(W49)+N(W54)+N(W59)/Basis!$G$13+N(W64)+N(W69)+N(W74)+N(W79)+N(W84)+N(W89)+N(W94)+N(W99)+N(W104)+N(W109)+N(W114)+N(W119)</t>
  </si>
  <si>
    <t xml:space="preserve">X135</t>
  </si>
  <si>
    <t xml:space="preserve">formula: =N(X4)+N(X9)/Basis!$G$3+N(X14)/Basis!$G$4+N(X19)/Basis!$G$5+N(X24)/Basis!$G$6+N(X29)/Basis!$G$7+N(X34)/Basis!$G$8+N(X39)/Basis!$G$9+N(X44)+N(X49)+N(X54)+N(X59)/Basis!$G$13+N(X64)+N(X69)+N(X74)+N(X79)+N(X84)+N(X89)+N(X94)+N(X99)+N(X104)+N(X109)+N(X114)+N(X119)</t>
  </si>
  <si>
    <t xml:space="preserve">Y135</t>
  </si>
  <si>
    <t xml:space="preserve">formula: =N(Y4)+N(Y9)/Basis!$G$3+N(Y14)/Basis!$G$4+N(Y19)/Basis!$G$5+N(Y24)/Basis!$G$6+N(Y29)/Basis!$G$7+N(Y34)/Basis!$G$8+N(Y39)/Basis!$G$9+N(Y44)+N(Y49)+N(Y54)+N(Y59)/Basis!$G$13+N(Y64)+N(Y69)+N(Y74)+N(Y79)+N(Y84)+N(Y89)+N(Y94)+N(Y99)+N(Y104)+N(Y109)+N(Y114)+N(Y119)</t>
  </si>
  <si>
    <t xml:space="preserve">Z135</t>
  </si>
  <si>
    <t xml:space="preserve">formula: =N(Z4)+N(Z9)/Basis!$G$3+N(Z14)/Basis!$G$4+N(Z19)/Basis!$G$5+N(Z24)/Basis!$G$6+N(Z29)/Basis!$G$7+N(Z34)/Basis!$G$8+N(Z39)/Basis!$G$9+N(Z44)+N(Z49)+N(Z54)+N(Z59)/Basis!$G$13+N(Z64)+N(Z69)+N(Z74)+N(Z79)+N(Z84)+N(Z89)+N(Z94)+N(Z99)+N(Z104)+N(Z109)+N(Z114)+N(Z119)</t>
  </si>
  <si>
    <t xml:space="preserve">AA135</t>
  </si>
  <si>
    <t xml:space="preserve">formula: =N(AA4)+N(AA9)/Basis!$G$3+N(AA14)/Basis!$G$4+N(AA19)/Basis!$G$5+N(AA24)/Basis!$G$6+N(AA29)/Basis!$G$7+N(AA34)/Basis!$G$8+N(AA39)/Basis!$G$9+N(AA44)+N(AA49)+N(AA54)+N(AA59)/Basis!$G$13+N(AA64)+N(AA69)+N(AA74)+N(AA79)+N(AA84)+N(AA89)+N(AA94)+N(AA99)+N(AA104)+N(AA109)+N(AA114)+N(AA119)</t>
  </si>
  <si>
    <t xml:space="preserve">AB135</t>
  </si>
  <si>
    <t xml:space="preserve">formula: =N(AB4)+N(AB9)/Basis!$G$3+N(AB14)/Basis!$G$4+N(AB19)/Basis!$G$5+N(AB24)/Basis!$G$6+N(AB29)/Basis!$G$7+N(AB34)/Basis!$G$8+N(AB39)/Basis!$G$9+N(AB44)+N(AB49)+N(AB54)+N(AB59)/Basis!$G$13+N(AB64)+N(AB69)+N(AB74)+N(AB79)+N(AB84)+N(AB89)+N(AB94)+N(AB99)+N(AB104)+N(AB109)+N(AB114)+N(AB119)</t>
  </si>
  <si>
    <t xml:space="preserve">AC135</t>
  </si>
  <si>
    <t xml:space="preserve">formula: =N(AC4)+N(AC9)/Basis!$G$3+N(AC14)/Basis!$G$4+N(AC19)/Basis!$G$5+N(AC24)/Basis!$G$6+N(AC29)/Basis!$G$7+N(AC34)/Basis!$G$8+N(AC39)/Basis!$G$9+N(AC44)+N(AC49)+N(AC54)+N(AC59)/Basis!$G$13+N(AC64)+N(AC69)+N(AC74)+N(AC79)+N(AC84)+N(AC89)+N(AC94)+N(AC99)+N(AC104)+N(AC109)+N(AC114)+N(AC119)</t>
  </si>
  <si>
    <t xml:space="preserve">AD135</t>
  </si>
  <si>
    <t xml:space="preserve">formula: =N(AD4)+N(AD9)/Basis!$G$3+N(AD14)/Basis!$G$4+N(AD19)/Basis!$G$5+N(AD24)/Basis!$G$6+N(AD29)/Basis!$G$7+N(AD34)/Basis!$G$8+N(AD39)/Basis!$G$9+N(AD44)+N(AD49)+N(AD54)+N(AD59)/Basis!$G$13+N(AD64)+N(AD69)+N(AD74)+N(AD79)+N(AD84)+N(AD89)+N(AD94)+N(AD99)+N(AD104)+N(AD109)+N(AD114)+N(AD119)</t>
  </si>
  <si>
    <t xml:space="preserve">AE135</t>
  </si>
  <si>
    <t xml:space="preserve">formula: =N(AE4)+N(AE9)/Basis!$G$3+N(AE14)/Basis!$G$4+N(AE19)/Basis!$G$5+N(AE24)/Basis!$G$6+N(AE29)/Basis!$G$7+N(AE34)/Basis!$G$8+N(AE39)/Basis!$G$9+N(AE44)+N(AE49)+N(AE54)+N(AE59)/Basis!$G$13+N(AE64)+N(AE69)+N(AE74)+N(AE79)+N(AE84)+N(AE89)+N(AE94)+N(AE99)+N(AE104)+N(AE109)+N(AE114)+N(AE119)</t>
  </si>
  <si>
    <t xml:space="preserve">AF135</t>
  </si>
  <si>
    <t xml:space="preserve">formula: =N(AF4)+N(AF9)/Basis!$G$3+N(AF14)/Basis!$G$4+N(AF19)/Basis!$G$5+N(AF24)/Basis!$G$6+N(AF29)/Basis!$G$7+N(AF34)/Basis!$G$8+N(AF39)/Basis!$G$9+N(AF44)+N(AF49)+N(AF54)+N(AF59)/Basis!$G$13+N(AF64)+N(AF69)+N(AF74)+N(AF79)+N(AF84)+N(AF89)+N(AF94)+N(AF99)+N(AF104)+N(AF109)+N(AF114)+N(AF119)</t>
  </si>
  <si>
    <t xml:space="preserve">E136</t>
  </si>
  <si>
    <t xml:space="preserve">formula: =N(E6)+N(E11)/Basis!$G$3+N(E16)/Basis!$G$4+N(E21)/Basis!$G$5+N(E26)/Basis!$G$6+N(E31)/Basis!$G$7+N(E36)/Basis!$G$8+N(E41)/Basis!$G$9+N(E46)+N(E51)+N(E56)+N(E61)/Basis!$G$13+N(E66)+N(E71)+N(E76)+N(E81)+N(E86)+N(E91)+N(E96)+N(E101)+N(E106)+N(E111)+N(E116)+N(E121)</t>
  </si>
  <si>
    <t xml:space="preserve">sum of site Energized MW base (=midpoint) converted to IT basis with Basis tab factors</t>
  </si>
  <si>
    <t xml:space="preserve">F136</t>
  </si>
  <si>
    <t xml:space="preserve">formula: =N(F6)+N(F11)/Basis!$G$3+N(F16)/Basis!$G$4+N(F21)/Basis!$G$5+N(F26)/Basis!$G$6+N(F31)/Basis!$G$7+N(F36)/Basis!$G$8+N(F41)/Basis!$G$9+N(F46)+N(F51)+N(F56)+N(F61)/Basis!$G$13+N(F66)+N(F71)+N(F76)+N(F81)+N(F86)+N(F91)+N(F96)+N(F101)+N(F106)+N(F111)+N(F116)+N(F121)</t>
  </si>
  <si>
    <t xml:space="preserve">G136</t>
  </si>
  <si>
    <t xml:space="preserve">formula: =N(G6)+N(G11)/Basis!$G$3+N(G16)/Basis!$G$4+N(G21)/Basis!$G$5+N(G26)/Basis!$G$6+N(G31)/Basis!$G$7+N(G36)/Basis!$G$8+N(G41)/Basis!$G$9+N(G46)+N(G51)+N(G56)+N(G61)/Basis!$G$13+N(G66)+N(G71)+N(G76)+N(G81)+N(G86)+N(G91)+N(G96)+N(G101)+N(G106)+N(G111)+N(G116)+N(G121)</t>
  </si>
  <si>
    <t xml:space="preserve">H136</t>
  </si>
  <si>
    <t xml:space="preserve">formula: =N(H6)+N(H11)/Basis!$G$3+N(H16)/Basis!$G$4+N(H21)/Basis!$G$5+N(H26)/Basis!$G$6+N(H31)/Basis!$G$7+N(H36)/Basis!$G$8+N(H41)/Basis!$G$9+N(H46)+N(H51)+N(H56)+N(H61)/Basis!$G$13+N(H66)+N(H71)+N(H76)+N(H81)+N(H86)+N(H91)+N(H96)+N(H101)+N(H106)+N(H111)+N(H116)+N(H121)</t>
  </si>
  <si>
    <t xml:space="preserve">I136</t>
  </si>
  <si>
    <t xml:space="preserve">formula: =N(I6)+N(I11)/Basis!$G$3+N(I16)/Basis!$G$4+N(I21)/Basis!$G$5+N(I26)/Basis!$G$6+N(I31)/Basis!$G$7+N(I36)/Basis!$G$8+N(I41)/Basis!$G$9+N(I46)+N(I51)+N(I56)+N(I61)/Basis!$G$13+N(I66)+N(I71)+N(I76)+N(I81)+N(I86)+N(I91)+N(I96)+N(I101)+N(I106)+N(I111)+N(I116)+N(I121)</t>
  </si>
  <si>
    <t xml:space="preserve">J136</t>
  </si>
  <si>
    <t xml:space="preserve">formula: =N(J6)+N(J11)/Basis!$G$3+N(J16)/Basis!$G$4+N(J21)/Basis!$G$5+N(J26)/Basis!$G$6+N(J31)/Basis!$G$7+N(J36)/Basis!$G$8+N(J41)/Basis!$G$9+N(J46)+N(J51)+N(J56)+N(J61)/Basis!$G$13+N(J66)+N(J71)+N(J76)+N(J81)+N(J86)+N(J91)+N(J96)+N(J101)+N(J106)+N(J111)+N(J116)+N(J121)</t>
  </si>
  <si>
    <t xml:space="preserve">K136</t>
  </si>
  <si>
    <t xml:space="preserve">formula: =N(K6)+N(K11)/Basis!$G$3+N(K16)/Basis!$G$4+N(K21)/Basis!$G$5+N(K26)/Basis!$G$6+N(K31)/Basis!$G$7+N(K36)/Basis!$G$8+N(K41)/Basis!$G$9+N(K46)+N(K51)+N(K56)+N(K61)/Basis!$G$13+N(K66)+N(K71)+N(K76)+N(K81)+N(K86)+N(K91)+N(K96)+N(K101)+N(K106)+N(K111)+N(K116)+N(K121)</t>
  </si>
  <si>
    <t xml:space="preserve">L136</t>
  </si>
  <si>
    <t xml:space="preserve">formula: =N(L6)+N(L11)/Basis!$G$3+N(L16)/Basis!$G$4+N(L21)/Basis!$G$5+N(L26)/Basis!$G$6+N(L31)/Basis!$G$7+N(L36)/Basis!$G$8+N(L41)/Basis!$G$9+N(L46)+N(L51)+N(L56)+N(L61)/Basis!$G$13+N(L66)+N(L71)+N(L76)+N(L81)+N(L86)+N(L91)+N(L96)+N(L101)+N(L106)+N(L111)+N(L116)+N(L121)</t>
  </si>
  <si>
    <t xml:space="preserve">M136</t>
  </si>
  <si>
    <t xml:space="preserve">formula: =N(M6)+N(M11)/Basis!$G$3+N(M16)/Basis!$G$4+N(M21)/Basis!$G$5+N(M26)/Basis!$G$6+N(M31)/Basis!$G$7+N(M36)/Basis!$G$8+N(M41)/Basis!$G$9+N(M46)+N(M51)+N(M56)+N(M61)/Basis!$G$13+N(M66)+N(M71)+N(M76)+N(M81)+N(M86)+N(M91)+N(M96)+N(M101)+N(M106)+N(M111)+N(M116)+N(M121)</t>
  </si>
  <si>
    <t xml:space="preserve">N136</t>
  </si>
  <si>
    <t xml:space="preserve">formula: =N(N6)+N(N11)/Basis!$G$3+N(N16)/Basis!$G$4+N(N21)/Basis!$G$5+N(N26)/Basis!$G$6+N(N31)/Basis!$G$7+N(N36)/Basis!$G$8+N(N41)/Basis!$G$9+N(N46)+N(N51)+N(N56)+N(N61)/Basis!$G$13+N(N66)+N(N71)+N(N76)+N(N81)+N(N86)+N(N91)+N(N96)+N(N101)+N(N106)+N(N111)+N(N116)+N(N121)</t>
  </si>
  <si>
    <t xml:space="preserve">O136</t>
  </si>
  <si>
    <t xml:space="preserve">formula: =N(O6)+N(O11)/Basis!$G$3+N(O16)/Basis!$G$4+N(O21)/Basis!$G$5+N(O26)/Basis!$G$6+N(O31)/Basis!$G$7+N(O36)/Basis!$G$8+N(O41)/Basis!$G$9+N(O46)+N(O51)+N(O56)+N(O61)/Basis!$G$13+N(O66)+N(O71)+N(O76)+N(O81)+N(O86)+N(O91)+N(O96)+N(O101)+N(O106)+N(O111)+N(O116)+N(O121)</t>
  </si>
  <si>
    <t xml:space="preserve">P136</t>
  </si>
  <si>
    <t xml:space="preserve">formula: =N(P6)+N(P11)/Basis!$G$3+N(P16)/Basis!$G$4+N(P21)/Basis!$G$5+N(P26)/Basis!$G$6+N(P31)/Basis!$G$7+N(P36)/Basis!$G$8+N(P41)/Basis!$G$9+N(P46)+N(P51)+N(P56)+N(P61)/Basis!$G$13+N(P66)+N(P71)+N(P76)+N(P81)+N(P86)+N(P91)+N(P96)+N(P101)+N(P106)+N(P111)+N(P116)+N(P121)</t>
  </si>
  <si>
    <t xml:space="preserve">Q136</t>
  </si>
  <si>
    <t xml:space="preserve">formula: =N(Q6)+N(Q11)/Basis!$G$3+N(Q16)/Basis!$G$4+N(Q21)/Basis!$G$5+N(Q26)/Basis!$G$6+N(Q31)/Basis!$G$7+N(Q36)/Basis!$G$8+N(Q41)/Basis!$G$9+N(Q46)+N(Q51)+N(Q56)+N(Q61)/Basis!$G$13+N(Q66)+N(Q71)+N(Q76)+N(Q81)+N(Q86)+N(Q91)+N(Q96)+N(Q101)+N(Q106)+N(Q111)+N(Q116)+N(Q121)</t>
  </si>
  <si>
    <t xml:space="preserve">R136</t>
  </si>
  <si>
    <t xml:space="preserve">formula: =N(R6)+N(R11)/Basis!$G$3+N(R16)/Basis!$G$4+N(R21)/Basis!$G$5+N(R26)/Basis!$G$6+N(R31)/Basis!$G$7+N(R36)/Basis!$G$8+N(R41)/Basis!$G$9+N(R46)+N(R51)+N(R56)+N(R61)/Basis!$G$13+N(R66)+N(R71)+N(R76)+N(R81)+N(R86)+N(R91)+N(R96)+N(R101)+N(R106)+N(R111)+N(R116)+N(R121)</t>
  </si>
  <si>
    <t xml:space="preserve">S136</t>
  </si>
  <si>
    <t xml:space="preserve">formula: =N(S6)+N(S11)/Basis!$G$3+N(S16)/Basis!$G$4+N(S21)/Basis!$G$5+N(S26)/Basis!$G$6+N(S31)/Basis!$G$7+N(S36)/Basis!$G$8+N(S41)/Basis!$G$9+N(S46)+N(S51)+N(S56)+N(S61)/Basis!$G$13+N(S66)+N(S71)+N(S76)+N(S81)+N(S86)+N(S91)+N(S96)+N(S101)+N(S106)+N(S111)+N(S116)+N(S121)</t>
  </si>
  <si>
    <t xml:space="preserve">T136</t>
  </si>
  <si>
    <t xml:space="preserve">formula: =N(T6)+N(T11)/Basis!$G$3+N(T16)/Basis!$G$4+N(T21)/Basis!$G$5+N(T26)/Basis!$G$6+N(T31)/Basis!$G$7+N(T36)/Basis!$G$8+N(T41)/Basis!$G$9+N(T46)+N(T51)+N(T56)+N(T61)/Basis!$G$13+N(T66)+N(T71)+N(T76)+N(T81)+N(T86)+N(T91)+N(T96)+N(T101)+N(T106)+N(T111)+N(T116)+N(T121)</t>
  </si>
  <si>
    <t xml:space="preserve">U136</t>
  </si>
  <si>
    <t xml:space="preserve">formula: =N(U6)+N(U11)/Basis!$G$3+N(U16)/Basis!$G$4+N(U21)/Basis!$G$5+N(U26)/Basis!$G$6+N(U31)/Basis!$G$7+N(U36)/Basis!$G$8+N(U41)/Basis!$G$9+N(U46)+N(U51)+N(U56)+N(U61)/Basis!$G$13+N(U66)+N(U71)+N(U76)+N(U81)+N(U86)+N(U91)+N(U96)+N(U101)+N(U106)+N(U111)+N(U116)+N(U121)</t>
  </si>
  <si>
    <t xml:space="preserve">V136</t>
  </si>
  <si>
    <t xml:space="preserve">formula: =N(V6)+N(V11)/Basis!$G$3+N(V16)/Basis!$G$4+N(V21)/Basis!$G$5+N(V26)/Basis!$G$6+N(V31)/Basis!$G$7+N(V36)/Basis!$G$8+N(V41)/Basis!$G$9+N(V46)+N(V51)+N(V56)+N(V61)/Basis!$G$13+N(V66)+N(V71)+N(V76)+N(V81)+N(V86)+N(V91)+N(V96)+N(V101)+N(V106)+N(V111)+N(V116)+N(V121)</t>
  </si>
  <si>
    <t xml:space="preserve">W136</t>
  </si>
  <si>
    <t xml:space="preserve">formula: =N(W6)+N(W11)/Basis!$G$3+N(W16)/Basis!$G$4+N(W21)/Basis!$G$5+N(W26)/Basis!$G$6+N(W31)/Basis!$G$7+N(W36)/Basis!$G$8+N(W41)/Basis!$G$9+N(W46)+N(W51)+N(W56)+N(W61)/Basis!$G$13+N(W66)+N(W71)+N(W76)+N(W81)+N(W86)+N(W91)+N(W96)+N(W101)+N(W106)+N(W111)+N(W116)+N(W121)</t>
  </si>
  <si>
    <t xml:space="preserve">X136</t>
  </si>
  <si>
    <t xml:space="preserve">formula: =N(X6)+N(X11)/Basis!$G$3+N(X16)/Basis!$G$4+N(X21)/Basis!$G$5+N(X26)/Basis!$G$6+N(X31)/Basis!$G$7+N(X36)/Basis!$G$8+N(X41)/Basis!$G$9+N(X46)+N(X51)+N(X56)+N(X61)/Basis!$G$13+N(X66)+N(X71)+N(X76)+N(X81)+N(X86)+N(X91)+N(X96)+N(X101)+N(X106)+N(X111)+N(X116)+N(X121)</t>
  </si>
  <si>
    <t xml:space="preserve">Y136</t>
  </si>
  <si>
    <t xml:space="preserve">formula: =N(Y6)+N(Y11)/Basis!$G$3+N(Y16)/Basis!$G$4+N(Y21)/Basis!$G$5+N(Y26)/Basis!$G$6+N(Y31)/Basis!$G$7+N(Y36)/Basis!$G$8+N(Y41)/Basis!$G$9+N(Y46)+N(Y51)+N(Y56)+N(Y61)/Basis!$G$13+N(Y66)+N(Y71)+N(Y76)+N(Y81)+N(Y86)+N(Y91)+N(Y96)+N(Y101)+N(Y106)+N(Y111)+N(Y116)+N(Y121)</t>
  </si>
  <si>
    <t xml:space="preserve">Z136</t>
  </si>
  <si>
    <t xml:space="preserve">formula: =N(Z6)+N(Z11)/Basis!$G$3+N(Z16)/Basis!$G$4+N(Z21)/Basis!$G$5+N(Z26)/Basis!$G$6+N(Z31)/Basis!$G$7+N(Z36)/Basis!$G$8+N(Z41)/Basis!$G$9+N(Z46)+N(Z51)+N(Z56)+N(Z61)/Basis!$G$13+N(Z66)+N(Z71)+N(Z76)+N(Z81)+N(Z86)+N(Z91)+N(Z96)+N(Z101)+N(Z106)+N(Z111)+N(Z116)+N(Z121)</t>
  </si>
  <si>
    <t xml:space="preserve">AA136</t>
  </si>
  <si>
    <t xml:space="preserve">formula: =N(AA6)+N(AA11)/Basis!$G$3+N(AA16)/Basis!$G$4+N(AA21)/Basis!$G$5+N(AA26)/Basis!$G$6+N(AA31)/Basis!$G$7+N(AA36)/Basis!$G$8+N(AA41)/Basis!$G$9+N(AA46)+N(AA51)+N(AA56)+N(AA61)/Basis!$G$13+N(AA66)+N(AA71)+N(AA76)+N(AA81)+N(AA86)+N(AA91)+N(AA96)+N(AA101)+N(AA106)+N(AA111)+N(AA116)+N(AA121)</t>
  </si>
  <si>
    <t xml:space="preserve">AB136</t>
  </si>
  <si>
    <t xml:space="preserve">formula: =N(AB6)+N(AB11)/Basis!$G$3+N(AB16)/Basis!$G$4+N(AB21)/Basis!$G$5+N(AB26)/Basis!$G$6+N(AB31)/Basis!$G$7+N(AB36)/Basis!$G$8+N(AB41)/Basis!$G$9+N(AB46)+N(AB51)+N(AB56)+N(AB61)/Basis!$G$13+N(AB66)+N(AB71)+N(AB76)+N(AB81)+N(AB86)+N(AB91)+N(AB96)+N(AB101)+N(AB106)+N(AB111)+N(AB116)+N(AB121)</t>
  </si>
  <si>
    <t xml:space="preserve">AC136</t>
  </si>
  <si>
    <t xml:space="preserve">formula: =N(AC6)+N(AC11)/Basis!$G$3+N(AC16)/Basis!$G$4+N(AC21)/Basis!$G$5+N(AC26)/Basis!$G$6+N(AC31)/Basis!$G$7+N(AC36)/Basis!$G$8+N(AC41)/Basis!$G$9+N(AC46)+N(AC51)+N(AC56)+N(AC61)/Basis!$G$13+N(AC66)+N(AC71)+N(AC76)+N(AC81)+N(AC86)+N(AC91)+N(AC96)+N(AC101)+N(AC106)+N(AC111)+N(AC116)+N(AC121)</t>
  </si>
  <si>
    <t xml:space="preserve">AD136</t>
  </si>
  <si>
    <t xml:space="preserve">formula: =N(AD6)+N(AD11)/Basis!$G$3+N(AD16)/Basis!$G$4+N(AD21)/Basis!$G$5+N(AD26)/Basis!$G$6+N(AD31)/Basis!$G$7+N(AD36)/Basis!$G$8+N(AD41)/Basis!$G$9+N(AD46)+N(AD51)+N(AD56)+N(AD61)/Basis!$G$13+N(AD66)+N(AD71)+N(AD76)+N(AD81)+N(AD86)+N(AD91)+N(AD96)+N(AD101)+N(AD106)+N(AD111)+N(AD116)+N(AD121)</t>
  </si>
  <si>
    <t xml:space="preserve">AE136</t>
  </si>
  <si>
    <t xml:space="preserve">formula: =N(AE6)+N(AE11)/Basis!$G$3+N(AE16)/Basis!$G$4+N(AE21)/Basis!$G$5+N(AE26)/Basis!$G$6+N(AE31)/Basis!$G$7+N(AE36)/Basis!$G$8+N(AE41)/Basis!$G$9+N(AE46)+N(AE51)+N(AE56)+N(AE61)/Basis!$G$13+N(AE66)+N(AE71)+N(AE76)+N(AE81)+N(AE86)+N(AE91)+N(AE96)+N(AE101)+N(AE106)+N(AE111)+N(AE116)+N(AE121)</t>
  </si>
  <si>
    <t xml:space="preserve">AF136</t>
  </si>
  <si>
    <t xml:space="preserve">formula: =N(AF6)+N(AF11)/Basis!$G$3+N(AF16)/Basis!$G$4+N(AF21)/Basis!$G$5+N(AF26)/Basis!$G$6+N(AF31)/Basis!$G$7+N(AF36)/Basis!$G$8+N(AF41)/Basis!$G$9+N(AF46)+N(AF51)+N(AF56)+N(AF61)/Basis!$G$13+N(AF66)+N(AF71)+N(AF76)+N(AF81)+N(AF86)+N(AF91)+N(AF96)+N(AF101)+N(AF106)+N(AF111)+N(AF116)+N(AF121)</t>
  </si>
  <si>
    <t xml:space="preserve">E137</t>
  </si>
  <si>
    <t xml:space="preserve">formula: =N(E5)+N(E10)/Basis!$G$3+N(E15)/Basis!$G$4+N(E20)/Basis!$G$5+N(E25)/Basis!$G$6+N(E30)/Basis!$G$7+N(E35)/Basis!$G$8+N(E40)/Basis!$G$9+N(E45)+N(E50)+N(E55)+N(E60)/Basis!$G$13+N(E65)+N(E70)+N(E75)+N(E80)+N(E85)+N(E90)+N(E95)+N(E100)+N(E105)+N(E110)+N(E115)+N(E120)</t>
  </si>
  <si>
    <t xml:space="preserve">sum of site Energized MW high converted to IT basis with Basis tab factors</t>
  </si>
  <si>
    <t xml:space="preserve">F137</t>
  </si>
  <si>
    <t xml:space="preserve">formula: =N(F5)+N(F10)/Basis!$G$3+N(F15)/Basis!$G$4+N(F20)/Basis!$G$5+N(F25)/Basis!$G$6+N(F30)/Basis!$G$7+N(F35)/Basis!$G$8+N(F40)/Basis!$G$9+N(F45)+N(F50)+N(F55)+N(F60)/Basis!$G$13+N(F65)+N(F70)+N(F75)+N(F80)+N(F85)+N(F90)+N(F95)+N(F100)+N(F105)+N(F110)+N(F115)+N(F120)</t>
  </si>
  <si>
    <t xml:space="preserve">G137</t>
  </si>
  <si>
    <t xml:space="preserve">formula: =N(G5)+N(G10)/Basis!$G$3+N(G15)/Basis!$G$4+N(G20)/Basis!$G$5+N(G25)/Basis!$G$6+N(G30)/Basis!$G$7+N(G35)/Basis!$G$8+N(G40)/Basis!$G$9+N(G45)+N(G50)+N(G55)+N(G60)/Basis!$G$13+N(G65)+N(G70)+N(G75)+N(G80)+N(G85)+N(G90)+N(G95)+N(G100)+N(G105)+N(G110)+N(G115)+N(G120)</t>
  </si>
  <si>
    <t xml:space="preserve">H137</t>
  </si>
  <si>
    <t xml:space="preserve">formula: =N(H5)+N(H10)/Basis!$G$3+N(H15)/Basis!$G$4+N(H20)/Basis!$G$5+N(H25)/Basis!$G$6+N(H30)/Basis!$G$7+N(H35)/Basis!$G$8+N(H40)/Basis!$G$9+N(H45)+N(H50)+N(H55)+N(H60)/Basis!$G$13+N(H65)+N(H70)+N(H75)+N(H80)+N(H85)+N(H90)+N(H95)+N(H100)+N(H105)+N(H110)+N(H115)+N(H120)</t>
  </si>
  <si>
    <t xml:space="preserve">I137</t>
  </si>
  <si>
    <t xml:space="preserve">formula: =N(I5)+N(I10)/Basis!$G$3+N(I15)/Basis!$G$4+N(I20)/Basis!$G$5+N(I25)/Basis!$G$6+N(I30)/Basis!$G$7+N(I35)/Basis!$G$8+N(I40)/Basis!$G$9+N(I45)+N(I50)+N(I55)+N(I60)/Basis!$G$13+N(I65)+N(I70)+N(I75)+N(I80)+N(I85)+N(I90)+N(I95)+N(I100)+N(I105)+N(I110)+N(I115)+N(I120)</t>
  </si>
  <si>
    <t xml:space="preserve">J137</t>
  </si>
  <si>
    <t xml:space="preserve">formula: =N(J5)+N(J10)/Basis!$G$3+N(J15)/Basis!$G$4+N(J20)/Basis!$G$5+N(J25)/Basis!$G$6+N(J30)/Basis!$G$7+N(J35)/Basis!$G$8+N(J40)/Basis!$G$9+N(J45)+N(J50)+N(J55)+N(J60)/Basis!$G$13+N(J65)+N(J70)+N(J75)+N(J80)+N(J85)+N(J90)+N(J95)+N(J100)+N(J105)+N(J110)+N(J115)+N(J120)</t>
  </si>
  <si>
    <t xml:space="preserve">K137</t>
  </si>
  <si>
    <t xml:space="preserve">formula: =N(K5)+N(K10)/Basis!$G$3+N(K15)/Basis!$G$4+N(K20)/Basis!$G$5+N(K25)/Basis!$G$6+N(K30)/Basis!$G$7+N(K35)/Basis!$G$8+N(K40)/Basis!$G$9+N(K45)+N(K50)+N(K55)+N(K60)/Basis!$G$13+N(K65)+N(K70)+N(K75)+N(K80)+N(K85)+N(K90)+N(K95)+N(K100)+N(K105)+N(K110)+N(K115)+N(K120)</t>
  </si>
  <si>
    <t xml:space="preserve">L137</t>
  </si>
  <si>
    <t xml:space="preserve">formula: =N(L5)+N(L10)/Basis!$G$3+N(L15)/Basis!$G$4+N(L20)/Basis!$G$5+N(L25)/Basis!$G$6+N(L30)/Basis!$G$7+N(L35)/Basis!$G$8+N(L40)/Basis!$G$9+N(L45)+N(L50)+N(L55)+N(L60)/Basis!$G$13+N(L65)+N(L70)+N(L75)+N(L80)+N(L85)+N(L90)+N(L95)+N(L100)+N(L105)+N(L110)+N(L115)+N(L120)</t>
  </si>
  <si>
    <t xml:space="preserve">M137</t>
  </si>
  <si>
    <t xml:space="preserve">formula: =N(M5)+N(M10)/Basis!$G$3+N(M15)/Basis!$G$4+N(M20)/Basis!$G$5+N(M25)/Basis!$G$6+N(M30)/Basis!$G$7+N(M35)/Basis!$G$8+N(M40)/Basis!$G$9+N(M45)+N(M50)+N(M55)+N(M60)/Basis!$G$13+N(M65)+N(M70)+N(M75)+N(M80)+N(M85)+N(M90)+N(M95)+N(M100)+N(M105)+N(M110)+N(M115)+N(M120)</t>
  </si>
  <si>
    <t xml:space="preserve">N137</t>
  </si>
  <si>
    <t xml:space="preserve">formula: =N(N5)+N(N10)/Basis!$G$3+N(N15)/Basis!$G$4+N(N20)/Basis!$G$5+N(N25)/Basis!$G$6+N(N30)/Basis!$G$7+N(N35)/Basis!$G$8+N(N40)/Basis!$G$9+N(N45)+N(N50)+N(N55)+N(N60)/Basis!$G$13+N(N65)+N(N70)+N(N75)+N(N80)+N(N85)+N(N90)+N(N95)+N(N100)+N(N105)+N(N110)+N(N115)+N(N120)</t>
  </si>
  <si>
    <t xml:space="preserve">O137</t>
  </si>
  <si>
    <t xml:space="preserve">formula: =N(O5)+N(O10)/Basis!$G$3+N(O15)/Basis!$G$4+N(O20)/Basis!$G$5+N(O25)/Basis!$G$6+N(O30)/Basis!$G$7+N(O35)/Basis!$G$8+N(O40)/Basis!$G$9+N(O45)+N(O50)+N(O55)+N(O60)/Basis!$G$13+N(O65)+N(O70)+N(O75)+N(O80)+N(O85)+N(O90)+N(O95)+N(O100)+N(O105)+N(O110)+N(O115)+N(O120)</t>
  </si>
  <si>
    <t xml:space="preserve">P137</t>
  </si>
  <si>
    <t xml:space="preserve">formula: =N(P5)+N(P10)/Basis!$G$3+N(P15)/Basis!$G$4+N(P20)/Basis!$G$5+N(P25)/Basis!$G$6+N(P30)/Basis!$G$7+N(P35)/Basis!$G$8+N(P40)/Basis!$G$9+N(P45)+N(P50)+N(P55)+N(P60)/Basis!$G$13+N(P65)+N(P70)+N(P75)+N(P80)+N(P85)+N(P90)+N(P95)+N(P100)+N(P105)+N(P110)+N(P115)+N(P120)</t>
  </si>
  <si>
    <t xml:space="preserve">Q137</t>
  </si>
  <si>
    <t xml:space="preserve">formula: =N(Q5)+N(Q10)/Basis!$G$3+N(Q15)/Basis!$G$4+N(Q20)/Basis!$G$5+N(Q25)/Basis!$G$6+N(Q30)/Basis!$G$7+N(Q35)/Basis!$G$8+N(Q40)/Basis!$G$9+N(Q45)+N(Q50)+N(Q55)+N(Q60)/Basis!$G$13+N(Q65)+N(Q70)+N(Q75)+N(Q80)+N(Q85)+N(Q90)+N(Q95)+N(Q100)+N(Q105)+N(Q110)+N(Q115)+N(Q120)</t>
  </si>
  <si>
    <t xml:space="preserve">R137</t>
  </si>
  <si>
    <t xml:space="preserve">formula: =N(R5)+N(R10)/Basis!$G$3+N(R15)/Basis!$G$4+N(R20)/Basis!$G$5+N(R25)/Basis!$G$6+N(R30)/Basis!$G$7+N(R35)/Basis!$G$8+N(R40)/Basis!$G$9+N(R45)+N(R50)+N(R55)+N(R60)/Basis!$G$13+N(R65)+N(R70)+N(R75)+N(R80)+N(R85)+N(R90)+N(R95)+N(R100)+N(R105)+N(R110)+N(R115)+N(R120)</t>
  </si>
  <si>
    <t xml:space="preserve">S137</t>
  </si>
  <si>
    <t xml:space="preserve">formula: =N(S5)+N(S10)/Basis!$G$3+N(S15)/Basis!$G$4+N(S20)/Basis!$G$5+N(S25)/Basis!$G$6+N(S30)/Basis!$G$7+N(S35)/Basis!$G$8+N(S40)/Basis!$G$9+N(S45)+N(S50)+N(S55)+N(S60)/Basis!$G$13+N(S65)+N(S70)+N(S75)+N(S80)+N(S85)+N(S90)+N(S95)+N(S100)+N(S105)+N(S110)+N(S115)+N(S120)</t>
  </si>
  <si>
    <t xml:space="preserve">T137</t>
  </si>
  <si>
    <t xml:space="preserve">formula: =N(T5)+N(T10)/Basis!$G$3+N(T15)/Basis!$G$4+N(T20)/Basis!$G$5+N(T25)/Basis!$G$6+N(T30)/Basis!$G$7+N(T35)/Basis!$G$8+N(T40)/Basis!$G$9+N(T45)+N(T50)+N(T55)+N(T60)/Basis!$G$13+N(T65)+N(T70)+N(T75)+N(T80)+N(T85)+N(T90)+N(T95)+N(T100)+N(T105)+N(T110)+N(T115)+N(T120)</t>
  </si>
  <si>
    <t xml:space="preserve">U137</t>
  </si>
  <si>
    <t xml:space="preserve">formula: =N(U5)+N(U10)/Basis!$G$3+N(U15)/Basis!$G$4+N(U20)/Basis!$G$5+N(U25)/Basis!$G$6+N(U30)/Basis!$G$7+N(U35)/Basis!$G$8+N(U40)/Basis!$G$9+N(U45)+N(U50)+N(U55)+N(U60)/Basis!$G$13+N(U65)+N(U70)+N(U75)+N(U80)+N(U85)+N(U90)+N(U95)+N(U100)+N(U105)+N(U110)+N(U115)+N(U120)</t>
  </si>
  <si>
    <t xml:space="preserve">V137</t>
  </si>
  <si>
    <t xml:space="preserve">formula: =N(V5)+N(V10)/Basis!$G$3+N(V15)/Basis!$G$4+N(V20)/Basis!$G$5+N(V25)/Basis!$G$6+N(V30)/Basis!$G$7+N(V35)/Basis!$G$8+N(V40)/Basis!$G$9+N(V45)+N(V50)+N(V55)+N(V60)/Basis!$G$13+N(V65)+N(V70)+N(V75)+N(V80)+N(V85)+N(V90)+N(V95)+N(V100)+N(V105)+N(V110)+N(V115)+N(V120)</t>
  </si>
  <si>
    <t xml:space="preserve">W137</t>
  </si>
  <si>
    <t xml:space="preserve">formula: =N(W5)+N(W10)/Basis!$G$3+N(W15)/Basis!$G$4+N(W20)/Basis!$G$5+N(W25)/Basis!$G$6+N(W30)/Basis!$G$7+N(W35)/Basis!$G$8+N(W40)/Basis!$G$9+N(W45)+N(W50)+N(W55)+N(W60)/Basis!$G$13+N(W65)+N(W70)+N(W75)+N(W80)+N(W85)+N(W90)+N(W95)+N(W100)+N(W105)+N(W110)+N(W115)+N(W120)</t>
  </si>
  <si>
    <t xml:space="preserve">X137</t>
  </si>
  <si>
    <t xml:space="preserve">formula: =N(X5)+N(X10)/Basis!$G$3+N(X15)/Basis!$G$4+N(X20)/Basis!$G$5+N(X25)/Basis!$G$6+N(X30)/Basis!$G$7+N(X35)/Basis!$G$8+N(X40)/Basis!$G$9+N(X45)+N(X50)+N(X55)+N(X60)/Basis!$G$13+N(X65)+N(X70)+N(X75)+N(X80)+N(X85)+N(X90)+N(X95)+N(X100)+N(X105)+N(X110)+N(X115)+N(X120)</t>
  </si>
  <si>
    <t xml:space="preserve">Y137</t>
  </si>
  <si>
    <t xml:space="preserve">formula: =N(Y5)+N(Y10)/Basis!$G$3+N(Y15)/Basis!$G$4+N(Y20)/Basis!$G$5+N(Y25)/Basis!$G$6+N(Y30)/Basis!$G$7+N(Y35)/Basis!$G$8+N(Y40)/Basis!$G$9+N(Y45)+N(Y50)+N(Y55)+N(Y60)/Basis!$G$13+N(Y65)+N(Y70)+N(Y75)+N(Y80)+N(Y85)+N(Y90)+N(Y95)+N(Y100)+N(Y105)+N(Y110)+N(Y115)+N(Y120)</t>
  </si>
  <si>
    <t xml:space="preserve">Z137</t>
  </si>
  <si>
    <t xml:space="preserve">formula: =N(Z5)+N(Z10)/Basis!$G$3+N(Z15)/Basis!$G$4+N(Z20)/Basis!$G$5+N(Z25)/Basis!$G$6+N(Z30)/Basis!$G$7+N(Z35)/Basis!$G$8+N(Z40)/Basis!$G$9+N(Z45)+N(Z50)+N(Z55)+N(Z60)/Basis!$G$13+N(Z65)+N(Z70)+N(Z75)+N(Z80)+N(Z85)+N(Z90)+N(Z95)+N(Z100)+N(Z105)+N(Z110)+N(Z115)+N(Z120)</t>
  </si>
  <si>
    <t xml:space="preserve">AA137</t>
  </si>
  <si>
    <t xml:space="preserve">formula: =N(AA5)+N(AA10)/Basis!$G$3+N(AA15)/Basis!$G$4+N(AA20)/Basis!$G$5+N(AA25)/Basis!$G$6+N(AA30)/Basis!$G$7+N(AA35)/Basis!$G$8+N(AA40)/Basis!$G$9+N(AA45)+N(AA50)+N(AA55)+N(AA60)/Basis!$G$13+N(AA65)+N(AA70)+N(AA75)+N(AA80)+N(AA85)+N(AA90)+N(AA95)+N(AA100)+N(AA105)+N(AA110)+N(AA115)+N(AA120)</t>
  </si>
  <si>
    <t xml:space="preserve">AB137</t>
  </si>
  <si>
    <t xml:space="preserve">formula: =N(AB5)+N(AB10)/Basis!$G$3+N(AB15)/Basis!$G$4+N(AB20)/Basis!$G$5+N(AB25)/Basis!$G$6+N(AB30)/Basis!$G$7+N(AB35)/Basis!$G$8+N(AB40)/Basis!$G$9+N(AB45)+N(AB50)+N(AB55)+N(AB60)/Basis!$G$13+N(AB65)+N(AB70)+N(AB75)+N(AB80)+N(AB85)+N(AB90)+N(AB95)+N(AB100)+N(AB105)+N(AB110)+N(AB115)+N(AB120)</t>
  </si>
  <si>
    <t xml:space="preserve">AC137</t>
  </si>
  <si>
    <t xml:space="preserve">formula: =N(AC5)+N(AC10)/Basis!$G$3+N(AC15)/Basis!$G$4+N(AC20)/Basis!$G$5+N(AC25)/Basis!$G$6+N(AC30)/Basis!$G$7+N(AC35)/Basis!$G$8+N(AC40)/Basis!$G$9+N(AC45)+N(AC50)+N(AC55)+N(AC60)/Basis!$G$13+N(AC65)+N(AC70)+N(AC75)+N(AC80)+N(AC85)+N(AC90)+N(AC95)+N(AC100)+N(AC105)+N(AC110)+N(AC115)+N(AC120)</t>
  </si>
  <si>
    <t xml:space="preserve">AD137</t>
  </si>
  <si>
    <t xml:space="preserve">formula: =N(AD5)+N(AD10)/Basis!$G$3+N(AD15)/Basis!$G$4+N(AD20)/Basis!$G$5+N(AD25)/Basis!$G$6+N(AD30)/Basis!$G$7+N(AD35)/Basis!$G$8+N(AD40)/Basis!$G$9+N(AD45)+N(AD50)+N(AD55)+N(AD60)/Basis!$G$13+N(AD65)+N(AD70)+N(AD75)+N(AD80)+N(AD85)+N(AD90)+N(AD95)+N(AD100)+N(AD105)+N(AD110)+N(AD115)+N(AD120)</t>
  </si>
  <si>
    <t xml:space="preserve">AE137</t>
  </si>
  <si>
    <t xml:space="preserve">formula: =N(AE5)+N(AE10)/Basis!$G$3+N(AE15)/Basis!$G$4+N(AE20)/Basis!$G$5+N(AE25)/Basis!$G$6+N(AE30)/Basis!$G$7+N(AE35)/Basis!$G$8+N(AE40)/Basis!$G$9+N(AE45)+N(AE50)+N(AE55)+N(AE60)/Basis!$G$13+N(AE65)+N(AE70)+N(AE75)+N(AE80)+N(AE85)+N(AE90)+N(AE95)+N(AE100)+N(AE105)+N(AE110)+N(AE115)+N(AE120)</t>
  </si>
  <si>
    <t xml:space="preserve">AF137</t>
  </si>
  <si>
    <t xml:space="preserve">formula: =N(AF5)+N(AF10)/Basis!$G$3+N(AF15)/Basis!$G$4+N(AF20)/Basis!$G$5+N(AF25)/Basis!$G$6+N(AF30)/Basis!$G$7+N(AF35)/Basis!$G$8+N(AF40)/Basis!$G$9+N(AF45)+N(AF50)+N(AF55)+N(AF60)/Basis!$G$13+N(AF65)+N(AF70)+N(AF75)+N(AF80)+N(AF85)+N(AF90)+N(AF95)+N(AF100)+N(AF105)+N(AF110)+N(AF115)+N(AF120)</t>
  </si>
  <si>
    <t xml:space="preserve">E138</t>
  </si>
  <si>
    <t xml:space="preserve">formula: =N(E4)*Basis!$G$2+N(E9)+N(E14)+N(E19)+N(E24)+N(E29)+N(E34)+N(E39)+N(E44)*Basis!$G$10+N(E49)*Basis!$G$11+N(E54)*Basis!$G$12+N(E59)+N(E64)*Basis!$G$14+N(E69)*Basis!$G$15+N(E74)*Basis!$G$16+N(E79)*Basis!$G$17+N(E84)*Basis!$G$18+N(E89)*Basis!$G$19+N(E94)*Basis!$G$20+N(E99)*Basis!$G$21+N(E104)*Basis!$G$22+N(E109)*Basis!$G$23+N(E114)*Basis!$G$24+N(E119)*Basis!$G$25</t>
  </si>
  <si>
    <t xml:space="preserve">sum of site Energized MW low converted to gross basis with Basis tab factors</t>
  </si>
  <si>
    <t xml:space="preserve">F138</t>
  </si>
  <si>
    <t xml:space="preserve">formula: =N(F4)*Basis!$G$2+N(F9)+N(F14)+N(F19)+N(F24)+N(F29)+N(F34)+N(F39)+N(F44)*Basis!$G$10+N(F49)*Basis!$G$11+N(F54)*Basis!$G$12+N(F59)+N(F64)*Basis!$G$14+N(F69)*Basis!$G$15+N(F74)*Basis!$G$16+N(F79)*Basis!$G$17+N(F84)*Basis!$G$18+N(F89)*Basis!$G$19+N(F94)*Basis!$G$20+N(F99)*Basis!$G$21+N(F104)*Basis!$G$22+N(F109)*Basis!$G$23+N(F114)*Basis!$G$24+N(F119)*Basis!$G$25</t>
  </si>
  <si>
    <t xml:space="preserve">G138</t>
  </si>
  <si>
    <t xml:space="preserve">formula: =N(G4)*Basis!$G$2+N(G9)+N(G14)+N(G19)+N(G24)+N(G29)+N(G34)+N(G39)+N(G44)*Basis!$G$10+N(G49)*Basis!$G$11+N(G54)*Basis!$G$12+N(G59)+N(G64)*Basis!$G$14+N(G69)*Basis!$G$15+N(G74)*Basis!$G$16+N(G79)*Basis!$G$17+N(G84)*Basis!$G$18+N(G89)*Basis!$G$19+N(G94)*Basis!$G$20+N(G99)*Basis!$G$21+N(G104)*Basis!$G$22+N(G109)*Basis!$G$23+N(G114)*Basis!$G$24+N(G119)*Basis!$G$25</t>
  </si>
  <si>
    <t xml:space="preserve">H138</t>
  </si>
  <si>
    <t xml:space="preserve">formula: =N(H4)*Basis!$G$2+N(H9)+N(H14)+N(H19)+N(H24)+N(H29)+N(H34)+N(H39)+N(H44)*Basis!$G$10+N(H49)*Basis!$G$11+N(H54)*Basis!$G$12+N(H59)+N(H64)*Basis!$G$14+N(H69)*Basis!$G$15+N(H74)*Basis!$G$16+N(H79)*Basis!$G$17+N(H84)*Basis!$G$18+N(H89)*Basis!$G$19+N(H94)*Basis!$G$20+N(H99)*Basis!$G$21+N(H104)*Basis!$G$22+N(H109)*Basis!$G$23+N(H114)*Basis!$G$24+N(H119)*Basis!$G$25</t>
  </si>
  <si>
    <t xml:space="preserve">I138</t>
  </si>
  <si>
    <t xml:space="preserve">formula: =N(I4)*Basis!$G$2+N(I9)+N(I14)+N(I19)+N(I24)+N(I29)+N(I34)+N(I39)+N(I44)*Basis!$G$10+N(I49)*Basis!$G$11+N(I54)*Basis!$G$12+N(I59)+N(I64)*Basis!$G$14+N(I69)*Basis!$G$15+N(I74)*Basis!$G$16+N(I79)*Basis!$G$17+N(I84)*Basis!$G$18+N(I89)*Basis!$G$19+N(I94)*Basis!$G$20+N(I99)*Basis!$G$21+N(I104)*Basis!$G$22+N(I109)*Basis!$G$23+N(I114)*Basis!$G$24+N(I119)*Basis!$G$25</t>
  </si>
  <si>
    <t xml:space="preserve">J138</t>
  </si>
  <si>
    <t xml:space="preserve">formula: =N(J4)*Basis!$G$2+N(J9)+N(J14)+N(J19)+N(J24)+N(J29)+N(J34)+N(J39)+N(J44)*Basis!$G$10+N(J49)*Basis!$G$11+N(J54)*Basis!$G$12+N(J59)+N(J64)*Basis!$G$14+N(J69)*Basis!$G$15+N(J74)*Basis!$G$16+N(J79)*Basis!$G$17+N(J84)*Basis!$G$18+N(J89)*Basis!$G$19+N(J94)*Basis!$G$20+N(J99)*Basis!$G$21+N(J104)*Basis!$G$22+N(J109)*Basis!$G$23+N(J114)*Basis!$G$24+N(J119)*Basis!$G$25</t>
  </si>
  <si>
    <t xml:space="preserve">K138</t>
  </si>
  <si>
    <t xml:space="preserve">formula: =N(K4)*Basis!$G$2+N(K9)+N(K14)+N(K19)+N(K24)+N(K29)+N(K34)+N(K39)+N(K44)*Basis!$G$10+N(K49)*Basis!$G$11+N(K54)*Basis!$G$12+N(K59)+N(K64)*Basis!$G$14+N(K69)*Basis!$G$15+N(K74)*Basis!$G$16+N(K79)*Basis!$G$17+N(K84)*Basis!$G$18+N(K89)*Basis!$G$19+N(K94)*Basis!$G$20+N(K99)*Basis!$G$21+N(K104)*Basis!$G$22+N(K109)*Basis!$G$23+N(K114)*Basis!$G$24+N(K119)*Basis!$G$25</t>
  </si>
  <si>
    <t xml:space="preserve">L138</t>
  </si>
  <si>
    <t xml:space="preserve">formula: =N(L4)*Basis!$G$2+N(L9)+N(L14)+N(L19)+N(L24)+N(L29)+N(L34)+N(L39)+N(L44)*Basis!$G$10+N(L49)*Basis!$G$11+N(L54)*Basis!$G$12+N(L59)+N(L64)*Basis!$G$14+N(L69)*Basis!$G$15+N(L74)*Basis!$G$16+N(L79)*Basis!$G$17+N(L84)*Basis!$G$18+N(L89)*Basis!$G$19+N(L94)*Basis!$G$20+N(L99)*Basis!$G$21+N(L104)*Basis!$G$22+N(L109)*Basis!$G$23+N(L114)*Basis!$G$24+N(L119)*Basis!$G$25</t>
  </si>
  <si>
    <t xml:space="preserve">M138</t>
  </si>
  <si>
    <t xml:space="preserve">formula: =N(M4)*Basis!$G$2+N(M9)+N(M14)+N(M19)+N(M24)+N(M29)+N(M34)+N(M39)+N(M44)*Basis!$G$10+N(M49)*Basis!$G$11+N(M54)*Basis!$G$12+N(M59)+N(M64)*Basis!$G$14+N(M69)*Basis!$G$15+N(M74)*Basis!$G$16+N(M79)*Basis!$G$17+N(M84)*Basis!$G$18+N(M89)*Basis!$G$19+N(M94)*Basis!$G$20+N(M99)*Basis!$G$21+N(M104)*Basis!$G$22+N(M109)*Basis!$G$23+N(M114)*Basis!$G$24+N(M119)*Basis!$G$25</t>
  </si>
  <si>
    <t xml:space="preserve">N138</t>
  </si>
  <si>
    <t xml:space="preserve">formula: =N(N4)*Basis!$G$2+N(N9)+N(N14)+N(N19)+N(N24)+N(N29)+N(N34)+N(N39)+N(N44)*Basis!$G$10+N(N49)*Basis!$G$11+N(N54)*Basis!$G$12+N(N59)+N(N64)*Basis!$G$14+N(N69)*Basis!$G$15+N(N74)*Basis!$G$16+N(N79)*Basis!$G$17+N(N84)*Basis!$G$18+N(N89)*Basis!$G$19+N(N94)*Basis!$G$20+N(N99)*Basis!$G$21+N(N104)*Basis!$G$22+N(N109)*Basis!$G$23+N(N114)*Basis!$G$24+N(N119)*Basis!$G$25</t>
  </si>
  <si>
    <t xml:space="preserve">O138</t>
  </si>
  <si>
    <t xml:space="preserve">formula: =N(O4)*Basis!$G$2+N(O9)+N(O14)+N(O19)+N(O24)+N(O29)+N(O34)+N(O39)+N(O44)*Basis!$G$10+N(O49)*Basis!$G$11+N(O54)*Basis!$G$12+N(O59)+N(O64)*Basis!$G$14+N(O69)*Basis!$G$15+N(O74)*Basis!$G$16+N(O79)*Basis!$G$17+N(O84)*Basis!$G$18+N(O89)*Basis!$G$19+N(O94)*Basis!$G$20+N(O99)*Basis!$G$21+N(O104)*Basis!$G$22+N(O109)*Basis!$G$23+N(O114)*Basis!$G$24+N(O119)*Basis!$G$25</t>
  </si>
  <si>
    <t xml:space="preserve">P138</t>
  </si>
  <si>
    <t xml:space="preserve">formula: =N(P4)*Basis!$G$2+N(P9)+N(P14)+N(P19)+N(P24)+N(P29)+N(P34)+N(P39)+N(P44)*Basis!$G$10+N(P49)*Basis!$G$11+N(P54)*Basis!$G$12+N(P59)+N(P64)*Basis!$G$14+N(P69)*Basis!$G$15+N(P74)*Basis!$G$16+N(P79)*Basis!$G$17+N(P84)*Basis!$G$18+N(P89)*Basis!$G$19+N(P94)*Basis!$G$20+N(P99)*Basis!$G$21+N(P104)*Basis!$G$22+N(P109)*Basis!$G$23+N(P114)*Basis!$G$24+N(P119)*Basis!$G$25</t>
  </si>
  <si>
    <t xml:space="preserve">Q138</t>
  </si>
  <si>
    <t xml:space="preserve">formula: =N(Q4)*Basis!$G$2+N(Q9)+N(Q14)+N(Q19)+N(Q24)+N(Q29)+N(Q34)+N(Q39)+N(Q44)*Basis!$G$10+N(Q49)*Basis!$G$11+N(Q54)*Basis!$G$12+N(Q59)+N(Q64)*Basis!$G$14+N(Q69)*Basis!$G$15+N(Q74)*Basis!$G$16+N(Q79)*Basis!$G$17+N(Q84)*Basis!$G$18+N(Q89)*Basis!$G$19+N(Q94)*Basis!$G$20+N(Q99)*Basis!$G$21+N(Q104)*Basis!$G$22+N(Q109)*Basis!$G$23+N(Q114)*Basis!$G$24+N(Q119)*Basis!$G$25</t>
  </si>
  <si>
    <t xml:space="preserve">R138</t>
  </si>
  <si>
    <t xml:space="preserve">formula: =N(R4)*Basis!$G$2+N(R9)+N(R14)+N(R19)+N(R24)+N(R29)+N(R34)+N(R39)+N(R44)*Basis!$G$10+N(R49)*Basis!$G$11+N(R54)*Basis!$G$12+N(R59)+N(R64)*Basis!$G$14+N(R69)*Basis!$G$15+N(R74)*Basis!$G$16+N(R79)*Basis!$G$17+N(R84)*Basis!$G$18+N(R89)*Basis!$G$19+N(R94)*Basis!$G$20+N(R99)*Basis!$G$21+N(R104)*Basis!$G$22+N(R109)*Basis!$G$23+N(R114)*Basis!$G$24+N(R119)*Basis!$G$25</t>
  </si>
  <si>
    <t xml:space="preserve">S138</t>
  </si>
  <si>
    <t xml:space="preserve">formula: =N(S4)*Basis!$G$2+N(S9)+N(S14)+N(S19)+N(S24)+N(S29)+N(S34)+N(S39)+N(S44)*Basis!$G$10+N(S49)*Basis!$G$11+N(S54)*Basis!$G$12+N(S59)+N(S64)*Basis!$G$14+N(S69)*Basis!$G$15+N(S74)*Basis!$G$16+N(S79)*Basis!$G$17+N(S84)*Basis!$G$18+N(S89)*Basis!$G$19+N(S94)*Basis!$G$20+N(S99)*Basis!$G$21+N(S104)*Basis!$G$22+N(S109)*Basis!$G$23+N(S114)*Basis!$G$24+N(S119)*Basis!$G$25</t>
  </si>
  <si>
    <t xml:space="preserve">T138</t>
  </si>
  <si>
    <t xml:space="preserve">formula: =N(T4)*Basis!$G$2+N(T9)+N(T14)+N(T19)+N(T24)+N(T29)+N(T34)+N(T39)+N(T44)*Basis!$G$10+N(T49)*Basis!$G$11+N(T54)*Basis!$G$12+N(T59)+N(T64)*Basis!$G$14+N(T69)*Basis!$G$15+N(T74)*Basis!$G$16+N(T79)*Basis!$G$17+N(T84)*Basis!$G$18+N(T89)*Basis!$G$19+N(T94)*Basis!$G$20+N(T99)*Basis!$G$21+N(T104)*Basis!$G$22+N(T109)*Basis!$G$23+N(T114)*Basis!$G$24+N(T119)*Basis!$G$25</t>
  </si>
  <si>
    <t xml:space="preserve">U138</t>
  </si>
  <si>
    <t xml:space="preserve">formula: =N(U4)*Basis!$G$2+N(U9)+N(U14)+N(U19)+N(U24)+N(U29)+N(U34)+N(U39)+N(U44)*Basis!$G$10+N(U49)*Basis!$G$11+N(U54)*Basis!$G$12+N(U59)+N(U64)*Basis!$G$14+N(U69)*Basis!$G$15+N(U74)*Basis!$G$16+N(U79)*Basis!$G$17+N(U84)*Basis!$G$18+N(U89)*Basis!$G$19+N(U94)*Basis!$G$20+N(U99)*Basis!$G$21+N(U104)*Basis!$G$22+N(U109)*Basis!$G$23+N(U114)*Basis!$G$24+N(U119)*Basis!$G$25</t>
  </si>
  <si>
    <t xml:space="preserve">V138</t>
  </si>
  <si>
    <t xml:space="preserve">formula: =N(V4)*Basis!$G$2+N(V9)+N(V14)+N(V19)+N(V24)+N(V29)+N(V34)+N(V39)+N(V44)*Basis!$G$10+N(V49)*Basis!$G$11+N(V54)*Basis!$G$12+N(V59)+N(V64)*Basis!$G$14+N(V69)*Basis!$G$15+N(V74)*Basis!$G$16+N(V79)*Basis!$G$17+N(V84)*Basis!$G$18+N(V89)*Basis!$G$19+N(V94)*Basis!$G$20+N(V99)*Basis!$G$21+N(V104)*Basis!$G$22+N(V109)*Basis!$G$23+N(V114)*Basis!$G$24+N(V119)*Basis!$G$25</t>
  </si>
  <si>
    <t xml:space="preserve">W138</t>
  </si>
  <si>
    <t xml:space="preserve">formula: =N(W4)*Basis!$G$2+N(W9)+N(W14)+N(W19)+N(W24)+N(W29)+N(W34)+N(W39)+N(W44)*Basis!$G$10+N(W49)*Basis!$G$11+N(W54)*Basis!$G$12+N(W59)+N(W64)*Basis!$G$14+N(W69)*Basis!$G$15+N(W74)*Basis!$G$16+N(W79)*Basis!$G$17+N(W84)*Basis!$G$18+N(W89)*Basis!$G$19+N(W94)*Basis!$G$20+N(W99)*Basis!$G$21+N(W104)*Basis!$G$22+N(W109)*Basis!$G$23+N(W114)*Basis!$G$24+N(W119)*Basis!$G$25</t>
  </si>
  <si>
    <t xml:space="preserve">X138</t>
  </si>
  <si>
    <t xml:space="preserve">formula: =N(X4)*Basis!$G$2+N(X9)+N(X14)+N(X19)+N(X24)+N(X29)+N(X34)+N(X39)+N(X44)*Basis!$G$10+N(X49)*Basis!$G$11+N(X54)*Basis!$G$12+N(X59)+N(X64)*Basis!$G$14+N(X69)*Basis!$G$15+N(X74)*Basis!$G$16+N(X79)*Basis!$G$17+N(X84)*Basis!$G$18+N(X89)*Basis!$G$19+N(X94)*Basis!$G$20+N(X99)*Basis!$G$21+N(X104)*Basis!$G$22+N(X109)*Basis!$G$23+N(X114)*Basis!$G$24+N(X119)*Basis!$G$25</t>
  </si>
  <si>
    <t xml:space="preserve">Y138</t>
  </si>
  <si>
    <t xml:space="preserve">formula: =N(Y4)*Basis!$G$2+N(Y9)+N(Y14)+N(Y19)+N(Y24)+N(Y29)+N(Y34)+N(Y39)+N(Y44)*Basis!$G$10+N(Y49)*Basis!$G$11+N(Y54)*Basis!$G$12+N(Y59)+N(Y64)*Basis!$G$14+N(Y69)*Basis!$G$15+N(Y74)*Basis!$G$16+N(Y79)*Basis!$G$17+N(Y84)*Basis!$G$18+N(Y89)*Basis!$G$19+N(Y94)*Basis!$G$20+N(Y99)*Basis!$G$21+N(Y104)*Basis!$G$22+N(Y109)*Basis!$G$23+N(Y114)*Basis!$G$24+N(Y119)*Basis!$G$25</t>
  </si>
  <si>
    <t xml:space="preserve">Z138</t>
  </si>
  <si>
    <t xml:space="preserve">formula: =N(Z4)*Basis!$G$2+N(Z9)+N(Z14)+N(Z19)+N(Z24)+N(Z29)+N(Z34)+N(Z39)+N(Z44)*Basis!$G$10+N(Z49)*Basis!$G$11+N(Z54)*Basis!$G$12+N(Z59)+N(Z64)*Basis!$G$14+N(Z69)*Basis!$G$15+N(Z74)*Basis!$G$16+N(Z79)*Basis!$G$17+N(Z84)*Basis!$G$18+N(Z89)*Basis!$G$19+N(Z94)*Basis!$G$20+N(Z99)*Basis!$G$21+N(Z104)*Basis!$G$22+N(Z109)*Basis!$G$23+N(Z114)*Basis!$G$24+N(Z119)*Basis!$G$25</t>
  </si>
  <si>
    <t xml:space="preserve">AA138</t>
  </si>
  <si>
    <t xml:space="preserve">formula: =N(AA4)*Basis!$G$2+N(AA9)+N(AA14)+N(AA19)+N(AA24)+N(AA29)+N(AA34)+N(AA39)+N(AA44)*Basis!$G$10+N(AA49)*Basis!$G$11+N(AA54)*Basis!$G$12+N(AA59)+N(AA64)*Basis!$G$14+N(AA69)*Basis!$G$15+N(AA74)*Basis!$G$16+N(AA79)*Basis!$G$17+N(AA84)*Basis!$G$18+N(AA89)*Basis!$G$19+N(AA94)*Basis!$G$20+N(AA99)*Basis!$G$21+N(AA104)*Basis!$G$22+N(AA109)*Basis!$G$23+N(AA114)*Basis!$G$24+N(AA119)*Basis!$G$25</t>
  </si>
  <si>
    <t xml:space="preserve">AB138</t>
  </si>
  <si>
    <t xml:space="preserve">formula: =N(AB4)*Basis!$G$2+N(AB9)+N(AB14)+N(AB19)+N(AB24)+N(AB29)+N(AB34)+N(AB39)+N(AB44)*Basis!$G$10+N(AB49)*Basis!$G$11+N(AB54)*Basis!$G$12+N(AB59)+N(AB64)*Basis!$G$14+N(AB69)*Basis!$G$15+N(AB74)*Basis!$G$16+N(AB79)*Basis!$G$17+N(AB84)*Basis!$G$18+N(AB89)*Basis!$G$19+N(AB94)*Basis!$G$20+N(AB99)*Basis!$G$21+N(AB104)*Basis!$G$22+N(AB109)*Basis!$G$23+N(AB114)*Basis!$G$24+N(AB119)*Basis!$G$25</t>
  </si>
  <si>
    <t xml:space="preserve">AC138</t>
  </si>
  <si>
    <t xml:space="preserve">formula: =N(AC4)*Basis!$G$2+N(AC9)+N(AC14)+N(AC19)+N(AC24)+N(AC29)+N(AC34)+N(AC39)+N(AC44)*Basis!$G$10+N(AC49)*Basis!$G$11+N(AC54)*Basis!$G$12+N(AC59)+N(AC64)*Basis!$G$14+N(AC69)*Basis!$G$15+N(AC74)*Basis!$G$16+N(AC79)*Basis!$G$17+N(AC84)*Basis!$G$18+N(AC89)*Basis!$G$19+N(AC94)*Basis!$G$20+N(AC99)*Basis!$G$21+N(AC104)*Basis!$G$22+N(AC109)*Basis!$G$23+N(AC114)*Basis!$G$24+N(AC119)*Basis!$G$25</t>
  </si>
  <si>
    <t xml:space="preserve">AD138</t>
  </si>
  <si>
    <t xml:space="preserve">formula: =N(AD4)*Basis!$G$2+N(AD9)+N(AD14)+N(AD19)+N(AD24)+N(AD29)+N(AD34)+N(AD39)+N(AD44)*Basis!$G$10+N(AD49)*Basis!$G$11+N(AD54)*Basis!$G$12+N(AD59)+N(AD64)*Basis!$G$14+N(AD69)*Basis!$G$15+N(AD74)*Basis!$G$16+N(AD79)*Basis!$G$17+N(AD84)*Basis!$G$18+N(AD89)*Basis!$G$19+N(AD94)*Basis!$G$20+N(AD99)*Basis!$G$21+N(AD104)*Basis!$G$22+N(AD109)*Basis!$G$23+N(AD114)*Basis!$G$24+N(AD119)*Basis!$G$25</t>
  </si>
  <si>
    <t xml:space="preserve">AE138</t>
  </si>
  <si>
    <t xml:space="preserve">formula: =N(AE4)*Basis!$G$2+N(AE9)+N(AE14)+N(AE19)+N(AE24)+N(AE29)+N(AE34)+N(AE39)+N(AE44)*Basis!$G$10+N(AE49)*Basis!$G$11+N(AE54)*Basis!$G$12+N(AE59)+N(AE64)*Basis!$G$14+N(AE69)*Basis!$G$15+N(AE74)*Basis!$G$16+N(AE79)*Basis!$G$17+N(AE84)*Basis!$G$18+N(AE89)*Basis!$G$19+N(AE94)*Basis!$G$20+N(AE99)*Basis!$G$21+N(AE104)*Basis!$G$22+N(AE109)*Basis!$G$23+N(AE114)*Basis!$G$24+N(AE119)*Basis!$G$25</t>
  </si>
  <si>
    <t xml:space="preserve">AF138</t>
  </si>
  <si>
    <t xml:space="preserve">formula: =N(AF4)*Basis!$G$2+N(AF9)+N(AF14)+N(AF19)+N(AF24)+N(AF29)+N(AF34)+N(AF39)+N(AF44)*Basis!$G$10+N(AF49)*Basis!$G$11+N(AF54)*Basis!$G$12+N(AF59)+N(AF64)*Basis!$G$14+N(AF69)*Basis!$G$15+N(AF74)*Basis!$G$16+N(AF79)*Basis!$G$17+N(AF84)*Basis!$G$18+N(AF89)*Basis!$G$19+N(AF94)*Basis!$G$20+N(AF99)*Basis!$G$21+N(AF104)*Basis!$G$22+N(AF109)*Basis!$G$23+N(AF114)*Basis!$G$24+N(AF119)*Basis!$G$25</t>
  </si>
  <si>
    <t xml:space="preserve">E139</t>
  </si>
  <si>
    <t xml:space="preserve">formula: =N(E6)*Basis!$G$2+N(E11)+N(E16)+N(E21)+N(E26)+N(E31)+N(E36)+N(E41)+N(E46)*Basis!$G$10+N(E51)*Basis!$G$11+N(E56)*Basis!$G$12+N(E61)+N(E66)*Basis!$G$14+N(E71)*Basis!$G$15+N(E76)*Basis!$G$16+N(E81)*Basis!$G$17+N(E86)*Basis!$G$18+N(E91)*Basis!$G$19+N(E96)*Basis!$G$20+N(E101)*Basis!$G$21+N(E106)*Basis!$G$22+N(E111)*Basis!$G$23+N(E116)*Basis!$G$24+N(E121)*Basis!$G$25</t>
  </si>
  <si>
    <t xml:space="preserve">sum of site Energized MW base (=midpoint) converted to gross basis with Basis tab factors</t>
  </si>
  <si>
    <t xml:space="preserve">F139</t>
  </si>
  <si>
    <t xml:space="preserve">formula: =N(F6)*Basis!$G$2+N(F11)+N(F16)+N(F21)+N(F26)+N(F31)+N(F36)+N(F41)+N(F46)*Basis!$G$10+N(F51)*Basis!$G$11+N(F56)*Basis!$G$12+N(F61)+N(F66)*Basis!$G$14+N(F71)*Basis!$G$15+N(F76)*Basis!$G$16+N(F81)*Basis!$G$17+N(F86)*Basis!$G$18+N(F91)*Basis!$G$19+N(F96)*Basis!$G$20+N(F101)*Basis!$G$21+N(F106)*Basis!$G$22+N(F111)*Basis!$G$23+N(F116)*Basis!$G$24+N(F121)*Basis!$G$25</t>
  </si>
  <si>
    <t xml:space="preserve">G139</t>
  </si>
  <si>
    <t xml:space="preserve">formula: =N(G6)*Basis!$G$2+N(G11)+N(G16)+N(G21)+N(G26)+N(G31)+N(G36)+N(G41)+N(G46)*Basis!$G$10+N(G51)*Basis!$G$11+N(G56)*Basis!$G$12+N(G61)+N(G66)*Basis!$G$14+N(G71)*Basis!$G$15+N(G76)*Basis!$G$16+N(G81)*Basis!$G$17+N(G86)*Basis!$G$18+N(G91)*Basis!$G$19+N(G96)*Basis!$G$20+N(G101)*Basis!$G$21+N(G106)*Basis!$G$22+N(G111)*Basis!$G$23+N(G116)*Basis!$G$24+N(G121)*Basis!$G$25</t>
  </si>
  <si>
    <t xml:space="preserve">H139</t>
  </si>
  <si>
    <t xml:space="preserve">formula: =N(H6)*Basis!$G$2+N(H11)+N(H16)+N(H21)+N(H26)+N(H31)+N(H36)+N(H41)+N(H46)*Basis!$G$10+N(H51)*Basis!$G$11+N(H56)*Basis!$G$12+N(H61)+N(H66)*Basis!$G$14+N(H71)*Basis!$G$15+N(H76)*Basis!$G$16+N(H81)*Basis!$G$17+N(H86)*Basis!$G$18+N(H91)*Basis!$G$19+N(H96)*Basis!$G$20+N(H101)*Basis!$G$21+N(H106)*Basis!$G$22+N(H111)*Basis!$G$23+N(H116)*Basis!$G$24+N(H121)*Basis!$G$25</t>
  </si>
  <si>
    <t xml:space="preserve">I139</t>
  </si>
  <si>
    <t xml:space="preserve">formula: =N(I6)*Basis!$G$2+N(I11)+N(I16)+N(I21)+N(I26)+N(I31)+N(I36)+N(I41)+N(I46)*Basis!$G$10+N(I51)*Basis!$G$11+N(I56)*Basis!$G$12+N(I61)+N(I66)*Basis!$G$14+N(I71)*Basis!$G$15+N(I76)*Basis!$G$16+N(I81)*Basis!$G$17+N(I86)*Basis!$G$18+N(I91)*Basis!$G$19+N(I96)*Basis!$G$20+N(I101)*Basis!$G$21+N(I106)*Basis!$G$22+N(I111)*Basis!$G$23+N(I116)*Basis!$G$24+N(I121)*Basis!$G$25</t>
  </si>
  <si>
    <t xml:space="preserve">J139</t>
  </si>
  <si>
    <t xml:space="preserve">formula: =N(J6)*Basis!$G$2+N(J11)+N(J16)+N(J21)+N(J26)+N(J31)+N(J36)+N(J41)+N(J46)*Basis!$G$10+N(J51)*Basis!$G$11+N(J56)*Basis!$G$12+N(J61)+N(J66)*Basis!$G$14+N(J71)*Basis!$G$15+N(J76)*Basis!$G$16+N(J81)*Basis!$G$17+N(J86)*Basis!$G$18+N(J91)*Basis!$G$19+N(J96)*Basis!$G$20+N(J101)*Basis!$G$21+N(J106)*Basis!$G$22+N(J111)*Basis!$G$23+N(J116)*Basis!$G$24+N(J121)*Basis!$G$25</t>
  </si>
  <si>
    <t xml:space="preserve">K139</t>
  </si>
  <si>
    <t xml:space="preserve">formula: =N(K6)*Basis!$G$2+N(K11)+N(K16)+N(K21)+N(K26)+N(K31)+N(K36)+N(K41)+N(K46)*Basis!$G$10+N(K51)*Basis!$G$11+N(K56)*Basis!$G$12+N(K61)+N(K66)*Basis!$G$14+N(K71)*Basis!$G$15+N(K76)*Basis!$G$16+N(K81)*Basis!$G$17+N(K86)*Basis!$G$18+N(K91)*Basis!$G$19+N(K96)*Basis!$G$20+N(K101)*Basis!$G$21+N(K106)*Basis!$G$22+N(K111)*Basis!$G$23+N(K116)*Basis!$G$24+N(K121)*Basis!$G$25</t>
  </si>
  <si>
    <t xml:space="preserve">L139</t>
  </si>
  <si>
    <t xml:space="preserve">formula: =N(L6)*Basis!$G$2+N(L11)+N(L16)+N(L21)+N(L26)+N(L31)+N(L36)+N(L41)+N(L46)*Basis!$G$10+N(L51)*Basis!$G$11+N(L56)*Basis!$G$12+N(L61)+N(L66)*Basis!$G$14+N(L71)*Basis!$G$15+N(L76)*Basis!$G$16+N(L81)*Basis!$G$17+N(L86)*Basis!$G$18+N(L91)*Basis!$G$19+N(L96)*Basis!$G$20+N(L101)*Basis!$G$21+N(L106)*Basis!$G$22+N(L111)*Basis!$G$23+N(L116)*Basis!$G$24+N(L121)*Basis!$G$25</t>
  </si>
  <si>
    <t xml:space="preserve">M139</t>
  </si>
  <si>
    <t xml:space="preserve">formula: =N(M6)*Basis!$G$2+N(M11)+N(M16)+N(M21)+N(M26)+N(M31)+N(M36)+N(M41)+N(M46)*Basis!$G$10+N(M51)*Basis!$G$11+N(M56)*Basis!$G$12+N(M61)+N(M66)*Basis!$G$14+N(M71)*Basis!$G$15+N(M76)*Basis!$G$16+N(M81)*Basis!$G$17+N(M86)*Basis!$G$18+N(M91)*Basis!$G$19+N(M96)*Basis!$G$20+N(M101)*Basis!$G$21+N(M106)*Basis!$G$22+N(M111)*Basis!$G$23+N(M116)*Basis!$G$24+N(M121)*Basis!$G$25</t>
  </si>
  <si>
    <t xml:space="preserve">N139</t>
  </si>
  <si>
    <t xml:space="preserve">formula: =N(N6)*Basis!$G$2+N(N11)+N(N16)+N(N21)+N(N26)+N(N31)+N(N36)+N(N41)+N(N46)*Basis!$G$10+N(N51)*Basis!$G$11+N(N56)*Basis!$G$12+N(N61)+N(N66)*Basis!$G$14+N(N71)*Basis!$G$15+N(N76)*Basis!$G$16+N(N81)*Basis!$G$17+N(N86)*Basis!$G$18+N(N91)*Basis!$G$19+N(N96)*Basis!$G$20+N(N101)*Basis!$G$21+N(N106)*Basis!$G$22+N(N111)*Basis!$G$23+N(N116)*Basis!$G$24+N(N121)*Basis!$G$25</t>
  </si>
  <si>
    <t xml:space="preserve">O139</t>
  </si>
  <si>
    <t xml:space="preserve">formula: =N(O6)*Basis!$G$2+N(O11)+N(O16)+N(O21)+N(O26)+N(O31)+N(O36)+N(O41)+N(O46)*Basis!$G$10+N(O51)*Basis!$G$11+N(O56)*Basis!$G$12+N(O61)+N(O66)*Basis!$G$14+N(O71)*Basis!$G$15+N(O76)*Basis!$G$16+N(O81)*Basis!$G$17+N(O86)*Basis!$G$18+N(O91)*Basis!$G$19+N(O96)*Basis!$G$20+N(O101)*Basis!$G$21+N(O106)*Basis!$G$22+N(O111)*Basis!$G$23+N(O116)*Basis!$G$24+N(O121)*Basis!$G$25</t>
  </si>
  <si>
    <t xml:space="preserve">P139</t>
  </si>
  <si>
    <t xml:space="preserve">formula: =N(P6)*Basis!$G$2+N(P11)+N(P16)+N(P21)+N(P26)+N(P31)+N(P36)+N(P41)+N(P46)*Basis!$G$10+N(P51)*Basis!$G$11+N(P56)*Basis!$G$12+N(P61)+N(P66)*Basis!$G$14+N(P71)*Basis!$G$15+N(P76)*Basis!$G$16+N(P81)*Basis!$G$17+N(P86)*Basis!$G$18+N(P91)*Basis!$G$19+N(P96)*Basis!$G$20+N(P101)*Basis!$G$21+N(P106)*Basis!$G$22+N(P111)*Basis!$G$23+N(P116)*Basis!$G$24+N(P121)*Basis!$G$25</t>
  </si>
  <si>
    <t xml:space="preserve">Q139</t>
  </si>
  <si>
    <t xml:space="preserve">formula: =N(Q6)*Basis!$G$2+N(Q11)+N(Q16)+N(Q21)+N(Q26)+N(Q31)+N(Q36)+N(Q41)+N(Q46)*Basis!$G$10+N(Q51)*Basis!$G$11+N(Q56)*Basis!$G$12+N(Q61)+N(Q66)*Basis!$G$14+N(Q71)*Basis!$G$15+N(Q76)*Basis!$G$16+N(Q81)*Basis!$G$17+N(Q86)*Basis!$G$18+N(Q91)*Basis!$G$19+N(Q96)*Basis!$G$20+N(Q101)*Basis!$G$21+N(Q106)*Basis!$G$22+N(Q111)*Basis!$G$23+N(Q116)*Basis!$G$24+N(Q121)*Basis!$G$25</t>
  </si>
  <si>
    <t xml:space="preserve">R139</t>
  </si>
  <si>
    <t xml:space="preserve">formula: =N(R6)*Basis!$G$2+N(R11)+N(R16)+N(R21)+N(R26)+N(R31)+N(R36)+N(R41)+N(R46)*Basis!$G$10+N(R51)*Basis!$G$11+N(R56)*Basis!$G$12+N(R61)+N(R66)*Basis!$G$14+N(R71)*Basis!$G$15+N(R76)*Basis!$G$16+N(R81)*Basis!$G$17+N(R86)*Basis!$G$18+N(R91)*Basis!$G$19+N(R96)*Basis!$G$20+N(R101)*Basis!$G$21+N(R106)*Basis!$G$22+N(R111)*Basis!$G$23+N(R116)*Basis!$G$24+N(R121)*Basis!$G$25</t>
  </si>
  <si>
    <t xml:space="preserve">S139</t>
  </si>
  <si>
    <t xml:space="preserve">formula: =N(S6)*Basis!$G$2+N(S11)+N(S16)+N(S21)+N(S26)+N(S31)+N(S36)+N(S41)+N(S46)*Basis!$G$10+N(S51)*Basis!$G$11+N(S56)*Basis!$G$12+N(S61)+N(S66)*Basis!$G$14+N(S71)*Basis!$G$15+N(S76)*Basis!$G$16+N(S81)*Basis!$G$17+N(S86)*Basis!$G$18+N(S91)*Basis!$G$19+N(S96)*Basis!$G$20+N(S101)*Basis!$G$21+N(S106)*Basis!$G$22+N(S111)*Basis!$G$23+N(S116)*Basis!$G$24+N(S121)*Basis!$G$25</t>
  </si>
  <si>
    <t xml:space="preserve">T139</t>
  </si>
  <si>
    <t xml:space="preserve">formula: =N(T6)*Basis!$G$2+N(T11)+N(T16)+N(T21)+N(T26)+N(T31)+N(T36)+N(T41)+N(T46)*Basis!$G$10+N(T51)*Basis!$G$11+N(T56)*Basis!$G$12+N(T61)+N(T66)*Basis!$G$14+N(T71)*Basis!$G$15+N(T76)*Basis!$G$16+N(T81)*Basis!$G$17+N(T86)*Basis!$G$18+N(T91)*Basis!$G$19+N(T96)*Basis!$G$20+N(T101)*Basis!$G$21+N(T106)*Basis!$G$22+N(T111)*Basis!$G$23+N(T116)*Basis!$G$24+N(T121)*Basis!$G$25</t>
  </si>
  <si>
    <t xml:space="preserve">U139</t>
  </si>
  <si>
    <t xml:space="preserve">formula: =N(U6)*Basis!$G$2+N(U11)+N(U16)+N(U21)+N(U26)+N(U31)+N(U36)+N(U41)+N(U46)*Basis!$G$10+N(U51)*Basis!$G$11+N(U56)*Basis!$G$12+N(U61)+N(U66)*Basis!$G$14+N(U71)*Basis!$G$15+N(U76)*Basis!$G$16+N(U81)*Basis!$G$17+N(U86)*Basis!$G$18+N(U91)*Basis!$G$19+N(U96)*Basis!$G$20+N(U101)*Basis!$G$21+N(U106)*Basis!$G$22+N(U111)*Basis!$G$23+N(U116)*Basis!$G$24+N(U121)*Basis!$G$25</t>
  </si>
  <si>
    <t xml:space="preserve">V139</t>
  </si>
  <si>
    <t xml:space="preserve">formula: =N(V6)*Basis!$G$2+N(V11)+N(V16)+N(V21)+N(V26)+N(V31)+N(V36)+N(V41)+N(V46)*Basis!$G$10+N(V51)*Basis!$G$11+N(V56)*Basis!$G$12+N(V61)+N(V66)*Basis!$G$14+N(V71)*Basis!$G$15+N(V76)*Basis!$G$16+N(V81)*Basis!$G$17+N(V86)*Basis!$G$18+N(V91)*Basis!$G$19+N(V96)*Basis!$G$20+N(V101)*Basis!$G$21+N(V106)*Basis!$G$22+N(V111)*Basis!$G$23+N(V116)*Basis!$G$24+N(V121)*Basis!$G$25</t>
  </si>
  <si>
    <t xml:space="preserve">W139</t>
  </si>
  <si>
    <t xml:space="preserve">formula: =N(W6)*Basis!$G$2+N(W11)+N(W16)+N(W21)+N(W26)+N(W31)+N(W36)+N(W41)+N(W46)*Basis!$G$10+N(W51)*Basis!$G$11+N(W56)*Basis!$G$12+N(W61)+N(W66)*Basis!$G$14+N(W71)*Basis!$G$15+N(W76)*Basis!$G$16+N(W81)*Basis!$G$17+N(W86)*Basis!$G$18+N(W91)*Basis!$G$19+N(W96)*Basis!$G$20+N(W101)*Basis!$G$21+N(W106)*Basis!$G$22+N(W111)*Basis!$G$23+N(W116)*Basis!$G$24+N(W121)*Basis!$G$25</t>
  </si>
  <si>
    <t xml:space="preserve">X139</t>
  </si>
  <si>
    <t xml:space="preserve">formula: =N(X6)*Basis!$G$2+N(X11)+N(X16)+N(X21)+N(X26)+N(X31)+N(X36)+N(X41)+N(X46)*Basis!$G$10+N(X51)*Basis!$G$11+N(X56)*Basis!$G$12+N(X61)+N(X66)*Basis!$G$14+N(X71)*Basis!$G$15+N(X76)*Basis!$G$16+N(X81)*Basis!$G$17+N(X86)*Basis!$G$18+N(X91)*Basis!$G$19+N(X96)*Basis!$G$20+N(X101)*Basis!$G$21+N(X106)*Basis!$G$22+N(X111)*Basis!$G$23+N(X116)*Basis!$G$24+N(X121)*Basis!$G$25</t>
  </si>
  <si>
    <t xml:space="preserve">Y139</t>
  </si>
  <si>
    <t xml:space="preserve">formula: =N(Y6)*Basis!$G$2+N(Y11)+N(Y16)+N(Y21)+N(Y26)+N(Y31)+N(Y36)+N(Y41)+N(Y46)*Basis!$G$10+N(Y51)*Basis!$G$11+N(Y56)*Basis!$G$12+N(Y61)+N(Y66)*Basis!$G$14+N(Y71)*Basis!$G$15+N(Y76)*Basis!$G$16+N(Y81)*Basis!$G$17+N(Y86)*Basis!$G$18+N(Y91)*Basis!$G$19+N(Y96)*Basis!$G$20+N(Y101)*Basis!$G$21+N(Y106)*Basis!$G$22+N(Y111)*Basis!$G$23+N(Y116)*Basis!$G$24+N(Y121)*Basis!$G$25</t>
  </si>
  <si>
    <t xml:space="preserve">Z139</t>
  </si>
  <si>
    <t xml:space="preserve">formula: =N(Z6)*Basis!$G$2+N(Z11)+N(Z16)+N(Z21)+N(Z26)+N(Z31)+N(Z36)+N(Z41)+N(Z46)*Basis!$G$10+N(Z51)*Basis!$G$11+N(Z56)*Basis!$G$12+N(Z61)+N(Z66)*Basis!$G$14+N(Z71)*Basis!$G$15+N(Z76)*Basis!$G$16+N(Z81)*Basis!$G$17+N(Z86)*Basis!$G$18+N(Z91)*Basis!$G$19+N(Z96)*Basis!$G$20+N(Z101)*Basis!$G$21+N(Z106)*Basis!$G$22+N(Z111)*Basis!$G$23+N(Z116)*Basis!$G$24+N(Z121)*Basis!$G$25</t>
  </si>
  <si>
    <t xml:space="preserve">AA139</t>
  </si>
  <si>
    <t xml:space="preserve">formula: =N(AA6)*Basis!$G$2+N(AA11)+N(AA16)+N(AA21)+N(AA26)+N(AA31)+N(AA36)+N(AA41)+N(AA46)*Basis!$G$10+N(AA51)*Basis!$G$11+N(AA56)*Basis!$G$12+N(AA61)+N(AA66)*Basis!$G$14+N(AA71)*Basis!$G$15+N(AA76)*Basis!$G$16+N(AA81)*Basis!$G$17+N(AA86)*Basis!$G$18+N(AA91)*Basis!$G$19+N(AA96)*Basis!$G$20+N(AA101)*Basis!$G$21+N(AA106)*Basis!$G$22+N(AA111)*Basis!$G$23+N(AA116)*Basis!$G$24+N(AA121)*Basis!$G$25</t>
  </si>
  <si>
    <t xml:space="preserve">AB139</t>
  </si>
  <si>
    <t xml:space="preserve">formula: =N(AB6)*Basis!$G$2+N(AB11)+N(AB16)+N(AB21)+N(AB26)+N(AB31)+N(AB36)+N(AB41)+N(AB46)*Basis!$G$10+N(AB51)*Basis!$G$11+N(AB56)*Basis!$G$12+N(AB61)+N(AB66)*Basis!$G$14+N(AB71)*Basis!$G$15+N(AB76)*Basis!$G$16+N(AB81)*Basis!$G$17+N(AB86)*Basis!$G$18+N(AB91)*Basis!$G$19+N(AB96)*Basis!$G$20+N(AB101)*Basis!$G$21+N(AB106)*Basis!$G$22+N(AB111)*Basis!$G$23+N(AB116)*Basis!$G$24+N(AB121)*Basis!$G$25</t>
  </si>
  <si>
    <t xml:space="preserve">AC139</t>
  </si>
  <si>
    <t xml:space="preserve">formula: =N(AC6)*Basis!$G$2+N(AC11)+N(AC16)+N(AC21)+N(AC26)+N(AC31)+N(AC36)+N(AC41)+N(AC46)*Basis!$G$10+N(AC51)*Basis!$G$11+N(AC56)*Basis!$G$12+N(AC61)+N(AC66)*Basis!$G$14+N(AC71)*Basis!$G$15+N(AC76)*Basis!$G$16+N(AC81)*Basis!$G$17+N(AC86)*Basis!$G$18+N(AC91)*Basis!$G$19+N(AC96)*Basis!$G$20+N(AC101)*Basis!$G$21+N(AC106)*Basis!$G$22+N(AC111)*Basis!$G$23+N(AC116)*Basis!$G$24+N(AC121)*Basis!$G$25</t>
  </si>
  <si>
    <t xml:space="preserve">AD139</t>
  </si>
  <si>
    <t xml:space="preserve">formula: =N(AD6)*Basis!$G$2+N(AD11)+N(AD16)+N(AD21)+N(AD26)+N(AD31)+N(AD36)+N(AD41)+N(AD46)*Basis!$G$10+N(AD51)*Basis!$G$11+N(AD56)*Basis!$G$12+N(AD61)+N(AD66)*Basis!$G$14+N(AD71)*Basis!$G$15+N(AD76)*Basis!$G$16+N(AD81)*Basis!$G$17+N(AD86)*Basis!$G$18+N(AD91)*Basis!$G$19+N(AD96)*Basis!$G$20+N(AD101)*Basis!$G$21+N(AD106)*Basis!$G$22+N(AD111)*Basis!$G$23+N(AD116)*Basis!$G$24+N(AD121)*Basis!$G$25</t>
  </si>
  <si>
    <t xml:space="preserve">AE139</t>
  </si>
  <si>
    <t xml:space="preserve">formula: =N(AE6)*Basis!$G$2+N(AE11)+N(AE16)+N(AE21)+N(AE26)+N(AE31)+N(AE36)+N(AE41)+N(AE46)*Basis!$G$10+N(AE51)*Basis!$G$11+N(AE56)*Basis!$G$12+N(AE61)+N(AE66)*Basis!$G$14+N(AE71)*Basis!$G$15+N(AE76)*Basis!$G$16+N(AE81)*Basis!$G$17+N(AE86)*Basis!$G$18+N(AE91)*Basis!$G$19+N(AE96)*Basis!$G$20+N(AE101)*Basis!$G$21+N(AE106)*Basis!$G$22+N(AE111)*Basis!$G$23+N(AE116)*Basis!$G$24+N(AE121)*Basis!$G$25</t>
  </si>
  <si>
    <t xml:space="preserve">AF139</t>
  </si>
  <si>
    <t xml:space="preserve">formula: =N(AF6)*Basis!$G$2+N(AF11)+N(AF16)+N(AF21)+N(AF26)+N(AF31)+N(AF36)+N(AF41)+N(AF46)*Basis!$G$10+N(AF51)*Basis!$G$11+N(AF56)*Basis!$G$12+N(AF61)+N(AF66)*Basis!$G$14+N(AF71)*Basis!$G$15+N(AF76)*Basis!$G$16+N(AF81)*Basis!$G$17+N(AF86)*Basis!$G$18+N(AF91)*Basis!$G$19+N(AF96)*Basis!$G$20+N(AF101)*Basis!$G$21+N(AF106)*Basis!$G$22+N(AF111)*Basis!$G$23+N(AF116)*Basis!$G$24+N(AF121)*Basis!$G$25</t>
  </si>
  <si>
    <t xml:space="preserve">E140</t>
  </si>
  <si>
    <t xml:space="preserve">formula: =N(E5)*Basis!$G$2+N(E10)+N(E15)+N(E20)+N(E25)+N(E30)+N(E35)+N(E40)+N(E45)*Basis!$G$10+N(E50)*Basis!$G$11+N(E55)*Basis!$G$12+N(E60)+N(E65)*Basis!$G$14+N(E70)*Basis!$G$15+N(E75)*Basis!$G$16+N(E80)*Basis!$G$17+N(E85)*Basis!$G$18+N(E90)*Basis!$G$19+N(E95)*Basis!$G$20+N(E100)*Basis!$G$21+N(E105)*Basis!$G$22+N(E110)*Basis!$G$23+N(E115)*Basis!$G$24+N(E120)*Basis!$G$25</t>
  </si>
  <si>
    <t xml:space="preserve">sum of site Energized MW high converted to gross basis with Basis tab factors</t>
  </si>
  <si>
    <t xml:space="preserve">F140</t>
  </si>
  <si>
    <t xml:space="preserve">formula: =N(F5)*Basis!$G$2+N(F10)+N(F15)+N(F20)+N(F25)+N(F30)+N(F35)+N(F40)+N(F45)*Basis!$G$10+N(F50)*Basis!$G$11+N(F55)*Basis!$G$12+N(F60)+N(F65)*Basis!$G$14+N(F70)*Basis!$G$15+N(F75)*Basis!$G$16+N(F80)*Basis!$G$17+N(F85)*Basis!$G$18+N(F90)*Basis!$G$19+N(F95)*Basis!$G$20+N(F100)*Basis!$G$21+N(F105)*Basis!$G$22+N(F110)*Basis!$G$23+N(F115)*Basis!$G$24+N(F120)*Basis!$G$25</t>
  </si>
  <si>
    <t xml:space="preserve">G140</t>
  </si>
  <si>
    <t xml:space="preserve">formula: =N(G5)*Basis!$G$2+N(G10)+N(G15)+N(G20)+N(G25)+N(G30)+N(G35)+N(G40)+N(G45)*Basis!$G$10+N(G50)*Basis!$G$11+N(G55)*Basis!$G$12+N(G60)+N(G65)*Basis!$G$14+N(G70)*Basis!$G$15+N(G75)*Basis!$G$16+N(G80)*Basis!$G$17+N(G85)*Basis!$G$18+N(G90)*Basis!$G$19+N(G95)*Basis!$G$20+N(G100)*Basis!$G$21+N(G105)*Basis!$G$22+N(G110)*Basis!$G$23+N(G115)*Basis!$G$24+N(G120)*Basis!$G$25</t>
  </si>
  <si>
    <t xml:space="preserve">H140</t>
  </si>
  <si>
    <t xml:space="preserve">formula: =N(H5)*Basis!$G$2+N(H10)+N(H15)+N(H20)+N(H25)+N(H30)+N(H35)+N(H40)+N(H45)*Basis!$G$10+N(H50)*Basis!$G$11+N(H55)*Basis!$G$12+N(H60)+N(H65)*Basis!$G$14+N(H70)*Basis!$G$15+N(H75)*Basis!$G$16+N(H80)*Basis!$G$17+N(H85)*Basis!$G$18+N(H90)*Basis!$G$19+N(H95)*Basis!$G$20+N(H100)*Basis!$G$21+N(H105)*Basis!$G$22+N(H110)*Basis!$G$23+N(H115)*Basis!$G$24+N(H120)*Basis!$G$25</t>
  </si>
  <si>
    <t xml:space="preserve">I140</t>
  </si>
  <si>
    <t xml:space="preserve">formula: =N(I5)*Basis!$G$2+N(I10)+N(I15)+N(I20)+N(I25)+N(I30)+N(I35)+N(I40)+N(I45)*Basis!$G$10+N(I50)*Basis!$G$11+N(I55)*Basis!$G$12+N(I60)+N(I65)*Basis!$G$14+N(I70)*Basis!$G$15+N(I75)*Basis!$G$16+N(I80)*Basis!$G$17+N(I85)*Basis!$G$18+N(I90)*Basis!$G$19+N(I95)*Basis!$G$20+N(I100)*Basis!$G$21+N(I105)*Basis!$G$22+N(I110)*Basis!$G$23+N(I115)*Basis!$G$24+N(I120)*Basis!$G$25</t>
  </si>
  <si>
    <t xml:space="preserve">J140</t>
  </si>
  <si>
    <t xml:space="preserve">formula: =N(J5)*Basis!$G$2+N(J10)+N(J15)+N(J20)+N(J25)+N(J30)+N(J35)+N(J40)+N(J45)*Basis!$G$10+N(J50)*Basis!$G$11+N(J55)*Basis!$G$12+N(J60)+N(J65)*Basis!$G$14+N(J70)*Basis!$G$15+N(J75)*Basis!$G$16+N(J80)*Basis!$G$17+N(J85)*Basis!$G$18+N(J90)*Basis!$G$19+N(J95)*Basis!$G$20+N(J100)*Basis!$G$21+N(J105)*Basis!$G$22+N(J110)*Basis!$G$23+N(J115)*Basis!$G$24+N(J120)*Basis!$G$25</t>
  </si>
  <si>
    <t xml:space="preserve">K140</t>
  </si>
  <si>
    <t xml:space="preserve">formula: =N(K5)*Basis!$G$2+N(K10)+N(K15)+N(K20)+N(K25)+N(K30)+N(K35)+N(K40)+N(K45)*Basis!$G$10+N(K50)*Basis!$G$11+N(K55)*Basis!$G$12+N(K60)+N(K65)*Basis!$G$14+N(K70)*Basis!$G$15+N(K75)*Basis!$G$16+N(K80)*Basis!$G$17+N(K85)*Basis!$G$18+N(K90)*Basis!$G$19+N(K95)*Basis!$G$20+N(K100)*Basis!$G$21+N(K105)*Basis!$G$22+N(K110)*Basis!$G$23+N(K115)*Basis!$G$24+N(K120)*Basis!$G$25</t>
  </si>
  <si>
    <t xml:space="preserve">L140</t>
  </si>
  <si>
    <t xml:space="preserve">formula: =N(L5)*Basis!$G$2+N(L10)+N(L15)+N(L20)+N(L25)+N(L30)+N(L35)+N(L40)+N(L45)*Basis!$G$10+N(L50)*Basis!$G$11+N(L55)*Basis!$G$12+N(L60)+N(L65)*Basis!$G$14+N(L70)*Basis!$G$15+N(L75)*Basis!$G$16+N(L80)*Basis!$G$17+N(L85)*Basis!$G$18+N(L90)*Basis!$G$19+N(L95)*Basis!$G$20+N(L100)*Basis!$G$21+N(L105)*Basis!$G$22+N(L110)*Basis!$G$23+N(L115)*Basis!$G$24+N(L120)*Basis!$G$25</t>
  </si>
  <si>
    <t xml:space="preserve">M140</t>
  </si>
  <si>
    <t xml:space="preserve">formula: =N(M5)*Basis!$G$2+N(M10)+N(M15)+N(M20)+N(M25)+N(M30)+N(M35)+N(M40)+N(M45)*Basis!$G$10+N(M50)*Basis!$G$11+N(M55)*Basis!$G$12+N(M60)+N(M65)*Basis!$G$14+N(M70)*Basis!$G$15+N(M75)*Basis!$G$16+N(M80)*Basis!$G$17+N(M85)*Basis!$G$18+N(M90)*Basis!$G$19+N(M95)*Basis!$G$20+N(M100)*Basis!$G$21+N(M105)*Basis!$G$22+N(M110)*Basis!$G$23+N(M115)*Basis!$G$24+N(M120)*Basis!$G$25</t>
  </si>
  <si>
    <t xml:space="preserve">N140</t>
  </si>
  <si>
    <t xml:space="preserve">formula: =N(N5)*Basis!$G$2+N(N10)+N(N15)+N(N20)+N(N25)+N(N30)+N(N35)+N(N40)+N(N45)*Basis!$G$10+N(N50)*Basis!$G$11+N(N55)*Basis!$G$12+N(N60)+N(N65)*Basis!$G$14+N(N70)*Basis!$G$15+N(N75)*Basis!$G$16+N(N80)*Basis!$G$17+N(N85)*Basis!$G$18+N(N90)*Basis!$G$19+N(N95)*Basis!$G$20+N(N100)*Basis!$G$21+N(N105)*Basis!$G$22+N(N110)*Basis!$G$23+N(N115)*Basis!$G$24+N(N120)*Basis!$G$25</t>
  </si>
  <si>
    <t xml:space="preserve">O140</t>
  </si>
  <si>
    <t xml:space="preserve">formula: =N(O5)*Basis!$G$2+N(O10)+N(O15)+N(O20)+N(O25)+N(O30)+N(O35)+N(O40)+N(O45)*Basis!$G$10+N(O50)*Basis!$G$11+N(O55)*Basis!$G$12+N(O60)+N(O65)*Basis!$G$14+N(O70)*Basis!$G$15+N(O75)*Basis!$G$16+N(O80)*Basis!$G$17+N(O85)*Basis!$G$18+N(O90)*Basis!$G$19+N(O95)*Basis!$G$20+N(O100)*Basis!$G$21+N(O105)*Basis!$G$22+N(O110)*Basis!$G$23+N(O115)*Basis!$G$24+N(O120)*Basis!$G$25</t>
  </si>
  <si>
    <t xml:space="preserve">P140</t>
  </si>
  <si>
    <t xml:space="preserve">formula: =N(P5)*Basis!$G$2+N(P10)+N(P15)+N(P20)+N(P25)+N(P30)+N(P35)+N(P40)+N(P45)*Basis!$G$10+N(P50)*Basis!$G$11+N(P55)*Basis!$G$12+N(P60)+N(P65)*Basis!$G$14+N(P70)*Basis!$G$15+N(P75)*Basis!$G$16+N(P80)*Basis!$G$17+N(P85)*Basis!$G$18+N(P90)*Basis!$G$19+N(P95)*Basis!$G$20+N(P100)*Basis!$G$21+N(P105)*Basis!$G$22+N(P110)*Basis!$G$23+N(P115)*Basis!$G$24+N(P120)*Basis!$G$25</t>
  </si>
  <si>
    <t xml:space="preserve">Q140</t>
  </si>
  <si>
    <t xml:space="preserve">formula: =N(Q5)*Basis!$G$2+N(Q10)+N(Q15)+N(Q20)+N(Q25)+N(Q30)+N(Q35)+N(Q40)+N(Q45)*Basis!$G$10+N(Q50)*Basis!$G$11+N(Q55)*Basis!$G$12+N(Q60)+N(Q65)*Basis!$G$14+N(Q70)*Basis!$G$15+N(Q75)*Basis!$G$16+N(Q80)*Basis!$G$17+N(Q85)*Basis!$G$18+N(Q90)*Basis!$G$19+N(Q95)*Basis!$G$20+N(Q100)*Basis!$G$21+N(Q105)*Basis!$G$22+N(Q110)*Basis!$G$23+N(Q115)*Basis!$G$24+N(Q120)*Basis!$G$25</t>
  </si>
  <si>
    <t xml:space="preserve">R140</t>
  </si>
  <si>
    <t xml:space="preserve">formula: =N(R5)*Basis!$G$2+N(R10)+N(R15)+N(R20)+N(R25)+N(R30)+N(R35)+N(R40)+N(R45)*Basis!$G$10+N(R50)*Basis!$G$11+N(R55)*Basis!$G$12+N(R60)+N(R65)*Basis!$G$14+N(R70)*Basis!$G$15+N(R75)*Basis!$G$16+N(R80)*Basis!$G$17+N(R85)*Basis!$G$18+N(R90)*Basis!$G$19+N(R95)*Basis!$G$20+N(R100)*Basis!$G$21+N(R105)*Basis!$G$22+N(R110)*Basis!$G$23+N(R115)*Basis!$G$24+N(R120)*Basis!$G$25</t>
  </si>
  <si>
    <t xml:space="preserve">S140</t>
  </si>
  <si>
    <t xml:space="preserve">formula: =N(S5)*Basis!$G$2+N(S10)+N(S15)+N(S20)+N(S25)+N(S30)+N(S35)+N(S40)+N(S45)*Basis!$G$10+N(S50)*Basis!$G$11+N(S55)*Basis!$G$12+N(S60)+N(S65)*Basis!$G$14+N(S70)*Basis!$G$15+N(S75)*Basis!$G$16+N(S80)*Basis!$G$17+N(S85)*Basis!$G$18+N(S90)*Basis!$G$19+N(S95)*Basis!$G$20+N(S100)*Basis!$G$21+N(S105)*Basis!$G$22+N(S110)*Basis!$G$23+N(S115)*Basis!$G$24+N(S120)*Basis!$G$25</t>
  </si>
  <si>
    <t xml:space="preserve">T140</t>
  </si>
  <si>
    <t xml:space="preserve">formula: =N(T5)*Basis!$G$2+N(T10)+N(T15)+N(T20)+N(T25)+N(T30)+N(T35)+N(T40)+N(T45)*Basis!$G$10+N(T50)*Basis!$G$11+N(T55)*Basis!$G$12+N(T60)+N(T65)*Basis!$G$14+N(T70)*Basis!$G$15+N(T75)*Basis!$G$16+N(T80)*Basis!$G$17+N(T85)*Basis!$G$18+N(T90)*Basis!$G$19+N(T95)*Basis!$G$20+N(T100)*Basis!$G$21+N(T105)*Basis!$G$22+N(T110)*Basis!$G$23+N(T115)*Basis!$G$24+N(T120)*Basis!$G$25</t>
  </si>
  <si>
    <t xml:space="preserve">U140</t>
  </si>
  <si>
    <t xml:space="preserve">formula: =N(U5)*Basis!$G$2+N(U10)+N(U15)+N(U20)+N(U25)+N(U30)+N(U35)+N(U40)+N(U45)*Basis!$G$10+N(U50)*Basis!$G$11+N(U55)*Basis!$G$12+N(U60)+N(U65)*Basis!$G$14+N(U70)*Basis!$G$15+N(U75)*Basis!$G$16+N(U80)*Basis!$G$17+N(U85)*Basis!$G$18+N(U90)*Basis!$G$19+N(U95)*Basis!$G$20+N(U100)*Basis!$G$21+N(U105)*Basis!$G$22+N(U110)*Basis!$G$23+N(U115)*Basis!$G$24+N(U120)*Basis!$G$25</t>
  </si>
  <si>
    <t xml:space="preserve">V140</t>
  </si>
  <si>
    <t xml:space="preserve">formula: =N(V5)*Basis!$G$2+N(V10)+N(V15)+N(V20)+N(V25)+N(V30)+N(V35)+N(V40)+N(V45)*Basis!$G$10+N(V50)*Basis!$G$11+N(V55)*Basis!$G$12+N(V60)+N(V65)*Basis!$G$14+N(V70)*Basis!$G$15+N(V75)*Basis!$G$16+N(V80)*Basis!$G$17+N(V85)*Basis!$G$18+N(V90)*Basis!$G$19+N(V95)*Basis!$G$20+N(V100)*Basis!$G$21+N(V105)*Basis!$G$22+N(V110)*Basis!$G$23+N(V115)*Basis!$G$24+N(V120)*Basis!$G$25</t>
  </si>
  <si>
    <t xml:space="preserve">W140</t>
  </si>
  <si>
    <t xml:space="preserve">formula: =N(W5)*Basis!$G$2+N(W10)+N(W15)+N(W20)+N(W25)+N(W30)+N(W35)+N(W40)+N(W45)*Basis!$G$10+N(W50)*Basis!$G$11+N(W55)*Basis!$G$12+N(W60)+N(W65)*Basis!$G$14+N(W70)*Basis!$G$15+N(W75)*Basis!$G$16+N(W80)*Basis!$G$17+N(W85)*Basis!$G$18+N(W90)*Basis!$G$19+N(W95)*Basis!$G$20+N(W100)*Basis!$G$21+N(W105)*Basis!$G$22+N(W110)*Basis!$G$23+N(W115)*Basis!$G$24+N(W120)*Basis!$G$25</t>
  </si>
  <si>
    <t xml:space="preserve">X140</t>
  </si>
  <si>
    <t xml:space="preserve">formula: =N(X5)*Basis!$G$2+N(X10)+N(X15)+N(X20)+N(X25)+N(X30)+N(X35)+N(X40)+N(X45)*Basis!$G$10+N(X50)*Basis!$G$11+N(X55)*Basis!$G$12+N(X60)+N(X65)*Basis!$G$14+N(X70)*Basis!$G$15+N(X75)*Basis!$G$16+N(X80)*Basis!$G$17+N(X85)*Basis!$G$18+N(X90)*Basis!$G$19+N(X95)*Basis!$G$20+N(X100)*Basis!$G$21+N(X105)*Basis!$G$22+N(X110)*Basis!$G$23+N(X115)*Basis!$G$24+N(X120)*Basis!$G$25</t>
  </si>
  <si>
    <t xml:space="preserve">Y140</t>
  </si>
  <si>
    <t xml:space="preserve">formula: =N(Y5)*Basis!$G$2+N(Y10)+N(Y15)+N(Y20)+N(Y25)+N(Y30)+N(Y35)+N(Y40)+N(Y45)*Basis!$G$10+N(Y50)*Basis!$G$11+N(Y55)*Basis!$G$12+N(Y60)+N(Y65)*Basis!$G$14+N(Y70)*Basis!$G$15+N(Y75)*Basis!$G$16+N(Y80)*Basis!$G$17+N(Y85)*Basis!$G$18+N(Y90)*Basis!$G$19+N(Y95)*Basis!$G$20+N(Y100)*Basis!$G$21+N(Y105)*Basis!$G$22+N(Y110)*Basis!$G$23+N(Y115)*Basis!$G$24+N(Y120)*Basis!$G$25</t>
  </si>
  <si>
    <t xml:space="preserve">Z140</t>
  </si>
  <si>
    <t xml:space="preserve">formula: =N(Z5)*Basis!$G$2+N(Z10)+N(Z15)+N(Z20)+N(Z25)+N(Z30)+N(Z35)+N(Z40)+N(Z45)*Basis!$G$10+N(Z50)*Basis!$G$11+N(Z55)*Basis!$G$12+N(Z60)+N(Z65)*Basis!$G$14+N(Z70)*Basis!$G$15+N(Z75)*Basis!$G$16+N(Z80)*Basis!$G$17+N(Z85)*Basis!$G$18+N(Z90)*Basis!$G$19+N(Z95)*Basis!$G$20+N(Z100)*Basis!$G$21+N(Z105)*Basis!$G$22+N(Z110)*Basis!$G$23+N(Z115)*Basis!$G$24+N(Z120)*Basis!$G$25</t>
  </si>
  <si>
    <t xml:space="preserve">AA140</t>
  </si>
  <si>
    <t xml:space="preserve">formula: =N(AA5)*Basis!$G$2+N(AA10)+N(AA15)+N(AA20)+N(AA25)+N(AA30)+N(AA35)+N(AA40)+N(AA45)*Basis!$G$10+N(AA50)*Basis!$G$11+N(AA55)*Basis!$G$12+N(AA60)+N(AA65)*Basis!$G$14+N(AA70)*Basis!$G$15+N(AA75)*Basis!$G$16+N(AA80)*Basis!$G$17+N(AA85)*Basis!$G$18+N(AA90)*Basis!$G$19+N(AA95)*Basis!$G$20+N(AA100)*Basis!$G$21+N(AA105)*Basis!$G$22+N(AA110)*Basis!$G$23+N(AA115)*Basis!$G$24+N(AA120)*Basis!$G$25</t>
  </si>
  <si>
    <t xml:space="preserve">AB140</t>
  </si>
  <si>
    <t xml:space="preserve">formula: =N(AB5)*Basis!$G$2+N(AB10)+N(AB15)+N(AB20)+N(AB25)+N(AB30)+N(AB35)+N(AB40)+N(AB45)*Basis!$G$10+N(AB50)*Basis!$G$11+N(AB55)*Basis!$G$12+N(AB60)+N(AB65)*Basis!$G$14+N(AB70)*Basis!$G$15+N(AB75)*Basis!$G$16+N(AB80)*Basis!$G$17+N(AB85)*Basis!$G$18+N(AB90)*Basis!$G$19+N(AB95)*Basis!$G$20+N(AB100)*Basis!$G$21+N(AB105)*Basis!$G$22+N(AB110)*Basis!$G$23+N(AB115)*Basis!$G$24+N(AB120)*Basis!$G$25</t>
  </si>
  <si>
    <t xml:space="preserve">AC140</t>
  </si>
  <si>
    <t xml:space="preserve">formula: =N(AC5)*Basis!$G$2+N(AC10)+N(AC15)+N(AC20)+N(AC25)+N(AC30)+N(AC35)+N(AC40)+N(AC45)*Basis!$G$10+N(AC50)*Basis!$G$11+N(AC55)*Basis!$G$12+N(AC60)+N(AC65)*Basis!$G$14+N(AC70)*Basis!$G$15+N(AC75)*Basis!$G$16+N(AC80)*Basis!$G$17+N(AC85)*Basis!$G$18+N(AC90)*Basis!$G$19+N(AC95)*Basis!$G$20+N(AC100)*Basis!$G$21+N(AC105)*Basis!$G$22+N(AC110)*Basis!$G$23+N(AC115)*Basis!$G$24+N(AC120)*Basis!$G$25</t>
  </si>
  <si>
    <t xml:space="preserve">AD140</t>
  </si>
  <si>
    <t xml:space="preserve">formula: =N(AD5)*Basis!$G$2+N(AD10)+N(AD15)+N(AD20)+N(AD25)+N(AD30)+N(AD35)+N(AD40)+N(AD45)*Basis!$G$10+N(AD50)*Basis!$G$11+N(AD55)*Basis!$G$12+N(AD60)+N(AD65)*Basis!$G$14+N(AD70)*Basis!$G$15+N(AD75)*Basis!$G$16+N(AD80)*Basis!$G$17+N(AD85)*Basis!$G$18+N(AD90)*Basis!$G$19+N(AD95)*Basis!$G$20+N(AD100)*Basis!$G$21+N(AD105)*Basis!$G$22+N(AD110)*Basis!$G$23+N(AD115)*Basis!$G$24+N(AD120)*Basis!$G$25</t>
  </si>
  <si>
    <t xml:space="preserve">AE140</t>
  </si>
  <si>
    <t xml:space="preserve">formula: =N(AE5)*Basis!$G$2+N(AE10)+N(AE15)+N(AE20)+N(AE25)+N(AE30)+N(AE35)+N(AE40)+N(AE45)*Basis!$G$10+N(AE50)*Basis!$G$11+N(AE55)*Basis!$G$12+N(AE60)+N(AE65)*Basis!$G$14+N(AE70)*Basis!$G$15+N(AE75)*Basis!$G$16+N(AE80)*Basis!$G$17+N(AE85)*Basis!$G$18+N(AE90)*Basis!$G$19+N(AE95)*Basis!$G$20+N(AE100)*Basis!$G$21+N(AE105)*Basis!$G$22+N(AE110)*Basis!$G$23+N(AE115)*Basis!$G$24+N(AE120)*Basis!$G$25</t>
  </si>
  <si>
    <t xml:space="preserve">AF140</t>
  </si>
  <si>
    <t xml:space="preserve">formula: =N(AF5)*Basis!$G$2+N(AF10)+N(AF15)+N(AF20)+N(AF25)+N(AF30)+N(AF35)+N(AF40)+N(AF45)*Basis!$G$10+N(AF50)*Basis!$G$11+N(AF55)*Basis!$G$12+N(AF60)+N(AF65)*Basis!$G$14+N(AF70)*Basis!$G$15+N(AF75)*Basis!$G$16+N(AF80)*Basis!$G$17+N(AF85)*Basis!$G$18+N(AF90)*Basis!$G$19+N(AF95)*Basis!$G$20+N(AF100)*Basis!$G$21+N(AF105)*Basis!$G$22+N(AF110)*Basis!$G$23+N(AF115)*Basis!$G$24+N(AF120)*Basis!$G$25</t>
  </si>
  <si>
    <t xml:space="preserve">H141</t>
  </si>
  <si>
    <t xml:space="preserve">YE24 connected 25 MW (Q3-25 letter chart) https://www.sec.gov/Archives/edgar/data/1513845/000110465925109806/tm2530882d1_ex99-2.htm</t>
  </si>
  <si>
    <t xml:space="preserve">L141</t>
  </si>
  <si>
    <t xml:space="preserve">Q3-25 letter: on track for 220 MW connected by YE25 (actual connected not restated) https://www.sec.gov/Archives/edgar/data/1513845/000110465925109806/tm2530882d1_ex99-2.htm</t>
  </si>
  <si>
    <t xml:space="preserve">O141</t>
  </si>
  <si>
    <t xml:space="preserve">295</t>
  </si>
  <si>
    <t xml:space="preserve">bottom-up connected by site (Vineland 300 gross shell, Independence IPL, Birmingham 115 kV, Bethune 120, OK &gt;100 ...) /workspace/nebius/capacity/mw_path_proposed.csv; /workspace/nebius/capacity/unseen_capacity.md</t>
  </si>
  <si>
    <t xml:space="preserve">P141</t>
  </si>
  <si>
    <t xml:space="preserve">561</t>
  </si>
  <si>
    <t xml:space="preserve">Q141</t>
  </si>
  <si>
    <t xml:space="preserve">626.4</t>
  </si>
  <si>
    <t xml:space="preserve">R141</t>
  </si>
  <si>
    <t xml:space="preserve">763.4</t>
  </si>
  <si>
    <t xml:space="preserve">S141</t>
  </si>
  <si>
    <t xml:space="preserve">990</t>
  </si>
  <si>
    <t xml:space="preserve">T141</t>
  </si>
  <si>
    <t xml:space="preserve">1249</t>
  </si>
  <si>
    <t xml:space="preserve">U141</t>
  </si>
  <si>
    <t xml:space="preserve">no estimate beyond Q4 2027</t>
  </si>
  <si>
    <t xml:space="preserve">V141</t>
  </si>
  <si>
    <t xml:space="preserve">W141</t>
  </si>
  <si>
    <t xml:space="preserve">X141</t>
  </si>
  <si>
    <t xml:space="preserve">Y141</t>
  </si>
  <si>
    <t xml:space="preserve">Z141</t>
  </si>
  <si>
    <t xml:space="preserve">AA141</t>
  </si>
  <si>
    <t xml:space="preserve">AB141</t>
  </si>
  <si>
    <t xml:space="preserve">AC141</t>
  </si>
  <si>
    <t xml:space="preserve">AD141</t>
  </si>
  <si>
    <t xml:space="preserve">AE141</t>
  </si>
  <si>
    <t xml:space="preserve">AF141</t>
  </si>
  <si>
    <t xml:space="preserve">H142</t>
  </si>
  <si>
    <t xml:space="preserve">L142</t>
  </si>
  <si>
    <t xml:space="preserve">O142</t>
  </si>
  <si>
    <t xml:space="preserve">353</t>
  </si>
  <si>
    <t xml:space="preserve">P142</t>
  </si>
  <si>
    <t xml:space="preserve">941</t>
  </si>
  <si>
    <t xml:space="preserve">Q142</t>
  </si>
  <si>
    <t xml:space="preserve">1078</t>
  </si>
  <si>
    <t xml:space="preserve">R142</t>
  </si>
  <si>
    <t xml:space="preserve">1243</t>
  </si>
  <si>
    <t xml:space="preserve">S142</t>
  </si>
  <si>
    <t xml:space="preserve">1382</t>
  </si>
  <si>
    <t xml:space="preserve">T142</t>
  </si>
  <si>
    <t xml:space="preserve">1882</t>
  </si>
  <si>
    <t xml:space="preserve">U142</t>
  </si>
  <si>
    <t xml:space="preserve">V142</t>
  </si>
  <si>
    <t xml:space="preserve">W142</t>
  </si>
  <si>
    <t xml:space="preserve">X142</t>
  </si>
  <si>
    <t xml:space="preserve">Y142</t>
  </si>
  <si>
    <t xml:space="preserve">Z142</t>
  </si>
  <si>
    <t xml:space="preserve">AA142</t>
  </si>
  <si>
    <t xml:space="preserve">AB142</t>
  </si>
  <si>
    <t xml:space="preserve">AC142</t>
  </si>
  <si>
    <t xml:space="preserve">AD142</t>
  </si>
  <si>
    <t xml:space="preserve">AE142</t>
  </si>
  <si>
    <t xml:space="preserve">AF142</t>
  </si>
  <si>
    <t xml:space="preserve">H143</t>
  </si>
  <si>
    <t xml:space="preserve">L143</t>
  </si>
  <si>
    <t xml:space="preserve">O143</t>
  </si>
  <si>
    <t xml:space="preserve">412</t>
  </si>
  <si>
    <t xml:space="preserve">P143</t>
  </si>
  <si>
    <t xml:space="preserve">1195</t>
  </si>
  <si>
    <t xml:space="preserve">Q143</t>
  </si>
  <si>
    <t xml:space="preserve">1322</t>
  </si>
  <si>
    <t xml:space="preserve">R143</t>
  </si>
  <si>
    <t xml:space="preserve">1577</t>
  </si>
  <si>
    <t xml:space="preserve">S143</t>
  </si>
  <si>
    <t xml:space="preserve">2017</t>
  </si>
  <si>
    <t xml:space="preserve">T143</t>
  </si>
  <si>
    <t xml:space="preserve">2517</t>
  </si>
  <si>
    <t xml:space="preserve">U143</t>
  </si>
  <si>
    <t xml:space="preserve">V143</t>
  </si>
  <si>
    <t xml:space="preserve">W143</t>
  </si>
  <si>
    <t xml:space="preserve">X143</t>
  </si>
  <si>
    <t xml:space="preserve">Y143</t>
  </si>
  <si>
    <t xml:space="preserve">Z143</t>
  </si>
  <si>
    <t xml:space="preserve">AA143</t>
  </si>
  <si>
    <t xml:space="preserve">AB143</t>
  </si>
  <si>
    <t xml:space="preserve">AC143</t>
  </si>
  <si>
    <t xml:space="preserve">AD143</t>
  </si>
  <si>
    <t xml:space="preserve">AE143</t>
  </si>
  <si>
    <t xml:space="preserve">AF143</t>
  </si>
  <si>
    <t xml:space="preserve">P144</t>
  </si>
  <si>
    <t xml:space="preserve">800 MW-1 GW connected YE26 (Q2-26 call) https://www.fool.com/earnings/call-transcripts/2026/08/19/nebius-nbis-q2-2026-earnings-call-transcript/ (cached /workspace/nebius/src/q2t.txt)</t>
  </si>
  <si>
    <t xml:space="preserve">E145</t>
  </si>
  <si>
    <t xml:space="preserve">formula: =E6</t>
  </si>
  <si>
    <t xml:space="preserve">base path shifted +2 quarters from Q1 2027, floored at Q4 2026 genset level (assumes gensets stay permitted)</t>
  </si>
  <si>
    <t xml:space="preserve">F145</t>
  </si>
  <si>
    <t xml:space="preserve">formula: =F6</t>
  </si>
  <si>
    <t xml:space="preserve">G145</t>
  </si>
  <si>
    <t xml:space="preserve">formula: =G6</t>
  </si>
  <si>
    <t xml:space="preserve">H145</t>
  </si>
  <si>
    <t xml:space="preserve">formula: =H6</t>
  </si>
  <si>
    <t xml:space="preserve">I145</t>
  </si>
  <si>
    <t xml:space="preserve">formula: =I6</t>
  </si>
  <si>
    <t xml:space="preserve">J145</t>
  </si>
  <si>
    <t xml:space="preserve">formula: =J6</t>
  </si>
  <si>
    <t xml:space="preserve">K145</t>
  </si>
  <si>
    <t xml:space="preserve">formula: =K6</t>
  </si>
  <si>
    <t xml:space="preserve">L145</t>
  </si>
  <si>
    <t xml:space="preserve">formula: =L6</t>
  </si>
  <si>
    <t xml:space="preserve">M145</t>
  </si>
  <si>
    <t xml:space="preserve">formula: =M6</t>
  </si>
  <si>
    <t xml:space="preserve">N145</t>
  </si>
  <si>
    <t xml:space="preserve">formula: =N6</t>
  </si>
  <si>
    <t xml:space="preserve">O145</t>
  </si>
  <si>
    <t xml:space="preserve">formula: =O6</t>
  </si>
  <si>
    <t xml:space="preserve">P145</t>
  </si>
  <si>
    <t xml:space="preserve">formula: =P6</t>
  </si>
  <si>
    <t xml:space="preserve">Q145</t>
  </si>
  <si>
    <t xml:space="preserve">formula: =MAX($P$6,O6)</t>
  </si>
  <si>
    <t xml:space="preserve">R145</t>
  </si>
  <si>
    <t xml:space="preserve">formula: =MAX($P$6,P6)</t>
  </si>
  <si>
    <t xml:space="preserve">S145</t>
  </si>
  <si>
    <t xml:space="preserve">formula: =MAX($P$6,Q6)</t>
  </si>
  <si>
    <t xml:space="preserve">T145</t>
  </si>
  <si>
    <t xml:space="preserve">formula: =MAX($P$6,R6)</t>
  </si>
  <si>
    <t xml:space="preserve">U145</t>
  </si>
  <si>
    <t xml:space="preserve">formula: =MAX($P$6,S6)</t>
  </si>
  <si>
    <t xml:space="preserve">V145</t>
  </si>
  <si>
    <t xml:space="preserve">formula: =MAX($P$6,T6)</t>
  </si>
  <si>
    <t xml:space="preserve">W145</t>
  </si>
  <si>
    <t xml:space="preserve">formula: =MAX($P$6,U6)</t>
  </si>
  <si>
    <t xml:space="preserve">X145</t>
  </si>
  <si>
    <t xml:space="preserve">formula: =MAX($P$6,V6)</t>
  </si>
  <si>
    <t xml:space="preserve">Y145</t>
  </si>
  <si>
    <t xml:space="preserve">formula: =MAX($P$6,W6)</t>
  </si>
  <si>
    <t xml:space="preserve">Z145</t>
  </si>
  <si>
    <t xml:space="preserve">formula: =MAX($P$6,X6)</t>
  </si>
  <si>
    <t xml:space="preserve">AA145</t>
  </si>
  <si>
    <t xml:space="preserve">formula: =MAX($P$6,Y6)</t>
  </si>
  <si>
    <t xml:space="preserve">AB145</t>
  </si>
  <si>
    <t xml:space="preserve">formula: =MAX($P$6,Z6)</t>
  </si>
  <si>
    <t xml:space="preserve">AC145</t>
  </si>
  <si>
    <t xml:space="preserve">formula: =MAX($P$6,AA6)</t>
  </si>
  <si>
    <t xml:space="preserve">AD145</t>
  </si>
  <si>
    <t xml:space="preserve">formula: =MAX($P$6,AB6)</t>
  </si>
  <si>
    <t xml:space="preserve">AE145</t>
  </si>
  <si>
    <t xml:space="preserve">formula: =MAX($P$6,AC6)</t>
  </si>
  <si>
    <t xml:space="preserve">AF145</t>
  </si>
  <si>
    <t xml:space="preserve">formula: =MAX($P$6,AD6)</t>
  </si>
  <si>
    <t xml:space="preserve">E146</t>
  </si>
  <si>
    <t xml:space="preserve">formula: =E6-E145</t>
  </si>
  <si>
    <t xml:space="preserve">base minus slip scenario</t>
  </si>
  <si>
    <t xml:space="preserve">F146</t>
  </si>
  <si>
    <t xml:space="preserve">formula: =F6-F145</t>
  </si>
  <si>
    <t xml:space="preserve">G146</t>
  </si>
  <si>
    <t xml:space="preserve">formula: =G6-G145</t>
  </si>
  <si>
    <t xml:space="preserve">H146</t>
  </si>
  <si>
    <t xml:space="preserve">formula: =H6-H145</t>
  </si>
  <si>
    <t xml:space="preserve">I146</t>
  </si>
  <si>
    <t xml:space="preserve">formula: =I6-I145</t>
  </si>
  <si>
    <t xml:space="preserve">J146</t>
  </si>
  <si>
    <t xml:space="preserve">formula: =J6-J145</t>
  </si>
  <si>
    <t xml:space="preserve">K146</t>
  </si>
  <si>
    <t xml:space="preserve">formula: =K6-K145</t>
  </si>
  <si>
    <t xml:space="preserve">L146</t>
  </si>
  <si>
    <t xml:space="preserve">formula: =L6-L145</t>
  </si>
  <si>
    <t xml:space="preserve">M146</t>
  </si>
  <si>
    <t xml:space="preserve">formula: =M6-M145</t>
  </si>
  <si>
    <t xml:space="preserve">N146</t>
  </si>
  <si>
    <t xml:space="preserve">formula: =N6-N145</t>
  </si>
  <si>
    <t xml:space="preserve">O146</t>
  </si>
  <si>
    <t xml:space="preserve">formula: =O6-O145</t>
  </si>
  <si>
    <t xml:space="preserve">P146</t>
  </si>
  <si>
    <t xml:space="preserve">formula: =P6-P145</t>
  </si>
  <si>
    <t xml:space="preserve">Q146</t>
  </si>
  <si>
    <t xml:space="preserve">formula: =Q6-Q145</t>
  </si>
  <si>
    <t xml:space="preserve">R146</t>
  </si>
  <si>
    <t xml:space="preserve">formula: =R6-R145</t>
  </si>
  <si>
    <t xml:space="preserve">S146</t>
  </si>
  <si>
    <t xml:space="preserve">formula: =S6-S145</t>
  </si>
  <si>
    <t xml:space="preserve">T146</t>
  </si>
  <si>
    <t xml:space="preserve">formula: =T6-T145</t>
  </si>
  <si>
    <t xml:space="preserve">U146</t>
  </si>
  <si>
    <t xml:space="preserve">formula: =U6-U145</t>
  </si>
  <si>
    <t xml:space="preserve">V146</t>
  </si>
  <si>
    <t xml:space="preserve">formula: =V6-V145</t>
  </si>
  <si>
    <t xml:space="preserve">W146</t>
  </si>
  <si>
    <t xml:space="preserve">formula: =W6-W145</t>
  </si>
  <si>
    <t xml:space="preserve">X146</t>
  </si>
  <si>
    <t xml:space="preserve">formula: =X6-X145</t>
  </si>
  <si>
    <t xml:space="preserve">Y146</t>
  </si>
  <si>
    <t xml:space="preserve">formula: =Y6-Y145</t>
  </si>
  <si>
    <t xml:space="preserve">Z146</t>
  </si>
  <si>
    <t xml:space="preserve">formula: =Z6-Z145</t>
  </si>
  <si>
    <t xml:space="preserve">AA146</t>
  </si>
  <si>
    <t xml:space="preserve">formula: =AA6-AA145</t>
  </si>
  <si>
    <t xml:space="preserve">AB146</t>
  </si>
  <si>
    <t xml:space="preserve">formula: =AB6-AB145</t>
  </si>
  <si>
    <t xml:space="preserve">AC146</t>
  </si>
  <si>
    <t xml:space="preserve">formula: =AC6-AC145</t>
  </si>
  <si>
    <t xml:space="preserve">AD146</t>
  </si>
  <si>
    <t xml:space="preserve">formula: =AD6-AD145</t>
  </si>
  <si>
    <t xml:space="preserve">AE146</t>
  </si>
  <si>
    <t xml:space="preserve">formula: =AE6-AE145</t>
  </si>
  <si>
    <t xml:space="preserve">AF146</t>
  </si>
  <si>
    <t xml:space="preserve">formula: =AF6-AF145</t>
  </si>
  <si>
    <t xml:space="preserve">E147</t>
  </si>
  <si>
    <t xml:space="preserve">formula: =0*'Vineland tranche track'!$B$16+0</t>
  </si>
  <si>
    <t xml:space="preserve">Vineland: tranches with billing start &lt;= quarter x 26.7 IT (equal split, Estimated); others: IT-normalized base of prior quarter (&gt;=1Q billing lag, README)</t>
  </si>
  <si>
    <t xml:space="preserve">F147</t>
  </si>
  <si>
    <t xml:space="preserve">formula: =0*'Vineland tranche track'!$B$16+(E136-N(E6))</t>
  </si>
  <si>
    <t xml:space="preserve">G147</t>
  </si>
  <si>
    <t xml:space="preserve">formula: =0*'Vineland tranche track'!$B$16+(F136-N(F6))</t>
  </si>
  <si>
    <t xml:space="preserve">H147</t>
  </si>
  <si>
    <t xml:space="preserve">formula: =0*'Vineland tranche track'!$B$16+(G136-N(G6))</t>
  </si>
  <si>
    <t xml:space="preserve">I147</t>
  </si>
  <si>
    <t xml:space="preserve">formula: =0*'Vineland tranche track'!$B$16+(H136-N(H6))</t>
  </si>
  <si>
    <t xml:space="preserve">J147</t>
  </si>
  <si>
    <t xml:space="preserve">formula: =0*'Vineland tranche track'!$B$16+(I136-N(I6))</t>
  </si>
  <si>
    <t xml:space="preserve">K147</t>
  </si>
  <si>
    <t xml:space="preserve">formula: =0*'Vineland tranche track'!$B$16+(J136-N(J6))</t>
  </si>
  <si>
    <t xml:space="preserve">L147</t>
  </si>
  <si>
    <t xml:space="preserve">formula: =1*'Vineland tranche track'!$B$16+(K136-N(K6))</t>
  </si>
  <si>
    <t xml:space="preserve">M147</t>
  </si>
  <si>
    <t xml:space="preserve">formula: =2*'Vineland tranche track'!$B$16+(L136-N(L6))</t>
  </si>
  <si>
    <t xml:space="preserve">N147</t>
  </si>
  <si>
    <t xml:space="preserve">formula: =2*'Vineland tranche track'!$B$16+(M136-N(M6))</t>
  </si>
  <si>
    <t xml:space="preserve">O147</t>
  </si>
  <si>
    <t xml:space="preserve">formula: =4*'Vineland tranche track'!$B$16+(N136-N(N6))</t>
  </si>
  <si>
    <t xml:space="preserve">P147</t>
  </si>
  <si>
    <t xml:space="preserve">formula: =4*'Vineland tranche track'!$B$16+(O136-N(O6))</t>
  </si>
  <si>
    <t xml:space="preserve">Q147</t>
  </si>
  <si>
    <t xml:space="preserve">formula: =4*'Vineland tranche track'!$B$16+(P136-N(P6))</t>
  </si>
  <si>
    <t xml:space="preserve">R147</t>
  </si>
  <si>
    <t xml:space="preserve">formula: =6*'Vineland tranche track'!$B$16+(Q136-N(Q6))</t>
  </si>
  <si>
    <t xml:space="preserve">S147</t>
  </si>
  <si>
    <t xml:space="preserve">formula: =9*'Vineland tranche track'!$B$16+(R136-N(R6))</t>
  </si>
  <si>
    <t xml:space="preserve">T147</t>
  </si>
  <si>
    <t xml:space="preserve">formula: =9*'Vineland tranche track'!$B$16+(S136-N(S6))</t>
  </si>
  <si>
    <t xml:space="preserve">U147</t>
  </si>
  <si>
    <t xml:space="preserve">formula: =9*'Vineland tranche track'!$B$16+(T136-N(T6))</t>
  </si>
  <si>
    <t xml:space="preserve">V147</t>
  </si>
  <si>
    <t xml:space="preserve">formula: =9*'Vineland tranche track'!$B$16+(U136-N(U6))</t>
  </si>
  <si>
    <t xml:space="preserve">W147</t>
  </si>
  <si>
    <t xml:space="preserve">formula: =9*'Vineland tranche track'!$B$16+(V136-N(V6))</t>
  </si>
  <si>
    <t xml:space="preserve">X147</t>
  </si>
  <si>
    <t xml:space="preserve">formula: =9*'Vineland tranche track'!$B$16+(W136-N(W6))</t>
  </si>
  <si>
    <t xml:space="preserve">Y147</t>
  </si>
  <si>
    <t xml:space="preserve">formula: =9*'Vineland tranche track'!$B$16+(X136-N(X6))</t>
  </si>
  <si>
    <t xml:space="preserve">Z147</t>
  </si>
  <si>
    <t xml:space="preserve">formula: =9*'Vineland tranche track'!$B$16+(Y136-N(Y6))</t>
  </si>
  <si>
    <t xml:space="preserve">AA147</t>
  </si>
  <si>
    <t xml:space="preserve">formula: =9*'Vineland tranche track'!$B$16+(Z136-N(Z6))</t>
  </si>
  <si>
    <t xml:space="preserve">AB147</t>
  </si>
  <si>
    <t xml:space="preserve">formula: =9*'Vineland tranche track'!$B$16+(AA136-N(AA6))</t>
  </si>
  <si>
    <t xml:space="preserve">AC147</t>
  </si>
  <si>
    <t xml:space="preserve">formula: =9*'Vineland tranche track'!$B$16+(AB136-N(AB6))</t>
  </si>
  <si>
    <t xml:space="preserve">AD147</t>
  </si>
  <si>
    <t xml:space="preserve">formula: =9*'Vineland tranche track'!$B$16+(AC136-N(AC6))</t>
  </si>
  <si>
    <t xml:space="preserve">AE147</t>
  </si>
  <si>
    <t xml:space="preserve">formula: =9*'Vineland tranche track'!$B$16+(AD136-N(AD6))</t>
  </si>
  <si>
    <t xml:space="preserve">AF147</t>
  </si>
  <si>
    <t xml:space="preserve">formula: =9*'Vineland tranche track'!$B$16+(AE136-N(AE6))</t>
  </si>
  <si>
    <t xml:space="preserve">E148</t>
  </si>
  <si>
    <t xml:space="preserve">F148</t>
  </si>
  <si>
    <t xml:space="preserve">G148</t>
  </si>
  <si>
    <t xml:space="preserve">H148</t>
  </si>
  <si>
    <t xml:space="preserve">I148</t>
  </si>
  <si>
    <t xml:space="preserve">J148</t>
  </si>
  <si>
    <t xml:space="preserve">K148</t>
  </si>
  <si>
    <t xml:space="preserve">L148</t>
  </si>
  <si>
    <t xml:space="preserve">M148</t>
  </si>
  <si>
    <t xml:space="preserve">N148</t>
  </si>
  <si>
    <t xml:space="preserve">O148</t>
  </si>
  <si>
    <t xml:space="preserve">P148</t>
  </si>
  <si>
    <t xml:space="preserve">Q148</t>
  </si>
  <si>
    <t xml:space="preserve">R148</t>
  </si>
  <si>
    <t xml:space="preserve">formula: =4*'Vineland tranche track'!$B$16+(Q136-N(Q6))</t>
  </si>
  <si>
    <t xml:space="preserve">S148</t>
  </si>
  <si>
    <t xml:space="preserve">formula: =4*'Vineland tranche track'!$B$16+(R136-N(R6))</t>
  </si>
  <si>
    <t xml:space="preserve">T148</t>
  </si>
  <si>
    <t xml:space="preserve">formula: =6*'Vineland tranche track'!$B$16+(S136-N(S6))</t>
  </si>
  <si>
    <t xml:space="preserve">U148</t>
  </si>
  <si>
    <t xml:space="preserve">V148</t>
  </si>
  <si>
    <t xml:space="preserve">W148</t>
  </si>
  <si>
    <t xml:space="preserve">X148</t>
  </si>
  <si>
    <t xml:space="preserve">Y148</t>
  </si>
  <si>
    <t xml:space="preserve">Z148</t>
  </si>
  <si>
    <t xml:space="preserve">AA148</t>
  </si>
  <si>
    <t xml:space="preserve">AB148</t>
  </si>
  <si>
    <t xml:space="preserve">AC148</t>
  </si>
  <si>
    <t xml:space="preserve">AD148</t>
  </si>
  <si>
    <t xml:space="preserve">AE148</t>
  </si>
  <si>
    <t xml:space="preserve">AF148</t>
  </si>
  <si>
    <t xml:space="preserve">/workspace/nebius/capacity/gpu_mw_capex.xlsx</t>
  </si>
  <si>
    <t xml:space="preserve">https://www.sec.gov/Archives/edgar/data/1513845/000110465925088312/tm2525580d1_6k.htm</t>
  </si>
  <si>
    <t xml:space="preserve">T1-T4 delivery dates 20-F / Q2-26 letter; T5-T9 = Bloom energization (Estimated)</t>
  </si>
  <si>
    <t xml:space="preserve">base billing + 2 quarters (Bloom slip scenario)</t>
  </si>
  <si>
    <t xml:space="preserve">formula: =F29</t>
  </si>
  <si>
    <t xml:space="preserve">billing MW = tranche IT MW once billing starts</t>
  </si>
  <si>
    <t xml:space="preserve">formula: =F30</t>
  </si>
  <si>
    <t xml:space="preserve">formula: =F31</t>
  </si>
  <si>
    <t xml:space="preserve">formula: =F32</t>
  </si>
  <si>
    <t xml:space="preserve">formula: =F33</t>
  </si>
  <si>
    <t xml:space="preserve">formula: =F34</t>
  </si>
  <si>
    <t xml:space="preserve">formula: =F35</t>
  </si>
  <si>
    <t xml:space="preserve">formula: =F36</t>
  </si>
  <si>
    <t xml:space="preserve">formula: =F37</t>
  </si>
  <si>
    <t xml:space="preserve">Capacity tranches</t>
  </si>
  <si>
    <t xml:space="preserve">Contracted ($17.39B TCV, 9 tranches)</t>
  </si>
  <si>
    <t xml:space="preserve">cap 240 IT</t>
  </si>
  <si>
    <t xml:space="preserve">Meta</t>
  </si>
  <si>
    <t xml:space="preserve">Contracted; delivered (T1 Nov/Dec-25, T2 Feb-26)</t>
  </si>
  <si>
    <t xml:space="preserve">Contracted</t>
  </si>
  <si>
    <t xml:space="preserve">Q2 neolab deals</t>
  </si>
  <si>
    <t xml:space="preserve">https://www.sec.gov/Archives/edgar/data/1513845/000110465926094568/tm2622968d1_ex99-2.htm; https://www.fool.com/earnings/call-transcripts/2026/08/19/nebius-nbis-q2-2026-earnings-call-transcript/ (cached /workspace/nebius/src/q2t.txt)</t>
  </si>
  <si>
    <t xml:space="preserve">https://nebius.com/independencemo; https://www.independencemo.gov/sites/default/files/2026-02/Nebius%20x%20Independence%2C%20MO.cleaned.pdf; https://citizenportal.ai/articles/7477161 (Independence PUA</t>
  </si>
  <si>
    <t xml:space="preserve">Sites tab</t>
  </si>
  <si>
    <t xml:space="preserve">formula: ='Quarterly MW'!T11/Basis!$G$3</t>
  </si>
  <si>
    <t xml:space="preserve">YE27 base energized, IT-normalized</t>
  </si>
  <si>
    <t xml:space="preserve">https://nebius.com/schuylkillcountypa; https://www.republicanherald.com/2026/09/01/nebius-gets-green-light-to-expand-its-data-center-plan-in-butler-twp/; https://www.republicanherald.com/2026/04/24/bu</t>
  </si>
  <si>
    <t xml:space="preserve">Unsold / self-serve or undisclosed customer (not disclosed)</t>
  </si>
  <si>
    <t xml:space="preserve">formula: ='Quarterly MW'!T16/Basis!$G$4</t>
  </si>
  <si>
    <t xml:space="preserve">https://nebius.com/birminghamal; https://abc3340.com/resources/pdf/9222f76a-3063-46e4-aee7-796b30ed611f-NebiusResponsestoCityLetter_Redacted.pdf; https://bhamnow.com/2026/05/18/40-million-permits-birm</t>
  </si>
  <si>
    <t xml:space="preserve">formula: ='Quarterly MW'!T21/Basis!$G$5</t>
  </si>
  <si>
    <t xml:space="preserve">https://www.reuters.com/technology/amsterdam-based-ai-firm-nebius-build-240mw-data-centre-near-lille-france-2026-02-12/; https://www.lavoixdunord.fr/1740138/article/2026-09-24/la-premiere-ia-factory-d</t>
  </si>
  <si>
    <t xml:space="preserve">formula: ='Quarterly MW'!T26/Basis!$G$6</t>
  </si>
  <si>
    <t xml:space="preserve">https://nebius.com/newsroom/nebius-to-construct-310-mw-ai-factory-in-finland; https://fira.fi/en/tiedote/construction-and-project-development-company-fira-selected-as-main-contractor-for-one-of-europe</t>
  </si>
  <si>
    <t xml:space="preserve">formula: ='Quarterly MW'!T31/Basis!$G$7</t>
  </si>
  <si>
    <t xml:space="preserve">https://assets.nebius.com/assets/6590d0a0-0fc4-4396-bc3f-f52a9ccb770e/20260331%20Nebius%20to%20construct%20310%20MW%20AI%20factory%20in%20Finland.pdf; /workspace/nebius/capacity/altdata/altdata_timeli</t>
  </si>
  <si>
    <t xml:space="preserve">formula: ='Quarterly MW'!T36/Basis!$G$8</t>
  </si>
  <si>
    <t xml:space="preserve">https://www.assemblincaverion.com/news-and-media/news/2026/caverion-finland-strengthens-its-position-in-the-data-centre-market-and-will-deliver-a-eur-15-million-substation-for-ai-cloud-company-nebius/</t>
  </si>
  <si>
    <t xml:space="preserve">formula: ='Quarterly MW'!T41/Basis!$G$9</t>
  </si>
  <si>
    <t xml:space="preserve">https://www.datacenterdynamics.com/en/news/nebius-to-deploy-5mw-nvidia-h200-cluster-at-patmos-data-center-in-kansas-city-missouri/; https://www.datacenterdynamics.com/en/news/patmos-adds-10mw-of-capac</t>
  </si>
  <si>
    <t xml:space="preserve">formula: ='Quarterly MW'!T46</t>
  </si>
  <si>
    <t xml:space="preserve">formula: ='Quarterly MW'!T51</t>
  </si>
  <si>
    <t xml:space="preserve">formula: ='Quarterly MW'!T56</t>
  </si>
  <si>
    <t xml:space="preserve">https://datacentrenews.uk/story/nebius-fills-ark-s-longcross-data-centre-to-capacity; https://www.datacenterdynamics.com/en/news/ark-dc-to-add-new-building-to-longcross-data-center-campus-outside-lond</t>
  </si>
  <si>
    <t xml:space="preserve">formula: ='Quarterly MW'!T61/Basis!$G$13</t>
  </si>
  <si>
    <t xml:space="preserve">https://www.datacenterdynamics.com/en/news/nebius-signs-22mw-capacity-agreement-with-kao-data-in-the-uk/; https://www.linkedin.com/posts/infratil_klon-03-development-update-activity-740407367494265651</t>
  </si>
  <si>
    <t xml:space="preserve">formula: ='Quarterly MW'!T66</t>
  </si>
  <si>
    <t xml:space="preserve">https://vantage-dc.com/news/vantage-data-centers-and-nebius-expand-uk-ai-infrastructure-with-first-deployment-in-south-wales-ai-growth-zone/; https://nebius.com/newsroom/nebius-expands-in-uk-with-more</t>
  </si>
  <si>
    <t xml:space="preserve">formula: ='Quarterly MW'!T71</t>
  </si>
  <si>
    <t xml:space="preserve">https://nebius.com/newsroom/nebius-expands-in-uk-with-more-nvidia-powered-infrastructure-more-customers-and-more-cloud-capabilities-for-agentic-and-enterprise-ai; https://www.datacenterdynamics.com/en</t>
  </si>
  <si>
    <t xml:space="preserve">formula: ='Quarterly MW'!T76</t>
  </si>
  <si>
    <t xml:space="preserve">https://nebius.com/newsroom/nebius-brings-nvidia-blackwell-to-israel-with-one-of-the-country-s-first-ai-infrastructure-deployments; https://www.datacenterdynamics.com/en/news/nebius-signs-80mw-data-ce</t>
  </si>
  <si>
    <t xml:space="preserve">formula: ='Quarterly MW'!T81</t>
  </si>
  <si>
    <t xml:space="preserve">https://www.datacenterdynamics.com/en/news/nebius-signs-80mw-data-center-lease-with-mega-or-in-israel/; https://www.calcalistech.com/ctechnews/article/25ue6vi49; https://www.deeptase.co.il/en/analysis</t>
  </si>
  <si>
    <t xml:space="preserve">formula: ='Quarterly MW'!T86</t>
  </si>
  <si>
    <t xml:space="preserve">formula: ='Quarterly MW'!T91</t>
  </si>
  <si>
    <t xml:space="preserve">https://www.linkedin.com/feed/update/urn:li:activity:7505906816590073857; https://www.merlinproperties.com/dia-a-dia/firmamos-un-contrato-de-18-mw-con-nebius-para-nuestro-date-center-madrid-getafe/; h</t>
  </si>
  <si>
    <t xml:space="preserve">formula: ='Quarterly MW'!T96</t>
  </si>
  <si>
    <t xml:space="preserve">https://news.err.ee/1610109073/baltics-first-ai-factory-to-open-in-estonia; https://www.datacenterdynamics.com/en/news/nebius-expands-european-presence-announces-deployment-in-estonia-and-second-data-</t>
  </si>
  <si>
    <t xml:space="preserve">formula: ='Quarterly MW'!T101</t>
  </si>
  <si>
    <t xml:space="preserve">https://www.sec.gov/Archives/edgar/data/1513845/000110465926052948/nbis-20251231x20f.htm; https://docs.nebius.com/overview/regions (accessed 2026-10-04); https://woodburynewsnet.org/7933/business/what</t>
  </si>
  <si>
    <t xml:space="preserve">formula: ='Quarterly MW'!T106</t>
  </si>
  <si>
    <t xml:space="preserve">C26</t>
  </si>
  <si>
    <t xml:space="preserve">https://www.sec.gov/Archives/edgar/data/1513845/000110465926052948/nbis-20251231x20f.htm; https://assets.nebius.com/assets/a6ecfd85-a6cb-4967-8ef7-9a25bd261f9c/SHLQ226.pdf (p.2 map); https://boards-ap</t>
  </si>
  <si>
    <t xml:space="preserve">D26</t>
  </si>
  <si>
    <t xml:space="preserve">formula: ='Quarterly MW'!T111</t>
  </si>
  <si>
    <t xml:space="preserve">C27</t>
  </si>
  <si>
    <t xml:space="preserve">D27</t>
  </si>
  <si>
    <t xml:space="preserve">C28</t>
  </si>
  <si>
    <t xml:space="preserve">http://archive.fast-edgar.com/20260930/AB2ZM22DL222P26L222Q2MY2R6GDZ222ZQ82/ea030723301ex99-1.htm (AIB 8-K Ex.99.1, Sep 30 2026); https://www.globenewswire.com/news-release/2026/09/30/3371855/0/en/aib</t>
  </si>
  <si>
    <t xml:space="preserve">D28</t>
  </si>
  <si>
    <t xml:space="preserve">formula: ='Quarterly MW'!T121</t>
  </si>
  <si>
    <t xml:space="preserve">Alt path</t>
  </si>
  <si>
    <t xml:space="preserve">192.0</t>
  </si>
  <si>
    <t xml:space="preserve">/workspace/nebius/capacity/mw_path_proposed.csv</t>
  </si>
  <si>
    <t xml:space="preserve">227.5</t>
  </si>
  <si>
    <t xml:space="preserve">278.0</t>
  </si>
  <si>
    <t xml:space="preserve">295.0</t>
  </si>
  <si>
    <t xml:space="preserve">353.0</t>
  </si>
  <si>
    <t xml:space="preserve">412.0</t>
  </si>
  <si>
    <t xml:space="preserve">147.2</t>
  </si>
  <si>
    <t xml:space="preserve">319.5</t>
  </si>
  <si>
    <t xml:space="preserve">504.0</t>
  </si>
  <si>
    <t xml:space="preserve">561.0</t>
  </si>
  <si>
    <t xml:space="preserve">941.0</t>
  </si>
  <si>
    <t xml:space="preserve">1195.0</t>
  </si>
  <si>
    <t xml:space="preserve">274.4</t>
  </si>
  <si>
    <t xml:space="preserve">485.2</t>
  </si>
  <si>
    <t xml:space="preserve">764.0</t>
  </si>
  <si>
    <t xml:space="preserve">1078.0</t>
  </si>
  <si>
    <t xml:space="preserve">1322.0</t>
  </si>
  <si>
    <t xml:space="preserve">429.4</t>
  </si>
  <si>
    <t xml:space="preserve">682.2</t>
  </si>
  <si>
    <t xml:space="preserve">967.0</t>
  </si>
  <si>
    <t xml:space="preserve">1243.0</t>
  </si>
  <si>
    <t xml:space="preserve">1577.0</t>
  </si>
  <si>
    <t xml:space="preserve">590.0</t>
  </si>
  <si>
    <t xml:space="preserve">899.5</t>
  </si>
  <si>
    <t xml:space="preserve">1202.0</t>
  </si>
  <si>
    <t xml:space="preserve">990.0</t>
  </si>
  <si>
    <t xml:space="preserve">1382.0</t>
  </si>
  <si>
    <t xml:space="preserve">2017.0</t>
  </si>
  <si>
    <t xml:space="preserve">899.0</t>
  </si>
  <si>
    <t xml:space="preserve">1222.0</t>
  </si>
  <si>
    <t xml:space="preserve">1582.0</t>
  </si>
  <si>
    <t xml:space="preserve">1249.0</t>
  </si>
  <si>
    <t xml:space="preserve">1882.0</t>
  </si>
  <si>
    <t xml:space="preserve">2517.0</t>
  </si>
  <si>
    <t xml:space="preserve">153</t>
  </si>
  <si>
    <t xml:space="preserve">/workspace/nebius/capacity/mw_path_proposed.csv notes column</t>
  </si>
  <si>
    <t xml:space="preserve">formula: =(N('Quarterly MW'!T111)-0)+(N('Quarterly MW'!T106)-0)+(N('Quarterly MW'!T71)-0)+(N('Quarterly MW'!T76)-0)</t>
  </si>
  <si>
    <t xml:space="preserve">v2 Quarterly MW base minus v1 base (hard-coded from nebius_capacity_v1.xlsx)</t>
  </si>
  <si>
    <t xml:space="preserve">formula: =(N('Quarterly MW'!T121)-25)+(N('Quarterly MW'!T86)-22)+(N('Quarterly MW'!T91)-58)+(N('Quarterly MW'!T46)-30)</t>
  </si>
  <si>
    <t xml:space="preserve">formula: =(N('Quarterly MW'!T6)-240)</t>
  </si>
  <si>
    <t xml:space="preserve">formula: =SUM(B18:B20)</t>
  </si>
  <si>
    <t xml:space="preserve">formula: =SUM(C18:C20)</t>
  </si>
  <si>
    <t xml:space="preserve">1069</t>
  </si>
  <si>
    <t xml:space="preserve">nebius_capacity_v1.xlsx Quarterly MW row 121</t>
  </si>
  <si>
    <t xml:space="preserve">formula: ='Quarterly MW'!T126</t>
  </si>
  <si>
    <t xml:space="preserve">v2 total</t>
  </si>
  <si>
    <t xml:space="preserve">formula: ='Quarterly MW'!T136-'Quarterly MW'!T126</t>
  </si>
  <si>
    <t xml:space="preserve">basis change shown separately (not part of 150 split)</t>
  </si>
  <si>
    <t xml:space="preserve">Summary</t>
  </si>
  <si>
    <t xml:space="preserve">formula: ='Quarterly MW'!P124</t>
  </si>
  <si>
    <t xml:space="preserve">link</t>
  </si>
  <si>
    <t xml:space="preserve">formula: ='Quarterly MW'!P126</t>
  </si>
  <si>
    <t xml:space="preserve">formula: ='Quarterly MW'!P125</t>
  </si>
  <si>
    <t xml:space="preserve">formula: ='Quarterly MW'!T124</t>
  </si>
  <si>
    <t xml:space="preserve">formula: ='Quarterly MW'!T125</t>
  </si>
  <si>
    <t xml:space="preserve">formula: ='Quarterly MW'!P135</t>
  </si>
  <si>
    <t xml:space="preserve">formula: ='Quarterly MW'!P136</t>
  </si>
  <si>
    <t xml:space="preserve">formula: ='Quarterly MW'!P137</t>
  </si>
  <si>
    <t xml:space="preserve">formula: ='Quarterly MW'!T135</t>
  </si>
  <si>
    <t xml:space="preserve">formula: ='Quarterly MW'!T136</t>
  </si>
  <si>
    <t xml:space="preserve">formula: ='Quarterly MW'!T137</t>
  </si>
  <si>
    <t xml:space="preserve">formula: ='Quarterly MW'!P138</t>
  </si>
  <si>
    <t xml:space="preserve">formula: ='Quarterly MW'!P139</t>
  </si>
  <si>
    <t xml:space="preserve">formula: ='Quarterly MW'!P140</t>
  </si>
  <si>
    <t xml:space="preserve">formula: ='Quarterly MW'!T138</t>
  </si>
  <si>
    <t xml:space="preserve">formula: ='Quarterly MW'!T139</t>
  </si>
  <si>
    <t xml:space="preserve">formula: ='Quarterly MW'!T140</t>
  </si>
  <si>
    <t xml:space="preserve">formula: ='Quarterly MW'!P141</t>
  </si>
  <si>
    <t xml:space="preserve">formula: ='Quarterly MW'!P142</t>
  </si>
  <si>
    <t xml:space="preserve">formula: ='Quarterly MW'!P143</t>
  </si>
  <si>
    <t xml:space="preserve">formula: ='Quarterly MW'!T141</t>
  </si>
  <si>
    <t xml:space="preserve">formula: ='Quarterly MW'!T142</t>
  </si>
  <si>
    <t xml:space="preserve">formula: ='Quarterly MW'!T143</t>
  </si>
  <si>
    <t xml:space="preserve">950</t>
  </si>
  <si>
    <t xml:space="preserve">Modeling team placeholder (internal)</t>
  </si>
  <si>
    <t xml:space="preserve">formula: =G5-G8</t>
  </si>
  <si>
    <t xml:space="preserve">difference</t>
  </si>
  <si>
    <t xml:space="preserve">https://www.fool.com/earnings/call-transcripts/2026/08/19/nebius-nbis-q2-2026-earnings-call-transcript/ (cached /workspace/nebius/src/q2t.txt)</t>
  </si>
  <si>
    <t xml:space="preserve">formula: ='Quarterly MW'!T146</t>
  </si>
  <si>
    <t xml:space="preserve">scenario row</t>
  </si>
  <si>
    <t xml:space="preserve">formula: ='Quarterly MW'!P147</t>
  </si>
  <si>
    <t xml:space="preserve">formula: ='Quarterly MW'!T147</t>
  </si>
  <si>
    <t xml:space="preserve">formula: ='Quarterly MW'!T148</t>
  </si>
  <si>
    <t xml:space="preserve">col H = Bloom-slip case</t>
  </si>
  <si>
    <t xml:space="preserve">formula: ='Quarterly MW'!T3</t>
  </si>
  <si>
    <t xml:space="preserve">Quarterly MW contracted row</t>
  </si>
  <si>
    <t xml:space="preserve">300 gross / 1.25 (cap)</t>
  </si>
  <si>
    <t xml:space="preserve">formula: =N('Quarterly MW'!L6)</t>
  </si>
  <si>
    <t xml:space="preserve">energized base, IT-normalized (commencement proxy)</t>
  </si>
  <si>
    <t xml:space="preserve">formula: =N('Quarterly MW'!P6)</t>
  </si>
  <si>
    <t xml:space="preserve">formula: =N('Quarterly MW'!T6)</t>
  </si>
  <si>
    <t xml:space="preserve">formula: =IF(ISNUMBER(D16),MAX(0,D16-N(F16)),"n/d")</t>
  </si>
  <si>
    <t xml:space="preserve">contracted IT - energized IT YE26</t>
  </si>
  <si>
    <t xml:space="preserve">formula: ='Quarterly MW'!T23</t>
  </si>
  <si>
    <t xml:space="preserve">formula: =IF(ISNUMBER('Quarterly MW'!T23),'Quarterly MW'!T23/Basis!$G$6,"n/d")</t>
  </si>
  <si>
    <t xml:space="preserve">contracted x IT factor</t>
  </si>
  <si>
    <t xml:space="preserve">formula: =N('Quarterly MW'!L26)/Basis!$G$6</t>
  </si>
  <si>
    <t xml:space="preserve">formula: =N('Quarterly MW'!P26)/Basis!$G$6</t>
  </si>
  <si>
    <t xml:space="preserve">formula: =N('Quarterly MW'!T26)/Basis!$G$6</t>
  </si>
  <si>
    <t xml:space="preserve">formula: =IF(ISNUMBER(D17),MAX(0,D17-N(F17)),"n/d")</t>
  </si>
  <si>
    <t xml:space="preserve">formula: ='Quarterly MW'!T43</t>
  </si>
  <si>
    <t xml:space="preserve">formula: =IF(ISNUMBER('Quarterly MW'!T43),'Quarterly MW'!T43,"n/d")</t>
  </si>
  <si>
    <t xml:space="preserve">formula: =N('Quarterly MW'!L46)</t>
  </si>
  <si>
    <t xml:space="preserve">formula: =N('Quarterly MW'!P46)</t>
  </si>
  <si>
    <t xml:space="preserve">formula: =N('Quarterly MW'!T46)</t>
  </si>
  <si>
    <t xml:space="preserve">formula: =IF(ISNUMBER(D18),MAX(0,D18-N(F18)),"n/d")</t>
  </si>
  <si>
    <t xml:space="preserve">formula: ='Quarterly MW'!T48</t>
  </si>
  <si>
    <t xml:space="preserve">formula: =IF(ISNUMBER('Quarterly MW'!T48),'Quarterly MW'!T48,"n/d")</t>
  </si>
  <si>
    <t xml:space="preserve">formula: =N('Quarterly MW'!L51)</t>
  </si>
  <si>
    <t xml:space="preserve">formula: =N('Quarterly MW'!P51)</t>
  </si>
  <si>
    <t xml:space="preserve">formula: =N('Quarterly MW'!T51)</t>
  </si>
  <si>
    <t xml:space="preserve">formula: =IF(ISNUMBER(D19),MAX(0,D19-N(F19)),"n/d")</t>
  </si>
  <si>
    <t xml:space="preserve">formula: ='Quarterly MW'!T53</t>
  </si>
  <si>
    <t xml:space="preserve">formula: =IF(ISNUMBER('Quarterly MW'!T53),'Quarterly MW'!T53,"n/d")</t>
  </si>
  <si>
    <t xml:space="preserve">formula: =N('Quarterly MW'!L56)</t>
  </si>
  <si>
    <t xml:space="preserve">formula: =N('Quarterly MW'!P56)</t>
  </si>
  <si>
    <t xml:space="preserve">formula: =N('Quarterly MW'!T56)</t>
  </si>
  <si>
    <t xml:space="preserve">formula: =IF(ISNUMBER(D20),MAX(0,D20-N(F20)),"n/d")</t>
  </si>
  <si>
    <t xml:space="preserve">formula: ='Quarterly MW'!T58</t>
  </si>
  <si>
    <t xml:space="preserve">formula: =IF(ISNUMBER('Quarterly MW'!T58),'Quarterly MW'!T58/Basis!$G$13,"n/d")</t>
  </si>
  <si>
    <t xml:space="preserve">formula: =N('Quarterly MW'!L61)/Basis!$G$13</t>
  </si>
  <si>
    <t xml:space="preserve">formula: =N('Quarterly MW'!P61)/Basis!$G$13</t>
  </si>
  <si>
    <t xml:space="preserve">formula: =N('Quarterly MW'!T61)/Basis!$G$13</t>
  </si>
  <si>
    <t xml:space="preserve">formula: =IF(ISNUMBER(D21),MAX(0,D21-N(F21)),"n/d")</t>
  </si>
  <si>
    <t xml:space="preserve">formula: ='Quarterly MW'!T63</t>
  </si>
  <si>
    <t xml:space="preserve">formula: =IF(ISNUMBER('Quarterly MW'!T63),'Quarterly MW'!T63,"n/d")</t>
  </si>
  <si>
    <t xml:space="preserve">formula: =N('Quarterly MW'!L66)</t>
  </si>
  <si>
    <t xml:space="preserve">formula: =N('Quarterly MW'!P66)</t>
  </si>
  <si>
    <t xml:space="preserve">formula: =N('Quarterly MW'!T66)</t>
  </si>
  <si>
    <t xml:space="preserve">formula: =IF(ISNUMBER(D22),MAX(0,D22-N(F22)),"n/d")</t>
  </si>
  <si>
    <t xml:space="preserve">formula: ='Quarterly MW'!T68</t>
  </si>
  <si>
    <t xml:space="preserve">Newport + UK 3rd = 65 - 22 (Jun 8 2026 PR); UK3 row left blank to avoid double count</t>
  </si>
  <si>
    <t xml:space="preserve">formula: =N('Quarterly MW'!L71)</t>
  </si>
  <si>
    <t xml:space="preserve">formula: =N('Quarterly MW'!P71)</t>
  </si>
  <si>
    <t xml:space="preserve">formula: =N('Quarterly MW'!T71)</t>
  </si>
  <si>
    <t xml:space="preserve">formula: =IF(ISNUMBER(D23),MAX(0,D23-N(F23)),"n/d")</t>
  </si>
  <si>
    <t xml:space="preserve">formula: ='Quarterly MW'!T73</t>
  </si>
  <si>
    <t xml:space="preserve">contracted MW not disclosed</t>
  </si>
  <si>
    <t xml:space="preserve">formula: =N('Quarterly MW'!L76)</t>
  </si>
  <si>
    <t xml:space="preserve">formula: =N('Quarterly MW'!P76)</t>
  </si>
  <si>
    <t xml:space="preserve">formula: =N('Quarterly MW'!T76)</t>
  </si>
  <si>
    <t xml:space="preserve">formula: =IF(ISNUMBER(D24),MAX(0,D24-N(F24)),"n/d")</t>
  </si>
  <si>
    <t xml:space="preserve">formula: ='Quarterly MW'!T78</t>
  </si>
  <si>
    <t xml:space="preserve">formula: =IF(ISNUMBER('Quarterly MW'!T78),'Quarterly MW'!T78,"n/d")</t>
  </si>
  <si>
    <t xml:space="preserve">formula: =N('Quarterly MW'!L81)</t>
  </si>
  <si>
    <t xml:space="preserve">formula: =N('Quarterly MW'!P81)</t>
  </si>
  <si>
    <t xml:space="preserve">formula: =N('Quarterly MW'!T81)</t>
  </si>
  <si>
    <t xml:space="preserve">formula: =IF(ISNUMBER(D25),MAX(0,D25-N(F25)),"n/d")</t>
  </si>
  <si>
    <t xml:space="preserve">formula: ='Quarterly MW'!T83</t>
  </si>
  <si>
    <t xml:space="preserve">formula: =IF(ISNUMBER('Quarterly MW'!T83),'Quarterly MW'!T83,"n/d")</t>
  </si>
  <si>
    <t xml:space="preserve">formula: =N('Quarterly MW'!L86)</t>
  </si>
  <si>
    <t xml:space="preserve">formula: =N('Quarterly MW'!P86)</t>
  </si>
  <si>
    <t xml:space="preserve">formula: =N('Quarterly MW'!T86)</t>
  </si>
  <si>
    <t xml:space="preserve">formula: =IF(ISNUMBER(D26),MAX(0,D26-N(F26)),"n/d")</t>
  </si>
  <si>
    <t xml:space="preserve">formula: ='Quarterly MW'!T88</t>
  </si>
  <si>
    <t xml:space="preserve">formula: =IF(ISNUMBER('Quarterly MW'!T88),'Quarterly MW'!T88,"n/d")</t>
  </si>
  <si>
    <t xml:space="preserve">formula: =N('Quarterly MW'!L91)</t>
  </si>
  <si>
    <t xml:space="preserve">formula: =N('Quarterly MW'!P91)</t>
  </si>
  <si>
    <t xml:space="preserve">formula: =N('Quarterly MW'!T91)</t>
  </si>
  <si>
    <t xml:space="preserve">formula: =IF(ISNUMBER(D27),MAX(0,D27-N(F27)),"n/d")</t>
  </si>
  <si>
    <t xml:space="preserve">formula: ='Quarterly MW'!T93</t>
  </si>
  <si>
    <t xml:space="preserve">formula: =IF(ISNUMBER('Quarterly MW'!T93),'Quarterly MW'!T93,"n/d")</t>
  </si>
  <si>
    <t xml:space="preserve">formula: =N('Quarterly MW'!L96)</t>
  </si>
  <si>
    <t xml:space="preserve">formula: =N('Quarterly MW'!P96)</t>
  </si>
  <si>
    <t xml:space="preserve">formula: =N('Quarterly MW'!T96)</t>
  </si>
  <si>
    <t xml:space="preserve">formula: =IF(ISNUMBER(D28),MAX(0,D28-N(F28)),"n/d")</t>
  </si>
  <si>
    <t xml:space="preserve">formula: ='Quarterly MW'!T98</t>
  </si>
  <si>
    <t xml:space="preserve">formula: =IF(ISNUMBER('Quarterly MW'!T98),'Quarterly MW'!T98,"n/d")</t>
  </si>
  <si>
    <t xml:space="preserve">formula: =N('Quarterly MW'!L101)</t>
  </si>
  <si>
    <t xml:space="preserve">formula: =N('Quarterly MW'!P101)</t>
  </si>
  <si>
    <t xml:space="preserve">formula: =N('Quarterly MW'!T101)</t>
  </si>
  <si>
    <t xml:space="preserve">formula: =IF(ISNUMBER(D29),MAX(0,D29-N(F29)),"n/d")</t>
  </si>
  <si>
    <t xml:space="preserve">formula: ='Quarterly MW'!T103</t>
  </si>
  <si>
    <t xml:space="preserve">formula: =N('Quarterly MW'!L106)</t>
  </si>
  <si>
    <t xml:space="preserve">formula: =N('Quarterly MW'!P106)</t>
  </si>
  <si>
    <t xml:space="preserve">formula: =N('Quarterly MW'!T106)</t>
  </si>
  <si>
    <t xml:space="preserve">formula: =IF(ISNUMBER(D30),MAX(0,D30-N(F30)),"n/d")</t>
  </si>
  <si>
    <t xml:space="preserve">formula: ='Quarterly MW'!T108</t>
  </si>
  <si>
    <t xml:space="preserve">formula: =N('Quarterly MW'!L111)</t>
  </si>
  <si>
    <t xml:space="preserve">formula: =N('Quarterly MW'!P111)</t>
  </si>
  <si>
    <t xml:space="preserve">formula: =N('Quarterly MW'!T111)</t>
  </si>
  <si>
    <t xml:space="preserve">formula: =IF(ISNUMBER(D31),MAX(0,D31-N(F31)),"n/d")</t>
  </si>
  <si>
    <t xml:space="preserve">formula: ='Quarterly MW'!T113</t>
  </si>
  <si>
    <t xml:space="preserve">formula: =IF(ISNUMBER(D32),MAX(0,D32-N(F32)),"n/d")</t>
  </si>
  <si>
    <t xml:space="preserve">formula: ='Quarterly MW'!T118</t>
  </si>
  <si>
    <t xml:space="preserve">formula: =IF(ISNUMBER('Quarterly MW'!T118),'Quarterly MW'!T118,"n/d")</t>
  </si>
  <si>
    <t xml:space="preserve">formula: =N('Quarterly MW'!L121)</t>
  </si>
  <si>
    <t xml:space="preserve">formula: =N('Quarterly MW'!P121)</t>
  </si>
  <si>
    <t xml:space="preserve">formula: =N('Quarterly MW'!T121)</t>
  </si>
  <si>
    <t xml:space="preserve">formula: =IF(ISNUMBER(D33),MAX(0,D33-N(F33)),"n/d")</t>
  </si>
  <si>
    <t xml:space="preserve">formula: =SUM(D16:D33)</t>
  </si>
  <si>
    <t xml:space="preserve">sum (n/d excluded)</t>
  </si>
  <si>
    <t xml:space="preserve">formula: =SUM(E16:E33)</t>
  </si>
  <si>
    <t xml:space="preserve">formula: =SUM(F16:F33)</t>
  </si>
  <si>
    <t xml:space="preserve">formula: =SUM(G16:G33)</t>
  </si>
  <si>
    <t xml:space="preserve">formula: =SUM(H16:H33)</t>
  </si>
  <si>
    <t xml:space="preserve">formula: =N('Quarterly MW'!L11)/Basis!$G$3+N('Quarterly MW'!L16)/Basis!$G$4+N('Quarterly MW'!L21)/Basis!$G$5+N('Quarterly MW'!L31)/Basis!$G$7+N('Quarterly MW'!L36)/Basis!$G$8+N('Quarterly MW'!L41)/Basis!$G$9</t>
  </si>
  <si>
    <t xml:space="preserve">owned sites</t>
  </si>
  <si>
    <t xml:space="preserve">formula: =N('Quarterly MW'!P11)/Basis!$G$3+N('Quarterly MW'!P16)/Basis!$G$4+N('Quarterly MW'!P21)/Basis!$G$5+N('Quarterly MW'!P31)/Basis!$G$7+N('Quarterly MW'!P36)/Basis!$G$8+N('Quarterly MW'!P41)/Basis!$G$9</t>
  </si>
  <si>
    <t xml:space="preserve">formula: =N('Quarterly MW'!T11)/Basis!$G$3+N('Quarterly MW'!T16)/Basis!$G$4+N('Quarterly MW'!T21)/Basis!$G$5+N('Quarterly MW'!T31)/Basis!$G$7+N('Quarterly MW'!T36)/Basis!$G$8+N('Quarterly MW'!T41)/Basis!$G$9</t>
  </si>
  <si>
    <t xml:space="preserve">formula: =H34*2.0</t>
  </si>
  <si>
    <t xml:space="preserve">Modeling rate $2.0M/IT MW/yr (assumption, Modeling)</t>
  </si>
  <si>
    <t xml:space="preserve">formula: =H34*2.5</t>
  </si>
  <si>
    <t xml:space="preserve">Modeling rate $2.5M/IT MW/yr</t>
  </si>
  <si>
    <t xml:space="preserve">B39</t>
  </si>
  <si>
    <t xml:space="preserve">12054.1</t>
  </si>
  <si>
    <t xml:space="preserve">B40</t>
  </si>
  <si>
    <t xml:space="preserve">9759.6</t>
  </si>
  <si>
    <t xml:space="preserve">B41</t>
  </si>
  <si>
    <t xml:space="preserve">1855.1</t>
  </si>
  <si>
    <t xml:space="preserve">B42</t>
  </si>
  <si>
    <t xml:space="preserve">B43</t>
  </si>
  <si>
    <t xml:space="preserve">B44</t>
  </si>
  <si>
    <t xml:space="preserve">formula: =B39/B42</t>
  </si>
  <si>
    <t xml:space="preserve">B45</t>
  </si>
  <si>
    <t xml:space="preserve">formula: =B44/2.0</t>
  </si>
  <si>
    <t xml:space="preserve">B46</t>
  </si>
  <si>
    <t xml:space="preserve">formula: =B44/2.5</t>
  </si>
  <si>
    <t xml:space="preserve">B47</t>
  </si>
  <si>
    <t xml:space="preserve">formula: =N('Quarterly MW'!L6)+N('Quarterly MW'!L26)/Basis!$G$6+N('Quarterly MW'!L46)+N('Quarterly MW'!L51)+N('Quarterly MW'!L56)+N('Quarterly MW'!L61)/Basis!$G$13+N('Quarterly MW'!L66)+N('Quarterly MW'!L71)+N('Quarterly MW'!L76)+N('Quarterly MW'!L81)+N('Quarterly MW'!L86)+N('Quarterly MW'!L91)+N('Quarterly MW'!L96)+N('Quarterly MW'!L101)+N('Quarterly MW'!L106)+N('Quarterly MW'!L111)+N('Quarterly MW'!L121)</t>
  </si>
  <si>
    <t xml:space="preserve">B48</t>
  </si>
  <si>
    <t xml:space="preserve">formula: =N('Quarterly MW'!N6)+N('Quarterly MW'!N26)/Basis!$G$6+N('Quarterly MW'!N46)+N('Quarterly MW'!N51)+N('Quarterly MW'!N56)+N('Quarterly MW'!N61)/Basis!$G$13+N('Quarterly MW'!N66)+N('Quarterly MW'!N71)+N('Quarterly MW'!N76)+N('Quarterly MW'!N81)+N('Quarterly MW'!N86)+N('Quarterly MW'!N91)+N('Quarterly MW'!N96)+N('Quarterly MW'!N101)+N('Quarterly MW'!N106)+N('Quarterly MW'!N111)+N('Quarterly MW'!N121)</t>
  </si>
  <si>
    <t xml:space="preserve">B49</t>
  </si>
  <si>
    <t xml:space="preserve">formula: =N('Quarterly MW'!P6)+N('Quarterly MW'!P26)/Basis!$G$6+N('Quarterly MW'!P46)+N('Quarterly MW'!P51)+N('Quarterly MW'!P56)+N('Quarterly MW'!P61)/Basis!$G$13+N('Quarterly MW'!P66)+N('Quarterly MW'!P71)+N('Quarterly MW'!P76)+N('Quarterly MW'!P81)+N('Quarterly MW'!P86)+N('Quarterly MW'!P91)+N('Quarterly MW'!P96)+N('Quarterly MW'!P101)+N('Quarterly MW'!P106)+N('Quarterly MW'!P111)+N('Quarterly MW'!P121)-B47</t>
  </si>
  <si>
    <t xml:space="preserve">B50</t>
  </si>
  <si>
    <t xml:space="preserve">formula: =N('Quarterly MW'!T6)+N('Quarterly MW'!T26)/Basis!$G$6+N('Quarterly MW'!T46)+N('Quarterly MW'!T51)+N('Quarterly MW'!T56)+N('Quarterly MW'!T61)/Basis!$G$13+N('Quarterly MW'!T66)+N('Quarterly MW'!T71)+N('Quarterly MW'!T76)+N('Quarterly MW'!T81)+N('Quarterly MW'!T86)+N('Quarterly MW'!T91)+N('Quarterly MW'!T96)+N('Quarterly MW'!T101)+N('Quarterly MW'!T106)+N('Quarterly MW'!T111)+N('Quarterly MW'!T121)-(N('Quarterly MW'!P6)+N('Quarterly MW'!P26)/Basis!$G$6+N('Quarterly MW'!P46)+N('Quarterly MW'!P51)+N('Quarterly MW'!P56)+N('Quarterly MW'!P61)/Basis!$G$13+N('Quarterly MW'!P66)+N('Quarterly MW'!P71)+N('Quarterly MW'!P76)+N('Quarterly MW'!P81)+N('Quarterly MW'!P86)+N('Quarterly MW'!P91)+N('Quarterly MW'!P96)+N('Quarterly MW'!P101)+N('Quarterly MW'!P106)+N('Quarterly MW'!P111)+N('Quarterly MW'!P121))</t>
  </si>
  <si>
    <t xml:space="preserve">B51</t>
  </si>
  <si>
    <t xml:space="preserve">formula: =N('Quarterly MW'!T6)+N('Quarterly MW'!T26)/Basis!$G$6+N('Quarterly MW'!T46)+N('Quarterly MW'!T51)+N('Quarterly MW'!T56)+N('Quarterly MW'!T61)/Basis!$G$13+N('Quarterly MW'!T66)+N('Quarterly MW'!T71)+N('Quarterly MW'!T76)+N('Quarterly MW'!T81)+N('Quarterly MW'!T86)+N('Quarterly MW'!T91)+N('Quarterly MW'!T96)+N('Quarterly MW'!T101)+N('Quarterly MW'!T106)+N('Quarterly MW'!T111)+N('Quarterly MW'!T121)-B48</t>
  </si>
  <si>
    <t xml:space="preserve">B52</t>
  </si>
  <si>
    <t xml:space="preserve">formula: =N('Quarterly MW'!T26)/Basis!$G$6+N('Quarterly MW'!T46)+N('Quarterly MW'!T51)+N('Quarterly MW'!T56)+N('Quarterly MW'!T61)/Basis!$G$13+N('Quarterly MW'!T66)+N('Quarterly MW'!T71)+N('Quarterly MW'!T76)+N('Quarterly MW'!T81)+N('Quarterly MW'!T86)+N('Quarterly MW'!T91)+N('Quarterly MW'!T96)+N('Quarterly MW'!T101)+N('Quarterly MW'!T106)+N('Quarterly MW'!T111)+N('Quarterly MW'!T121)-(N('Quarterly MW'!N26)/Basis!$G$6+N('Quarterly MW'!N46)+N('Quarterly MW'!N51)+N('Quarterly MW'!N56)+N('Quarterly MW'!N61)/Basis!$G$13+N('Quarterly MW'!N66)+N('Quarterly MW'!N71)+N('Quarterly MW'!N76)+N('Quarterly MW'!N81)+N('Quarterly MW'!N86)+N('Quarterly MW'!N91)+N('Quarterly MW'!N96)+N('Quarterly MW'!N101)+N('Quarterly MW'!N106)+N('Quarterly MW'!N111)+N('Quarterly MW'!N121))</t>
  </si>
  <si>
    <t xml:space="preserve">B53</t>
  </si>
  <si>
    <t xml:space="preserve">formula: =D34-B48</t>
  </si>
  <si>
    <t xml:space="preserve">B54</t>
  </si>
  <si>
    <t xml:space="preserve">formula: =B44/B51</t>
  </si>
  <si>
    <t xml:space="preserve">B55</t>
  </si>
  <si>
    <t xml:space="preserve">formula: =B39/B43/B51</t>
  </si>
  <si>
    <t xml:space="preserve">B56</t>
  </si>
  <si>
    <t xml:space="preserve">formula: =B44/B52</t>
  </si>
  <si>
    <t xml:space="preserve">B57</t>
  </si>
  <si>
    <t xml:space="preserve">formula: =N('Quarterly MW'!T121)+N('Quarterly MW'!T71)+N('Quarterly MW'!T76)</t>
  </si>
  <si>
    <t xml:space="preserve">B58</t>
  </si>
  <si>
    <t xml:space="preserve">formula: =B52-B57</t>
  </si>
  <si>
    <t xml:space="preserve">B59</t>
  </si>
  <si>
    <t xml:space="preserve">formula: =B44/B58</t>
  </si>
  <si>
    <t xml:space="preserve">B64</t>
  </si>
  <si>
    <t xml:space="preserve">574.9</t>
  </si>
  <si>
    <t xml:space="preserve">B65</t>
  </si>
  <si>
    <t xml:space="preserve">B66</t>
  </si>
  <si>
    <t xml:space="preserve">formula: =B64*4/B65</t>
  </si>
  <si>
    <t xml:space="preserve">B67</t>
  </si>
  <si>
    <t xml:space="preserve">formula: =3000/B65</t>
  </si>
  <si>
    <t xml:space="preserve">B68</t>
  </si>
  <si>
    <t xml:space="preserve">173</t>
  </si>
  <si>
    <t xml:space="preserve">B69</t>
  </si>
  <si>
    <t xml:space="preserve">formula: ='Quarterly MW'!N126</t>
  </si>
  <si>
    <t xml:space="preserve">B70</t>
  </si>
  <si>
    <t xml:space="preserve">formula: ='Quarterly MW'!N136</t>
  </si>
  <si>
    <t xml:space="preserve">B71</t>
  </si>
  <si>
    <t xml:space="preserve">formula: ='Quarterly MW'!N139</t>
  </si>
  <si>
    <t xml:space="preserve">B72</t>
  </si>
  <si>
    <t xml:space="preserve">formula: =2*'Vineland tranche track'!$B$16-'Quarterly MW'!N6</t>
  </si>
  <si>
    <t xml:space="preserve">B76</t>
  </si>
  <si>
    <t xml:space="preserve">https://www.sec.gov/Archives/edgar/data/1513845/000155837025005991/nbis-20241231x20f.htm</t>
  </si>
  <si>
    <t xml:space="preserve">B77</t>
  </si>
  <si>
    <t xml:space="preserve">formula: ='GPUs deployed'!I34</t>
  </si>
  <si>
    <t xml:space="preserve">energized base x GPUs/MW</t>
  </si>
  <si>
    <t xml:space="preserve">B78</t>
  </si>
  <si>
    <t xml:space="preserve">formula: =B77/B76</t>
  </si>
  <si>
    <t xml:space="preserve">B79</t>
  </si>
  <si>
    <t xml:space="preserve">formula: ='Quarterly MW'!I126</t>
  </si>
  <si>
    <t xml:space="preserve">Mantsala 25 + Keflavik 10 + Paris 5 + KC 10</t>
  </si>
  <si>
    <t xml:space="preserve">B80</t>
  </si>
  <si>
    <t xml:space="preserve">formula: =30000/'GPUs deployed'!$C$2</t>
  </si>
  <si>
    <t xml:space="preserve">GPUs / Hopper GPUs per gross MW</t>
  </si>
  <si>
    <t xml:space="preserve">Key</t>
  </si>
  <si>
    <t xml:space="preserve">Ownership</t>
  </si>
  <si>
    <t xml:space="preserve">Stated MW basis (IT / gross / not stated)</t>
  </si>
  <si>
    <t xml:space="preserve">Evidence for basis</t>
  </si>
  <si>
    <t xml:space="preserve">Treated as (for normalization)</t>
  </si>
  <si>
    <t xml:space="preserve">Gross/IT factor (PUE-based)</t>
  </si>
  <si>
    <t xml:space="preserve">Factor tag</t>
  </si>
  <si>
    <t xml:space="preserve">Factor basis / PUE assumption</t>
  </si>
  <si>
    <t xml:space="preserve">VIN</t>
  </si>
  <si>
    <t xml:space="preserve">Energized rows are power-bounded IT (gensets/1.2); 300 MW gross vs Bloom 328 installed + 5 grid supply (gpu_mw_capex.md)</t>
  </si>
  <si>
    <t xml:space="preserve">/workspace/nebius/peers/comparison.xlsx (Contracts_$MWyr, Sites tabs)</t>
  </si>
  <si>
    <t xml:space="preserve">IND</t>
  </si>
  <si>
    <t xml:space="preserve">Utility (IPL/IPP) power figures</t>
  </si>
  <si>
    <t xml:space="preserve">Peer utility-to-IT design ratios 1.30-1.52 (AIB 65/50, Crusoe 900/672, Denton 394/262, Helios 800/526; peers comparison.xlsx); operating PUE ~1.2-1.3</t>
  </si>
  <si>
    <t xml:space="preserve">BUT</t>
  </si>
  <si>
    <t xml:space="preserve">PPL ESA = utility load</t>
  </si>
  <si>
    <t xml:space="preserve">as IND</t>
  </si>
  <si>
    <t xml:space="preserve">BHM</t>
  </si>
  <si>
    <t xml:space="preserve">300 MW press figure; Alabama Power 115/230 kV</t>
  </si>
  <si>
    <t xml:space="preserve">BET</t>
  </si>
  <si>
    <t xml:space="preserve">240 MW grid connection (press)</t>
  </si>
  <si>
    <t xml:space="preserve">LAP</t>
  </si>
  <si>
    <t xml:space="preserve">310 MW site/substation figures</t>
  </si>
  <si>
    <t xml:space="preserve">Nordic free cooling (Mantsala-class)</t>
  </si>
  <si>
    <t xml:space="preserve">MA1</t>
  </si>
  <si>
    <t xml:space="preserve">75 MW site figure; Nebius cites "one of the world's leading PUE"</t>
  </si>
  <si>
    <t xml:space="preserve">PUE ~1.1 (company statements per site_list; 20-F gives no number)</t>
  </si>
  <si>
    <t xml:space="preserve">MA2</t>
  </si>
  <si>
    <t xml:space="preserve">70 MW substation (Caverion)</t>
  </si>
  <si>
    <t xml:space="preserve">Nordic</t>
  </si>
  <si>
    <t xml:space="preserve">KC</t>
  </si>
  <si>
    <t xml:space="preserve">Colo; Patmos facility MW</t>
  </si>
  <si>
    <t xml:space="preserve">PAR</t>
  </si>
  <si>
    <t xml:space="preserve">Colo; 5 MW third-party</t>
  </si>
  <si>
    <t xml:space="preserve">KEF</t>
  </si>
  <si>
    <t xml:space="preserve">Colo (Verne)</t>
  </si>
  <si>
    <t xml:space="preserve">LON</t>
  </si>
  <si>
    <t xml:space="preserve">7,000 B300 on 19 MW = 368/MW fits gross density (gpu_mw_capex.xlsx Nebius checks)</t>
  </si>
  <si>
    <t xml:space="preserve">HAR</t>
  </si>
  <si>
    <t xml:space="preserve">Colo (Kao Data)</t>
  </si>
  <si>
    <t xml:space="preserve">NEW</t>
  </si>
  <si>
    <t xml:space="preserve">UK3</t>
  </si>
  <si>
    <t xml:space="preserve">Lead only</t>
  </si>
  <si>
    <t xml:space="preserve">MOD</t>
  </si>
  <si>
    <t xml:space="preserve">4,000 B200 / 8 MW = 500/MW fits IT density</t>
  </si>
  <si>
    <t xml:space="preserve">MAS</t>
  </si>
  <si>
    <t xml:space="preserve">Mega DC lease MW</t>
  </si>
  <si>
    <t xml:space="preserve">BEI</t>
  </si>
  <si>
    <t xml:space="preserve">MAD</t>
  </si>
  <si>
    <t xml:space="preserve">Merlin 18 MW contract</t>
  </si>
  <si>
    <t xml:space="preserve">TAL</t>
  </si>
  <si>
    <t xml:space="preserve">Greenergy 22 MW first phase</t>
  </si>
  <si>
    <t xml:space="preserve">MN</t>
  </si>
  <si>
    <t xml:space="preserve">IronGate MW (inference)</t>
  </si>
  <si>
    <t xml:space="preserve">OK</t>
  </si>
  <si>
    <t xml:space="preserve">Map category &gt;100MW</t>
  </si>
  <si>
    <t xml:space="preserve">FR2</t>
  </si>
  <si>
    <t xml:space="preserve">AIB</t>
  </si>
  <si>
    <t xml:space="preserve">"50 MW of critical IT capacity" on 65 MW utility ESA (AIB PR Sep 30 2026)</t>
  </si>
  <si>
    <t xml:space="preserve">https://www.globenewswire.com/news-release/2026/09/30/3371855/0/en/aib-data-centers-signs-contract-with-nebius-for-ai-data-center-capacity.html</t>
  </si>
  <si>
    <t xml:space="preserve">Peer conversion evidence (peers/comparison.xlsx): AIB CLT1 65 MW utility / 50 MW IT = 1.30; Crusoe-Microsoft Abilene 900 gross / 672 IT = 1.34; Crusoe-Oracle Abilene 1.2 GW / ~843 IT = 1.42; Vantage Port Washington ~1.3 GW / ~902 IT = 1.44; Core Scientific Denton 394 grid / 262 IT = 1.50; Galaxy Helios 800 / 526 IT = 1.52. These are DESIGN (utility-to-IT) ratios incl. headroom; operating PUE for liquid-cooled builds is lower (~1.15-1.3). Factors here sit between the two (Estimated).</t>
  </si>
  <si>
    <t xml:space="preserve">IT-normalized MW = energized MW / factor if treated as gross, else as stated. Gross MW = energized MW x factor if treated as IT, else as stated. n/d sites excluded.</t>
  </si>
  <si>
    <t xml:space="preserve">Tranche / block</t>
  </si>
  <si>
    <t xml:space="preserve">MW (stated)</t>
  </si>
  <si>
    <t xml:space="preserve">MW IT (normalized, YE27 base)</t>
  </si>
  <si>
    <t xml:space="preserve">Go-live low</t>
  </si>
  <si>
    <t xml:space="preserve">Evidence</t>
  </si>
  <si>
    <t xml:space="preserve">Microsoft T1-T9 (see Vineland tranche track)</t>
  </si>
  <si>
    <t xml:space="preserve">Reported (T1); T5-T9 Estimated</t>
  </si>
  <si>
    <t xml:space="preserve">T1 Nov-25, T2 Feb-26, T3-T4 Jul/Aug-26; T5-T9 need Bloom</t>
  </si>
  <si>
    <t xml:space="preserve">Meta #1 (2 tranches, $2.88B, 5-yr)</t>
  </si>
  <si>
    <t xml:space="preserve">site not disclosed</t>
  </si>
  <si>
    <t xml:space="preserve">20-F: first tranche Nov 2025 (Dec 2025 in FS note), second Feb 2026; MW not disclosed (peer file ~50 IT MW = unsourced, E low)</t>
  </si>
  <si>
    <t xml:space="preserve">Meta #2 dedicated ($12B, 5-yr, Vera Rubin, multiple locations)</t>
  </si>
  <si>
    <t xml:space="preserve">n/d (Bethune likely per press)</t>
  </si>
  <si>
    <t xml:space="preserve">Vera Rubin NVL72 (Reported)</t>
  </si>
  <si>
    <t xml:space="preserve">Reported (start "early 2027" / 1H27)</t>
  </si>
  <si>
    <t xml:space="preserve">20-F: delivery expected to commence early 2027; plus up to $15B Meta backstop for unsold capacity of certain clusters</t>
  </si>
  <si>
    <t xml:space="preserve">Q2-26 large AI-cloud deals (4 deals, avg &gt;$1B TCV; e.g. Reflection, Cohere)</t>
  </si>
  <si>
    <t xml:space="preserve">n/d (new-gen)</t>
  </si>
  <si>
    <t xml:space="preserve">Reported (from late Q4 2026)</t>
  </si>
  <si>
    <t xml:space="preserve">ACV $20-25M/MW; "start coming online from late Q4 and onwards" (Q2-26 call); MW = TCV/(term x ACV) but term not disclosed -&gt; n/d</t>
  </si>
  <si>
    <t xml:space="preserve">Independence MO (Eastgate) - site block</t>
  </si>
  <si>
    <t xml:space="preserve">Estimated (first quarter with energized MW &gt; 0)</t>
  </si>
  <si>
    <t xml:space="preserve">Butler Twp PA (Highridge) - site block</t>
  </si>
  <si>
    <t xml:space="preserve">Birmingham AL (BHM01, Oxmoor) - site block</t>
  </si>
  <si>
    <t xml:space="preserve">Bethune FR (Azur Datacenter, ex-Bridgestone) - site block</t>
  </si>
  <si>
    <t xml:space="preserve">Lappeenranta FI (Pajarila / Polarnode) - site block</t>
  </si>
  <si>
    <t xml:space="preserve">Mantsala FI #1 - site block</t>
  </si>
  <si>
    <t xml:space="preserve">Mantsala FI #2 (Kapuli) - site block</t>
  </si>
  <si>
    <t xml:space="preserve">Kansas City MO (Patmos) - site block</t>
  </si>
  <si>
    <t xml:space="preserve">Paris (Equinix PA10) - site block</t>
  </si>
  <si>
    <t xml:space="preserve">Keflavik IS (Verne) - site block</t>
  </si>
  <si>
    <t xml:space="preserve">London Longcross (Ark LP01) - site block</t>
  </si>
  <si>
    <t xml:space="preserve">Harlow UK (Kao Data KLON-02/03) - site block</t>
  </si>
  <si>
    <t xml:space="preserve">Newport UK (Vantage CWL1) - site block</t>
  </si>
  <si>
    <t xml:space="preserve">UK 3rd new deployment (lead: Green Mountain LON-East, Romford) - site block</t>
  </si>
  <si>
    <t xml:space="preserve">after Q4 2030</t>
  </si>
  <si>
    <t xml:space="preserve">Modi'in IL (Mega Or) - site block</t>
  </si>
  <si>
    <t xml:space="preserve">Masmiyya IL (Mega DC) - site block</t>
  </si>
  <si>
    <t xml:space="preserve">Beit Shemesh IL (Mega DC) - site block</t>
  </si>
  <si>
    <t xml:space="preserve">Madrid-Getafe ES (Merlin Edged) - site block</t>
  </si>
  <si>
    <t xml:space="preserve">Tallinn EE (Greenergy Huuru) - site block</t>
  </si>
  <si>
    <t xml:space="preserve">Minnesota colo (us-north1, Woodbury) - site block</t>
  </si>
  <si>
    <t xml:space="preserve">Oklahoma colo (unnamed) - site block</t>
  </si>
  <si>
    <t xml:space="preserve">France 2nd colo (unnamed; possibly eu-west2) - site block</t>
  </si>
  <si>
    <t xml:space="preserve">AIB CLT1 (Moore, Spartanburg County SC; Lockhart Power) - site block</t>
  </si>
  <si>
    <t xml:space="preserve">quarter</t>
  </si>
  <si>
    <t xml:space="preserve">metric</t>
  </si>
  <si>
    <t xml:space="preserve">low</t>
  </si>
  <si>
    <t xml:space="preserve">base</t>
  </si>
  <si>
    <t xml:space="preserve">high</t>
  </si>
  <si>
    <t xml:space="preserve">model_low</t>
  </si>
  <si>
    <t xml:space="preserve">model_base</t>
  </si>
  <si>
    <t xml:space="preserve">model_high</t>
  </si>
  <si>
    <t xml:space="preserve">delta_base</t>
  </si>
  <si>
    <t xml:space="preserve">changed</t>
  </si>
  <si>
    <t xml:space="preserve">tag</t>
  </si>
  <si>
    <t xml:space="preserve">basis</t>
  </si>
  <si>
    <t xml:space="preserve">notes</t>
  </si>
  <si>
    <t xml:space="preserve">active (energized) MW</t>
  </si>
  <si>
    <t xml:space="preserve">YES</t>
  </si>
  <si>
    <t xml:space="preserve">mixed IT/stated (as nebius_capacity.xlsx identified-site rows) + adjustments in unseen_capacity.md</t>
  </si>
  <si>
    <t xml:space="preserve">Oklahoma colo (new row): +10; Minnesota colo (new row): +10; Newport (Vantage CWL1) + UK 3rd (new row): +0</t>
  </si>
  <si>
    <t xml:space="preserve">connected MW</t>
  </si>
  <si>
    <t xml:space="preserve">YES (new bottom-up line; model has only mgmt figure + plug)</t>
  </si>
  <si>
    <t xml:space="preserve">gross/shell where built &amp; powered but not active; mgmt guide YE26 800-1,000 MW connected (Reported, Q2 2026 call)</t>
  </si>
  <si>
    <t xml:space="preserve">no mgmt figure</t>
  </si>
  <si>
    <t xml:space="preserve">Vineland (shutdown low case): +0; Oklahoma colo (new row): +25; Minnesota colo (new row): +10; Newport (Vantage CWL1) + UK 3rd (new row): +5; Masmiyya (timing slip): -5.5; Beit Shemesh (timing slip): -19.5</t>
  </si>
  <si>
    <t xml:space="preserve">mgmt guide: 800-1000</t>
  </si>
  <si>
    <t xml:space="preserve">Oklahoma colo (new row): +50; Minnesota colo (new row): +10; Newport (Vantage CWL1) + UK 3rd (new row): +15; Masmiyya (timing slip): -5.5; Beit Shemesh (timing slip): -29</t>
  </si>
  <si>
    <t xml:space="preserve">Oklahoma colo (new row): +75; Minnesota colo (new row): +10; Newport (Vantage CWL1) + UK 3rd (new row): +25; Masmiyya (timing slip): +0; Beit Shemesh (timing slip): -19.5</t>
  </si>
  <si>
    <t xml:space="preserve">Oklahoma colo (new row): +100; Minnesota colo (new row): +10; Newport (Vantage CWL1) + UK 3rd (new row): +35; Beit Shemesh (timing slip): -9.5; AIB CLT1 (hall timing): +12.5</t>
  </si>
  <si>
    <t xml:space="preserve">Oklahoma colo (new row): +100; Minnesota colo (new row): +10; Newport (Vantage CWL1) + UK 3rd (new row): +43</t>
  </si>
  <si>
    <t xml:space="preserve">mgmt guide: 1800-2000</t>
  </si>
  <si>
    <t xml:space="preserve">Q4 2027 ACTIVE base: split of difference vs v1 file (nebius_capacity_v1.xlsx)</t>
  </si>
  <si>
    <t xml:space="preserve">Component</t>
  </si>
  <si>
    <t xml:space="preserve">Alt path (CSV) vs v1, MW</t>
  </si>
  <si>
    <t xml:space="preserve">v2 model vs v1, MW</t>
  </si>
  <si>
    <t xml:space="preserve">Detail</t>
  </si>
  <si>
    <t xml:space="preserve">New sites (OK, MN, Newport, UK 3rd)</t>
  </si>
  <si>
    <t xml:space="preserve">OK +100, MN +10, Newport+UK3 +43 in CSV</t>
  </si>
  <si>
    <t xml:space="preserve">Pulled-forward / slipped sites (CLT1, Israel, KC)</t>
  </si>
  <si>
    <t xml:space="preserve">CSV: CLT1 +12.5 and Israel -29 occur in Q3 2027 / earlier, net 0 at Q4 2027</t>
  </si>
  <si>
    <t xml:space="preserve">Basis / cap change (Vineland 240 IT cap)</t>
  </si>
  <si>
    <t xml:space="preserve">CSV kept 240 base; v2 caps high at 240 -&gt; base 235</t>
  </si>
  <si>
    <t xml:space="preserve">Total</t>
  </si>
  <si>
    <t xml:space="preserve">Check: v1 total Q4 2027 base</t>
  </si>
  <si>
    <t xml:space="preserve">Memo: IT-normalization effect on v2 Q4 2027 base (IT-normalized minus stated)</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</si>
</sst>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name val="Cambria"/>
      <family val="0"/>
      <charset val="1"/>
    </font>
    <font>
      <sz val="11"/>
      <color rgb="FF000000"/>
      <name val="Cambria"/>
      <family val="0"/>
      <charset val="1"/>
    </font>
    <font>
      <sz val="11"/>
      <color rgb="FF0000FF"/>
      <name val="Cambria"/>
      <family val="0"/>
      <charset val="1"/>
    </font>
    <font>
      <i val="true"/>
      <sz val="11"/>
      <name val="Cambria"/>
      <family val="0"/>
      <charset val="1"/>
    </font>
  </fonts>
  <fills count="7">
    <fill>
      <patternFill patternType="none"/>
    </fill>
    <fill>
      <patternFill patternType="gray125"/>
    </fill>
    <fill>
      <patternFill patternType="solid">
        <fgColor rgb="FFDDEBF7"/>
        <bgColor rgb="FFCCFFFF"/>
      </patternFill>
    </fill>
    <fill>
      <patternFill patternType="solid">
        <fgColor rgb="FFF8CBAD"/>
        <bgColor rgb="FFFFC7CE"/>
      </patternFill>
    </fill>
    <fill>
      <patternFill patternType="solid">
        <fgColor rgb="FFC6EFCE"/>
        <bgColor rgb="FFDDEBF7"/>
      </patternFill>
    </fill>
    <fill>
      <patternFill patternType="solid">
        <fgColor rgb="FFFFC7CE"/>
        <bgColor rgb="FFF8CBAD"/>
      </patternFill>
    </fill>
    <fill>
      <patternFill patternType="solid">
        <fgColor rgb="FFFFEB9C"/>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0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70"/>
    <col collapsed="false" customWidth="true" hidden="false" outlineLevel="0" max="8" min="2" style="0" width="13"/>
    <col collapsed="false" customWidth="true" hidden="false" outlineLevel="0" max="10" min="10" style="0" width="70"/>
  </cols>
  <sheetData>
    <row r="1" customFormat="false" ht="15" hidden="false" customHeight="false" outlineLevel="0" collapsed="false">
      <c r="A1" s="1" t="s">
        <v>15</v>
      </c>
    </row>
    <row r="3" customFormat="false" ht="15" hidden="false" customHeight="false" outlineLevel="0" collapsed="false">
      <c r="A3" s="3" t="s">
        <v>16</v>
      </c>
      <c r="B3" s="3" t="s">
        <v>17</v>
      </c>
      <c r="C3" s="3" t="s">
        <v>18</v>
      </c>
      <c r="D3" s="3" t="s">
        <v>19</v>
      </c>
      <c r="E3" s="3" t="s">
        <v>20</v>
      </c>
      <c r="F3" s="3"/>
      <c r="G3" s="3" t="s">
        <v>21</v>
      </c>
      <c r="H3" s="3" t="s">
        <v>22</v>
      </c>
      <c r="I3" s="3" t="s">
        <v>23</v>
      </c>
      <c r="J3" s="3" t="s">
        <v>24</v>
      </c>
    </row>
    <row r="4" customFormat="false" ht="15" hidden="false" customHeight="false" outlineLevel="0" collapsed="false">
      <c r="A4" s="0" t="s">
        <v>25</v>
      </c>
      <c r="B4" s="4" t="n">
        <f aca="false">'Quarterly MW'!P124</f>
        <v>200</v>
      </c>
      <c r="C4" s="4" t="n">
        <f aca="false">'Quarterly MW'!P126</f>
        <v>319.5</v>
      </c>
      <c r="D4" s="4" t="n">
        <f aca="false">'Quarterly MW'!P125</f>
        <v>439</v>
      </c>
      <c r="E4" s="4" t="n">
        <f aca="false">'Quarterly MW'!T124</f>
        <v>864</v>
      </c>
      <c r="G4" s="4" t="n">
        <f aca="false">'Quarterly MW'!T126</f>
        <v>1212.5</v>
      </c>
      <c r="H4" s="4" t="n">
        <f aca="false">'Quarterly MW'!T125</f>
        <v>1561</v>
      </c>
      <c r="I4" s="0" t="s">
        <v>26</v>
      </c>
    </row>
    <row r="5" customFormat="false" ht="15" hidden="false" customHeight="false" outlineLevel="0" collapsed="false">
      <c r="A5" s="0" t="s">
        <v>27</v>
      </c>
      <c r="B5" s="4" t="n">
        <f aca="false">'Quarterly MW'!P135</f>
        <v>189.489510489511</v>
      </c>
      <c r="C5" s="4" t="n">
        <f aca="false">'Quarterly MW'!P136</f>
        <v>301.72027972028</v>
      </c>
      <c r="D5" s="4" t="n">
        <f aca="false">'Quarterly MW'!P137</f>
        <v>413.951048951049</v>
      </c>
      <c r="E5" s="4" t="n">
        <f aca="false">'Quarterly MW'!T135</f>
        <v>794.613751787665</v>
      </c>
      <c r="G5" s="4" t="n">
        <f aca="false">'Quarterly MW'!T136</f>
        <v>1081.92460277243</v>
      </c>
      <c r="H5" s="4" t="n">
        <f aca="false">'Quarterly MW'!T137</f>
        <v>1369.23545375719</v>
      </c>
      <c r="I5" s="0" t="s">
        <v>26</v>
      </c>
    </row>
    <row r="6" customFormat="false" ht="15" hidden="false" customHeight="false" outlineLevel="0" collapsed="false">
      <c r="A6" s="0" t="s">
        <v>28</v>
      </c>
      <c r="B6" s="4" t="n">
        <f aca="false">'Quarterly MW'!P138</f>
        <v>226</v>
      </c>
      <c r="C6" s="4" t="n">
        <f aca="false">'Quarterly MW'!P139</f>
        <v>368.6</v>
      </c>
      <c r="D6" s="4" t="n">
        <f aca="false">'Quarterly MW'!P140</f>
        <v>511.2</v>
      </c>
      <c r="E6" s="4" t="n">
        <f aca="false">'Quarterly MW'!T138</f>
        <v>989.85</v>
      </c>
      <c r="G6" s="4" t="n">
        <f aca="false">'Quarterly MW'!T139</f>
        <v>1363.975</v>
      </c>
      <c r="H6" s="4" t="n">
        <f aca="false">'Quarterly MW'!T140</f>
        <v>1738.1</v>
      </c>
      <c r="I6" s="0" t="s">
        <v>26</v>
      </c>
    </row>
    <row r="7" customFormat="false" ht="15" hidden="false" customHeight="false" outlineLevel="0" collapsed="false">
      <c r="A7" s="0" t="s">
        <v>29</v>
      </c>
      <c r="B7" s="4" t="n">
        <f aca="false">'Quarterly MW'!P141</f>
        <v>561</v>
      </c>
      <c r="C7" s="4" t="n">
        <f aca="false">'Quarterly MW'!P142</f>
        <v>941</v>
      </c>
      <c r="D7" s="4" t="n">
        <f aca="false">'Quarterly MW'!P143</f>
        <v>1195</v>
      </c>
      <c r="E7" s="4" t="n">
        <f aca="false">'Quarterly MW'!T141</f>
        <v>1249</v>
      </c>
      <c r="G7" s="4" t="n">
        <f aca="false">'Quarterly MW'!T142</f>
        <v>1882</v>
      </c>
      <c r="H7" s="4" t="n">
        <f aca="false">'Quarterly MW'!T143</f>
        <v>2517</v>
      </c>
      <c r="I7" s="0" t="s">
        <v>26</v>
      </c>
    </row>
    <row r="8" customFormat="false" ht="15" hidden="false" customHeight="false" outlineLevel="0" collapsed="false">
      <c r="A8" s="0" t="s">
        <v>30</v>
      </c>
      <c r="G8" s="5" t="n">
        <v>950</v>
      </c>
    </row>
    <row r="9" customFormat="false" ht="15" hidden="false" customHeight="false" outlineLevel="0" collapsed="false">
      <c r="A9" s="0" t="s">
        <v>31</v>
      </c>
      <c r="G9" s="4" t="n">
        <f aca="false">G5-G8</f>
        <v>131.924602772429</v>
      </c>
    </row>
    <row r="10" customFormat="false" ht="15" hidden="false" customHeight="false" outlineLevel="0" collapsed="false">
      <c r="A10" s="0" t="s">
        <v>32</v>
      </c>
      <c r="C10" s="5" t="s">
        <v>33</v>
      </c>
      <c r="G10" s="5" t="s">
        <v>34</v>
      </c>
    </row>
    <row r="11" customFormat="false" ht="15" hidden="false" customHeight="false" outlineLevel="0" collapsed="false">
      <c r="A11" s="0" t="s">
        <v>35</v>
      </c>
      <c r="G11" s="4" t="n">
        <f aca="false">'Quarterly MW'!T146</f>
        <v>66.5</v>
      </c>
    </row>
    <row r="12" customFormat="false" ht="15" hidden="false" customHeight="false" outlineLevel="0" collapsed="false">
      <c r="A12" s="0" t="s">
        <v>36</v>
      </c>
      <c r="C12" s="4" t="n">
        <f aca="false">'Quarterly MW'!P147</f>
        <v>257.656177156177</v>
      </c>
      <c r="G12" s="4" t="n">
        <f aca="false">'Quarterly MW'!T147</f>
        <v>852.613751787665</v>
      </c>
      <c r="H12" s="4" t="n">
        <f aca="false">'Quarterly MW'!T148</f>
        <v>772.613751787665</v>
      </c>
    </row>
    <row r="14" customFormat="false" ht="15" hidden="false" customHeight="false" outlineLevel="0" collapsed="false">
      <c r="A14" s="1" t="s">
        <v>37</v>
      </c>
    </row>
    <row r="15" customFormat="false" ht="55.2" hidden="false" customHeight="false" outlineLevel="0" collapsed="false">
      <c r="A15" s="3" t="s">
        <v>38</v>
      </c>
      <c r="B15" s="3" t="s">
        <v>39</v>
      </c>
      <c r="C15" s="3" t="s">
        <v>40</v>
      </c>
      <c r="D15" s="3" t="s">
        <v>41</v>
      </c>
      <c r="E15" s="3" t="s">
        <v>42</v>
      </c>
      <c r="F15" s="3" t="s">
        <v>43</v>
      </c>
      <c r="G15" s="3" t="s">
        <v>44</v>
      </c>
      <c r="H15" s="3" t="s">
        <v>45</v>
      </c>
      <c r="I15" s="3" t="s">
        <v>23</v>
      </c>
      <c r="J15" s="3" t="s">
        <v>46</v>
      </c>
    </row>
    <row r="16" customFormat="false" ht="15" hidden="false" customHeight="false" outlineLevel="0" collapsed="false">
      <c r="A16" s="0" t="s">
        <v>47</v>
      </c>
      <c r="B16" s="0" t="s">
        <v>48</v>
      </c>
      <c r="C16" s="4" t="n">
        <f aca="false">'Quarterly MW'!T3</f>
        <v>300</v>
      </c>
      <c r="D16" s="5" t="n">
        <v>240</v>
      </c>
      <c r="E16" s="4" t="n">
        <f aca="false">N('Quarterly MW'!L6)</f>
        <v>26.2</v>
      </c>
      <c r="F16" s="4" t="n">
        <f aca="false">N('Quarterly MW'!P6)</f>
        <v>81.8</v>
      </c>
      <c r="G16" s="4" t="n">
        <f aca="false">N('Quarterly MW'!T6)</f>
        <v>235</v>
      </c>
      <c r="H16" s="4" t="n">
        <f aca="false">IF(ISNUMBER(D16),MAX(0,D16-N(F16)),"n/d")</f>
        <v>158.2</v>
      </c>
      <c r="I16" s="0" t="s">
        <v>26</v>
      </c>
      <c r="J16" s="0" t="s">
        <v>49</v>
      </c>
    </row>
    <row r="17" customFormat="false" ht="15" hidden="false" customHeight="false" outlineLevel="0" collapsed="false">
      <c r="A17" s="0" t="s">
        <v>50</v>
      </c>
      <c r="B17" s="0" t="s">
        <v>48</v>
      </c>
      <c r="C17" s="4" t="n">
        <f aca="false">'Quarterly MW'!T23</f>
        <v>240</v>
      </c>
      <c r="D17" s="4" t="n">
        <f aca="false">IF(ISNUMBER('Quarterly MW'!T23),'Quarterly MW'!T23/Basis!$G$6,"n/d")</f>
        <v>184.615384615385</v>
      </c>
      <c r="E17" s="4" t="n">
        <f aca="false">N('Quarterly MW'!L26)/Basis!$G$6</f>
        <v>0</v>
      </c>
      <c r="F17" s="4" t="n">
        <f aca="false">N('Quarterly MW'!P26)/Basis!$G$6</f>
        <v>23.0769230769231</v>
      </c>
      <c r="G17" s="4" t="n">
        <f aca="false">N('Quarterly MW'!T26)/Basis!$G$6</f>
        <v>138.461538461538</v>
      </c>
      <c r="H17" s="4" t="n">
        <f aca="false">IF(ISNUMBER(D17),MAX(0,D17-N(F17)),"n/d")</f>
        <v>161.538461538462</v>
      </c>
      <c r="I17" s="0" t="s">
        <v>26</v>
      </c>
      <c r="J17" s="0" t="s">
        <v>51</v>
      </c>
    </row>
    <row r="18" customFormat="false" ht="15" hidden="false" customHeight="false" outlineLevel="0" collapsed="false">
      <c r="A18" s="0" t="s">
        <v>52</v>
      </c>
      <c r="B18" s="0" t="s">
        <v>48</v>
      </c>
      <c r="C18" s="4" t="n">
        <f aca="false">'Quarterly MW'!T43</f>
        <v>40</v>
      </c>
      <c r="D18" s="4" t="n">
        <f aca="false">IF(ISNUMBER('Quarterly MW'!T43),'Quarterly MW'!T43,"n/d")</f>
        <v>40</v>
      </c>
      <c r="E18" s="4" t="n">
        <f aca="false">N('Quarterly MW'!L46)</f>
        <v>20</v>
      </c>
      <c r="F18" s="4" t="n">
        <f aca="false">N('Quarterly MW'!P46)</f>
        <v>20</v>
      </c>
      <c r="G18" s="4" t="n">
        <f aca="false">N('Quarterly MW'!T46)</f>
        <v>30</v>
      </c>
      <c r="H18" s="4" t="n">
        <f aca="false">IF(ISNUMBER(D18),MAX(0,D18-N(F18)),"n/d")</f>
        <v>20</v>
      </c>
      <c r="I18" s="0" t="s">
        <v>26</v>
      </c>
      <c r="J18" s="0" t="s">
        <v>53</v>
      </c>
    </row>
    <row r="19" customFormat="false" ht="15" hidden="false" customHeight="false" outlineLevel="0" collapsed="false">
      <c r="A19" s="0" t="s">
        <v>54</v>
      </c>
      <c r="B19" s="0" t="s">
        <v>48</v>
      </c>
      <c r="C19" s="4" t="n">
        <f aca="false">'Quarterly MW'!T48</f>
        <v>5</v>
      </c>
      <c r="D19" s="4" t="n">
        <f aca="false">IF(ISNUMBER('Quarterly MW'!T48),'Quarterly MW'!T48,"n/d")</f>
        <v>5</v>
      </c>
      <c r="E19" s="4" t="n">
        <f aca="false">N('Quarterly MW'!L51)</f>
        <v>5</v>
      </c>
      <c r="F19" s="4" t="n">
        <f aca="false">N('Quarterly MW'!P51)</f>
        <v>5</v>
      </c>
      <c r="G19" s="4" t="n">
        <f aca="false">N('Quarterly MW'!T51)</f>
        <v>5</v>
      </c>
      <c r="H19" s="4" t="n">
        <f aca="false">IF(ISNUMBER(D19),MAX(0,D19-N(F19)),"n/d")</f>
        <v>0</v>
      </c>
      <c r="I19" s="0" t="s">
        <v>26</v>
      </c>
      <c r="J19" s="0" t="s">
        <v>55</v>
      </c>
    </row>
    <row r="20" customFormat="false" ht="15" hidden="false" customHeight="false" outlineLevel="0" collapsed="false">
      <c r="A20" s="0" t="s">
        <v>56</v>
      </c>
      <c r="B20" s="0" t="s">
        <v>48</v>
      </c>
      <c r="C20" s="4" t="n">
        <f aca="false">'Quarterly MW'!T53</f>
        <v>10</v>
      </c>
      <c r="D20" s="4" t="n">
        <f aca="false">IF(ISNUMBER('Quarterly MW'!T53),'Quarterly MW'!T53,"n/d")</f>
        <v>10</v>
      </c>
      <c r="E20" s="4" t="n">
        <f aca="false">N('Quarterly MW'!L56)</f>
        <v>10</v>
      </c>
      <c r="F20" s="4" t="n">
        <f aca="false">N('Quarterly MW'!P56)</f>
        <v>10</v>
      </c>
      <c r="G20" s="4" t="n">
        <f aca="false">N('Quarterly MW'!T56)</f>
        <v>10</v>
      </c>
      <c r="H20" s="4" t="n">
        <f aca="false">IF(ISNUMBER(D20),MAX(0,D20-N(F20)),"n/d")</f>
        <v>0</v>
      </c>
      <c r="I20" s="0" t="s">
        <v>26</v>
      </c>
      <c r="J20" s="0" t="s">
        <v>57</v>
      </c>
    </row>
    <row r="21" customFormat="false" ht="15" hidden="false" customHeight="false" outlineLevel="0" collapsed="false">
      <c r="A21" s="0" t="s">
        <v>58</v>
      </c>
      <c r="B21" s="0" t="s">
        <v>48</v>
      </c>
      <c r="C21" s="4" t="n">
        <f aca="false">'Quarterly MW'!T58</f>
        <v>19</v>
      </c>
      <c r="D21" s="4" t="n">
        <f aca="false">IF(ISNUMBER('Quarterly MW'!T58),'Quarterly MW'!T58/Basis!$G$13,"n/d")</f>
        <v>14.6153846153846</v>
      </c>
      <c r="E21" s="4" t="n">
        <f aca="false">N('Quarterly MW'!L61)/Basis!$G$13</f>
        <v>12.3076923076923</v>
      </c>
      <c r="F21" s="4" t="n">
        <f aca="false">N('Quarterly MW'!P61)/Basis!$G$13</f>
        <v>13.4615384615385</v>
      </c>
      <c r="G21" s="4" t="n">
        <f aca="false">N('Quarterly MW'!T61)/Basis!$G$13</f>
        <v>14.6153846153846</v>
      </c>
      <c r="H21" s="4" t="n">
        <f aca="false">IF(ISNUMBER(D21),MAX(0,D21-N(F21)),"n/d")</f>
        <v>1.15384615384615</v>
      </c>
      <c r="I21" s="0" t="s">
        <v>26</v>
      </c>
      <c r="J21" s="0" t="s">
        <v>59</v>
      </c>
    </row>
    <row r="22" customFormat="false" ht="15" hidden="false" customHeight="false" outlineLevel="0" collapsed="false">
      <c r="A22" s="0" t="s">
        <v>60</v>
      </c>
      <c r="B22" s="0" t="s">
        <v>48</v>
      </c>
      <c r="C22" s="4" t="n">
        <f aca="false">'Quarterly MW'!T63</f>
        <v>22</v>
      </c>
      <c r="D22" s="4" t="n">
        <f aca="false">IF(ISNUMBER('Quarterly MW'!T63),'Quarterly MW'!T63,"n/d")</f>
        <v>22</v>
      </c>
      <c r="E22" s="4" t="n">
        <f aca="false">N('Quarterly MW'!L66)</f>
        <v>0</v>
      </c>
      <c r="F22" s="4" t="n">
        <f aca="false">N('Quarterly MW'!P66)</f>
        <v>2.2</v>
      </c>
      <c r="G22" s="4" t="n">
        <f aca="false">N('Quarterly MW'!T66)</f>
        <v>22</v>
      </c>
      <c r="H22" s="4" t="n">
        <f aca="false">IF(ISNUMBER(D22),MAX(0,D22-N(F22)),"n/d")</f>
        <v>19.8</v>
      </c>
      <c r="I22" s="0" t="s">
        <v>26</v>
      </c>
      <c r="J22" s="0" t="s">
        <v>61</v>
      </c>
    </row>
    <row r="23" customFormat="false" ht="15" hidden="false" customHeight="false" outlineLevel="0" collapsed="false">
      <c r="A23" s="0" t="s">
        <v>62</v>
      </c>
      <c r="B23" s="0" t="s">
        <v>48</v>
      </c>
      <c r="C23" s="4" t="str">
        <f aca="false">'Quarterly MW'!T68</f>
        <v>n/d</v>
      </c>
      <c r="D23" s="5" t="n">
        <v>43</v>
      </c>
      <c r="E23" s="4" t="n">
        <f aca="false">N('Quarterly MW'!L71)</f>
        <v>0</v>
      </c>
      <c r="F23" s="4" t="n">
        <f aca="false">N('Quarterly MW'!P71)</f>
        <v>5</v>
      </c>
      <c r="G23" s="4" t="n">
        <f aca="false">N('Quarterly MW'!T71)</f>
        <v>31.5</v>
      </c>
      <c r="H23" s="4" t="n">
        <f aca="false">IF(ISNUMBER(D23),MAX(0,D23-N(F23)),"n/d")</f>
        <v>38</v>
      </c>
      <c r="I23" s="0" t="s">
        <v>26</v>
      </c>
      <c r="J23" s="0" t="s">
        <v>63</v>
      </c>
    </row>
    <row r="24" customFormat="false" ht="15" hidden="false" customHeight="false" outlineLevel="0" collapsed="false">
      <c r="A24" s="0" t="s">
        <v>64</v>
      </c>
      <c r="B24" s="0" t="s">
        <v>48</v>
      </c>
      <c r="C24" s="4" t="str">
        <f aca="false">'Quarterly MW'!T73</f>
        <v>n/d</v>
      </c>
      <c r="D24" s="5" t="s">
        <v>65</v>
      </c>
      <c r="E24" s="4" t="n">
        <f aca="false">N('Quarterly MW'!L76)</f>
        <v>0</v>
      </c>
      <c r="F24" s="4" t="n">
        <f aca="false">N('Quarterly MW'!P76)</f>
        <v>0</v>
      </c>
      <c r="G24" s="4" t="n">
        <f aca="false">N('Quarterly MW'!T76)</f>
        <v>7</v>
      </c>
      <c r="H24" s="4" t="str">
        <f aca="false">IF(ISNUMBER(D24),MAX(0,D24-N(F24)),"n/d")</f>
        <v>n/d</v>
      </c>
      <c r="I24" s="0" t="s">
        <v>26</v>
      </c>
      <c r="J24" s="0" t="s">
        <v>63</v>
      </c>
    </row>
    <row r="25" customFormat="false" ht="15" hidden="false" customHeight="false" outlineLevel="0" collapsed="false">
      <c r="A25" s="0" t="s">
        <v>66</v>
      </c>
      <c r="B25" s="0" t="s">
        <v>48</v>
      </c>
      <c r="C25" s="4" t="n">
        <f aca="false">'Quarterly MW'!T78</f>
        <v>8</v>
      </c>
      <c r="D25" s="4" t="n">
        <f aca="false">IF(ISNUMBER('Quarterly MW'!T78),'Quarterly MW'!T78,"n/d")</f>
        <v>8</v>
      </c>
      <c r="E25" s="4" t="n">
        <f aca="false">N('Quarterly MW'!L81)</f>
        <v>8</v>
      </c>
      <c r="F25" s="4" t="n">
        <f aca="false">N('Quarterly MW'!P81)</f>
        <v>8</v>
      </c>
      <c r="G25" s="4" t="n">
        <f aca="false">N('Quarterly MW'!T81)</f>
        <v>8</v>
      </c>
      <c r="H25" s="4" t="n">
        <f aca="false">IF(ISNUMBER(D25),MAX(0,D25-N(F25)),"n/d")</f>
        <v>0</v>
      </c>
      <c r="I25" s="0" t="s">
        <v>26</v>
      </c>
      <c r="J25" s="0" t="s">
        <v>67</v>
      </c>
    </row>
    <row r="26" customFormat="false" ht="15" hidden="false" customHeight="false" outlineLevel="0" collapsed="false">
      <c r="A26" s="0" t="s">
        <v>68</v>
      </c>
      <c r="B26" s="0" t="s">
        <v>48</v>
      </c>
      <c r="C26" s="4" t="n">
        <f aca="false">'Quarterly MW'!T83</f>
        <v>22</v>
      </c>
      <c r="D26" s="4" t="n">
        <f aca="false">IF(ISNUMBER('Quarterly MW'!T83),'Quarterly MW'!T83,"n/d")</f>
        <v>22</v>
      </c>
      <c r="E26" s="4" t="n">
        <f aca="false">N('Quarterly MW'!L86)</f>
        <v>0</v>
      </c>
      <c r="F26" s="4" t="n">
        <f aca="false">N('Quarterly MW'!P86)</f>
        <v>5.5</v>
      </c>
      <c r="G26" s="4" t="n">
        <f aca="false">N('Quarterly MW'!T86)</f>
        <v>22</v>
      </c>
      <c r="H26" s="4" t="n">
        <f aca="false">IF(ISNUMBER(D26),MAX(0,D26-N(F26)),"n/d")</f>
        <v>16.5</v>
      </c>
      <c r="I26" s="0" t="s">
        <v>26</v>
      </c>
      <c r="J26" s="0" t="s">
        <v>67</v>
      </c>
    </row>
    <row r="27" customFormat="false" ht="15" hidden="false" customHeight="false" outlineLevel="0" collapsed="false">
      <c r="A27" s="0" t="s">
        <v>69</v>
      </c>
      <c r="B27" s="0" t="s">
        <v>48</v>
      </c>
      <c r="C27" s="4" t="n">
        <f aca="false">'Quarterly MW'!T88</f>
        <v>58</v>
      </c>
      <c r="D27" s="4" t="n">
        <f aca="false">IF(ISNUMBER('Quarterly MW'!T88),'Quarterly MW'!T88,"n/d")</f>
        <v>58</v>
      </c>
      <c r="E27" s="4" t="n">
        <f aca="false">N('Quarterly MW'!L91)</f>
        <v>0</v>
      </c>
      <c r="F27" s="4" t="n">
        <f aca="false">N('Quarterly MW'!P91)</f>
        <v>0</v>
      </c>
      <c r="G27" s="4" t="n">
        <f aca="false">N('Quarterly MW'!T91)</f>
        <v>58</v>
      </c>
      <c r="H27" s="4" t="n">
        <f aca="false">IF(ISNUMBER(D27),MAX(0,D27-N(F27)),"n/d")</f>
        <v>58</v>
      </c>
      <c r="I27" s="0" t="s">
        <v>26</v>
      </c>
      <c r="J27" s="0" t="s">
        <v>67</v>
      </c>
    </row>
    <row r="28" customFormat="false" ht="15" hidden="false" customHeight="false" outlineLevel="0" collapsed="false">
      <c r="A28" s="0" t="s">
        <v>70</v>
      </c>
      <c r="B28" s="0" t="s">
        <v>48</v>
      </c>
      <c r="C28" s="4" t="n">
        <f aca="false">'Quarterly MW'!T93</f>
        <v>18</v>
      </c>
      <c r="D28" s="4" t="n">
        <f aca="false">IF(ISNUMBER('Quarterly MW'!T93),'Quarterly MW'!T93,"n/d")</f>
        <v>18</v>
      </c>
      <c r="E28" s="4" t="n">
        <f aca="false">N('Quarterly MW'!L96)</f>
        <v>0</v>
      </c>
      <c r="F28" s="4" t="n">
        <f aca="false">N('Quarterly MW'!P96)</f>
        <v>13.5</v>
      </c>
      <c r="G28" s="4" t="n">
        <f aca="false">N('Quarterly MW'!T96)</f>
        <v>18</v>
      </c>
      <c r="H28" s="4" t="n">
        <f aca="false">IF(ISNUMBER(D28),MAX(0,D28-N(F28)),"n/d")</f>
        <v>4.5</v>
      </c>
      <c r="I28" s="0" t="s">
        <v>26</v>
      </c>
      <c r="J28" s="0" t="s">
        <v>71</v>
      </c>
    </row>
    <row r="29" customFormat="false" ht="15" hidden="false" customHeight="false" outlineLevel="0" collapsed="false">
      <c r="A29" s="0" t="s">
        <v>72</v>
      </c>
      <c r="B29" s="0" t="s">
        <v>48</v>
      </c>
      <c r="C29" s="4" t="n">
        <f aca="false">'Quarterly MW'!T98</f>
        <v>22</v>
      </c>
      <c r="D29" s="4" t="n">
        <f aca="false">IF(ISNUMBER('Quarterly MW'!T98),'Quarterly MW'!T98,"n/d")</f>
        <v>22</v>
      </c>
      <c r="E29" s="4" t="n">
        <f aca="false">N('Quarterly MW'!L101)</f>
        <v>0</v>
      </c>
      <c r="F29" s="4" t="n">
        <f aca="false">N('Quarterly MW'!P101)</f>
        <v>11</v>
      </c>
      <c r="G29" s="4" t="n">
        <f aca="false">N('Quarterly MW'!T101)</f>
        <v>22</v>
      </c>
      <c r="H29" s="4" t="n">
        <f aca="false">IF(ISNUMBER(D29),MAX(0,D29-N(F29)),"n/d")</f>
        <v>11</v>
      </c>
      <c r="I29" s="0" t="s">
        <v>26</v>
      </c>
      <c r="J29" s="0" t="s">
        <v>73</v>
      </c>
    </row>
    <row r="30" customFormat="false" ht="15" hidden="false" customHeight="false" outlineLevel="0" collapsed="false">
      <c r="A30" s="0" t="s">
        <v>74</v>
      </c>
      <c r="B30" s="0" t="s">
        <v>48</v>
      </c>
      <c r="C30" s="4" t="str">
        <f aca="false">'Quarterly MW'!T103</f>
        <v>n/d</v>
      </c>
      <c r="D30" s="5" t="s">
        <v>65</v>
      </c>
      <c r="E30" s="4" t="n">
        <f aca="false">N('Quarterly MW'!L106)</f>
        <v>0</v>
      </c>
      <c r="F30" s="4" t="n">
        <f aca="false">N('Quarterly MW'!P106)</f>
        <v>10</v>
      </c>
      <c r="G30" s="4" t="n">
        <f aca="false">N('Quarterly MW'!T106)</f>
        <v>10</v>
      </c>
      <c r="H30" s="4" t="str">
        <f aca="false">IF(ISNUMBER(D30),MAX(0,D30-N(F30)),"n/d")</f>
        <v>n/d</v>
      </c>
      <c r="I30" s="0" t="s">
        <v>26</v>
      </c>
      <c r="J30" s="0" t="s">
        <v>75</v>
      </c>
    </row>
    <row r="31" customFormat="false" ht="15" hidden="false" customHeight="false" outlineLevel="0" collapsed="false">
      <c r="A31" s="0" t="s">
        <v>76</v>
      </c>
      <c r="B31" s="0" t="s">
        <v>48</v>
      </c>
      <c r="C31" s="4" t="str">
        <f aca="false">'Quarterly MW'!T108</f>
        <v>n/d</v>
      </c>
      <c r="D31" s="5" t="s">
        <v>65</v>
      </c>
      <c r="E31" s="4" t="n">
        <f aca="false">N('Quarterly MW'!L111)</f>
        <v>0</v>
      </c>
      <c r="F31" s="4" t="n">
        <f aca="false">N('Quarterly MW'!P111)</f>
        <v>25</v>
      </c>
      <c r="G31" s="4" t="n">
        <f aca="false">N('Quarterly MW'!T111)</f>
        <v>100</v>
      </c>
      <c r="H31" s="4" t="str">
        <f aca="false">IF(ISNUMBER(D31),MAX(0,D31-N(F31)),"n/d")</f>
        <v>n/d</v>
      </c>
      <c r="I31" s="0" t="s">
        <v>26</v>
      </c>
      <c r="J31" s="0" t="s">
        <v>77</v>
      </c>
    </row>
    <row r="32" customFormat="false" ht="15" hidden="false" customHeight="false" outlineLevel="0" collapsed="false">
      <c r="A32" s="0" t="s">
        <v>78</v>
      </c>
      <c r="B32" s="0" t="s">
        <v>48</v>
      </c>
      <c r="C32" s="4" t="str">
        <f aca="false">'Quarterly MW'!T113</f>
        <v>n/d</v>
      </c>
      <c r="D32" s="5" t="s">
        <v>65</v>
      </c>
      <c r="E32" s="0" t="s">
        <v>65</v>
      </c>
      <c r="F32" s="0" t="s">
        <v>65</v>
      </c>
      <c r="G32" s="0" t="s">
        <v>65</v>
      </c>
      <c r="H32" s="4" t="str">
        <f aca="false">IF(ISNUMBER(D32),MAX(0,D32-N(F32)),"n/d")</f>
        <v>n/d</v>
      </c>
      <c r="I32" s="0" t="s">
        <v>26</v>
      </c>
      <c r="J32" s="0" t="s">
        <v>65</v>
      </c>
    </row>
    <row r="33" customFormat="false" ht="15" hidden="false" customHeight="false" outlineLevel="0" collapsed="false">
      <c r="A33" s="0" t="s">
        <v>79</v>
      </c>
      <c r="B33" s="0" t="s">
        <v>48</v>
      </c>
      <c r="C33" s="4" t="n">
        <f aca="false">'Quarterly MW'!T118</f>
        <v>50</v>
      </c>
      <c r="D33" s="4" t="n">
        <f aca="false">IF(ISNUMBER('Quarterly MW'!T118),'Quarterly MW'!T118,"n/d")</f>
        <v>50</v>
      </c>
      <c r="E33" s="4" t="n">
        <f aca="false">N('Quarterly MW'!L121)</f>
        <v>0</v>
      </c>
      <c r="F33" s="4" t="n">
        <f aca="false">N('Quarterly MW'!P121)</f>
        <v>0</v>
      </c>
      <c r="G33" s="4" t="n">
        <f aca="false">N('Quarterly MW'!T121)</f>
        <v>25</v>
      </c>
      <c r="H33" s="4" t="n">
        <f aca="false">IF(ISNUMBER(D33),MAX(0,D33-N(F33)),"n/d")</f>
        <v>50</v>
      </c>
      <c r="I33" s="0" t="s">
        <v>26</v>
      </c>
      <c r="J33" s="0" t="s">
        <v>80</v>
      </c>
    </row>
    <row r="34" customFormat="false" ht="15" hidden="false" customHeight="false" outlineLevel="0" collapsed="false">
      <c r="A34" s="0" t="s">
        <v>81</v>
      </c>
      <c r="D34" s="4" t="n">
        <f aca="false">SUM(D16:D33)</f>
        <v>737.230769230769</v>
      </c>
      <c r="E34" s="4" t="n">
        <f aca="false">SUM(E16:E33)</f>
        <v>81.5076923076923</v>
      </c>
      <c r="F34" s="4" t="n">
        <f aca="false">SUM(F16:F33)</f>
        <v>233.538461538462</v>
      </c>
      <c r="G34" s="4" t="n">
        <f aca="false">SUM(G16:G33)</f>
        <v>756.576923076923</v>
      </c>
      <c r="H34" s="4" t="n">
        <f aca="false">SUM(H16:H33)</f>
        <v>538.692307692308</v>
      </c>
    </row>
    <row r="35" customFormat="false" ht="15" hidden="false" customHeight="false" outlineLevel="0" collapsed="false">
      <c r="A35" s="0" t="s">
        <v>82</v>
      </c>
      <c r="E35" s="4" t="n">
        <f aca="false">N('Quarterly MW'!L11)/Basis!$G$3+N('Quarterly MW'!L16)/Basis!$G$4+N('Quarterly MW'!L21)/Basis!$G$5+N('Quarterly MW'!L31)/Basis!$G$7+N('Quarterly MW'!L36)/Basis!$G$8+N('Quarterly MW'!L41)/Basis!$G$9</f>
        <v>56.8181818181818</v>
      </c>
      <c r="F35" s="4" t="n">
        <f aca="false">N('Quarterly MW'!P11)/Basis!$G$3+N('Quarterly MW'!P16)/Basis!$G$4+N('Quarterly MW'!P21)/Basis!$G$5+N('Quarterly MW'!P31)/Basis!$G$7+N('Quarterly MW'!P36)/Basis!$G$8+N('Quarterly MW'!P41)/Basis!$G$9</f>
        <v>68.1818181818182</v>
      </c>
      <c r="G35" s="4" t="n">
        <f aca="false">N('Quarterly MW'!T11)/Basis!$G$3+N('Quarterly MW'!T16)/Basis!$G$4+N('Quarterly MW'!T21)/Basis!$G$5+N('Quarterly MW'!T31)/Basis!$G$7+N('Quarterly MW'!T36)/Basis!$G$8+N('Quarterly MW'!T41)/Basis!$G$9</f>
        <v>325.347679695506</v>
      </c>
    </row>
    <row r="36" customFormat="false" ht="15" hidden="false" customHeight="false" outlineLevel="0" collapsed="false">
      <c r="A36" s="0" t="s">
        <v>83</v>
      </c>
      <c r="B36" s="4" t="n">
        <f aca="false">H34*2</f>
        <v>1077.38461538462</v>
      </c>
      <c r="C36" s="4" t="n">
        <f aca="false">H34*2.5</f>
        <v>1346.73076923077</v>
      </c>
    </row>
    <row r="38" customFormat="false" ht="15" hidden="false" customHeight="false" outlineLevel="0" collapsed="false">
      <c r="A38" s="1" t="s">
        <v>84</v>
      </c>
    </row>
    <row r="39" customFormat="false" ht="15" hidden="false" customHeight="false" outlineLevel="0" collapsed="false">
      <c r="A39" s="0" t="s">
        <v>85</v>
      </c>
      <c r="B39" s="5" t="n">
        <v>12054.1</v>
      </c>
      <c r="I39" s="0" t="s">
        <v>86</v>
      </c>
      <c r="J39" s="0" t="s">
        <v>87</v>
      </c>
    </row>
    <row r="40" customFormat="false" ht="15" hidden="false" customHeight="false" outlineLevel="0" collapsed="false">
      <c r="A40" s="0" t="s">
        <v>88</v>
      </c>
      <c r="B40" s="5" t="n">
        <v>9759.6</v>
      </c>
      <c r="I40" s="0" t="s">
        <v>86</v>
      </c>
      <c r="J40" s="0" t="s">
        <v>89</v>
      </c>
    </row>
    <row r="41" customFormat="false" ht="15" hidden="false" customHeight="false" outlineLevel="0" collapsed="false">
      <c r="A41" s="0" t="s">
        <v>90</v>
      </c>
      <c r="B41" s="5" t="n">
        <v>1855.1</v>
      </c>
      <c r="I41" s="0" t="s">
        <v>86</v>
      </c>
      <c r="J41" s="0" t="s">
        <v>91</v>
      </c>
    </row>
    <row r="42" customFormat="false" ht="15" hidden="false" customHeight="false" outlineLevel="0" collapsed="false">
      <c r="A42" s="0" t="s">
        <v>92</v>
      </c>
      <c r="B42" s="5" t="n">
        <v>12</v>
      </c>
      <c r="I42" s="0" t="s">
        <v>93</v>
      </c>
      <c r="J42" s="0" t="s">
        <v>94</v>
      </c>
    </row>
    <row r="43" customFormat="false" ht="15" hidden="false" customHeight="false" outlineLevel="0" collapsed="false">
      <c r="A43" s="0" t="s">
        <v>95</v>
      </c>
      <c r="B43" s="5" t="n">
        <v>10</v>
      </c>
      <c r="I43" s="0" t="s">
        <v>93</v>
      </c>
      <c r="J43" s="0" t="s">
        <v>96</v>
      </c>
    </row>
    <row r="44" customFormat="false" ht="15" hidden="false" customHeight="false" outlineLevel="0" collapsed="false">
      <c r="A44" s="0" t="s">
        <v>97</v>
      </c>
      <c r="B44" s="4" t="n">
        <f aca="false">B39/B42</f>
        <v>1004.50833333333</v>
      </c>
      <c r="I44" s="0" t="s">
        <v>98</v>
      </c>
      <c r="J44" s="0" t="s">
        <v>99</v>
      </c>
    </row>
    <row r="45" customFormat="false" ht="15" hidden="false" customHeight="false" outlineLevel="0" collapsed="false">
      <c r="A45" s="0" t="s">
        <v>100</v>
      </c>
      <c r="B45" s="4" t="n">
        <f aca="false">B44/2</f>
        <v>502.254166666667</v>
      </c>
      <c r="I45" s="0" t="s">
        <v>98</v>
      </c>
      <c r="J45" s="0" t="s">
        <v>101</v>
      </c>
    </row>
    <row r="46" customFormat="false" ht="15" hidden="false" customHeight="false" outlineLevel="0" collapsed="false">
      <c r="A46" s="0" t="s">
        <v>102</v>
      </c>
      <c r="B46" s="4" t="n">
        <f aca="false">B44/2.5</f>
        <v>401.803333333333</v>
      </c>
      <c r="I46" s="0" t="s">
        <v>98</v>
      </c>
      <c r="J46" s="0" t="s">
        <v>103</v>
      </c>
    </row>
    <row r="47" customFormat="false" ht="15" hidden="false" customHeight="false" outlineLevel="0" collapsed="false">
      <c r="A47" s="0" t="s">
        <v>104</v>
      </c>
      <c r="B47" s="4" t="n">
        <f aca="false">N('Quarterly MW'!L6)+N('Quarterly MW'!L26)/Basis!$G$6+N('Quarterly MW'!L46)+N('Quarterly MW'!L51)+N('Quarterly MW'!L56)+N('Quarterly MW'!L61)/Basis!$G$13+N('Quarterly MW'!L66)+N('Quarterly MW'!L71)+N('Quarterly MW'!L76)+N('Quarterly MW'!L81)+N('Quarterly MW'!L86)+N('Quarterly MW'!L91)+N('Quarterly MW'!L96)+N('Quarterly MW'!L101)+N('Quarterly MW'!L106)+N('Quarterly MW'!L111)+N('Quarterly MW'!L121)</f>
        <v>81.5076923076923</v>
      </c>
      <c r="I47" s="0" t="s">
        <v>98</v>
      </c>
      <c r="J47" s="0" t="s">
        <v>105</v>
      </c>
    </row>
    <row r="48" customFormat="false" ht="15" hidden="false" customHeight="false" outlineLevel="0" collapsed="false">
      <c r="A48" s="0" t="s">
        <v>106</v>
      </c>
      <c r="B48" s="4" t="n">
        <f aca="false">N('Quarterly MW'!N6)+N('Quarterly MW'!N26)/Basis!$G$6+N('Quarterly MW'!N46)+N('Quarterly MW'!N51)+N('Quarterly MW'!N56)+N('Quarterly MW'!N61)/Basis!$G$13+N('Quarterly MW'!N66)+N('Quarterly MW'!N71)+N('Quarterly MW'!N76)+N('Quarterly MW'!N81)+N('Quarterly MW'!N86)+N('Quarterly MW'!N91)+N('Quarterly MW'!N96)+N('Quarterly MW'!N101)+N('Quarterly MW'!N106)+N('Quarterly MW'!N111)+N('Quarterly MW'!N121)</f>
        <v>114.307692307692</v>
      </c>
      <c r="I48" s="0" t="s">
        <v>98</v>
      </c>
      <c r="J48" s="0" t="s">
        <v>105</v>
      </c>
    </row>
    <row r="49" customFormat="false" ht="15" hidden="false" customHeight="false" outlineLevel="0" collapsed="false">
      <c r="A49" s="0" t="s">
        <v>107</v>
      </c>
      <c r="B49" s="4" t="n">
        <f aca="false">N('Quarterly MW'!P6)+N('Quarterly MW'!P26)/Basis!$G$6+N('Quarterly MW'!P46)+N('Quarterly MW'!P51)+N('Quarterly MW'!P56)+N('Quarterly MW'!P61)/Basis!$G$13+N('Quarterly MW'!P66)+N('Quarterly MW'!P71)+N('Quarterly MW'!P76)+N('Quarterly MW'!P81)+N('Quarterly MW'!P86)+N('Quarterly MW'!P91)+N('Quarterly MW'!P96)+N('Quarterly MW'!P101)+N('Quarterly MW'!P106)+N('Quarterly MW'!P111)+N('Quarterly MW'!P121)-B47</f>
        <v>152.030769230769</v>
      </c>
      <c r="I49" s="0" t="s">
        <v>98</v>
      </c>
      <c r="J49" s="0" t="s">
        <v>108</v>
      </c>
    </row>
    <row r="50" customFormat="false" ht="15" hidden="false" customHeight="false" outlineLevel="0" collapsed="false">
      <c r="A50" s="0" t="s">
        <v>109</v>
      </c>
      <c r="B50" s="4" t="n">
        <f aca="false">N('Quarterly MW'!T6)+N('Quarterly MW'!T26)/Basis!$G$6+N('Quarterly MW'!T46)+N('Quarterly MW'!T51)+N('Quarterly MW'!T56)+N('Quarterly MW'!T61)/Basis!$G$13+N('Quarterly MW'!T66)+N('Quarterly MW'!T71)+N('Quarterly MW'!T76)+N('Quarterly MW'!T81)+N('Quarterly MW'!T86)+N('Quarterly MW'!T91)+N('Quarterly MW'!T96)+N('Quarterly MW'!T101)+N('Quarterly MW'!T106)+N('Quarterly MW'!T111)+N('Quarterly MW'!T121)-(N('Quarterly MW'!P6)+N('Quarterly MW'!P26)/Basis!$G$6+N('Quarterly MW'!P46)+N('Quarterly MW'!P51)+N('Quarterly MW'!P56)+N('Quarterly MW'!P61)/Basis!$G$13+N('Quarterly MW'!P66)+N('Quarterly MW'!P71)+N('Quarterly MW'!P76)+N('Quarterly MW'!P81)+N('Quarterly MW'!P86)+N('Quarterly MW'!P91)+N('Quarterly MW'!P96)+N('Quarterly MW'!P101)+N('Quarterly MW'!P106)+N('Quarterly MW'!P111)+N('Quarterly MW'!P121))</f>
        <v>523.038461538462</v>
      </c>
      <c r="I50" s="0" t="s">
        <v>98</v>
      </c>
      <c r="J50" s="0" t="s">
        <v>108</v>
      </c>
    </row>
    <row r="51" customFormat="false" ht="15" hidden="false" customHeight="false" outlineLevel="0" collapsed="false">
      <c r="A51" s="0" t="s">
        <v>110</v>
      </c>
      <c r="B51" s="4" t="n">
        <f aca="false">N('Quarterly MW'!T6)+N('Quarterly MW'!T26)/Basis!$G$6+N('Quarterly MW'!T46)+N('Quarterly MW'!T51)+N('Quarterly MW'!T56)+N('Quarterly MW'!T61)/Basis!$G$13+N('Quarterly MW'!T66)+N('Quarterly MW'!T71)+N('Quarterly MW'!T76)+N('Quarterly MW'!T81)+N('Quarterly MW'!T86)+N('Quarterly MW'!T91)+N('Quarterly MW'!T96)+N('Quarterly MW'!T101)+N('Quarterly MW'!T106)+N('Quarterly MW'!T111)+N('Quarterly MW'!T121)-B48</f>
        <v>642.269230769231</v>
      </c>
      <c r="I51" s="0" t="s">
        <v>98</v>
      </c>
      <c r="J51" s="0" t="s">
        <v>111</v>
      </c>
    </row>
    <row r="52" customFormat="false" ht="15" hidden="false" customHeight="false" outlineLevel="0" collapsed="false">
      <c r="A52" s="0" t="s">
        <v>112</v>
      </c>
      <c r="B52" s="4" t="n">
        <f aca="false">N('Quarterly MW'!T26)/Basis!$G$6+N('Quarterly MW'!T46)+N('Quarterly MW'!T51)+N('Quarterly MW'!T56)+N('Quarterly MW'!T61)/Basis!$G$13+N('Quarterly MW'!T66)+N('Quarterly MW'!T71)+N('Quarterly MW'!T76)+N('Quarterly MW'!T81)+N('Quarterly MW'!T86)+N('Quarterly MW'!T91)+N('Quarterly MW'!T96)+N('Quarterly MW'!T101)+N('Quarterly MW'!T106)+N('Quarterly MW'!T111)+N('Quarterly MW'!T121)-(N('Quarterly MW'!N26)/Basis!$G$6+N('Quarterly MW'!N46)+N('Quarterly MW'!N51)+N('Quarterly MW'!N56)+N('Quarterly MW'!N61)/Basis!$G$13+N('Quarterly MW'!N66)+N('Quarterly MW'!N71)+N('Quarterly MW'!N76)+N('Quarterly MW'!N81)+N('Quarterly MW'!N86)+N('Quarterly MW'!N91)+N('Quarterly MW'!N96)+N('Quarterly MW'!N101)+N('Quarterly MW'!N106)+N('Quarterly MW'!N111)+N('Quarterly MW'!N121))</f>
        <v>446.269230769231</v>
      </c>
      <c r="I52" s="0" t="s">
        <v>98</v>
      </c>
      <c r="J52" s="0" t="s">
        <v>113</v>
      </c>
    </row>
    <row r="53" customFormat="false" ht="15" hidden="false" customHeight="false" outlineLevel="0" collapsed="false">
      <c r="A53" s="0" t="s">
        <v>114</v>
      </c>
      <c r="B53" s="4" t="n">
        <f aca="false">D34-B48</f>
        <v>622.923076923077</v>
      </c>
      <c r="I53" s="0" t="s">
        <v>98</v>
      </c>
      <c r="J53" s="0" t="s">
        <v>115</v>
      </c>
    </row>
    <row r="54" customFormat="false" ht="15" hidden="false" customHeight="false" outlineLevel="0" collapsed="false">
      <c r="A54" s="0" t="s">
        <v>116</v>
      </c>
      <c r="B54" s="4" t="n">
        <f aca="false">B44/B51</f>
        <v>1.56399884224604</v>
      </c>
      <c r="I54" s="0" t="s">
        <v>98</v>
      </c>
      <c r="J54" s="0" t="s">
        <v>117</v>
      </c>
    </row>
    <row r="55" customFormat="false" ht="15" hidden="false" customHeight="false" outlineLevel="0" collapsed="false">
      <c r="A55" s="0" t="s">
        <v>118</v>
      </c>
      <c r="B55" s="4" t="n">
        <f aca="false">B39/B43/B51</f>
        <v>1.87679861069525</v>
      </c>
      <c r="I55" s="0" t="s">
        <v>98</v>
      </c>
      <c r="J55" s="0" t="s">
        <v>119</v>
      </c>
    </row>
    <row r="56" customFormat="false" ht="15" hidden="false" customHeight="false" outlineLevel="0" collapsed="false">
      <c r="A56" s="0" t="s">
        <v>120</v>
      </c>
      <c r="B56" s="4" t="n">
        <f aca="false">B44/B52</f>
        <v>2.25090206555776</v>
      </c>
      <c r="I56" s="0" t="s">
        <v>98</v>
      </c>
      <c r="J56" s="0" t="s">
        <v>121</v>
      </c>
    </row>
    <row r="57" customFormat="false" ht="15" hidden="false" customHeight="false" outlineLevel="0" collapsed="false">
      <c r="A57" s="0" t="s">
        <v>122</v>
      </c>
      <c r="B57" s="4" t="n">
        <f aca="false">N('Quarterly MW'!T121)+N('Quarterly MW'!T71)+N('Quarterly MW'!T76)</f>
        <v>63.5</v>
      </c>
      <c r="I57" s="0" t="s">
        <v>98</v>
      </c>
      <c r="J57" s="0" t="s">
        <v>123</v>
      </c>
    </row>
    <row r="58" customFormat="false" ht="15" hidden="false" customHeight="false" outlineLevel="0" collapsed="false">
      <c r="A58" s="0" t="s">
        <v>124</v>
      </c>
      <c r="B58" s="4" t="n">
        <f aca="false">B52-B57</f>
        <v>382.769230769231</v>
      </c>
      <c r="I58" s="0" t="s">
        <v>98</v>
      </c>
      <c r="J58" s="0" t="s">
        <v>125</v>
      </c>
    </row>
    <row r="59" customFormat="false" ht="15" hidden="false" customHeight="false" outlineLevel="0" collapsed="false">
      <c r="A59" s="0" t="s">
        <v>126</v>
      </c>
      <c r="B59" s="4" t="n">
        <f aca="false">B44/B58</f>
        <v>2.62431839496249</v>
      </c>
      <c r="I59" s="0" t="s">
        <v>98</v>
      </c>
      <c r="J59" s="0" t="s">
        <v>127</v>
      </c>
    </row>
    <row r="60" customFormat="false" ht="15" hidden="false" customHeight="false" outlineLevel="0" collapsed="false">
      <c r="A60" s="0" t="s">
        <v>128</v>
      </c>
    </row>
    <row r="61" customFormat="false" ht="15" hidden="false" customHeight="false" outlineLevel="0" collapsed="false">
      <c r="A61" s="0" t="s">
        <v>129</v>
      </c>
    </row>
    <row r="63" customFormat="false" ht="15" hidden="false" customHeight="false" outlineLevel="0" collapsed="false">
      <c r="A63" s="1" t="s">
        <v>130</v>
      </c>
    </row>
    <row r="64" customFormat="false" ht="15" hidden="false" customHeight="false" outlineLevel="0" collapsed="false">
      <c r="A64" s="0" t="s">
        <v>131</v>
      </c>
      <c r="B64" s="5" t="n">
        <v>574.9</v>
      </c>
      <c r="I64" s="0" t="s">
        <v>86</v>
      </c>
      <c r="J64" s="0" t="s">
        <v>132</v>
      </c>
    </row>
    <row r="65" customFormat="false" ht="15" hidden="false" customHeight="false" outlineLevel="0" collapsed="false">
      <c r="A65" s="0" t="s">
        <v>133</v>
      </c>
      <c r="B65" s="5" t="n">
        <v>12</v>
      </c>
      <c r="I65" s="0" t="s">
        <v>86</v>
      </c>
      <c r="J65" s="0" t="s">
        <v>134</v>
      </c>
    </row>
    <row r="66" customFormat="false" ht="15" hidden="false" customHeight="false" outlineLevel="0" collapsed="false">
      <c r="A66" s="0" t="s">
        <v>135</v>
      </c>
      <c r="B66" s="4" t="n">
        <f aca="false">B64*4/B65</f>
        <v>191.633333333333</v>
      </c>
      <c r="I66" s="0" t="s">
        <v>98</v>
      </c>
    </row>
    <row r="67" customFormat="false" ht="15" hidden="false" customHeight="false" outlineLevel="0" collapsed="false">
      <c r="A67" s="0" t="s">
        <v>136</v>
      </c>
      <c r="B67" s="4" t="n">
        <f aca="false">3000/B65</f>
        <v>250</v>
      </c>
      <c r="I67" s="0" t="s">
        <v>98</v>
      </c>
      <c r="J67" s="0" t="s">
        <v>137</v>
      </c>
    </row>
    <row r="68" customFormat="false" ht="15" hidden="false" customHeight="false" outlineLevel="0" collapsed="false">
      <c r="A68" s="0" t="s">
        <v>138</v>
      </c>
      <c r="B68" s="5" t="n">
        <v>173</v>
      </c>
      <c r="I68" s="0" t="s">
        <v>86</v>
      </c>
      <c r="J68" s="0" t="s">
        <v>139</v>
      </c>
    </row>
    <row r="69" customFormat="false" ht="15" hidden="false" customHeight="false" outlineLevel="0" collapsed="false">
      <c r="A69" s="0" t="s">
        <v>140</v>
      </c>
      <c r="B69" s="4" t="n">
        <f aca="false">'Quarterly MW'!N126</f>
        <v>193</v>
      </c>
      <c r="I69" s="0" t="s">
        <v>98</v>
      </c>
      <c r="J69" s="0" t="s">
        <v>141</v>
      </c>
    </row>
    <row r="70" customFormat="false" ht="15" hidden="false" customHeight="false" outlineLevel="0" collapsed="false">
      <c r="A70" s="0" t="s">
        <v>142</v>
      </c>
      <c r="B70" s="4" t="n">
        <f aca="false">'Quarterly MW'!N136</f>
        <v>182.489510489511</v>
      </c>
      <c r="I70" s="0" t="s">
        <v>98</v>
      </c>
    </row>
    <row r="71" customFormat="false" ht="15" hidden="false" customHeight="false" outlineLevel="0" collapsed="false">
      <c r="A71" s="0" t="s">
        <v>143</v>
      </c>
      <c r="B71" s="4" t="n">
        <f aca="false">'Quarterly MW'!N139</f>
        <v>219.45</v>
      </c>
      <c r="I71" s="0" t="s">
        <v>98</v>
      </c>
    </row>
    <row r="72" customFormat="false" ht="15" hidden="false" customHeight="false" outlineLevel="0" collapsed="false">
      <c r="A72" s="0" t="s">
        <v>144</v>
      </c>
      <c r="B72" s="4" t="n">
        <f aca="false">2*'Vineland tranche track'!$B$16-'Quarterly MW'!N6</f>
        <v>14.3333333333333</v>
      </c>
      <c r="I72" s="0" t="s">
        <v>98</v>
      </c>
      <c r="J72" s="0" t="s">
        <v>145</v>
      </c>
    </row>
    <row r="73" customFormat="false" ht="15" hidden="false" customHeight="false" outlineLevel="0" collapsed="false">
      <c r="A73" s="0" t="s">
        <v>146</v>
      </c>
    </row>
    <row r="75" customFormat="false" ht="15" hidden="false" customHeight="false" outlineLevel="0" collapsed="false">
      <c r="A75" s="1" t="s">
        <v>147</v>
      </c>
    </row>
    <row r="76" customFormat="false" ht="15" hidden="false" customHeight="false" outlineLevel="0" collapsed="false">
      <c r="A76" s="0" t="s">
        <v>148</v>
      </c>
      <c r="B76" s="5" t="n">
        <v>30000</v>
      </c>
    </row>
    <row r="77" customFormat="false" ht="15" hidden="false" customHeight="false" outlineLevel="0" collapsed="false">
      <c r="A77" s="0" t="s">
        <v>149</v>
      </c>
      <c r="B77" s="4" t="n">
        <f aca="false">'GPUs deployed'!I34</f>
        <v>27426</v>
      </c>
    </row>
    <row r="78" customFormat="false" ht="15" hidden="false" customHeight="false" outlineLevel="0" collapsed="false">
      <c r="A78" s="0" t="s">
        <v>150</v>
      </c>
      <c r="B78" s="4" t="n">
        <f aca="false">B77/B76</f>
        <v>0.9142</v>
      </c>
    </row>
    <row r="79" customFormat="false" ht="15" hidden="false" customHeight="false" outlineLevel="0" collapsed="false">
      <c r="A79" s="0" t="s">
        <v>151</v>
      </c>
      <c r="B79" s="4" t="n">
        <f aca="false">'Quarterly MW'!I126</f>
        <v>50</v>
      </c>
    </row>
    <row r="80" customFormat="false" ht="15" hidden="false" customHeight="false" outlineLevel="0" collapsed="false">
      <c r="A80" s="0" t="s">
        <v>152</v>
      </c>
      <c r="B80" s="4" t="n">
        <f aca="false">30000/'GPUs deployed'!$C$2</f>
        <v>54.6946216955333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3" min="3" style="0" width="30"/>
    <col collapsed="false" customWidth="true" hidden="false" outlineLevel="0" max="4" min="4" style="0" width="26"/>
    <col collapsed="false" customWidth="true" hidden="false" outlineLevel="0" max="5" min="5" style="0" width="40"/>
    <col collapsed="false" customWidth="true" hidden="false" outlineLevel="0" max="6" min="6" style="0" width="10"/>
    <col collapsed="false" customWidth="true" hidden="false" outlineLevel="0" max="7" min="7" style="0" width="30"/>
    <col collapsed="false" customWidth="true" hidden="false" outlineLevel="0" max="8" min="8" style="0" width="18"/>
    <col collapsed="false" customWidth="true" hidden="false" outlineLevel="0" max="10" min="9" style="0" width="40"/>
    <col collapsed="false" customWidth="true" hidden="false" outlineLevel="0" max="11" min="11" style="0" width="10"/>
    <col collapsed="false" customWidth="true" hidden="false" outlineLevel="0" max="12" min="12" style="0" width="30"/>
    <col collapsed="false" customWidth="true" hidden="false" outlineLevel="0" max="15" min="13" style="0" width="10"/>
    <col collapsed="false" customWidth="true" hidden="false" outlineLevel="0" max="16" min="16" style="0" width="80"/>
  </cols>
  <sheetData>
    <row r="1" customFormat="false" ht="41.75" hidden="false" customHeight="false" outlineLevel="0" collapsed="false">
      <c r="A1" s="3" t="s">
        <v>38</v>
      </c>
      <c r="B1" s="3" t="s">
        <v>153</v>
      </c>
      <c r="C1" s="3" t="s">
        <v>154</v>
      </c>
      <c r="D1" s="3" t="s">
        <v>155</v>
      </c>
      <c r="E1" s="3" t="s">
        <v>156</v>
      </c>
      <c r="F1" s="3" t="s">
        <v>157</v>
      </c>
      <c r="G1" s="3" t="s">
        <v>158</v>
      </c>
      <c r="H1" s="3" t="s">
        <v>159</v>
      </c>
      <c r="I1" s="3" t="s">
        <v>160</v>
      </c>
      <c r="J1" s="3" t="s">
        <v>161</v>
      </c>
      <c r="K1" s="3" t="s">
        <v>162</v>
      </c>
      <c r="L1" s="3" t="s">
        <v>163</v>
      </c>
      <c r="M1" s="3" t="s">
        <v>164</v>
      </c>
      <c r="N1" s="3" t="s">
        <v>165</v>
      </c>
      <c r="O1" s="3" t="s">
        <v>166</v>
      </c>
      <c r="P1" s="3" t="s">
        <v>167</v>
      </c>
    </row>
    <row r="2" customFormat="false" ht="15" hidden="false" customHeight="false" outlineLevel="0" collapsed="false">
      <c r="A2" s="0" t="s">
        <v>47</v>
      </c>
      <c r="B2" s="0" t="s">
        <v>168</v>
      </c>
      <c r="C2" s="5" t="s">
        <v>169</v>
      </c>
      <c r="D2" s="5" t="s">
        <v>170</v>
      </c>
      <c r="E2" s="0" t="s">
        <v>171</v>
      </c>
      <c r="F2" s="5" t="n">
        <v>300</v>
      </c>
      <c r="G2" s="5" t="s">
        <v>172</v>
      </c>
      <c r="H2" s="5" t="s">
        <v>173</v>
      </c>
      <c r="I2" s="5" t="s">
        <v>174</v>
      </c>
      <c r="J2" s="5" t="s">
        <v>175</v>
      </c>
      <c r="K2" s="6" t="s">
        <v>176</v>
      </c>
      <c r="L2" s="5" t="s">
        <v>177</v>
      </c>
      <c r="M2" s="4" t="n">
        <f aca="false">'Quarterly MW'!P4</f>
        <v>57</v>
      </c>
      <c r="N2" s="4" t="n">
        <f aca="false">'Quarterly MW'!P5</f>
        <v>106.6</v>
      </c>
      <c r="O2" s="4" t="n">
        <f aca="false">'Quarterly MW'!P6</f>
        <v>81.8</v>
      </c>
      <c r="P2" s="0" t="s">
        <v>178</v>
      </c>
    </row>
    <row r="3" customFormat="false" ht="15" hidden="false" customHeight="false" outlineLevel="0" collapsed="false">
      <c r="A3" s="0" t="s">
        <v>179</v>
      </c>
      <c r="B3" s="0" t="s">
        <v>168</v>
      </c>
      <c r="C3" s="5" t="s">
        <v>180</v>
      </c>
      <c r="D3" s="5" t="s">
        <v>181</v>
      </c>
      <c r="E3" s="0" t="s">
        <v>182</v>
      </c>
      <c r="F3" s="5" t="n">
        <v>1200</v>
      </c>
      <c r="G3" s="5" t="s">
        <v>183</v>
      </c>
      <c r="H3" s="5" t="s">
        <v>184</v>
      </c>
      <c r="I3" s="5" t="s">
        <v>185</v>
      </c>
      <c r="J3" s="5" t="s">
        <v>186</v>
      </c>
      <c r="K3" s="7" t="s">
        <v>187</v>
      </c>
      <c r="L3" s="5" t="s">
        <v>188</v>
      </c>
      <c r="M3" s="4" t="n">
        <f aca="false">'Quarterly MW'!P9</f>
        <v>0</v>
      </c>
      <c r="N3" s="4" t="n">
        <f aca="false">'Quarterly MW'!P10</f>
        <v>0</v>
      </c>
      <c r="O3" s="4" t="n">
        <f aca="false">'Quarterly MW'!P11</f>
        <v>0</v>
      </c>
      <c r="P3" s="0" t="s">
        <v>189</v>
      </c>
    </row>
    <row r="4" customFormat="false" ht="15" hidden="false" customHeight="false" outlineLevel="0" collapsed="false">
      <c r="A4" s="0" t="s">
        <v>190</v>
      </c>
      <c r="B4" s="0" t="s">
        <v>168</v>
      </c>
      <c r="C4" s="5" t="s">
        <v>180</v>
      </c>
      <c r="D4" s="5" t="s">
        <v>191</v>
      </c>
      <c r="E4" s="0" t="s">
        <v>184</v>
      </c>
      <c r="F4" s="5" t="n">
        <v>1200</v>
      </c>
      <c r="G4" s="5" t="s">
        <v>192</v>
      </c>
      <c r="H4" s="5" t="s">
        <v>184</v>
      </c>
      <c r="I4" s="5" t="s">
        <v>193</v>
      </c>
      <c r="J4" s="5" t="s">
        <v>194</v>
      </c>
      <c r="K4" s="8" t="s">
        <v>195</v>
      </c>
      <c r="L4" s="5" t="s">
        <v>196</v>
      </c>
      <c r="M4" s="4" t="n">
        <f aca="false">'Quarterly MW'!P14</f>
        <v>0</v>
      </c>
      <c r="N4" s="4" t="n">
        <f aca="false">'Quarterly MW'!P15</f>
        <v>0</v>
      </c>
      <c r="O4" s="4" t="n">
        <f aca="false">'Quarterly MW'!P16</f>
        <v>0</v>
      </c>
      <c r="P4" s="0" t="s">
        <v>197</v>
      </c>
    </row>
    <row r="5" customFormat="false" ht="15" hidden="false" customHeight="false" outlineLevel="0" collapsed="false">
      <c r="A5" s="0" t="s">
        <v>198</v>
      </c>
      <c r="B5" s="0" t="s">
        <v>168</v>
      </c>
      <c r="C5" s="5" t="s">
        <v>199</v>
      </c>
      <c r="D5" s="5" t="s">
        <v>191</v>
      </c>
      <c r="E5" s="0" t="s">
        <v>184</v>
      </c>
      <c r="F5" s="5" t="n">
        <v>300</v>
      </c>
      <c r="G5" s="5" t="s">
        <v>200</v>
      </c>
      <c r="H5" s="5" t="s">
        <v>184</v>
      </c>
      <c r="I5" s="5" t="s">
        <v>201</v>
      </c>
      <c r="J5" s="5" t="s">
        <v>202</v>
      </c>
      <c r="K5" s="9" t="s">
        <v>203</v>
      </c>
      <c r="L5" s="5" t="s">
        <v>196</v>
      </c>
      <c r="M5" s="4" t="n">
        <f aca="false">'Quarterly MW'!P19</f>
        <v>0</v>
      </c>
      <c r="N5" s="4" t="n">
        <f aca="false">'Quarterly MW'!P20</f>
        <v>0</v>
      </c>
      <c r="O5" s="4" t="n">
        <f aca="false">'Quarterly MW'!P21</f>
        <v>0</v>
      </c>
      <c r="P5" s="0" t="s">
        <v>204</v>
      </c>
    </row>
    <row r="6" customFormat="false" ht="15" hidden="false" customHeight="false" outlineLevel="0" collapsed="false">
      <c r="A6" s="0" t="s">
        <v>50</v>
      </c>
      <c r="B6" s="0" t="s">
        <v>205</v>
      </c>
      <c r="C6" s="5" t="s">
        <v>206</v>
      </c>
      <c r="D6" s="5" t="s">
        <v>207</v>
      </c>
      <c r="E6" s="0" t="s">
        <v>208</v>
      </c>
      <c r="F6" s="5" t="n">
        <v>240</v>
      </c>
      <c r="G6" s="5" t="s">
        <v>209</v>
      </c>
      <c r="H6" s="5" t="s">
        <v>184</v>
      </c>
      <c r="I6" s="5" t="s">
        <v>210</v>
      </c>
      <c r="J6" s="5" t="s">
        <v>211</v>
      </c>
      <c r="K6" s="9" t="s">
        <v>203</v>
      </c>
      <c r="L6" s="5" t="s">
        <v>212</v>
      </c>
      <c r="M6" s="4" t="n">
        <f aca="false">'Quarterly MW'!P24</f>
        <v>0</v>
      </c>
      <c r="N6" s="4" t="n">
        <f aca="false">'Quarterly MW'!P25</f>
        <v>60</v>
      </c>
      <c r="O6" s="4" t="n">
        <f aca="false">'Quarterly MW'!P26</f>
        <v>30</v>
      </c>
      <c r="P6" s="0" t="s">
        <v>213</v>
      </c>
    </row>
    <row r="7" customFormat="false" ht="15" hidden="false" customHeight="false" outlineLevel="0" collapsed="false">
      <c r="A7" s="0" t="s">
        <v>214</v>
      </c>
      <c r="B7" s="0" t="s">
        <v>215</v>
      </c>
      <c r="C7" s="5" t="s">
        <v>216</v>
      </c>
      <c r="D7" s="5" t="s">
        <v>191</v>
      </c>
      <c r="E7" s="0" t="s">
        <v>184</v>
      </c>
      <c r="F7" s="5" t="n">
        <v>310</v>
      </c>
      <c r="G7" s="5" t="s">
        <v>209</v>
      </c>
      <c r="H7" s="5" t="s">
        <v>184</v>
      </c>
      <c r="I7" s="5" t="s">
        <v>217</v>
      </c>
      <c r="J7" s="5" t="s">
        <v>218</v>
      </c>
      <c r="K7" s="7" t="s">
        <v>187</v>
      </c>
      <c r="L7" s="5" t="s">
        <v>219</v>
      </c>
      <c r="M7" s="4" t="n">
        <f aca="false">'Quarterly MW'!P29</f>
        <v>0</v>
      </c>
      <c r="N7" s="4" t="n">
        <f aca="false">'Quarterly MW'!P30</f>
        <v>0</v>
      </c>
      <c r="O7" s="4" t="n">
        <f aca="false">'Quarterly MW'!P31</f>
        <v>0</v>
      </c>
      <c r="P7" s="0" t="s">
        <v>220</v>
      </c>
    </row>
    <row r="8" customFormat="false" ht="15" hidden="false" customHeight="false" outlineLevel="0" collapsed="false">
      <c r="A8" s="0" t="s">
        <v>221</v>
      </c>
      <c r="B8" s="0" t="s">
        <v>215</v>
      </c>
      <c r="C8" s="5" t="s">
        <v>222</v>
      </c>
      <c r="D8" s="5" t="s">
        <v>223</v>
      </c>
      <c r="E8" s="0" t="s">
        <v>224</v>
      </c>
      <c r="F8" s="5" t="n">
        <v>75</v>
      </c>
      <c r="G8" s="5" t="s">
        <v>225</v>
      </c>
      <c r="H8" s="5" t="s">
        <v>226</v>
      </c>
      <c r="I8" s="5" t="s">
        <v>227</v>
      </c>
      <c r="J8" s="5" t="s">
        <v>228</v>
      </c>
      <c r="K8" s="7" t="s">
        <v>187</v>
      </c>
      <c r="L8" s="5" t="s">
        <v>229</v>
      </c>
      <c r="M8" s="4" t="n">
        <f aca="false">'Quarterly MW'!P34</f>
        <v>75</v>
      </c>
      <c r="N8" s="4" t="n">
        <f aca="false">'Quarterly MW'!P35</f>
        <v>75</v>
      </c>
      <c r="O8" s="4" t="n">
        <f aca="false">'Quarterly MW'!P36</f>
        <v>75</v>
      </c>
      <c r="P8" s="0" t="s">
        <v>230</v>
      </c>
    </row>
    <row r="9" customFormat="false" ht="15" hidden="false" customHeight="false" outlineLevel="0" collapsed="false">
      <c r="A9" s="0" t="s">
        <v>231</v>
      </c>
      <c r="B9" s="0" t="s">
        <v>215</v>
      </c>
      <c r="C9" s="5" t="s">
        <v>232</v>
      </c>
      <c r="D9" s="5" t="s">
        <v>191</v>
      </c>
      <c r="E9" s="0" t="s">
        <v>184</v>
      </c>
      <c r="F9" s="5" t="n">
        <v>70</v>
      </c>
      <c r="G9" s="5" t="s">
        <v>233</v>
      </c>
      <c r="H9" s="5" t="s">
        <v>184</v>
      </c>
      <c r="I9" s="5" t="s">
        <v>234</v>
      </c>
      <c r="J9" s="5" t="s">
        <v>235</v>
      </c>
      <c r="K9" s="9" t="s">
        <v>203</v>
      </c>
      <c r="L9" s="5" t="s">
        <v>196</v>
      </c>
      <c r="M9" s="4" t="n">
        <f aca="false">'Quarterly MW'!P39</f>
        <v>0</v>
      </c>
      <c r="N9" s="4" t="n">
        <f aca="false">'Quarterly MW'!P40</f>
        <v>0</v>
      </c>
      <c r="O9" s="4" t="n">
        <f aca="false">'Quarterly MW'!P41</f>
        <v>0</v>
      </c>
      <c r="P9" s="0" t="s">
        <v>236</v>
      </c>
    </row>
    <row r="10" customFormat="false" ht="15" hidden="false" customHeight="false" outlineLevel="0" collapsed="false">
      <c r="A10" s="0" t="s">
        <v>52</v>
      </c>
      <c r="B10" s="0" t="s">
        <v>168</v>
      </c>
      <c r="C10" s="5" t="s">
        <v>237</v>
      </c>
      <c r="D10" s="5" t="s">
        <v>238</v>
      </c>
      <c r="E10" s="0" t="s">
        <v>224</v>
      </c>
      <c r="F10" s="5" t="n">
        <v>40</v>
      </c>
      <c r="G10" s="5" t="s">
        <v>209</v>
      </c>
      <c r="H10" s="5" t="s">
        <v>184</v>
      </c>
      <c r="I10" s="5" t="s">
        <v>239</v>
      </c>
      <c r="J10" s="5" t="s">
        <v>240</v>
      </c>
      <c r="K10" s="7" t="s">
        <v>187</v>
      </c>
      <c r="L10" s="5" t="s">
        <v>241</v>
      </c>
      <c r="M10" s="4" t="n">
        <f aca="false">'Quarterly MW'!P44</f>
        <v>5</v>
      </c>
      <c r="N10" s="4" t="n">
        <f aca="false">'Quarterly MW'!P45</f>
        <v>35</v>
      </c>
      <c r="O10" s="4" t="n">
        <f aca="false">'Quarterly MW'!P46</f>
        <v>20</v>
      </c>
      <c r="P10" s="0" t="s">
        <v>242</v>
      </c>
    </row>
    <row r="11" customFormat="false" ht="15" hidden="false" customHeight="false" outlineLevel="0" collapsed="false">
      <c r="A11" s="0" t="s">
        <v>54</v>
      </c>
      <c r="B11" s="0" t="s">
        <v>205</v>
      </c>
      <c r="C11" s="5" t="s">
        <v>237</v>
      </c>
      <c r="D11" s="5" t="s">
        <v>238</v>
      </c>
      <c r="E11" s="0" t="s">
        <v>224</v>
      </c>
      <c r="F11" s="5" t="n">
        <v>5</v>
      </c>
      <c r="G11" s="5" t="s">
        <v>243</v>
      </c>
      <c r="H11" s="5" t="s">
        <v>184</v>
      </c>
      <c r="I11" s="5" t="s">
        <v>244</v>
      </c>
      <c r="J11" s="5" t="s">
        <v>245</v>
      </c>
      <c r="K11" s="7" t="s">
        <v>187</v>
      </c>
      <c r="L11" s="5" t="s">
        <v>246</v>
      </c>
      <c r="M11" s="4" t="n">
        <f aca="false">'Quarterly MW'!P49</f>
        <v>5</v>
      </c>
      <c r="N11" s="4" t="n">
        <f aca="false">'Quarterly MW'!P50</f>
        <v>5</v>
      </c>
      <c r="O11" s="4" t="n">
        <f aca="false">'Quarterly MW'!P51</f>
        <v>5</v>
      </c>
      <c r="P11" s="0" t="s">
        <v>247</v>
      </c>
    </row>
    <row r="12" customFormat="false" ht="15" hidden="false" customHeight="false" outlineLevel="0" collapsed="false">
      <c r="A12" s="0" t="s">
        <v>56</v>
      </c>
      <c r="B12" s="0" t="s">
        <v>248</v>
      </c>
      <c r="C12" s="5" t="s">
        <v>237</v>
      </c>
      <c r="D12" s="5" t="s">
        <v>238</v>
      </c>
      <c r="E12" s="0" t="s">
        <v>224</v>
      </c>
      <c r="F12" s="5" t="n">
        <v>10</v>
      </c>
      <c r="G12" s="5" t="s">
        <v>209</v>
      </c>
      <c r="H12" s="5" t="s">
        <v>184</v>
      </c>
      <c r="I12" s="5" t="s">
        <v>249</v>
      </c>
      <c r="J12" s="5" t="s">
        <v>250</v>
      </c>
      <c r="K12" s="7" t="s">
        <v>187</v>
      </c>
      <c r="L12" s="5" t="s">
        <v>246</v>
      </c>
      <c r="M12" s="4" t="n">
        <f aca="false">'Quarterly MW'!P54</f>
        <v>10</v>
      </c>
      <c r="N12" s="4" t="n">
        <f aca="false">'Quarterly MW'!P55</f>
        <v>10</v>
      </c>
      <c r="O12" s="4" t="n">
        <f aca="false">'Quarterly MW'!P56</f>
        <v>10</v>
      </c>
      <c r="P12" s="0" t="s">
        <v>251</v>
      </c>
    </row>
    <row r="13" customFormat="false" ht="15" hidden="false" customHeight="false" outlineLevel="0" collapsed="false">
      <c r="A13" s="0" t="s">
        <v>58</v>
      </c>
      <c r="B13" s="0" t="s">
        <v>252</v>
      </c>
      <c r="C13" s="5" t="s">
        <v>237</v>
      </c>
      <c r="D13" s="5" t="s">
        <v>238</v>
      </c>
      <c r="E13" s="0" t="s">
        <v>224</v>
      </c>
      <c r="F13" s="5" t="n">
        <v>19</v>
      </c>
      <c r="G13" s="5" t="s">
        <v>253</v>
      </c>
      <c r="H13" s="5" t="s">
        <v>184</v>
      </c>
      <c r="I13" s="5" t="s">
        <v>254</v>
      </c>
      <c r="J13" s="5" t="s">
        <v>255</v>
      </c>
      <c r="K13" s="7" t="s">
        <v>187</v>
      </c>
      <c r="L13" s="5" t="s">
        <v>256</v>
      </c>
      <c r="M13" s="4" t="n">
        <f aca="false">'Quarterly MW'!P59</f>
        <v>16</v>
      </c>
      <c r="N13" s="4" t="n">
        <f aca="false">'Quarterly MW'!P60</f>
        <v>19</v>
      </c>
      <c r="O13" s="4" t="n">
        <f aca="false">'Quarterly MW'!P61</f>
        <v>17.5</v>
      </c>
      <c r="P13" s="0" t="s">
        <v>257</v>
      </c>
    </row>
    <row r="14" customFormat="false" ht="15" hidden="false" customHeight="false" outlineLevel="0" collapsed="false">
      <c r="A14" s="0" t="s">
        <v>60</v>
      </c>
      <c r="B14" s="0" t="s">
        <v>252</v>
      </c>
      <c r="C14" s="5" t="s">
        <v>258</v>
      </c>
      <c r="D14" s="5" t="s">
        <v>238</v>
      </c>
      <c r="E14" s="0" t="s">
        <v>224</v>
      </c>
      <c r="F14" s="5" t="n">
        <v>22</v>
      </c>
      <c r="G14" s="5" t="s">
        <v>209</v>
      </c>
      <c r="H14" s="5" t="s">
        <v>184</v>
      </c>
      <c r="I14" s="5" t="s">
        <v>259</v>
      </c>
      <c r="J14" s="5" t="s">
        <v>260</v>
      </c>
      <c r="K14" s="7" t="s">
        <v>187</v>
      </c>
      <c r="L14" s="5" t="s">
        <v>261</v>
      </c>
      <c r="M14" s="4" t="n">
        <f aca="false">'Quarterly MW'!P64</f>
        <v>0</v>
      </c>
      <c r="N14" s="4" t="n">
        <f aca="false">'Quarterly MW'!P65</f>
        <v>4.4</v>
      </c>
      <c r="O14" s="4" t="n">
        <f aca="false">'Quarterly MW'!P66</f>
        <v>2.2</v>
      </c>
      <c r="P14" s="0" t="s">
        <v>262</v>
      </c>
    </row>
    <row r="15" customFormat="false" ht="15" hidden="false" customHeight="false" outlineLevel="0" collapsed="false">
      <c r="A15" s="0" t="s">
        <v>62</v>
      </c>
      <c r="B15" s="0" t="s">
        <v>252</v>
      </c>
      <c r="C15" s="5" t="s">
        <v>263</v>
      </c>
      <c r="D15" s="5" t="s">
        <v>238</v>
      </c>
      <c r="E15" s="0" t="s">
        <v>224</v>
      </c>
      <c r="F15" s="5" t="s">
        <v>184</v>
      </c>
      <c r="G15" s="5" t="s">
        <v>264</v>
      </c>
      <c r="H15" s="5" t="s">
        <v>184</v>
      </c>
      <c r="I15" s="5" t="s">
        <v>265</v>
      </c>
      <c r="J15" s="5" t="s">
        <v>266</v>
      </c>
      <c r="K15" s="9" t="s">
        <v>203</v>
      </c>
      <c r="L15" s="5" t="s">
        <v>267</v>
      </c>
      <c r="M15" s="4" t="n">
        <f aca="false">'Quarterly MW'!P69</f>
        <v>0</v>
      </c>
      <c r="N15" s="4" t="n">
        <f aca="false">'Quarterly MW'!P70</f>
        <v>10</v>
      </c>
      <c r="O15" s="4" t="n">
        <f aca="false">'Quarterly MW'!P71</f>
        <v>5</v>
      </c>
      <c r="P15" s="0" t="s">
        <v>268</v>
      </c>
    </row>
    <row r="16" customFormat="false" ht="15" hidden="false" customHeight="false" outlineLevel="0" collapsed="false">
      <c r="A16" s="0" t="s">
        <v>64</v>
      </c>
      <c r="B16" s="0" t="s">
        <v>252</v>
      </c>
      <c r="C16" s="5" t="s">
        <v>184</v>
      </c>
      <c r="D16" s="5" t="s">
        <v>191</v>
      </c>
      <c r="E16" s="0" t="s">
        <v>184</v>
      </c>
      <c r="F16" s="5" t="s">
        <v>184</v>
      </c>
      <c r="G16" s="5" t="s">
        <v>209</v>
      </c>
      <c r="H16" s="5" t="s">
        <v>184</v>
      </c>
      <c r="I16" s="5" t="s">
        <v>269</v>
      </c>
      <c r="J16" s="5" t="s">
        <v>270</v>
      </c>
      <c r="K16" s="8" t="s">
        <v>195</v>
      </c>
      <c r="L16" s="5" t="s">
        <v>184</v>
      </c>
      <c r="M16" s="4" t="n">
        <f aca="false">'Quarterly MW'!P74</f>
        <v>0</v>
      </c>
      <c r="N16" s="4" t="n">
        <f aca="false">'Quarterly MW'!P75</f>
        <v>0</v>
      </c>
      <c r="O16" s="4" t="n">
        <f aca="false">'Quarterly MW'!P76</f>
        <v>0</v>
      </c>
      <c r="P16" s="0" t="s">
        <v>271</v>
      </c>
    </row>
    <row r="17" customFormat="false" ht="15" hidden="false" customHeight="false" outlineLevel="0" collapsed="false">
      <c r="A17" s="0" t="s">
        <v>66</v>
      </c>
      <c r="B17" s="0" t="s">
        <v>272</v>
      </c>
      <c r="C17" s="5" t="s">
        <v>237</v>
      </c>
      <c r="D17" s="5" t="s">
        <v>273</v>
      </c>
      <c r="E17" s="0" t="s">
        <v>274</v>
      </c>
      <c r="F17" s="5" t="n">
        <v>8</v>
      </c>
      <c r="G17" s="5" t="s">
        <v>275</v>
      </c>
      <c r="H17" s="5" t="s">
        <v>184</v>
      </c>
      <c r="I17" s="5" t="s">
        <v>276</v>
      </c>
      <c r="J17" s="5" t="s">
        <v>245</v>
      </c>
      <c r="K17" s="7" t="s">
        <v>187</v>
      </c>
      <c r="L17" s="5" t="s">
        <v>277</v>
      </c>
      <c r="M17" s="4" t="n">
        <f aca="false">'Quarterly MW'!P79</f>
        <v>8</v>
      </c>
      <c r="N17" s="4" t="n">
        <f aca="false">'Quarterly MW'!P80</f>
        <v>8</v>
      </c>
      <c r="O17" s="4" t="n">
        <f aca="false">'Quarterly MW'!P81</f>
        <v>8</v>
      </c>
      <c r="P17" s="0" t="s">
        <v>278</v>
      </c>
    </row>
    <row r="18" customFormat="false" ht="15" hidden="false" customHeight="false" outlineLevel="0" collapsed="false">
      <c r="A18" s="0" t="s">
        <v>68</v>
      </c>
      <c r="B18" s="0" t="s">
        <v>272</v>
      </c>
      <c r="C18" s="5" t="s">
        <v>279</v>
      </c>
      <c r="D18" s="5" t="s">
        <v>191</v>
      </c>
      <c r="E18" s="0" t="s">
        <v>184</v>
      </c>
      <c r="F18" s="5" t="n">
        <v>22</v>
      </c>
      <c r="G18" s="5" t="s">
        <v>209</v>
      </c>
      <c r="H18" s="5" t="s">
        <v>184</v>
      </c>
      <c r="I18" s="5" t="s">
        <v>280</v>
      </c>
      <c r="J18" s="5" t="s">
        <v>281</v>
      </c>
      <c r="K18" s="9" t="s">
        <v>203</v>
      </c>
      <c r="L18" s="5" t="s">
        <v>282</v>
      </c>
      <c r="M18" s="4" t="n">
        <f aca="false">'Quarterly MW'!P84</f>
        <v>0</v>
      </c>
      <c r="N18" s="4" t="n">
        <f aca="false">'Quarterly MW'!P85</f>
        <v>11</v>
      </c>
      <c r="O18" s="4" t="n">
        <f aca="false">'Quarterly MW'!P86</f>
        <v>5.5</v>
      </c>
      <c r="P18" s="0" t="s">
        <v>283</v>
      </c>
    </row>
    <row r="19" customFormat="false" ht="15" hidden="false" customHeight="false" outlineLevel="0" collapsed="false">
      <c r="A19" s="0" t="s">
        <v>69</v>
      </c>
      <c r="B19" s="0" t="s">
        <v>272</v>
      </c>
      <c r="C19" s="5" t="s">
        <v>279</v>
      </c>
      <c r="D19" s="5" t="s">
        <v>191</v>
      </c>
      <c r="E19" s="0" t="s">
        <v>184</v>
      </c>
      <c r="F19" s="5" t="n">
        <v>58</v>
      </c>
      <c r="G19" s="5" t="s">
        <v>209</v>
      </c>
      <c r="H19" s="5" t="s">
        <v>184</v>
      </c>
      <c r="I19" s="5" t="s">
        <v>284</v>
      </c>
      <c r="J19" s="5" t="s">
        <v>285</v>
      </c>
      <c r="K19" s="9" t="s">
        <v>203</v>
      </c>
      <c r="L19" s="5" t="s">
        <v>282</v>
      </c>
      <c r="M19" s="4" t="n">
        <f aca="false">'Quarterly MW'!P89</f>
        <v>0</v>
      </c>
      <c r="N19" s="4" t="n">
        <f aca="false">'Quarterly MW'!P90</f>
        <v>0</v>
      </c>
      <c r="O19" s="4" t="n">
        <f aca="false">'Quarterly MW'!P91</f>
        <v>0</v>
      </c>
      <c r="P19" s="0" t="s">
        <v>283</v>
      </c>
    </row>
    <row r="20" customFormat="false" ht="15" hidden="false" customHeight="false" outlineLevel="0" collapsed="false">
      <c r="A20" s="0" t="s">
        <v>70</v>
      </c>
      <c r="B20" s="0" t="s">
        <v>286</v>
      </c>
      <c r="C20" s="5" t="s">
        <v>237</v>
      </c>
      <c r="D20" s="5" t="s">
        <v>238</v>
      </c>
      <c r="E20" s="0" t="s">
        <v>224</v>
      </c>
      <c r="F20" s="5" t="n">
        <v>18</v>
      </c>
      <c r="G20" s="5" t="s">
        <v>209</v>
      </c>
      <c r="H20" s="5" t="s">
        <v>184</v>
      </c>
      <c r="I20" s="5" t="s">
        <v>287</v>
      </c>
      <c r="J20" s="5" t="s">
        <v>288</v>
      </c>
      <c r="K20" s="7" t="s">
        <v>187</v>
      </c>
      <c r="L20" s="5" t="s">
        <v>289</v>
      </c>
      <c r="M20" s="4" t="n">
        <f aca="false">'Quarterly MW'!P94</f>
        <v>9</v>
      </c>
      <c r="N20" s="4" t="n">
        <f aca="false">'Quarterly MW'!P95</f>
        <v>18</v>
      </c>
      <c r="O20" s="4" t="n">
        <f aca="false">'Quarterly MW'!P96</f>
        <v>13.5</v>
      </c>
      <c r="P20" s="0" t="s">
        <v>290</v>
      </c>
    </row>
    <row r="21" customFormat="false" ht="15" hidden="false" customHeight="false" outlineLevel="0" collapsed="false">
      <c r="A21" s="0" t="s">
        <v>72</v>
      </c>
      <c r="B21" s="0" t="s">
        <v>291</v>
      </c>
      <c r="C21" s="5" t="s">
        <v>237</v>
      </c>
      <c r="D21" s="5" t="s">
        <v>191</v>
      </c>
      <c r="E21" s="0" t="s">
        <v>184</v>
      </c>
      <c r="F21" s="5" t="n">
        <v>22</v>
      </c>
      <c r="G21" s="5" t="s">
        <v>209</v>
      </c>
      <c r="H21" s="5" t="s">
        <v>184</v>
      </c>
      <c r="I21" s="5" t="s">
        <v>292</v>
      </c>
      <c r="J21" s="5" t="s">
        <v>293</v>
      </c>
      <c r="K21" s="9" t="s">
        <v>203</v>
      </c>
      <c r="L21" s="5" t="s">
        <v>282</v>
      </c>
      <c r="M21" s="4" t="n">
        <f aca="false">'Quarterly MW'!P99</f>
        <v>0</v>
      </c>
      <c r="N21" s="4" t="n">
        <f aca="false">'Quarterly MW'!P100</f>
        <v>22</v>
      </c>
      <c r="O21" s="4" t="n">
        <f aca="false">'Quarterly MW'!P101</f>
        <v>11</v>
      </c>
      <c r="P21" s="0" t="s">
        <v>294</v>
      </c>
    </row>
    <row r="22" customFormat="false" ht="15" hidden="false" customHeight="false" outlineLevel="0" collapsed="false">
      <c r="A22" s="0" t="s">
        <v>74</v>
      </c>
      <c r="B22" s="0" t="s">
        <v>168</v>
      </c>
      <c r="C22" s="5" t="s">
        <v>295</v>
      </c>
      <c r="D22" s="5" t="s">
        <v>238</v>
      </c>
      <c r="E22" s="0" t="s">
        <v>224</v>
      </c>
      <c r="F22" s="5" t="s">
        <v>184</v>
      </c>
      <c r="G22" s="5" t="s">
        <v>209</v>
      </c>
      <c r="H22" s="5" t="s">
        <v>184</v>
      </c>
      <c r="I22" s="5" t="s">
        <v>296</v>
      </c>
      <c r="J22" s="5" t="s">
        <v>297</v>
      </c>
      <c r="K22" s="9" t="s">
        <v>203</v>
      </c>
      <c r="L22" s="5" t="s">
        <v>256</v>
      </c>
      <c r="M22" s="4" t="n">
        <f aca="false">'Quarterly MW'!P104</f>
        <v>5</v>
      </c>
      <c r="N22" s="4" t="n">
        <f aca="false">'Quarterly MW'!P105</f>
        <v>15</v>
      </c>
      <c r="O22" s="4" t="n">
        <f aca="false">'Quarterly MW'!P106</f>
        <v>10</v>
      </c>
      <c r="P22" s="0" t="s">
        <v>298</v>
      </c>
    </row>
    <row r="23" customFormat="false" ht="15" hidden="false" customHeight="false" outlineLevel="0" collapsed="false">
      <c r="A23" s="0" t="s">
        <v>76</v>
      </c>
      <c r="B23" s="0" t="s">
        <v>168</v>
      </c>
      <c r="C23" s="5" t="s">
        <v>295</v>
      </c>
      <c r="D23" s="5" t="s">
        <v>191</v>
      </c>
      <c r="E23" s="0" t="s">
        <v>184</v>
      </c>
      <c r="F23" s="5" t="s">
        <v>299</v>
      </c>
      <c r="G23" s="5" t="s">
        <v>209</v>
      </c>
      <c r="H23" s="5" t="s">
        <v>184</v>
      </c>
      <c r="I23" s="5" t="s">
        <v>296</v>
      </c>
      <c r="J23" s="5" t="s">
        <v>300</v>
      </c>
      <c r="K23" s="6" t="s">
        <v>176</v>
      </c>
      <c r="L23" s="5" t="s">
        <v>184</v>
      </c>
      <c r="M23" s="4" t="n">
        <f aca="false">'Quarterly MW'!P109</f>
        <v>10</v>
      </c>
      <c r="N23" s="4" t="n">
        <f aca="false">'Quarterly MW'!P110</f>
        <v>40</v>
      </c>
      <c r="O23" s="4" t="n">
        <f aca="false">'Quarterly MW'!P111</f>
        <v>25</v>
      </c>
      <c r="P23" s="0" t="s">
        <v>301</v>
      </c>
    </row>
    <row r="24" customFormat="false" ht="15" hidden="false" customHeight="false" outlineLevel="0" collapsed="false">
      <c r="A24" s="0" t="s">
        <v>78</v>
      </c>
      <c r="B24" s="0" t="s">
        <v>205</v>
      </c>
      <c r="C24" s="5" t="s">
        <v>295</v>
      </c>
      <c r="D24" s="5" t="s">
        <v>191</v>
      </c>
      <c r="E24" s="0" t="s">
        <v>184</v>
      </c>
      <c r="F24" s="5" t="s">
        <v>184</v>
      </c>
      <c r="G24" s="5" t="s">
        <v>209</v>
      </c>
      <c r="H24" s="5" t="s">
        <v>184</v>
      </c>
      <c r="I24" s="5" t="s">
        <v>296</v>
      </c>
      <c r="J24" s="5" t="s">
        <v>302</v>
      </c>
      <c r="K24" s="9" t="s">
        <v>203</v>
      </c>
      <c r="L24" s="5" t="s">
        <v>303</v>
      </c>
      <c r="M24" s="4" t="str">
        <f aca="false">'Quarterly MW'!P114</f>
        <v>n/d</v>
      </c>
      <c r="N24" s="4" t="str">
        <f aca="false">'Quarterly MW'!P115</f>
        <v>n/d</v>
      </c>
      <c r="O24" s="4" t="str">
        <f aca="false">'Quarterly MW'!P116</f>
        <v>n/d</v>
      </c>
      <c r="P24" s="0" t="s">
        <v>304</v>
      </c>
    </row>
    <row r="25" customFormat="false" ht="15" hidden="false" customHeight="false" outlineLevel="0" collapsed="false">
      <c r="A25" s="0" t="s">
        <v>79</v>
      </c>
      <c r="B25" s="0" t="s">
        <v>168</v>
      </c>
      <c r="C25" s="5" t="s">
        <v>305</v>
      </c>
      <c r="D25" s="5" t="s">
        <v>191</v>
      </c>
      <c r="E25" s="0" t="s">
        <v>184</v>
      </c>
      <c r="F25" s="5" t="n">
        <v>50</v>
      </c>
      <c r="G25" s="5" t="s">
        <v>306</v>
      </c>
      <c r="H25" s="5" t="s">
        <v>307</v>
      </c>
      <c r="I25" s="5" t="s">
        <v>308</v>
      </c>
      <c r="J25" s="5" t="s">
        <v>309</v>
      </c>
      <c r="K25" s="8" t="s">
        <v>195</v>
      </c>
      <c r="L25" s="5" t="s">
        <v>196</v>
      </c>
      <c r="M25" s="4" t="n">
        <f aca="false">'Quarterly MW'!P119</f>
        <v>0</v>
      </c>
      <c r="N25" s="4" t="n">
        <f aca="false">'Quarterly MW'!P120</f>
        <v>0</v>
      </c>
      <c r="O25" s="4" t="n">
        <f aca="false">'Quarterly MW'!P121</f>
        <v>0</v>
      </c>
      <c r="P25" s="0" t="s">
        <v>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6"/>
    <col collapsed="false" customWidth="true" hidden="false" outlineLevel="0" max="2" min="2" style="0" width="34"/>
    <col collapsed="false" customWidth="true" hidden="false" outlineLevel="0" max="3" min="3" style="0" width="14"/>
    <col collapsed="false" customWidth="true" hidden="false" outlineLevel="0" max="4" min="4" style="0" width="4"/>
  </cols>
  <sheetData>
    <row r="1" customFormat="false" ht="68.65" hidden="false" customHeight="false" outlineLevel="0" collapsed="false">
      <c r="A1" s="3" t="s">
        <v>38</v>
      </c>
      <c r="B1" s="3" t="s">
        <v>311</v>
      </c>
      <c r="C1" s="3" t="s">
        <v>312</v>
      </c>
      <c r="D1" s="3" t="s">
        <v>313</v>
      </c>
      <c r="E1" s="3" t="s">
        <v>314</v>
      </c>
      <c r="F1" s="3" t="s">
        <v>315</v>
      </c>
      <c r="G1" s="3" t="s">
        <v>316</v>
      </c>
      <c r="H1" s="3" t="s">
        <v>317</v>
      </c>
      <c r="I1" s="3" t="s">
        <v>318</v>
      </c>
      <c r="J1" s="3" t="s">
        <v>319</v>
      </c>
      <c r="K1" s="3" t="s">
        <v>320</v>
      </c>
      <c r="L1" s="3" t="s">
        <v>321</v>
      </c>
      <c r="M1" s="3" t="s">
        <v>322</v>
      </c>
      <c r="N1" s="3" t="s">
        <v>323</v>
      </c>
      <c r="O1" s="3" t="s">
        <v>324</v>
      </c>
      <c r="P1" s="3" t="s">
        <v>325</v>
      </c>
      <c r="Q1" s="3" t="s">
        <v>326</v>
      </c>
      <c r="R1" s="3" t="s">
        <v>327</v>
      </c>
      <c r="S1" s="3" t="s">
        <v>328</v>
      </c>
      <c r="T1" s="3" t="s">
        <v>329</v>
      </c>
      <c r="U1" s="3" t="s">
        <v>330</v>
      </c>
      <c r="V1" s="3" t="s">
        <v>331</v>
      </c>
      <c r="W1" s="3" t="s">
        <v>332</v>
      </c>
      <c r="X1" s="3" t="s">
        <v>333</v>
      </c>
      <c r="Y1" s="3" t="s">
        <v>334</v>
      </c>
      <c r="Z1" s="3" t="s">
        <v>335</v>
      </c>
      <c r="AA1" s="3" t="s">
        <v>336</v>
      </c>
      <c r="AB1" s="3" t="s">
        <v>337</v>
      </c>
      <c r="AC1" s="3" t="s">
        <v>338</v>
      </c>
      <c r="AD1" s="3" t="s">
        <v>339</v>
      </c>
      <c r="AE1" s="3" t="s">
        <v>340</v>
      </c>
      <c r="AF1" s="3" t="s">
        <v>341</v>
      </c>
    </row>
    <row r="2" customFormat="false" ht="15" hidden="false" customHeight="false" outlineLevel="0" collapsed="false">
      <c r="A2" s="10" t="s">
        <v>342</v>
      </c>
    </row>
    <row r="3" customFormat="false" ht="15" hidden="false" customHeight="false" outlineLevel="0" collapsed="false">
      <c r="A3" s="0" t="s">
        <v>47</v>
      </c>
      <c r="B3" s="0" t="s">
        <v>157</v>
      </c>
      <c r="C3" s="0" t="s">
        <v>343</v>
      </c>
      <c r="I3" s="5" t="n">
        <v>300</v>
      </c>
      <c r="J3" s="5" t="n">
        <v>300</v>
      </c>
      <c r="K3" s="5" t="n">
        <v>300</v>
      </c>
      <c r="L3" s="5" t="n">
        <v>300</v>
      </c>
      <c r="M3" s="5" t="n">
        <v>300</v>
      </c>
      <c r="N3" s="5" t="n">
        <v>300</v>
      </c>
      <c r="O3" s="5" t="n">
        <v>300</v>
      </c>
      <c r="P3" s="5" t="n">
        <v>300</v>
      </c>
      <c r="Q3" s="5" t="n">
        <v>300</v>
      </c>
      <c r="R3" s="5" t="n">
        <v>300</v>
      </c>
      <c r="S3" s="5" t="n">
        <v>300</v>
      </c>
      <c r="T3" s="5" t="n">
        <v>300</v>
      </c>
      <c r="U3" s="5" t="n">
        <v>300</v>
      </c>
      <c r="V3" s="5" t="n">
        <v>300</v>
      </c>
      <c r="W3" s="5" t="n">
        <v>300</v>
      </c>
      <c r="X3" s="5" t="n">
        <v>300</v>
      </c>
      <c r="Y3" s="5" t="n">
        <v>300</v>
      </c>
      <c r="Z3" s="5" t="n">
        <v>300</v>
      </c>
      <c r="AA3" s="5" t="n">
        <v>300</v>
      </c>
      <c r="AB3" s="5" t="n">
        <v>300</v>
      </c>
      <c r="AC3" s="5" t="n">
        <v>300</v>
      </c>
      <c r="AD3" s="5" t="n">
        <v>300</v>
      </c>
      <c r="AE3" s="5" t="n">
        <v>300</v>
      </c>
      <c r="AF3" s="5" t="n">
        <v>300</v>
      </c>
    </row>
    <row r="4" customFormat="false" ht="15" hidden="false" customHeight="false" outlineLevel="0" collapsed="false">
      <c r="A4" s="0" t="s">
        <v>47</v>
      </c>
      <c r="B4" s="0" t="s">
        <v>344</v>
      </c>
      <c r="C4" s="0" t="s">
        <v>345</v>
      </c>
      <c r="E4" s="5" t="n">
        <v>0</v>
      </c>
      <c r="F4" s="5" t="n">
        <v>0</v>
      </c>
      <c r="G4" s="5" t="n">
        <v>0</v>
      </c>
      <c r="H4" s="5" t="n">
        <v>0</v>
      </c>
      <c r="I4" s="5" t="n">
        <v>0</v>
      </c>
      <c r="J4" s="5" t="n">
        <v>0</v>
      </c>
      <c r="K4" s="5" t="n">
        <v>0</v>
      </c>
      <c r="L4" s="4" t="n">
        <f aca="false">ROUND((5+16*1.982)*0.8/1.35,1)</f>
        <v>21.8</v>
      </c>
      <c r="M4" s="5" t="n">
        <v>30</v>
      </c>
      <c r="N4" s="5" t="n">
        <v>33</v>
      </c>
      <c r="O4" s="5" t="n">
        <v>57</v>
      </c>
      <c r="P4" s="5" t="n">
        <v>57</v>
      </c>
      <c r="Q4" s="5" t="n">
        <v>57</v>
      </c>
      <c r="R4" s="5" t="n">
        <v>107</v>
      </c>
      <c r="S4" s="5" t="n">
        <v>160</v>
      </c>
      <c r="T4" s="5" t="n">
        <v>230</v>
      </c>
      <c r="U4" s="5" t="n">
        <v>230</v>
      </c>
      <c r="V4" s="5" t="n">
        <v>230</v>
      </c>
      <c r="W4" s="5" t="n">
        <v>230</v>
      </c>
      <c r="X4" s="5" t="n">
        <v>230</v>
      </c>
      <c r="Y4" s="5" t="n">
        <v>230</v>
      </c>
      <c r="Z4" s="5" t="n">
        <v>230</v>
      </c>
      <c r="AA4" s="5" t="n">
        <v>230</v>
      </c>
      <c r="AB4" s="5" t="n">
        <v>230</v>
      </c>
      <c r="AC4" s="5" t="n">
        <v>230</v>
      </c>
      <c r="AD4" s="5" t="n">
        <v>230</v>
      </c>
      <c r="AE4" s="5" t="n">
        <v>230</v>
      </c>
      <c r="AF4" s="5" t="n">
        <v>230</v>
      </c>
    </row>
    <row r="5" customFormat="false" ht="15" hidden="false" customHeight="false" outlineLevel="0" collapsed="false">
      <c r="A5" s="0" t="s">
        <v>47</v>
      </c>
      <c r="B5" s="0" t="s">
        <v>346</v>
      </c>
      <c r="C5" s="0" t="s">
        <v>345</v>
      </c>
      <c r="E5" s="5" t="n">
        <v>0</v>
      </c>
      <c r="F5" s="5" t="n">
        <v>0</v>
      </c>
      <c r="G5" s="5" t="n">
        <v>0</v>
      </c>
      <c r="H5" s="5" t="n">
        <v>0</v>
      </c>
      <c r="I5" s="5" t="n">
        <v>0</v>
      </c>
      <c r="J5" s="5" t="n">
        <v>0</v>
      </c>
      <c r="K5" s="5" t="n">
        <v>0</v>
      </c>
      <c r="L5" s="4" t="n">
        <f aca="false">ROUND((5+16*1.982)/1.2,1)</f>
        <v>30.6</v>
      </c>
      <c r="M5" s="5" t="n">
        <v>45</v>
      </c>
      <c r="N5" s="5" t="n">
        <v>45</v>
      </c>
      <c r="O5" s="5" t="n">
        <v>75</v>
      </c>
      <c r="P5" s="4" t="n">
        <f aca="false">ROUND((5+62*1.982)/1.2,1)</f>
        <v>106.6</v>
      </c>
      <c r="Q5" s="5" t="n">
        <v>180</v>
      </c>
      <c r="R5" s="5" t="n">
        <v>230</v>
      </c>
      <c r="S5" s="5" t="n">
        <v>240</v>
      </c>
      <c r="T5" s="5" t="n">
        <v>240</v>
      </c>
      <c r="U5" s="5" t="n">
        <v>240</v>
      </c>
      <c r="V5" s="5" t="n">
        <v>240</v>
      </c>
      <c r="W5" s="5" t="n">
        <v>240</v>
      </c>
      <c r="X5" s="5" t="n">
        <v>240</v>
      </c>
      <c r="Y5" s="5" t="n">
        <v>240</v>
      </c>
      <c r="Z5" s="5" t="n">
        <v>240</v>
      </c>
      <c r="AA5" s="5" t="n">
        <v>240</v>
      </c>
      <c r="AB5" s="5" t="n">
        <v>240</v>
      </c>
      <c r="AC5" s="5" t="n">
        <v>240</v>
      </c>
      <c r="AD5" s="5" t="n">
        <v>240</v>
      </c>
      <c r="AE5" s="5" t="n">
        <v>240</v>
      </c>
      <c r="AF5" s="5" t="n">
        <v>240</v>
      </c>
    </row>
    <row r="6" customFormat="false" ht="15" hidden="false" customHeight="false" outlineLevel="0" collapsed="false">
      <c r="A6" s="0" t="s">
        <v>47</v>
      </c>
      <c r="B6" s="0" t="s">
        <v>347</v>
      </c>
      <c r="C6" s="0" t="s">
        <v>345</v>
      </c>
      <c r="E6" s="4" t="n">
        <f aca="false">(E4+E5)/2</f>
        <v>0</v>
      </c>
      <c r="F6" s="4" t="n">
        <f aca="false">(F4+F5)/2</f>
        <v>0</v>
      </c>
      <c r="G6" s="4" t="n">
        <f aca="false">(G4+G5)/2</f>
        <v>0</v>
      </c>
      <c r="H6" s="4" t="n">
        <f aca="false">(H4+H5)/2</f>
        <v>0</v>
      </c>
      <c r="I6" s="4" t="n">
        <f aca="false">(I4+I5)/2</f>
        <v>0</v>
      </c>
      <c r="J6" s="4" t="n">
        <f aca="false">(J4+J5)/2</f>
        <v>0</v>
      </c>
      <c r="K6" s="4" t="n">
        <f aca="false">(K4+K5)/2</f>
        <v>0</v>
      </c>
      <c r="L6" s="4" t="n">
        <f aca="false">(L4+L5)/2</f>
        <v>26.2</v>
      </c>
      <c r="M6" s="4" t="n">
        <f aca="false">(M4+M5)/2</f>
        <v>37.5</v>
      </c>
      <c r="N6" s="4" t="n">
        <f aca="false">(N4+N5)/2</f>
        <v>39</v>
      </c>
      <c r="O6" s="4" t="n">
        <f aca="false">(O4+O5)/2</f>
        <v>66</v>
      </c>
      <c r="P6" s="4" t="n">
        <f aca="false">(P4+P5)/2</f>
        <v>81.8</v>
      </c>
      <c r="Q6" s="4" t="n">
        <f aca="false">(Q4+Q5)/2</f>
        <v>118.5</v>
      </c>
      <c r="R6" s="4" t="n">
        <f aca="false">(R4+R5)/2</f>
        <v>168.5</v>
      </c>
      <c r="S6" s="4" t="n">
        <f aca="false">(S4+S5)/2</f>
        <v>200</v>
      </c>
      <c r="T6" s="4" t="n">
        <f aca="false">(T4+T5)/2</f>
        <v>235</v>
      </c>
      <c r="U6" s="4" t="n">
        <f aca="false">(U4+U5)/2</f>
        <v>235</v>
      </c>
      <c r="V6" s="4" t="n">
        <f aca="false">(V4+V5)/2</f>
        <v>235</v>
      </c>
      <c r="W6" s="4" t="n">
        <f aca="false">(W4+W5)/2</f>
        <v>235</v>
      </c>
      <c r="X6" s="4" t="n">
        <f aca="false">(X4+X5)/2</f>
        <v>235</v>
      </c>
      <c r="Y6" s="4" t="n">
        <f aca="false">(Y4+Y5)/2</f>
        <v>235</v>
      </c>
      <c r="Z6" s="4" t="n">
        <f aca="false">(Z4+Z5)/2</f>
        <v>235</v>
      </c>
      <c r="AA6" s="4" t="n">
        <f aca="false">(AA4+AA5)/2</f>
        <v>235</v>
      </c>
      <c r="AB6" s="4" t="n">
        <f aca="false">(AB4+AB5)/2</f>
        <v>235</v>
      </c>
      <c r="AC6" s="4" t="n">
        <f aca="false">(AC4+AC5)/2</f>
        <v>235</v>
      </c>
      <c r="AD6" s="4" t="n">
        <f aca="false">(AD4+AD5)/2</f>
        <v>235</v>
      </c>
      <c r="AE6" s="4" t="n">
        <f aca="false">(AE4+AE5)/2</f>
        <v>235</v>
      </c>
      <c r="AF6" s="4" t="n">
        <f aca="false">(AF4+AF5)/2</f>
        <v>235</v>
      </c>
    </row>
    <row r="7" customFormat="false" ht="15" hidden="false" customHeight="false" outlineLevel="0" collapsed="false">
      <c r="A7" s="0" t="s">
        <v>47</v>
      </c>
      <c r="B7" s="0" t="s">
        <v>348</v>
      </c>
      <c r="C7" s="0" t="s">
        <v>349</v>
      </c>
      <c r="L7" s="5" t="n">
        <v>100</v>
      </c>
      <c r="P7" s="5" t="n">
        <v>300</v>
      </c>
    </row>
    <row r="8" customFormat="false" ht="15" hidden="false" customHeight="false" outlineLevel="0" collapsed="false">
      <c r="A8" s="0" t="s">
        <v>179</v>
      </c>
      <c r="B8" s="0" t="s">
        <v>157</v>
      </c>
      <c r="C8" s="0" t="s">
        <v>343</v>
      </c>
      <c r="L8" s="5" t="n">
        <v>1200</v>
      </c>
      <c r="M8" s="5" t="n">
        <v>1200</v>
      </c>
      <c r="N8" s="5" t="n">
        <v>1200</v>
      </c>
      <c r="O8" s="5" t="n">
        <v>1200</v>
      </c>
      <c r="P8" s="5" t="n">
        <v>1200</v>
      </c>
      <c r="Q8" s="5" t="n">
        <v>1200</v>
      </c>
      <c r="R8" s="5" t="n">
        <v>1200</v>
      </c>
      <c r="S8" s="5" t="n">
        <v>1200</v>
      </c>
      <c r="T8" s="5" t="n">
        <v>1200</v>
      </c>
      <c r="U8" s="5" t="n">
        <v>1200</v>
      </c>
      <c r="V8" s="5" t="n">
        <v>1200</v>
      </c>
      <c r="W8" s="5" t="n">
        <v>1200</v>
      </c>
      <c r="X8" s="5" t="n">
        <v>1200</v>
      </c>
      <c r="Y8" s="5" t="n">
        <v>1200</v>
      </c>
      <c r="Z8" s="5" t="n">
        <v>1200</v>
      </c>
      <c r="AA8" s="5" t="n">
        <v>1200</v>
      </c>
      <c r="AB8" s="5" t="n">
        <v>1200</v>
      </c>
      <c r="AC8" s="5" t="n">
        <v>1200</v>
      </c>
      <c r="AD8" s="5" t="n">
        <v>1200</v>
      </c>
      <c r="AE8" s="5" t="n">
        <v>1200</v>
      </c>
      <c r="AF8" s="5" t="n">
        <v>1200</v>
      </c>
    </row>
    <row r="9" customFormat="false" ht="15" hidden="false" customHeight="false" outlineLevel="0" collapsed="false">
      <c r="A9" s="0" t="s">
        <v>179</v>
      </c>
      <c r="B9" s="0" t="s">
        <v>344</v>
      </c>
      <c r="C9" s="0" t="s">
        <v>350</v>
      </c>
      <c r="E9" s="5" t="n">
        <v>0</v>
      </c>
      <c r="F9" s="5" t="n">
        <v>0</v>
      </c>
      <c r="G9" s="5" t="n">
        <v>0</v>
      </c>
      <c r="H9" s="5" t="n">
        <v>0</v>
      </c>
      <c r="I9" s="5" t="n">
        <v>0</v>
      </c>
      <c r="J9" s="5" t="n">
        <v>0</v>
      </c>
      <c r="K9" s="5" t="n">
        <v>0</v>
      </c>
      <c r="L9" s="5" t="n">
        <v>0</v>
      </c>
      <c r="M9" s="5" t="n">
        <v>0</v>
      </c>
      <c r="N9" s="5" t="n">
        <v>0</v>
      </c>
      <c r="O9" s="5" t="n">
        <v>0</v>
      </c>
      <c r="P9" s="5" t="n">
        <v>0</v>
      </c>
      <c r="Q9" s="5" t="n">
        <v>0</v>
      </c>
      <c r="R9" s="5" t="n">
        <v>0</v>
      </c>
      <c r="S9" s="5" t="n">
        <v>0</v>
      </c>
      <c r="T9" s="5" t="n">
        <v>50</v>
      </c>
      <c r="U9" s="5" t="n">
        <v>50</v>
      </c>
      <c r="V9" s="5" t="n">
        <v>100</v>
      </c>
      <c r="W9" s="5" t="n">
        <v>100</v>
      </c>
      <c r="X9" s="5" t="n">
        <v>200</v>
      </c>
      <c r="Y9" s="5" t="n">
        <v>200</v>
      </c>
      <c r="Z9" s="5" t="n">
        <v>300</v>
      </c>
      <c r="AA9" s="5" t="n">
        <v>300</v>
      </c>
      <c r="AB9" s="5" t="n">
        <v>500</v>
      </c>
      <c r="AC9" s="5" t="n">
        <v>500</v>
      </c>
      <c r="AD9" s="5" t="n">
        <v>500</v>
      </c>
      <c r="AE9" s="5" t="n">
        <v>500</v>
      </c>
      <c r="AF9" s="5" t="n">
        <v>700</v>
      </c>
    </row>
    <row r="10" customFormat="false" ht="15" hidden="false" customHeight="false" outlineLevel="0" collapsed="false">
      <c r="A10" s="0" t="s">
        <v>179</v>
      </c>
      <c r="B10" s="0" t="s">
        <v>346</v>
      </c>
      <c r="C10" s="0" t="s">
        <v>350</v>
      </c>
      <c r="E10" s="5" t="n">
        <v>0</v>
      </c>
      <c r="F10" s="5" t="n">
        <v>0</v>
      </c>
      <c r="G10" s="5" t="n">
        <v>0</v>
      </c>
      <c r="H10" s="5" t="n">
        <v>0</v>
      </c>
      <c r="I10" s="5" t="n">
        <v>0</v>
      </c>
      <c r="J10" s="5" t="n">
        <v>0</v>
      </c>
      <c r="K10" s="5" t="n">
        <v>0</v>
      </c>
      <c r="L10" s="5" t="n">
        <v>0</v>
      </c>
      <c r="M10" s="5" t="n">
        <v>0</v>
      </c>
      <c r="N10" s="5" t="n">
        <v>0</v>
      </c>
      <c r="O10" s="5" t="n">
        <v>0</v>
      </c>
      <c r="P10" s="5" t="n">
        <v>0</v>
      </c>
      <c r="Q10" s="5" t="n">
        <v>0</v>
      </c>
      <c r="R10" s="5" t="n">
        <v>0</v>
      </c>
      <c r="S10" s="5" t="n">
        <v>100</v>
      </c>
      <c r="T10" s="5" t="n">
        <v>200</v>
      </c>
      <c r="U10" s="5" t="n">
        <v>200</v>
      </c>
      <c r="V10" s="5" t="n">
        <v>250</v>
      </c>
      <c r="W10" s="5" t="n">
        <v>250</v>
      </c>
      <c r="X10" s="5" t="n">
        <v>250</v>
      </c>
      <c r="Y10" s="5" t="n">
        <v>250</v>
      </c>
      <c r="Z10" s="5" t="n">
        <v>600</v>
      </c>
      <c r="AA10" s="5" t="n">
        <v>600</v>
      </c>
      <c r="AB10" s="5" t="n">
        <v>800</v>
      </c>
      <c r="AC10" s="5" t="n">
        <v>800</v>
      </c>
      <c r="AD10" s="5" t="n">
        <v>800</v>
      </c>
      <c r="AE10" s="5" t="n">
        <v>800</v>
      </c>
      <c r="AF10" s="5" t="n">
        <v>1200</v>
      </c>
    </row>
    <row r="11" customFormat="false" ht="15" hidden="false" customHeight="false" outlineLevel="0" collapsed="false">
      <c r="A11" s="0" t="s">
        <v>179</v>
      </c>
      <c r="B11" s="0" t="s">
        <v>347</v>
      </c>
      <c r="C11" s="0" t="s">
        <v>350</v>
      </c>
      <c r="E11" s="4" t="n">
        <f aca="false">(E9+E10)/2</f>
        <v>0</v>
      </c>
      <c r="F11" s="4" t="n">
        <f aca="false">(F9+F10)/2</f>
        <v>0</v>
      </c>
      <c r="G11" s="4" t="n">
        <f aca="false">(G9+G10)/2</f>
        <v>0</v>
      </c>
      <c r="H11" s="4" t="n">
        <f aca="false">(H9+H10)/2</f>
        <v>0</v>
      </c>
      <c r="I11" s="4" t="n">
        <f aca="false">(I9+I10)/2</f>
        <v>0</v>
      </c>
      <c r="J11" s="4" t="n">
        <f aca="false">(J9+J10)/2</f>
        <v>0</v>
      </c>
      <c r="K11" s="4" t="n">
        <f aca="false">(K9+K10)/2</f>
        <v>0</v>
      </c>
      <c r="L11" s="4" t="n">
        <f aca="false">(L9+L10)/2</f>
        <v>0</v>
      </c>
      <c r="M11" s="4" t="n">
        <f aca="false">(M9+M10)/2</f>
        <v>0</v>
      </c>
      <c r="N11" s="4" t="n">
        <f aca="false">(N9+N10)/2</f>
        <v>0</v>
      </c>
      <c r="O11" s="4" t="n">
        <f aca="false">(O9+O10)/2</f>
        <v>0</v>
      </c>
      <c r="P11" s="4" t="n">
        <f aca="false">(P9+P10)/2</f>
        <v>0</v>
      </c>
      <c r="Q11" s="4" t="n">
        <f aca="false">(Q9+Q10)/2</f>
        <v>0</v>
      </c>
      <c r="R11" s="4" t="n">
        <f aca="false">(R9+R10)/2</f>
        <v>0</v>
      </c>
      <c r="S11" s="4" t="n">
        <f aca="false">(S9+S10)/2</f>
        <v>50</v>
      </c>
      <c r="T11" s="4" t="n">
        <f aca="false">(T9+T10)/2</f>
        <v>125</v>
      </c>
      <c r="U11" s="4" t="n">
        <f aca="false">(U9+U10)/2</f>
        <v>125</v>
      </c>
      <c r="V11" s="4" t="n">
        <f aca="false">(V9+V10)/2</f>
        <v>175</v>
      </c>
      <c r="W11" s="4" t="n">
        <f aca="false">(W9+W10)/2</f>
        <v>175</v>
      </c>
      <c r="X11" s="4" t="n">
        <f aca="false">(X9+X10)/2</f>
        <v>225</v>
      </c>
      <c r="Y11" s="4" t="n">
        <f aca="false">(Y9+Y10)/2</f>
        <v>225</v>
      </c>
      <c r="Z11" s="4" t="n">
        <f aca="false">(Z9+Z10)/2</f>
        <v>450</v>
      </c>
      <c r="AA11" s="4" t="n">
        <f aca="false">(AA9+AA10)/2</f>
        <v>450</v>
      </c>
      <c r="AB11" s="4" t="n">
        <f aca="false">(AB9+AB10)/2</f>
        <v>650</v>
      </c>
      <c r="AC11" s="4" t="n">
        <f aca="false">(AC9+AC10)/2</f>
        <v>650</v>
      </c>
      <c r="AD11" s="4" t="n">
        <f aca="false">(AD9+AD10)/2</f>
        <v>650</v>
      </c>
      <c r="AE11" s="4" t="n">
        <f aca="false">(AE9+AE10)/2</f>
        <v>650</v>
      </c>
      <c r="AF11" s="4" t="n">
        <f aca="false">(AF9+AF10)/2</f>
        <v>950</v>
      </c>
    </row>
    <row r="12" customFormat="false" ht="15" hidden="false" customHeight="false" outlineLevel="0" collapsed="false">
      <c r="A12" s="0" t="s">
        <v>179</v>
      </c>
      <c r="B12" s="0" t="s">
        <v>348</v>
      </c>
      <c r="C12" s="0" t="s">
        <v>349</v>
      </c>
      <c r="O12" s="5" t="s">
        <v>351</v>
      </c>
      <c r="T12" s="5" t="s">
        <v>352</v>
      </c>
    </row>
    <row r="13" customFormat="false" ht="15" hidden="false" customHeight="false" outlineLevel="0" collapsed="false">
      <c r="A13" s="0" t="s">
        <v>190</v>
      </c>
      <c r="B13" s="0" t="s">
        <v>157</v>
      </c>
      <c r="C13" s="0" t="s">
        <v>343</v>
      </c>
      <c r="N13" s="5" t="n">
        <v>1200</v>
      </c>
      <c r="O13" s="5" t="n">
        <v>1200</v>
      </c>
      <c r="P13" s="5" t="n">
        <v>1200</v>
      </c>
      <c r="Q13" s="5" t="n">
        <v>1200</v>
      </c>
      <c r="R13" s="5" t="n">
        <v>1200</v>
      </c>
      <c r="S13" s="5" t="n">
        <v>1200</v>
      </c>
      <c r="T13" s="5" t="n">
        <v>1200</v>
      </c>
      <c r="U13" s="5" t="n">
        <v>1200</v>
      </c>
      <c r="V13" s="5" t="n">
        <v>1200</v>
      </c>
      <c r="W13" s="5" t="n">
        <v>1200</v>
      </c>
      <c r="X13" s="5" t="n">
        <v>1200</v>
      </c>
      <c r="Y13" s="5" t="n">
        <v>1200</v>
      </c>
      <c r="Z13" s="5" t="n">
        <v>1200</v>
      </c>
      <c r="AA13" s="5" t="n">
        <v>1200</v>
      </c>
      <c r="AB13" s="5" t="n">
        <v>1200</v>
      </c>
      <c r="AC13" s="5" t="n">
        <v>1200</v>
      </c>
      <c r="AD13" s="5" t="n">
        <v>1200</v>
      </c>
      <c r="AE13" s="5" t="n">
        <v>1200</v>
      </c>
      <c r="AF13" s="5" t="n">
        <v>1200</v>
      </c>
    </row>
    <row r="14" customFormat="false" ht="15" hidden="false" customHeight="false" outlineLevel="0" collapsed="false">
      <c r="A14" s="0" t="s">
        <v>190</v>
      </c>
      <c r="B14" s="0" t="s">
        <v>344</v>
      </c>
      <c r="C14" s="0" t="s">
        <v>350</v>
      </c>
      <c r="E14" s="5" t="n">
        <v>0</v>
      </c>
      <c r="F14" s="5" t="n">
        <v>0</v>
      </c>
      <c r="G14" s="5" t="n">
        <v>0</v>
      </c>
      <c r="H14" s="5" t="n">
        <v>0</v>
      </c>
      <c r="I14" s="5" t="n">
        <v>0</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130</v>
      </c>
      <c r="Y14" s="5" t="n">
        <v>130</v>
      </c>
      <c r="Z14" s="5" t="n">
        <v>260</v>
      </c>
      <c r="AA14" s="5" t="n">
        <v>260</v>
      </c>
      <c r="AB14" s="5" t="n">
        <v>400</v>
      </c>
      <c r="AC14" s="5" t="n">
        <v>400</v>
      </c>
      <c r="AD14" s="5" t="n">
        <v>400</v>
      </c>
      <c r="AE14" s="5" t="n">
        <v>400</v>
      </c>
      <c r="AF14" s="5" t="n">
        <v>660</v>
      </c>
    </row>
    <row r="15" customFormat="false" ht="15" hidden="false" customHeight="false" outlineLevel="0" collapsed="false">
      <c r="A15" s="0" t="s">
        <v>190</v>
      </c>
      <c r="B15" s="0" t="s">
        <v>346</v>
      </c>
      <c r="C15" s="0" t="s">
        <v>350</v>
      </c>
      <c r="E15" s="5" t="n">
        <v>0</v>
      </c>
      <c r="F15" s="5" t="n">
        <v>0</v>
      </c>
      <c r="G15" s="5" t="n">
        <v>0</v>
      </c>
      <c r="H15" s="5" t="n">
        <v>0</v>
      </c>
      <c r="I15" s="5" t="n">
        <v>0</v>
      </c>
      <c r="J15" s="5" t="n">
        <v>0</v>
      </c>
      <c r="K15" s="5" t="n">
        <v>0</v>
      </c>
      <c r="L15" s="5" t="n">
        <v>0</v>
      </c>
      <c r="M15" s="5" t="n">
        <v>0</v>
      </c>
      <c r="N15" s="5" t="n">
        <v>0</v>
      </c>
      <c r="O15" s="5" t="n">
        <v>0</v>
      </c>
      <c r="P15" s="5" t="n">
        <v>0</v>
      </c>
      <c r="Q15" s="5" t="n">
        <v>0</v>
      </c>
      <c r="R15" s="5" t="n">
        <v>0</v>
      </c>
      <c r="S15" s="5" t="n">
        <v>0</v>
      </c>
      <c r="T15" s="5" t="n">
        <v>130</v>
      </c>
      <c r="U15" s="5" t="n">
        <v>260</v>
      </c>
      <c r="V15" s="5" t="n">
        <v>260</v>
      </c>
      <c r="W15" s="5" t="n">
        <v>260</v>
      </c>
      <c r="X15" s="5" t="n">
        <v>400</v>
      </c>
      <c r="Y15" s="5" t="n">
        <v>400</v>
      </c>
      <c r="Z15" s="5" t="n">
        <v>660</v>
      </c>
      <c r="AA15" s="5" t="n">
        <v>660</v>
      </c>
      <c r="AB15" s="5" t="n">
        <v>1000</v>
      </c>
      <c r="AC15" s="5" t="n">
        <v>1000</v>
      </c>
      <c r="AD15" s="5" t="n">
        <v>1000</v>
      </c>
      <c r="AE15" s="5" t="n">
        <v>1000</v>
      </c>
      <c r="AF15" s="5" t="n">
        <v>1200</v>
      </c>
    </row>
    <row r="16" customFormat="false" ht="15" hidden="false" customHeight="false" outlineLevel="0" collapsed="false">
      <c r="A16" s="0" t="s">
        <v>190</v>
      </c>
      <c r="B16" s="0" t="s">
        <v>347</v>
      </c>
      <c r="C16" s="0" t="s">
        <v>350</v>
      </c>
      <c r="E16" s="4" t="n">
        <f aca="false">(E14+E15)/2</f>
        <v>0</v>
      </c>
      <c r="F16" s="4" t="n">
        <f aca="false">(F14+F15)/2</f>
        <v>0</v>
      </c>
      <c r="G16" s="4" t="n">
        <f aca="false">(G14+G15)/2</f>
        <v>0</v>
      </c>
      <c r="H16" s="4" t="n">
        <f aca="false">(H14+H15)/2</f>
        <v>0</v>
      </c>
      <c r="I16" s="4" t="n">
        <f aca="false">(I14+I15)/2</f>
        <v>0</v>
      </c>
      <c r="J16" s="4" t="n">
        <f aca="false">(J14+J15)/2</f>
        <v>0</v>
      </c>
      <c r="K16" s="4" t="n">
        <f aca="false">(K14+K15)/2</f>
        <v>0</v>
      </c>
      <c r="L16" s="4" t="n">
        <f aca="false">(L14+L15)/2</f>
        <v>0</v>
      </c>
      <c r="M16" s="4" t="n">
        <f aca="false">(M14+M15)/2</f>
        <v>0</v>
      </c>
      <c r="N16" s="4" t="n">
        <f aca="false">(N14+N15)/2</f>
        <v>0</v>
      </c>
      <c r="O16" s="4" t="n">
        <f aca="false">(O14+O15)/2</f>
        <v>0</v>
      </c>
      <c r="P16" s="4" t="n">
        <f aca="false">(P14+P15)/2</f>
        <v>0</v>
      </c>
      <c r="Q16" s="4" t="n">
        <f aca="false">(Q14+Q15)/2</f>
        <v>0</v>
      </c>
      <c r="R16" s="4" t="n">
        <f aca="false">(R14+R15)/2</f>
        <v>0</v>
      </c>
      <c r="S16" s="4" t="n">
        <f aca="false">(S14+S15)/2</f>
        <v>0</v>
      </c>
      <c r="T16" s="4" t="n">
        <f aca="false">(T14+T15)/2</f>
        <v>65</v>
      </c>
      <c r="U16" s="4" t="n">
        <f aca="false">(U14+U15)/2</f>
        <v>130</v>
      </c>
      <c r="V16" s="4" t="n">
        <f aca="false">(V14+V15)/2</f>
        <v>130</v>
      </c>
      <c r="W16" s="4" t="n">
        <f aca="false">(W14+W15)/2</f>
        <v>130</v>
      </c>
      <c r="X16" s="4" t="n">
        <f aca="false">(X14+X15)/2</f>
        <v>265</v>
      </c>
      <c r="Y16" s="4" t="n">
        <f aca="false">(Y14+Y15)/2</f>
        <v>265</v>
      </c>
      <c r="Z16" s="4" t="n">
        <f aca="false">(Z14+Z15)/2</f>
        <v>460</v>
      </c>
      <c r="AA16" s="4" t="n">
        <f aca="false">(AA14+AA15)/2</f>
        <v>460</v>
      </c>
      <c r="AB16" s="4" t="n">
        <f aca="false">(AB14+AB15)/2</f>
        <v>700</v>
      </c>
      <c r="AC16" s="4" t="n">
        <f aca="false">(AC14+AC15)/2</f>
        <v>700</v>
      </c>
      <c r="AD16" s="4" t="n">
        <f aca="false">(AD14+AD15)/2</f>
        <v>700</v>
      </c>
      <c r="AE16" s="4" t="n">
        <f aca="false">(AE14+AE15)/2</f>
        <v>700</v>
      </c>
      <c r="AF16" s="4" t="n">
        <f aca="false">(AF14+AF15)/2</f>
        <v>930</v>
      </c>
    </row>
    <row r="17" customFormat="false" ht="15" hidden="false" customHeight="false" outlineLevel="0" collapsed="false">
      <c r="A17" s="0" t="s">
        <v>190</v>
      </c>
      <c r="B17" s="0" t="s">
        <v>348</v>
      </c>
      <c r="C17" s="0" t="s">
        <v>349</v>
      </c>
      <c r="T17" s="5" t="n">
        <v>260</v>
      </c>
      <c r="Y17" s="5" t="n">
        <v>660</v>
      </c>
      <c r="AB17" s="5" t="n">
        <v>1000</v>
      </c>
    </row>
    <row r="18" customFormat="false" ht="15" hidden="false" customHeight="false" outlineLevel="0" collapsed="false">
      <c r="A18" s="0" t="s">
        <v>198</v>
      </c>
      <c r="B18" s="0" t="s">
        <v>157</v>
      </c>
      <c r="C18" s="0" t="s">
        <v>343</v>
      </c>
      <c r="K18" s="5" t="n">
        <v>300</v>
      </c>
      <c r="L18" s="5" t="n">
        <v>300</v>
      </c>
      <c r="M18" s="5" t="n">
        <v>300</v>
      </c>
      <c r="N18" s="5" t="n">
        <v>300</v>
      </c>
      <c r="O18" s="5" t="n">
        <v>300</v>
      </c>
      <c r="P18" s="5" t="n">
        <v>300</v>
      </c>
      <c r="Q18" s="5" t="n">
        <v>300</v>
      </c>
      <c r="R18" s="5" t="n">
        <v>300</v>
      </c>
      <c r="S18" s="5" t="n">
        <v>300</v>
      </c>
      <c r="T18" s="5" t="n">
        <v>300</v>
      </c>
      <c r="U18" s="5" t="n">
        <v>300</v>
      </c>
      <c r="V18" s="5" t="n">
        <v>300</v>
      </c>
      <c r="W18" s="5" t="n">
        <v>300</v>
      </c>
      <c r="X18" s="5" t="n">
        <v>300</v>
      </c>
      <c r="Y18" s="5" t="n">
        <v>300</v>
      </c>
      <c r="Z18" s="5" t="n">
        <v>300</v>
      </c>
      <c r="AA18" s="5" t="n">
        <v>300</v>
      </c>
      <c r="AB18" s="5" t="n">
        <v>300</v>
      </c>
      <c r="AC18" s="5" t="n">
        <v>300</v>
      </c>
      <c r="AD18" s="5" t="n">
        <v>300</v>
      </c>
      <c r="AE18" s="5" t="n">
        <v>300</v>
      </c>
      <c r="AF18" s="5" t="n">
        <v>300</v>
      </c>
    </row>
    <row r="19" customFormat="false" ht="15" hidden="false" customHeight="false" outlineLevel="0" collapsed="false">
      <c r="A19" s="0" t="s">
        <v>198</v>
      </c>
      <c r="B19" s="0" t="s">
        <v>344</v>
      </c>
      <c r="C19" s="0" t="s">
        <v>350</v>
      </c>
      <c r="E19" s="5" t="n">
        <v>0</v>
      </c>
      <c r="F19" s="5" t="n">
        <v>0</v>
      </c>
      <c r="G19" s="5" t="n">
        <v>0</v>
      </c>
      <c r="H19" s="5" t="n">
        <v>0</v>
      </c>
      <c r="I19" s="5" t="n">
        <v>0</v>
      </c>
      <c r="J19" s="5" t="n">
        <v>0</v>
      </c>
      <c r="K19" s="5" t="n">
        <v>0</v>
      </c>
      <c r="L19" s="5" t="n">
        <v>0</v>
      </c>
      <c r="M19" s="5" t="n">
        <v>0</v>
      </c>
      <c r="N19" s="5" t="n">
        <v>0</v>
      </c>
      <c r="O19" s="5" t="n">
        <v>0</v>
      </c>
      <c r="P19" s="5" t="n">
        <v>0</v>
      </c>
      <c r="Q19" s="5" t="n">
        <v>0</v>
      </c>
      <c r="R19" s="5" t="n">
        <v>0</v>
      </c>
      <c r="S19" s="5" t="n">
        <v>25</v>
      </c>
      <c r="T19" s="5" t="n">
        <v>50</v>
      </c>
      <c r="U19" s="5" t="n">
        <v>50</v>
      </c>
      <c r="V19" s="5" t="n">
        <v>100</v>
      </c>
      <c r="W19" s="5" t="n">
        <v>100</v>
      </c>
      <c r="X19" s="5" t="n">
        <v>200</v>
      </c>
      <c r="Y19" s="5" t="n">
        <v>200</v>
      </c>
      <c r="Z19" s="5" t="n">
        <v>200</v>
      </c>
      <c r="AA19" s="5" t="n">
        <v>200</v>
      </c>
      <c r="AB19" s="5" t="n">
        <v>300</v>
      </c>
      <c r="AC19" s="5" t="n">
        <v>300</v>
      </c>
      <c r="AD19" s="5" t="n">
        <v>300</v>
      </c>
      <c r="AE19" s="5" t="n">
        <v>300</v>
      </c>
      <c r="AF19" s="5" t="n">
        <v>300</v>
      </c>
    </row>
    <row r="20" customFormat="false" ht="15" hidden="false" customHeight="false" outlineLevel="0" collapsed="false">
      <c r="A20" s="0" t="s">
        <v>198</v>
      </c>
      <c r="B20" s="0" t="s">
        <v>346</v>
      </c>
      <c r="C20" s="0" t="s">
        <v>350</v>
      </c>
      <c r="E20" s="5" t="n">
        <v>0</v>
      </c>
      <c r="F20" s="5" t="n">
        <v>0</v>
      </c>
      <c r="G20" s="5" t="n">
        <v>0</v>
      </c>
      <c r="H20" s="5" t="n">
        <v>0</v>
      </c>
      <c r="I20" s="5" t="n">
        <v>0</v>
      </c>
      <c r="J20" s="5" t="n">
        <v>0</v>
      </c>
      <c r="K20" s="5" t="n">
        <v>0</v>
      </c>
      <c r="L20" s="5" t="n">
        <v>0</v>
      </c>
      <c r="M20" s="5" t="n">
        <v>0</v>
      </c>
      <c r="N20" s="5" t="n">
        <v>0</v>
      </c>
      <c r="O20" s="5" t="n">
        <v>0</v>
      </c>
      <c r="P20" s="5" t="n">
        <v>0</v>
      </c>
      <c r="Q20" s="5" t="n">
        <v>25</v>
      </c>
      <c r="R20" s="5" t="n">
        <v>50</v>
      </c>
      <c r="S20" s="5" t="n">
        <v>75</v>
      </c>
      <c r="T20" s="5" t="n">
        <v>100</v>
      </c>
      <c r="U20" s="5" t="n">
        <v>100</v>
      </c>
      <c r="V20" s="5" t="n">
        <v>200</v>
      </c>
      <c r="W20" s="5" t="n">
        <v>200</v>
      </c>
      <c r="X20" s="5" t="n">
        <v>300</v>
      </c>
      <c r="Y20" s="5" t="n">
        <v>300</v>
      </c>
      <c r="Z20" s="5" t="n">
        <v>300</v>
      </c>
      <c r="AA20" s="5" t="n">
        <v>300</v>
      </c>
      <c r="AB20" s="5" t="n">
        <v>300</v>
      </c>
      <c r="AC20" s="5" t="n">
        <v>300</v>
      </c>
      <c r="AD20" s="5" t="n">
        <v>300</v>
      </c>
      <c r="AE20" s="5" t="n">
        <v>300</v>
      </c>
      <c r="AF20" s="5" t="n">
        <v>300</v>
      </c>
    </row>
    <row r="21" customFormat="false" ht="15" hidden="false" customHeight="false" outlineLevel="0" collapsed="false">
      <c r="A21" s="0" t="s">
        <v>198</v>
      </c>
      <c r="B21" s="0" t="s">
        <v>347</v>
      </c>
      <c r="C21" s="0" t="s">
        <v>350</v>
      </c>
      <c r="E21" s="4" t="n">
        <f aca="false">(E19+E20)/2</f>
        <v>0</v>
      </c>
      <c r="F21" s="4" t="n">
        <f aca="false">(F19+F20)/2</f>
        <v>0</v>
      </c>
      <c r="G21" s="4" t="n">
        <f aca="false">(G19+G20)/2</f>
        <v>0</v>
      </c>
      <c r="H21" s="4" t="n">
        <f aca="false">(H19+H20)/2</f>
        <v>0</v>
      </c>
      <c r="I21" s="4" t="n">
        <f aca="false">(I19+I20)/2</f>
        <v>0</v>
      </c>
      <c r="J21" s="4" t="n">
        <f aca="false">(J19+J20)/2</f>
        <v>0</v>
      </c>
      <c r="K21" s="4" t="n">
        <f aca="false">(K19+K20)/2</f>
        <v>0</v>
      </c>
      <c r="L21" s="4" t="n">
        <f aca="false">(L19+L20)/2</f>
        <v>0</v>
      </c>
      <c r="M21" s="4" t="n">
        <f aca="false">(M19+M20)/2</f>
        <v>0</v>
      </c>
      <c r="N21" s="4" t="n">
        <f aca="false">(N19+N20)/2</f>
        <v>0</v>
      </c>
      <c r="O21" s="4" t="n">
        <f aca="false">(O19+O20)/2</f>
        <v>0</v>
      </c>
      <c r="P21" s="4" t="n">
        <f aca="false">(P19+P20)/2</f>
        <v>0</v>
      </c>
      <c r="Q21" s="4" t="n">
        <f aca="false">(Q19+Q20)/2</f>
        <v>12.5</v>
      </c>
      <c r="R21" s="4" t="n">
        <f aca="false">(R19+R20)/2</f>
        <v>25</v>
      </c>
      <c r="S21" s="4" t="n">
        <f aca="false">(S19+S20)/2</f>
        <v>50</v>
      </c>
      <c r="T21" s="4" t="n">
        <f aca="false">(T19+T20)/2</f>
        <v>75</v>
      </c>
      <c r="U21" s="4" t="n">
        <f aca="false">(U19+U20)/2</f>
        <v>75</v>
      </c>
      <c r="V21" s="4" t="n">
        <f aca="false">(V19+V20)/2</f>
        <v>150</v>
      </c>
      <c r="W21" s="4" t="n">
        <f aca="false">(W19+W20)/2</f>
        <v>150</v>
      </c>
      <c r="X21" s="4" t="n">
        <f aca="false">(X19+X20)/2</f>
        <v>250</v>
      </c>
      <c r="Y21" s="4" t="n">
        <f aca="false">(Y19+Y20)/2</f>
        <v>250</v>
      </c>
      <c r="Z21" s="4" t="n">
        <f aca="false">(Z19+Z20)/2</f>
        <v>250</v>
      </c>
      <c r="AA21" s="4" t="n">
        <f aca="false">(AA19+AA20)/2</f>
        <v>250</v>
      </c>
      <c r="AB21" s="4" t="n">
        <f aca="false">(AB19+AB20)/2</f>
        <v>300</v>
      </c>
      <c r="AC21" s="4" t="n">
        <f aca="false">(AC19+AC20)/2</f>
        <v>300</v>
      </c>
      <c r="AD21" s="4" t="n">
        <f aca="false">(AD19+AD20)/2</f>
        <v>300</v>
      </c>
      <c r="AE21" s="4" t="n">
        <f aca="false">(AE19+AE20)/2</f>
        <v>300</v>
      </c>
      <c r="AF21" s="4" t="n">
        <f aca="false">(AF19+AF20)/2</f>
        <v>300</v>
      </c>
    </row>
    <row r="22" customFormat="false" ht="15" hidden="false" customHeight="false" outlineLevel="0" collapsed="false">
      <c r="A22" s="0" t="s">
        <v>198</v>
      </c>
      <c r="B22" s="0" t="s">
        <v>348</v>
      </c>
      <c r="C22" s="0" t="s">
        <v>349</v>
      </c>
      <c r="P22" s="5" t="s">
        <v>353</v>
      </c>
    </row>
    <row r="23" customFormat="false" ht="15" hidden="false" customHeight="false" outlineLevel="0" collapsed="false">
      <c r="A23" s="0" t="s">
        <v>50</v>
      </c>
      <c r="B23" s="0" t="s">
        <v>157</v>
      </c>
      <c r="C23" s="0" t="s">
        <v>343</v>
      </c>
      <c r="M23" s="5" t="n">
        <v>240</v>
      </c>
      <c r="N23" s="5" t="n">
        <v>240</v>
      </c>
      <c r="O23" s="5" t="n">
        <v>240</v>
      </c>
      <c r="P23" s="5" t="n">
        <v>240</v>
      </c>
      <c r="Q23" s="5" t="n">
        <v>240</v>
      </c>
      <c r="R23" s="5" t="n">
        <v>240</v>
      </c>
      <c r="S23" s="5" t="n">
        <v>240</v>
      </c>
      <c r="T23" s="5" t="n">
        <v>240</v>
      </c>
      <c r="U23" s="5" t="n">
        <v>240</v>
      </c>
      <c r="V23" s="5" t="n">
        <v>240</v>
      </c>
      <c r="W23" s="5" t="n">
        <v>240</v>
      </c>
      <c r="X23" s="5" t="n">
        <v>240</v>
      </c>
      <c r="Y23" s="5" t="n">
        <v>240</v>
      </c>
      <c r="Z23" s="5" t="n">
        <v>240</v>
      </c>
      <c r="AA23" s="5" t="n">
        <v>240</v>
      </c>
      <c r="AB23" s="5" t="n">
        <v>240</v>
      </c>
      <c r="AC23" s="5" t="n">
        <v>240</v>
      </c>
      <c r="AD23" s="5" t="n">
        <v>240</v>
      </c>
      <c r="AE23" s="5" t="n">
        <v>240</v>
      </c>
      <c r="AF23" s="5" t="n">
        <v>240</v>
      </c>
    </row>
    <row r="24" customFormat="false" ht="15" hidden="false" customHeight="false" outlineLevel="0" collapsed="false">
      <c r="A24" s="0" t="s">
        <v>50</v>
      </c>
      <c r="B24" s="0" t="s">
        <v>344</v>
      </c>
      <c r="C24" s="0" t="s">
        <v>350</v>
      </c>
      <c r="E24" s="5" t="n">
        <v>0</v>
      </c>
      <c r="F24" s="5" t="n">
        <v>0</v>
      </c>
      <c r="G24" s="5" t="n">
        <v>0</v>
      </c>
      <c r="H24" s="5" t="n">
        <v>0</v>
      </c>
      <c r="I24" s="5" t="n">
        <v>0</v>
      </c>
      <c r="J24" s="5" t="n">
        <v>0</v>
      </c>
      <c r="K24" s="5" t="n">
        <v>0</v>
      </c>
      <c r="L24" s="5" t="n">
        <v>0</v>
      </c>
      <c r="M24" s="5" t="n">
        <v>0</v>
      </c>
      <c r="N24" s="5" t="n">
        <v>0</v>
      </c>
      <c r="O24" s="5" t="n">
        <v>0</v>
      </c>
      <c r="P24" s="5" t="n">
        <v>0</v>
      </c>
      <c r="Q24" s="5" t="n">
        <v>27</v>
      </c>
      <c r="R24" s="5" t="n">
        <v>60</v>
      </c>
      <c r="S24" s="5" t="n">
        <v>60</v>
      </c>
      <c r="T24" s="5" t="n">
        <v>120</v>
      </c>
      <c r="U24" s="5" t="n">
        <v>120</v>
      </c>
      <c r="V24" s="5" t="n">
        <v>120</v>
      </c>
      <c r="W24" s="5" t="n">
        <v>120</v>
      </c>
      <c r="X24" s="5" t="n">
        <v>240</v>
      </c>
      <c r="Y24" s="5" t="n">
        <v>240</v>
      </c>
      <c r="Z24" s="5" t="n">
        <v>240</v>
      </c>
      <c r="AA24" s="5" t="n">
        <v>240</v>
      </c>
      <c r="AB24" s="5" t="n">
        <v>240</v>
      </c>
      <c r="AC24" s="5" t="n">
        <v>240</v>
      </c>
      <c r="AD24" s="5" t="n">
        <v>240</v>
      </c>
      <c r="AE24" s="5" t="n">
        <v>240</v>
      </c>
      <c r="AF24" s="5" t="n">
        <v>240</v>
      </c>
    </row>
    <row r="25" customFormat="false" ht="15" hidden="false" customHeight="false" outlineLevel="0" collapsed="false">
      <c r="A25" s="0" t="s">
        <v>50</v>
      </c>
      <c r="B25" s="0" t="s">
        <v>346</v>
      </c>
      <c r="C25" s="0" t="s">
        <v>350</v>
      </c>
      <c r="E25" s="5" t="n">
        <v>0</v>
      </c>
      <c r="F25" s="5" t="n">
        <v>0</v>
      </c>
      <c r="G25" s="5" t="n">
        <v>0</v>
      </c>
      <c r="H25" s="5" t="n">
        <v>0</v>
      </c>
      <c r="I25" s="5" t="n">
        <v>0</v>
      </c>
      <c r="J25" s="5" t="n">
        <v>0</v>
      </c>
      <c r="K25" s="5" t="n">
        <v>0</v>
      </c>
      <c r="L25" s="5" t="n">
        <v>0</v>
      </c>
      <c r="M25" s="5" t="n">
        <v>0</v>
      </c>
      <c r="N25" s="5" t="n">
        <v>0</v>
      </c>
      <c r="O25" s="5" t="n">
        <v>0</v>
      </c>
      <c r="P25" s="5" t="n">
        <v>60</v>
      </c>
      <c r="Q25" s="5" t="n">
        <v>120</v>
      </c>
      <c r="R25" s="5" t="n">
        <v>180</v>
      </c>
      <c r="S25" s="5" t="n">
        <v>180</v>
      </c>
      <c r="T25" s="5" t="n">
        <v>240</v>
      </c>
      <c r="U25" s="5" t="n">
        <v>240</v>
      </c>
      <c r="V25" s="5" t="n">
        <v>240</v>
      </c>
      <c r="W25" s="5" t="n">
        <v>240</v>
      </c>
      <c r="X25" s="5" t="n">
        <v>240</v>
      </c>
      <c r="Y25" s="5" t="n">
        <v>240</v>
      </c>
      <c r="Z25" s="5" t="n">
        <v>240</v>
      </c>
      <c r="AA25" s="5" t="n">
        <v>240</v>
      </c>
      <c r="AB25" s="5" t="n">
        <v>240</v>
      </c>
      <c r="AC25" s="5" t="n">
        <v>240</v>
      </c>
      <c r="AD25" s="5" t="n">
        <v>240</v>
      </c>
      <c r="AE25" s="5" t="n">
        <v>240</v>
      </c>
      <c r="AF25" s="5" t="n">
        <v>240</v>
      </c>
    </row>
    <row r="26" customFormat="false" ht="15" hidden="false" customHeight="false" outlineLevel="0" collapsed="false">
      <c r="A26" s="0" t="s">
        <v>50</v>
      </c>
      <c r="B26" s="0" t="s">
        <v>347</v>
      </c>
      <c r="C26" s="0" t="s">
        <v>350</v>
      </c>
      <c r="E26" s="4" t="n">
        <f aca="false">(E24+E25)/2</f>
        <v>0</v>
      </c>
      <c r="F26" s="4" t="n">
        <f aca="false">(F24+F25)/2</f>
        <v>0</v>
      </c>
      <c r="G26" s="4" t="n">
        <f aca="false">(G24+G25)/2</f>
        <v>0</v>
      </c>
      <c r="H26" s="4" t="n">
        <f aca="false">(H24+H25)/2</f>
        <v>0</v>
      </c>
      <c r="I26" s="4" t="n">
        <f aca="false">(I24+I25)/2</f>
        <v>0</v>
      </c>
      <c r="J26" s="4" t="n">
        <f aca="false">(J24+J25)/2</f>
        <v>0</v>
      </c>
      <c r="K26" s="4" t="n">
        <f aca="false">(K24+K25)/2</f>
        <v>0</v>
      </c>
      <c r="L26" s="4" t="n">
        <f aca="false">(L24+L25)/2</f>
        <v>0</v>
      </c>
      <c r="M26" s="4" t="n">
        <f aca="false">(M24+M25)/2</f>
        <v>0</v>
      </c>
      <c r="N26" s="4" t="n">
        <f aca="false">(N24+N25)/2</f>
        <v>0</v>
      </c>
      <c r="O26" s="4" t="n">
        <f aca="false">(O24+O25)/2</f>
        <v>0</v>
      </c>
      <c r="P26" s="4" t="n">
        <f aca="false">(P24+P25)/2</f>
        <v>30</v>
      </c>
      <c r="Q26" s="4" t="n">
        <f aca="false">(Q24+Q25)/2</f>
        <v>73.5</v>
      </c>
      <c r="R26" s="4" t="n">
        <f aca="false">(R24+R25)/2</f>
        <v>120</v>
      </c>
      <c r="S26" s="4" t="n">
        <f aca="false">(S24+S25)/2</f>
        <v>120</v>
      </c>
      <c r="T26" s="4" t="n">
        <f aca="false">(T24+T25)/2</f>
        <v>180</v>
      </c>
      <c r="U26" s="4" t="n">
        <f aca="false">(U24+U25)/2</f>
        <v>180</v>
      </c>
      <c r="V26" s="4" t="n">
        <f aca="false">(V24+V25)/2</f>
        <v>180</v>
      </c>
      <c r="W26" s="4" t="n">
        <f aca="false">(W24+W25)/2</f>
        <v>180</v>
      </c>
      <c r="X26" s="4" t="n">
        <f aca="false">(X24+X25)/2</f>
        <v>240</v>
      </c>
      <c r="Y26" s="4" t="n">
        <f aca="false">(Y24+Y25)/2</f>
        <v>240</v>
      </c>
      <c r="Z26" s="4" t="n">
        <f aca="false">(Z24+Z25)/2</f>
        <v>240</v>
      </c>
      <c r="AA26" s="4" t="n">
        <f aca="false">(AA24+AA25)/2</f>
        <v>240</v>
      </c>
      <c r="AB26" s="4" t="n">
        <f aca="false">(AB24+AB25)/2</f>
        <v>240</v>
      </c>
      <c r="AC26" s="4" t="n">
        <f aca="false">(AC24+AC25)/2</f>
        <v>240</v>
      </c>
      <c r="AD26" s="4" t="n">
        <f aca="false">(AD24+AD25)/2</f>
        <v>240</v>
      </c>
      <c r="AE26" s="4" t="n">
        <f aca="false">(AE24+AE25)/2</f>
        <v>240</v>
      </c>
      <c r="AF26" s="4" t="n">
        <f aca="false">(AF24+AF25)/2</f>
        <v>240</v>
      </c>
    </row>
    <row r="27" customFormat="false" ht="15" hidden="false" customHeight="false" outlineLevel="0" collapsed="false">
      <c r="A27" s="0" t="s">
        <v>50</v>
      </c>
      <c r="B27" s="0" t="s">
        <v>348</v>
      </c>
      <c r="C27" s="0" t="s">
        <v>349</v>
      </c>
      <c r="O27" s="5" t="s">
        <v>354</v>
      </c>
      <c r="P27" s="5" t="n">
        <v>120</v>
      </c>
      <c r="T27" s="5" t="n">
        <v>240</v>
      </c>
    </row>
    <row r="28" customFormat="false" ht="15" hidden="false" customHeight="false" outlineLevel="0" collapsed="false">
      <c r="A28" s="0" t="s">
        <v>214</v>
      </c>
      <c r="B28" s="0" t="s">
        <v>157</v>
      </c>
      <c r="C28" s="0" t="s">
        <v>343</v>
      </c>
      <c r="M28" s="5" t="n">
        <v>310</v>
      </c>
      <c r="N28" s="5" t="n">
        <v>310</v>
      </c>
      <c r="O28" s="5" t="n">
        <v>310</v>
      </c>
      <c r="P28" s="5" t="n">
        <v>310</v>
      </c>
      <c r="Q28" s="5" t="n">
        <v>310</v>
      </c>
      <c r="R28" s="5" t="n">
        <v>310</v>
      </c>
      <c r="S28" s="5" t="n">
        <v>310</v>
      </c>
      <c r="T28" s="5" t="n">
        <v>310</v>
      </c>
      <c r="U28" s="5" t="n">
        <v>310</v>
      </c>
      <c r="V28" s="5" t="n">
        <v>310</v>
      </c>
      <c r="W28" s="5" t="n">
        <v>310</v>
      </c>
      <c r="X28" s="5" t="n">
        <v>310</v>
      </c>
      <c r="Y28" s="5" t="n">
        <v>310</v>
      </c>
      <c r="Z28" s="5" t="n">
        <v>310</v>
      </c>
      <c r="AA28" s="5" t="n">
        <v>310</v>
      </c>
      <c r="AB28" s="5" t="n">
        <v>310</v>
      </c>
      <c r="AC28" s="5" t="n">
        <v>310</v>
      </c>
      <c r="AD28" s="5" t="n">
        <v>310</v>
      </c>
      <c r="AE28" s="5" t="n">
        <v>310</v>
      </c>
      <c r="AF28" s="5" t="n">
        <v>310</v>
      </c>
    </row>
    <row r="29" customFormat="false" ht="15" hidden="false" customHeight="false" outlineLevel="0" collapsed="false">
      <c r="A29" s="0" t="s">
        <v>214</v>
      </c>
      <c r="B29" s="0" t="s">
        <v>344</v>
      </c>
      <c r="C29" s="0" t="s">
        <v>350</v>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35</v>
      </c>
      <c r="U29" s="5" t="n">
        <v>35</v>
      </c>
      <c r="V29" s="5" t="n">
        <v>70</v>
      </c>
      <c r="W29" s="5" t="n">
        <v>70</v>
      </c>
      <c r="X29" s="5" t="n">
        <v>140</v>
      </c>
      <c r="Y29" s="5" t="n">
        <v>140</v>
      </c>
      <c r="Z29" s="5" t="n">
        <v>140</v>
      </c>
      <c r="AA29" s="5" t="n">
        <v>140</v>
      </c>
      <c r="AB29" s="5" t="n">
        <v>220</v>
      </c>
      <c r="AC29" s="5" t="n">
        <v>220</v>
      </c>
      <c r="AD29" s="5" t="n">
        <v>220</v>
      </c>
      <c r="AE29" s="5" t="n">
        <v>220</v>
      </c>
      <c r="AF29" s="5" t="n">
        <v>310</v>
      </c>
    </row>
    <row r="30" customFormat="false" ht="15" hidden="false" customHeight="false" outlineLevel="0" collapsed="false">
      <c r="A30" s="0" t="s">
        <v>214</v>
      </c>
      <c r="B30" s="0" t="s">
        <v>346</v>
      </c>
      <c r="C30" s="0" t="s">
        <v>350</v>
      </c>
      <c r="E30" s="5" t="n">
        <v>0</v>
      </c>
      <c r="F30" s="5" t="n">
        <v>0</v>
      </c>
      <c r="G30" s="5" t="n">
        <v>0</v>
      </c>
      <c r="H30" s="5" t="n">
        <v>0</v>
      </c>
      <c r="I30" s="5" t="n">
        <v>0</v>
      </c>
      <c r="J30" s="5" t="n">
        <v>0</v>
      </c>
      <c r="K30" s="5" t="n">
        <v>0</v>
      </c>
      <c r="L30" s="5" t="n">
        <v>0</v>
      </c>
      <c r="M30" s="5" t="n">
        <v>0</v>
      </c>
      <c r="N30" s="5" t="n">
        <v>0</v>
      </c>
      <c r="O30" s="5" t="n">
        <v>0</v>
      </c>
      <c r="P30" s="5" t="n">
        <v>0</v>
      </c>
      <c r="Q30" s="5" t="n">
        <v>0</v>
      </c>
      <c r="R30" s="5" t="n">
        <v>35</v>
      </c>
      <c r="S30" s="5" t="n">
        <v>70</v>
      </c>
      <c r="T30" s="5" t="n">
        <v>70</v>
      </c>
      <c r="U30" s="5" t="n">
        <v>70</v>
      </c>
      <c r="V30" s="5" t="n">
        <v>140</v>
      </c>
      <c r="W30" s="5" t="n">
        <v>140</v>
      </c>
      <c r="X30" s="5" t="n">
        <v>200</v>
      </c>
      <c r="Y30" s="5" t="n">
        <v>200</v>
      </c>
      <c r="Z30" s="5" t="n">
        <v>200</v>
      </c>
      <c r="AA30" s="5" t="n">
        <v>200</v>
      </c>
      <c r="AB30" s="5" t="n">
        <v>310</v>
      </c>
      <c r="AC30" s="5" t="n">
        <v>310</v>
      </c>
      <c r="AD30" s="5" t="n">
        <v>310</v>
      </c>
      <c r="AE30" s="5" t="n">
        <v>310</v>
      </c>
      <c r="AF30" s="5" t="n">
        <v>310</v>
      </c>
    </row>
    <row r="31" customFormat="false" ht="15" hidden="false" customHeight="false" outlineLevel="0" collapsed="false">
      <c r="A31" s="0" t="s">
        <v>214</v>
      </c>
      <c r="B31" s="0" t="s">
        <v>347</v>
      </c>
      <c r="C31" s="0" t="s">
        <v>350</v>
      </c>
      <c r="E31" s="4" t="n">
        <f aca="false">(E29+E30)/2</f>
        <v>0</v>
      </c>
      <c r="F31" s="4" t="n">
        <f aca="false">(F29+F30)/2</f>
        <v>0</v>
      </c>
      <c r="G31" s="4" t="n">
        <f aca="false">(G29+G30)/2</f>
        <v>0</v>
      </c>
      <c r="H31" s="4" t="n">
        <f aca="false">(H29+H30)/2</f>
        <v>0</v>
      </c>
      <c r="I31" s="4" t="n">
        <f aca="false">(I29+I30)/2</f>
        <v>0</v>
      </c>
      <c r="J31" s="4" t="n">
        <f aca="false">(J29+J30)/2</f>
        <v>0</v>
      </c>
      <c r="K31" s="4" t="n">
        <f aca="false">(K29+K30)/2</f>
        <v>0</v>
      </c>
      <c r="L31" s="4" t="n">
        <f aca="false">(L29+L30)/2</f>
        <v>0</v>
      </c>
      <c r="M31" s="4" t="n">
        <f aca="false">(M29+M30)/2</f>
        <v>0</v>
      </c>
      <c r="N31" s="4" t="n">
        <f aca="false">(N29+N30)/2</f>
        <v>0</v>
      </c>
      <c r="O31" s="4" t="n">
        <f aca="false">(O29+O30)/2</f>
        <v>0</v>
      </c>
      <c r="P31" s="4" t="n">
        <f aca="false">(P29+P30)/2</f>
        <v>0</v>
      </c>
      <c r="Q31" s="4" t="n">
        <f aca="false">(Q29+Q30)/2</f>
        <v>0</v>
      </c>
      <c r="R31" s="4" t="n">
        <f aca="false">(R29+R30)/2</f>
        <v>17.5</v>
      </c>
      <c r="S31" s="4" t="n">
        <f aca="false">(S29+S30)/2</f>
        <v>35</v>
      </c>
      <c r="T31" s="4" t="n">
        <f aca="false">(T29+T30)/2</f>
        <v>52.5</v>
      </c>
      <c r="U31" s="4" t="n">
        <f aca="false">(U29+U30)/2</f>
        <v>52.5</v>
      </c>
      <c r="V31" s="4" t="n">
        <f aca="false">(V29+V30)/2</f>
        <v>105</v>
      </c>
      <c r="W31" s="4" t="n">
        <f aca="false">(W29+W30)/2</f>
        <v>105</v>
      </c>
      <c r="X31" s="4" t="n">
        <f aca="false">(X29+X30)/2</f>
        <v>170</v>
      </c>
      <c r="Y31" s="4" t="n">
        <f aca="false">(Y29+Y30)/2</f>
        <v>170</v>
      </c>
      <c r="Z31" s="4" t="n">
        <f aca="false">(Z29+Z30)/2</f>
        <v>170</v>
      </c>
      <c r="AA31" s="4" t="n">
        <f aca="false">(AA29+AA30)/2</f>
        <v>170</v>
      </c>
      <c r="AB31" s="4" t="n">
        <f aca="false">(AB29+AB30)/2</f>
        <v>265</v>
      </c>
      <c r="AC31" s="4" t="n">
        <f aca="false">(AC29+AC30)/2</f>
        <v>265</v>
      </c>
      <c r="AD31" s="4" t="n">
        <f aca="false">(AD29+AD30)/2</f>
        <v>265</v>
      </c>
      <c r="AE31" s="4" t="n">
        <f aca="false">(AE29+AE30)/2</f>
        <v>265</v>
      </c>
      <c r="AF31" s="4" t="n">
        <f aca="false">(AF29+AF30)/2</f>
        <v>310</v>
      </c>
    </row>
    <row r="32" customFormat="false" ht="15" hidden="false" customHeight="false" outlineLevel="0" collapsed="false">
      <c r="A32" s="0" t="s">
        <v>214</v>
      </c>
      <c r="B32" s="0" t="s">
        <v>348</v>
      </c>
      <c r="C32" s="0" t="s">
        <v>349</v>
      </c>
      <c r="T32" s="5" t="s">
        <v>355</v>
      </c>
    </row>
    <row r="33" customFormat="false" ht="15" hidden="false" customHeight="false" outlineLevel="0" collapsed="false">
      <c r="A33" s="0" t="s">
        <v>221</v>
      </c>
      <c r="B33" s="0" t="s">
        <v>157</v>
      </c>
      <c r="C33" s="0" t="s">
        <v>343</v>
      </c>
      <c r="H33" s="5" t="n">
        <v>75</v>
      </c>
      <c r="I33" s="5" t="n">
        <v>75</v>
      </c>
      <c r="J33" s="5" t="n">
        <v>75</v>
      </c>
      <c r="K33" s="5" t="n">
        <v>75</v>
      </c>
      <c r="L33" s="5" t="n">
        <v>75</v>
      </c>
      <c r="M33" s="5" t="n">
        <v>75</v>
      </c>
      <c r="N33" s="5" t="n">
        <v>75</v>
      </c>
      <c r="O33" s="5" t="n">
        <v>75</v>
      </c>
      <c r="P33" s="5" t="n">
        <v>75</v>
      </c>
      <c r="Q33" s="5" t="n">
        <v>75</v>
      </c>
      <c r="R33" s="5" t="n">
        <v>75</v>
      </c>
      <c r="S33" s="5" t="n">
        <v>75</v>
      </c>
      <c r="T33" s="5" t="n">
        <v>75</v>
      </c>
      <c r="U33" s="5" t="n">
        <v>75</v>
      </c>
      <c r="V33" s="5" t="n">
        <v>75</v>
      </c>
      <c r="W33" s="5" t="n">
        <v>75</v>
      </c>
      <c r="X33" s="5" t="n">
        <v>75</v>
      </c>
      <c r="Y33" s="5" t="n">
        <v>75</v>
      </c>
      <c r="Z33" s="5" t="n">
        <v>75</v>
      </c>
      <c r="AA33" s="5" t="n">
        <v>75</v>
      </c>
      <c r="AB33" s="5" t="n">
        <v>75</v>
      </c>
      <c r="AC33" s="5" t="n">
        <v>75</v>
      </c>
      <c r="AD33" s="5" t="n">
        <v>75</v>
      </c>
      <c r="AE33" s="5" t="n">
        <v>75</v>
      </c>
      <c r="AF33" s="5" t="n">
        <v>75</v>
      </c>
    </row>
    <row r="34" customFormat="false" ht="15" hidden="false" customHeight="false" outlineLevel="0" collapsed="false">
      <c r="A34" s="0" t="s">
        <v>221</v>
      </c>
      <c r="B34" s="0" t="s">
        <v>344</v>
      </c>
      <c r="C34" s="0" t="s">
        <v>350</v>
      </c>
      <c r="E34" s="5" t="n">
        <v>25</v>
      </c>
      <c r="F34" s="5" t="n">
        <v>25</v>
      </c>
      <c r="G34" s="5" t="n">
        <v>25</v>
      </c>
      <c r="H34" s="5" t="n">
        <v>25</v>
      </c>
      <c r="I34" s="5" t="n">
        <v>25</v>
      </c>
      <c r="J34" s="5" t="n">
        <v>25</v>
      </c>
      <c r="K34" s="5" t="n">
        <v>25</v>
      </c>
      <c r="L34" s="5" t="n">
        <v>50</v>
      </c>
      <c r="M34" s="5" t="n">
        <v>75</v>
      </c>
      <c r="N34" s="5" t="n">
        <v>75</v>
      </c>
      <c r="O34" s="5" t="n">
        <v>75</v>
      </c>
      <c r="P34" s="5" t="n">
        <v>75</v>
      </c>
      <c r="Q34" s="5" t="n">
        <v>75</v>
      </c>
      <c r="R34" s="5" t="n">
        <v>75</v>
      </c>
      <c r="S34" s="5" t="n">
        <v>75</v>
      </c>
      <c r="T34" s="5" t="n">
        <v>75</v>
      </c>
      <c r="U34" s="5" t="n">
        <v>75</v>
      </c>
      <c r="V34" s="5" t="n">
        <v>75</v>
      </c>
      <c r="W34" s="5" t="n">
        <v>75</v>
      </c>
      <c r="X34" s="5" t="n">
        <v>75</v>
      </c>
      <c r="Y34" s="5" t="n">
        <v>75</v>
      </c>
      <c r="Z34" s="5" t="n">
        <v>75</v>
      </c>
      <c r="AA34" s="5" t="n">
        <v>75</v>
      </c>
      <c r="AB34" s="5" t="n">
        <v>75</v>
      </c>
      <c r="AC34" s="5" t="n">
        <v>75</v>
      </c>
      <c r="AD34" s="5" t="n">
        <v>75</v>
      </c>
      <c r="AE34" s="5" t="n">
        <v>75</v>
      </c>
      <c r="AF34" s="5" t="n">
        <v>75</v>
      </c>
    </row>
    <row r="35" customFormat="false" ht="15" hidden="false" customHeight="false" outlineLevel="0" collapsed="false">
      <c r="A35" s="0" t="s">
        <v>221</v>
      </c>
      <c r="B35" s="0" t="s">
        <v>346</v>
      </c>
      <c r="C35" s="0" t="s">
        <v>350</v>
      </c>
      <c r="E35" s="5" t="n">
        <v>25</v>
      </c>
      <c r="F35" s="5" t="n">
        <v>25</v>
      </c>
      <c r="G35" s="5" t="n">
        <v>25</v>
      </c>
      <c r="H35" s="5" t="n">
        <v>25</v>
      </c>
      <c r="I35" s="5" t="n">
        <v>25</v>
      </c>
      <c r="J35" s="5" t="n">
        <v>25</v>
      </c>
      <c r="K35" s="5" t="n">
        <v>50</v>
      </c>
      <c r="L35" s="5" t="n">
        <v>75</v>
      </c>
      <c r="M35" s="5" t="n">
        <v>75</v>
      </c>
      <c r="N35" s="5" t="n">
        <v>75</v>
      </c>
      <c r="O35" s="5" t="n">
        <v>75</v>
      </c>
      <c r="P35" s="5" t="n">
        <v>75</v>
      </c>
      <c r="Q35" s="5" t="n">
        <v>75</v>
      </c>
      <c r="R35" s="5" t="n">
        <v>75</v>
      </c>
      <c r="S35" s="5" t="n">
        <v>75</v>
      </c>
      <c r="T35" s="5" t="n">
        <v>75</v>
      </c>
      <c r="U35" s="5" t="n">
        <v>75</v>
      </c>
      <c r="V35" s="5" t="n">
        <v>75</v>
      </c>
      <c r="W35" s="5" t="n">
        <v>75</v>
      </c>
      <c r="X35" s="5" t="n">
        <v>75</v>
      </c>
      <c r="Y35" s="5" t="n">
        <v>75</v>
      </c>
      <c r="Z35" s="5" t="n">
        <v>75</v>
      </c>
      <c r="AA35" s="5" t="n">
        <v>75</v>
      </c>
      <c r="AB35" s="5" t="n">
        <v>75</v>
      </c>
      <c r="AC35" s="5" t="n">
        <v>75</v>
      </c>
      <c r="AD35" s="5" t="n">
        <v>75</v>
      </c>
      <c r="AE35" s="5" t="n">
        <v>75</v>
      </c>
      <c r="AF35" s="5" t="n">
        <v>75</v>
      </c>
    </row>
    <row r="36" customFormat="false" ht="15" hidden="false" customHeight="false" outlineLevel="0" collapsed="false">
      <c r="A36" s="0" t="s">
        <v>221</v>
      </c>
      <c r="B36" s="0" t="s">
        <v>347</v>
      </c>
      <c r="C36" s="0" t="s">
        <v>350</v>
      </c>
      <c r="E36" s="4" t="n">
        <f aca="false">(E34+E35)/2</f>
        <v>25</v>
      </c>
      <c r="F36" s="4" t="n">
        <f aca="false">(F34+F35)/2</f>
        <v>25</v>
      </c>
      <c r="G36" s="4" t="n">
        <f aca="false">(G34+G35)/2</f>
        <v>25</v>
      </c>
      <c r="H36" s="4" t="n">
        <f aca="false">(H34+H35)/2</f>
        <v>25</v>
      </c>
      <c r="I36" s="4" t="n">
        <f aca="false">(I34+I35)/2</f>
        <v>25</v>
      </c>
      <c r="J36" s="4" t="n">
        <f aca="false">(J34+J35)/2</f>
        <v>25</v>
      </c>
      <c r="K36" s="4" t="n">
        <f aca="false">(K34+K35)/2</f>
        <v>37.5</v>
      </c>
      <c r="L36" s="4" t="n">
        <f aca="false">(L34+L35)/2</f>
        <v>62.5</v>
      </c>
      <c r="M36" s="4" t="n">
        <f aca="false">(M34+M35)/2</f>
        <v>75</v>
      </c>
      <c r="N36" s="4" t="n">
        <f aca="false">(N34+N35)/2</f>
        <v>75</v>
      </c>
      <c r="O36" s="4" t="n">
        <f aca="false">(O34+O35)/2</f>
        <v>75</v>
      </c>
      <c r="P36" s="4" t="n">
        <f aca="false">(P34+P35)/2</f>
        <v>75</v>
      </c>
      <c r="Q36" s="4" t="n">
        <f aca="false">(Q34+Q35)/2</f>
        <v>75</v>
      </c>
      <c r="R36" s="4" t="n">
        <f aca="false">(R34+R35)/2</f>
        <v>75</v>
      </c>
      <c r="S36" s="4" t="n">
        <f aca="false">(S34+S35)/2</f>
        <v>75</v>
      </c>
      <c r="T36" s="4" t="n">
        <f aca="false">(T34+T35)/2</f>
        <v>75</v>
      </c>
      <c r="U36" s="4" t="n">
        <f aca="false">(U34+U35)/2</f>
        <v>75</v>
      </c>
      <c r="V36" s="4" t="n">
        <f aca="false">(V34+V35)/2</f>
        <v>75</v>
      </c>
      <c r="W36" s="4" t="n">
        <f aca="false">(W34+W35)/2</f>
        <v>75</v>
      </c>
      <c r="X36" s="4" t="n">
        <f aca="false">(X34+X35)/2</f>
        <v>75</v>
      </c>
      <c r="Y36" s="4" t="n">
        <f aca="false">(Y34+Y35)/2</f>
        <v>75</v>
      </c>
      <c r="Z36" s="4" t="n">
        <f aca="false">(Z34+Z35)/2</f>
        <v>75</v>
      </c>
      <c r="AA36" s="4" t="n">
        <f aca="false">(AA34+AA35)/2</f>
        <v>75</v>
      </c>
      <c r="AB36" s="4" t="n">
        <f aca="false">(AB34+AB35)/2</f>
        <v>75</v>
      </c>
      <c r="AC36" s="4" t="n">
        <f aca="false">(AC34+AC35)/2</f>
        <v>75</v>
      </c>
      <c r="AD36" s="4" t="n">
        <f aca="false">(AD34+AD35)/2</f>
        <v>75</v>
      </c>
      <c r="AE36" s="4" t="n">
        <f aca="false">(AE34+AE35)/2</f>
        <v>75</v>
      </c>
      <c r="AF36" s="4" t="n">
        <f aca="false">(AF34+AF35)/2</f>
        <v>75</v>
      </c>
    </row>
    <row r="37" customFormat="false" ht="15" hidden="false" customHeight="false" outlineLevel="0" collapsed="false">
      <c r="A37" s="0" t="s">
        <v>221</v>
      </c>
      <c r="B37" s="0" t="s">
        <v>348</v>
      </c>
      <c r="C37" s="0" t="s">
        <v>349</v>
      </c>
      <c r="L37" s="5" t="n">
        <v>75</v>
      </c>
    </row>
    <row r="38" customFormat="false" ht="15" hidden="false" customHeight="false" outlineLevel="0" collapsed="false">
      <c r="A38" s="0" t="s">
        <v>231</v>
      </c>
      <c r="B38" s="0" t="s">
        <v>157</v>
      </c>
      <c r="C38" s="0" t="s">
        <v>343</v>
      </c>
      <c r="N38" s="5" t="n">
        <v>70</v>
      </c>
      <c r="O38" s="5" t="n">
        <v>70</v>
      </c>
      <c r="P38" s="5" t="n">
        <v>70</v>
      </c>
      <c r="Q38" s="5" t="n">
        <v>70</v>
      </c>
      <c r="R38" s="5" t="n">
        <v>70</v>
      </c>
      <c r="S38" s="5" t="n">
        <v>70</v>
      </c>
      <c r="T38" s="5" t="n">
        <v>70</v>
      </c>
      <c r="U38" s="5" t="n">
        <v>70</v>
      </c>
      <c r="V38" s="5" t="n">
        <v>70</v>
      </c>
      <c r="W38" s="5" t="n">
        <v>70</v>
      </c>
      <c r="X38" s="5" t="n">
        <v>70</v>
      </c>
      <c r="Y38" s="5" t="n">
        <v>70</v>
      </c>
      <c r="Z38" s="5" t="n">
        <v>70</v>
      </c>
      <c r="AA38" s="5" t="n">
        <v>70</v>
      </c>
      <c r="AB38" s="5" t="n">
        <v>70</v>
      </c>
      <c r="AC38" s="5" t="n">
        <v>70</v>
      </c>
      <c r="AD38" s="5" t="n">
        <v>70</v>
      </c>
      <c r="AE38" s="5" t="n">
        <v>70</v>
      </c>
      <c r="AF38" s="5" t="n">
        <v>70</v>
      </c>
    </row>
    <row r="39" customFormat="false" ht="15" hidden="false" customHeight="false" outlineLevel="0" collapsed="false">
      <c r="A39" s="0" t="s">
        <v>231</v>
      </c>
      <c r="B39" s="0" t="s">
        <v>344</v>
      </c>
      <c r="C39" s="0" t="s">
        <v>350</v>
      </c>
      <c r="E39" s="5" t="n">
        <v>0</v>
      </c>
      <c r="F39" s="5" t="n">
        <v>0</v>
      </c>
      <c r="G39" s="5" t="n">
        <v>0</v>
      </c>
      <c r="H39" s="5" t="n">
        <v>0</v>
      </c>
      <c r="I39" s="5" t="n">
        <v>0</v>
      </c>
      <c r="J39" s="5" t="n">
        <v>0</v>
      </c>
      <c r="K39" s="5" t="n">
        <v>0</v>
      </c>
      <c r="L39" s="5" t="n">
        <v>0</v>
      </c>
      <c r="M39" s="5" t="n">
        <v>0</v>
      </c>
      <c r="N39" s="5" t="n">
        <v>0</v>
      </c>
      <c r="O39" s="5" t="n">
        <v>0</v>
      </c>
      <c r="P39" s="5" t="n">
        <v>0</v>
      </c>
      <c r="Q39" s="5" t="n">
        <v>0</v>
      </c>
      <c r="R39" s="5" t="n">
        <v>0</v>
      </c>
      <c r="S39" s="5" t="n">
        <v>0</v>
      </c>
      <c r="T39" s="5" t="n">
        <v>0</v>
      </c>
      <c r="U39" s="5" t="n">
        <v>35</v>
      </c>
      <c r="V39" s="5" t="n">
        <v>70</v>
      </c>
      <c r="W39" s="5" t="n">
        <v>70</v>
      </c>
      <c r="X39" s="5" t="n">
        <v>70</v>
      </c>
      <c r="Y39" s="5" t="n">
        <v>70</v>
      </c>
      <c r="Z39" s="5" t="n">
        <v>70</v>
      </c>
      <c r="AA39" s="5" t="n">
        <v>70</v>
      </c>
      <c r="AB39" s="5" t="n">
        <v>70</v>
      </c>
      <c r="AC39" s="5" t="n">
        <v>70</v>
      </c>
      <c r="AD39" s="5" t="n">
        <v>70</v>
      </c>
      <c r="AE39" s="5" t="n">
        <v>70</v>
      </c>
      <c r="AF39" s="5" t="n">
        <v>70</v>
      </c>
    </row>
    <row r="40" customFormat="false" ht="15" hidden="false" customHeight="false" outlineLevel="0" collapsed="false">
      <c r="A40" s="0" t="s">
        <v>231</v>
      </c>
      <c r="B40" s="0" t="s">
        <v>346</v>
      </c>
      <c r="C40" s="0" t="s">
        <v>350</v>
      </c>
      <c r="E40" s="5" t="n">
        <v>0</v>
      </c>
      <c r="F40" s="5" t="n">
        <v>0</v>
      </c>
      <c r="G40" s="5" t="n">
        <v>0</v>
      </c>
      <c r="H40" s="5" t="n">
        <v>0</v>
      </c>
      <c r="I40" s="5" t="n">
        <v>0</v>
      </c>
      <c r="J40" s="5" t="n">
        <v>0</v>
      </c>
      <c r="K40" s="5" t="n">
        <v>0</v>
      </c>
      <c r="L40" s="5" t="n">
        <v>0</v>
      </c>
      <c r="M40" s="5" t="n">
        <v>0</v>
      </c>
      <c r="N40" s="5" t="n">
        <v>0</v>
      </c>
      <c r="O40" s="5" t="n">
        <v>0</v>
      </c>
      <c r="P40" s="5" t="n">
        <v>0</v>
      </c>
      <c r="Q40" s="5" t="n">
        <v>0</v>
      </c>
      <c r="R40" s="5" t="n">
        <v>0</v>
      </c>
      <c r="S40" s="5" t="n">
        <v>0</v>
      </c>
      <c r="T40" s="5" t="n">
        <v>35</v>
      </c>
      <c r="U40" s="5" t="n">
        <v>70</v>
      </c>
      <c r="V40" s="5" t="n">
        <v>70</v>
      </c>
      <c r="W40" s="5" t="n">
        <v>70</v>
      </c>
      <c r="X40" s="5" t="n">
        <v>70</v>
      </c>
      <c r="Y40" s="5" t="n">
        <v>70</v>
      </c>
      <c r="Z40" s="5" t="n">
        <v>70</v>
      </c>
      <c r="AA40" s="5" t="n">
        <v>70</v>
      </c>
      <c r="AB40" s="5" t="n">
        <v>70</v>
      </c>
      <c r="AC40" s="5" t="n">
        <v>70</v>
      </c>
      <c r="AD40" s="5" t="n">
        <v>70</v>
      </c>
      <c r="AE40" s="5" t="n">
        <v>70</v>
      </c>
      <c r="AF40" s="5" t="n">
        <v>70</v>
      </c>
    </row>
    <row r="41" customFormat="false" ht="15" hidden="false" customHeight="false" outlineLevel="0" collapsed="false">
      <c r="A41" s="0" t="s">
        <v>231</v>
      </c>
      <c r="B41" s="0" t="s">
        <v>347</v>
      </c>
      <c r="C41" s="0" t="s">
        <v>350</v>
      </c>
      <c r="E41" s="4" t="n">
        <f aca="false">(E39+E40)/2</f>
        <v>0</v>
      </c>
      <c r="F41" s="4" t="n">
        <f aca="false">(F39+F40)/2</f>
        <v>0</v>
      </c>
      <c r="G41" s="4" t="n">
        <f aca="false">(G39+G40)/2</f>
        <v>0</v>
      </c>
      <c r="H41" s="4" t="n">
        <f aca="false">(H39+H40)/2</f>
        <v>0</v>
      </c>
      <c r="I41" s="4" t="n">
        <f aca="false">(I39+I40)/2</f>
        <v>0</v>
      </c>
      <c r="J41" s="4" t="n">
        <f aca="false">(J39+J40)/2</f>
        <v>0</v>
      </c>
      <c r="K41" s="4" t="n">
        <f aca="false">(K39+K40)/2</f>
        <v>0</v>
      </c>
      <c r="L41" s="4" t="n">
        <f aca="false">(L39+L40)/2</f>
        <v>0</v>
      </c>
      <c r="M41" s="4" t="n">
        <f aca="false">(M39+M40)/2</f>
        <v>0</v>
      </c>
      <c r="N41" s="4" t="n">
        <f aca="false">(N39+N40)/2</f>
        <v>0</v>
      </c>
      <c r="O41" s="4" t="n">
        <f aca="false">(O39+O40)/2</f>
        <v>0</v>
      </c>
      <c r="P41" s="4" t="n">
        <f aca="false">(P39+P40)/2</f>
        <v>0</v>
      </c>
      <c r="Q41" s="4" t="n">
        <f aca="false">(Q39+Q40)/2</f>
        <v>0</v>
      </c>
      <c r="R41" s="4" t="n">
        <f aca="false">(R39+R40)/2</f>
        <v>0</v>
      </c>
      <c r="S41" s="4" t="n">
        <f aca="false">(S39+S40)/2</f>
        <v>0</v>
      </c>
      <c r="T41" s="4" t="n">
        <f aca="false">(T39+T40)/2</f>
        <v>17.5</v>
      </c>
      <c r="U41" s="4" t="n">
        <f aca="false">(U39+U40)/2</f>
        <v>52.5</v>
      </c>
      <c r="V41" s="4" t="n">
        <f aca="false">(V39+V40)/2</f>
        <v>70</v>
      </c>
      <c r="W41" s="4" t="n">
        <f aca="false">(W39+W40)/2</f>
        <v>70</v>
      </c>
      <c r="X41" s="4" t="n">
        <f aca="false">(X39+X40)/2</f>
        <v>70</v>
      </c>
      <c r="Y41" s="4" t="n">
        <f aca="false">(Y39+Y40)/2</f>
        <v>70</v>
      </c>
      <c r="Z41" s="4" t="n">
        <f aca="false">(Z39+Z40)/2</f>
        <v>70</v>
      </c>
      <c r="AA41" s="4" t="n">
        <f aca="false">(AA39+AA40)/2</f>
        <v>70</v>
      </c>
      <c r="AB41" s="4" t="n">
        <f aca="false">(AB39+AB40)/2</f>
        <v>70</v>
      </c>
      <c r="AC41" s="4" t="n">
        <f aca="false">(AC39+AC40)/2</f>
        <v>70</v>
      </c>
      <c r="AD41" s="4" t="n">
        <f aca="false">(AD39+AD40)/2</f>
        <v>70</v>
      </c>
      <c r="AE41" s="4" t="n">
        <f aca="false">(AE39+AE40)/2</f>
        <v>70</v>
      </c>
      <c r="AF41" s="4" t="n">
        <f aca="false">(AF39+AF40)/2</f>
        <v>70</v>
      </c>
    </row>
    <row r="42" customFormat="false" ht="15" hidden="false" customHeight="false" outlineLevel="0" collapsed="false">
      <c r="A42" s="0" t="s">
        <v>231</v>
      </c>
      <c r="B42" s="0" t="s">
        <v>348</v>
      </c>
      <c r="C42" s="0" t="s">
        <v>349</v>
      </c>
      <c r="T42" s="5" t="s">
        <v>356</v>
      </c>
    </row>
    <row r="43" customFormat="false" ht="15" hidden="false" customHeight="false" outlineLevel="0" collapsed="false">
      <c r="A43" s="0" t="s">
        <v>52</v>
      </c>
      <c r="B43" s="0" t="s">
        <v>157</v>
      </c>
      <c r="C43" s="0" t="s">
        <v>343</v>
      </c>
      <c r="H43" s="5" t="n">
        <v>40</v>
      </c>
      <c r="I43" s="5" t="n">
        <v>40</v>
      </c>
      <c r="J43" s="5" t="n">
        <v>40</v>
      </c>
      <c r="K43" s="5" t="n">
        <v>40</v>
      </c>
      <c r="L43" s="5" t="n">
        <v>40</v>
      </c>
      <c r="M43" s="5" t="n">
        <v>40</v>
      </c>
      <c r="N43" s="5" t="n">
        <v>40</v>
      </c>
      <c r="O43" s="5" t="n">
        <v>40</v>
      </c>
      <c r="P43" s="5" t="n">
        <v>40</v>
      </c>
      <c r="Q43" s="5" t="n">
        <v>40</v>
      </c>
      <c r="R43" s="5" t="n">
        <v>40</v>
      </c>
      <c r="S43" s="5" t="n">
        <v>40</v>
      </c>
      <c r="T43" s="5" t="n">
        <v>40</v>
      </c>
      <c r="U43" s="5" t="n">
        <v>40</v>
      </c>
      <c r="V43" s="5" t="n">
        <v>40</v>
      </c>
      <c r="W43" s="5" t="n">
        <v>40</v>
      </c>
      <c r="X43" s="5" t="n">
        <v>40</v>
      </c>
      <c r="Y43" s="5" t="n">
        <v>40</v>
      </c>
      <c r="Z43" s="5" t="n">
        <v>40</v>
      </c>
      <c r="AA43" s="5" t="n">
        <v>40</v>
      </c>
      <c r="AB43" s="5" t="n">
        <v>40</v>
      </c>
      <c r="AC43" s="5" t="n">
        <v>40</v>
      </c>
      <c r="AD43" s="5" t="n">
        <v>40</v>
      </c>
      <c r="AE43" s="5" t="n">
        <v>40</v>
      </c>
      <c r="AF43" s="5" t="n">
        <v>40</v>
      </c>
    </row>
    <row r="44" customFormat="false" ht="15" hidden="false" customHeight="false" outlineLevel="0" collapsed="false">
      <c r="A44" s="0" t="s">
        <v>52</v>
      </c>
      <c r="B44" s="0" t="s">
        <v>344</v>
      </c>
      <c r="C44" s="0" t="s">
        <v>350</v>
      </c>
      <c r="E44" s="5" t="n">
        <v>0</v>
      </c>
      <c r="F44" s="5" t="n">
        <v>0</v>
      </c>
      <c r="G44" s="5" t="n">
        <v>0</v>
      </c>
      <c r="H44" s="5" t="n">
        <v>0</v>
      </c>
      <c r="I44" s="5" t="n">
        <v>5</v>
      </c>
      <c r="J44" s="5" t="n">
        <v>5</v>
      </c>
      <c r="K44" s="5" t="n">
        <v>5</v>
      </c>
      <c r="L44" s="5" t="n">
        <v>5</v>
      </c>
      <c r="M44" s="5" t="n">
        <v>5</v>
      </c>
      <c r="N44" s="5" t="n">
        <v>5</v>
      </c>
      <c r="O44" s="5" t="n">
        <v>5</v>
      </c>
      <c r="P44" s="5" t="n">
        <v>5</v>
      </c>
      <c r="Q44" s="5" t="n">
        <v>5</v>
      </c>
      <c r="R44" s="5" t="n">
        <v>5</v>
      </c>
      <c r="S44" s="5" t="n">
        <v>5</v>
      </c>
      <c r="T44" s="5" t="n">
        <v>20</v>
      </c>
      <c r="U44" s="5" t="n">
        <v>20</v>
      </c>
      <c r="V44" s="5" t="n">
        <v>20</v>
      </c>
      <c r="W44" s="5" t="n">
        <v>20</v>
      </c>
      <c r="X44" s="5" t="n">
        <v>20</v>
      </c>
      <c r="Y44" s="5" t="n">
        <v>20</v>
      </c>
      <c r="Z44" s="5" t="n">
        <v>20</v>
      </c>
      <c r="AA44" s="5" t="n">
        <v>20</v>
      </c>
      <c r="AB44" s="5" t="n">
        <v>20</v>
      </c>
      <c r="AC44" s="5" t="n">
        <v>20</v>
      </c>
      <c r="AD44" s="5" t="n">
        <v>20</v>
      </c>
      <c r="AE44" s="5" t="n">
        <v>20</v>
      </c>
      <c r="AF44" s="5" t="n">
        <v>20</v>
      </c>
    </row>
    <row r="45" customFormat="false" ht="15" hidden="false" customHeight="false" outlineLevel="0" collapsed="false">
      <c r="A45" s="0" t="s">
        <v>52</v>
      </c>
      <c r="B45" s="0" t="s">
        <v>346</v>
      </c>
      <c r="C45" s="0" t="s">
        <v>350</v>
      </c>
      <c r="E45" s="5" t="n">
        <v>0</v>
      </c>
      <c r="F45" s="5" t="n">
        <v>0</v>
      </c>
      <c r="G45" s="5" t="n">
        <v>0</v>
      </c>
      <c r="H45" s="5" t="n">
        <v>0</v>
      </c>
      <c r="I45" s="5" t="n">
        <v>15</v>
      </c>
      <c r="J45" s="5" t="n">
        <v>15</v>
      </c>
      <c r="K45" s="5" t="n">
        <v>15</v>
      </c>
      <c r="L45" s="5" t="n">
        <v>35</v>
      </c>
      <c r="M45" s="5" t="n">
        <v>35</v>
      </c>
      <c r="N45" s="5" t="n">
        <v>35</v>
      </c>
      <c r="O45" s="5" t="n">
        <v>35</v>
      </c>
      <c r="P45" s="5" t="n">
        <v>35</v>
      </c>
      <c r="Q45" s="5" t="n">
        <v>35</v>
      </c>
      <c r="R45" s="5" t="n">
        <v>35</v>
      </c>
      <c r="S45" s="5" t="n">
        <v>35</v>
      </c>
      <c r="T45" s="5" t="n">
        <v>40</v>
      </c>
      <c r="U45" s="5" t="n">
        <v>40</v>
      </c>
      <c r="V45" s="5" t="n">
        <v>40</v>
      </c>
      <c r="W45" s="5" t="n">
        <v>40</v>
      </c>
      <c r="X45" s="5" t="n">
        <v>40</v>
      </c>
      <c r="Y45" s="5" t="n">
        <v>40</v>
      </c>
      <c r="Z45" s="5" t="n">
        <v>40</v>
      </c>
      <c r="AA45" s="5" t="n">
        <v>40</v>
      </c>
      <c r="AB45" s="5" t="n">
        <v>40</v>
      </c>
      <c r="AC45" s="5" t="n">
        <v>40</v>
      </c>
      <c r="AD45" s="5" t="n">
        <v>40</v>
      </c>
      <c r="AE45" s="5" t="n">
        <v>40</v>
      </c>
      <c r="AF45" s="5" t="n">
        <v>40</v>
      </c>
    </row>
    <row r="46" customFormat="false" ht="15" hidden="false" customHeight="false" outlineLevel="0" collapsed="false">
      <c r="A46" s="0" t="s">
        <v>52</v>
      </c>
      <c r="B46" s="0" t="s">
        <v>347</v>
      </c>
      <c r="C46" s="0" t="s">
        <v>350</v>
      </c>
      <c r="E46" s="4" t="n">
        <f aca="false">(E44+E45)/2</f>
        <v>0</v>
      </c>
      <c r="F46" s="4" t="n">
        <f aca="false">(F44+F45)/2</f>
        <v>0</v>
      </c>
      <c r="G46" s="4" t="n">
        <f aca="false">(G44+G45)/2</f>
        <v>0</v>
      </c>
      <c r="H46" s="4" t="n">
        <f aca="false">(H44+H45)/2</f>
        <v>0</v>
      </c>
      <c r="I46" s="4" t="n">
        <f aca="false">(I44+I45)/2</f>
        <v>10</v>
      </c>
      <c r="J46" s="4" t="n">
        <f aca="false">(J44+J45)/2</f>
        <v>10</v>
      </c>
      <c r="K46" s="4" t="n">
        <f aca="false">(K44+K45)/2</f>
        <v>10</v>
      </c>
      <c r="L46" s="4" t="n">
        <f aca="false">(L44+L45)/2</f>
        <v>20</v>
      </c>
      <c r="M46" s="4" t="n">
        <f aca="false">(M44+M45)/2</f>
        <v>20</v>
      </c>
      <c r="N46" s="4" t="n">
        <f aca="false">(N44+N45)/2</f>
        <v>20</v>
      </c>
      <c r="O46" s="4" t="n">
        <f aca="false">(O44+O45)/2</f>
        <v>20</v>
      </c>
      <c r="P46" s="4" t="n">
        <f aca="false">(P44+P45)/2</f>
        <v>20</v>
      </c>
      <c r="Q46" s="4" t="n">
        <f aca="false">(Q44+Q45)/2</f>
        <v>20</v>
      </c>
      <c r="R46" s="4" t="n">
        <f aca="false">(R44+R45)/2</f>
        <v>20</v>
      </c>
      <c r="S46" s="4" t="n">
        <f aca="false">(S44+S45)/2</f>
        <v>20</v>
      </c>
      <c r="T46" s="4" t="n">
        <f aca="false">(T44+T45)/2</f>
        <v>30</v>
      </c>
      <c r="U46" s="4" t="n">
        <f aca="false">(U44+U45)/2</f>
        <v>30</v>
      </c>
      <c r="V46" s="4" t="n">
        <f aca="false">(V44+V45)/2</f>
        <v>30</v>
      </c>
      <c r="W46" s="4" t="n">
        <f aca="false">(W44+W45)/2</f>
        <v>30</v>
      </c>
      <c r="X46" s="4" t="n">
        <f aca="false">(X44+X45)/2</f>
        <v>30</v>
      </c>
      <c r="Y46" s="4" t="n">
        <f aca="false">(Y44+Y45)/2</f>
        <v>30</v>
      </c>
      <c r="Z46" s="4" t="n">
        <f aca="false">(Z44+Z45)/2</f>
        <v>30</v>
      </c>
      <c r="AA46" s="4" t="n">
        <f aca="false">(AA44+AA45)/2</f>
        <v>30</v>
      </c>
      <c r="AB46" s="4" t="n">
        <f aca="false">(AB44+AB45)/2</f>
        <v>30</v>
      </c>
      <c r="AC46" s="4" t="n">
        <f aca="false">(AC44+AC45)/2</f>
        <v>30</v>
      </c>
      <c r="AD46" s="4" t="n">
        <f aca="false">(AD44+AD45)/2</f>
        <v>30</v>
      </c>
      <c r="AE46" s="4" t="n">
        <f aca="false">(AE44+AE45)/2</f>
        <v>30</v>
      </c>
      <c r="AF46" s="4" t="n">
        <f aca="false">(AF44+AF45)/2</f>
        <v>30</v>
      </c>
    </row>
    <row r="47" customFormat="false" ht="15" hidden="false" customHeight="false" outlineLevel="0" collapsed="false">
      <c r="A47" s="0" t="s">
        <v>52</v>
      </c>
      <c r="B47" s="0" t="s">
        <v>348</v>
      </c>
      <c r="C47" s="0" t="s">
        <v>349</v>
      </c>
      <c r="I47" s="5" t="n">
        <v>5</v>
      </c>
    </row>
    <row r="48" customFormat="false" ht="15" hidden="false" customHeight="false" outlineLevel="0" collapsed="false">
      <c r="A48" s="0" t="s">
        <v>54</v>
      </c>
      <c r="B48" s="0" t="s">
        <v>157</v>
      </c>
      <c r="C48" s="0" t="s">
        <v>343</v>
      </c>
      <c r="G48" s="5" t="n">
        <v>5</v>
      </c>
      <c r="H48" s="5" t="n">
        <v>5</v>
      </c>
      <c r="I48" s="5" t="n">
        <v>5</v>
      </c>
      <c r="J48" s="5" t="n">
        <v>5</v>
      </c>
      <c r="K48" s="5" t="n">
        <v>5</v>
      </c>
      <c r="L48" s="5" t="n">
        <v>5</v>
      </c>
      <c r="M48" s="5" t="n">
        <v>5</v>
      </c>
      <c r="N48" s="5" t="n">
        <v>5</v>
      </c>
      <c r="O48" s="5" t="n">
        <v>5</v>
      </c>
      <c r="P48" s="5" t="n">
        <v>5</v>
      </c>
      <c r="Q48" s="5" t="n">
        <v>5</v>
      </c>
      <c r="R48" s="5" t="n">
        <v>5</v>
      </c>
      <c r="S48" s="5" t="n">
        <v>5</v>
      </c>
      <c r="T48" s="5" t="n">
        <v>5</v>
      </c>
      <c r="U48" s="5" t="n">
        <v>5</v>
      </c>
      <c r="V48" s="5" t="n">
        <v>5</v>
      </c>
      <c r="W48" s="5" t="n">
        <v>5</v>
      </c>
      <c r="X48" s="5" t="n">
        <v>5</v>
      </c>
      <c r="Y48" s="5" t="n">
        <v>5</v>
      </c>
      <c r="Z48" s="5" t="n">
        <v>5</v>
      </c>
      <c r="AA48" s="5" t="n">
        <v>5</v>
      </c>
      <c r="AB48" s="5" t="n">
        <v>5</v>
      </c>
      <c r="AC48" s="5" t="n">
        <v>5</v>
      </c>
      <c r="AD48" s="5" t="n">
        <v>5</v>
      </c>
      <c r="AE48" s="5" t="n">
        <v>5</v>
      </c>
      <c r="AF48" s="5" t="n">
        <v>5</v>
      </c>
    </row>
    <row r="49" customFormat="false" ht="15" hidden="false" customHeight="false" outlineLevel="0" collapsed="false">
      <c r="A49" s="0" t="s">
        <v>54</v>
      </c>
      <c r="B49" s="0" t="s">
        <v>344</v>
      </c>
      <c r="C49" s="0" t="s">
        <v>350</v>
      </c>
      <c r="E49" s="5" t="n">
        <v>0</v>
      </c>
      <c r="F49" s="5" t="n">
        <v>0</v>
      </c>
      <c r="G49" s="5" t="n">
        <v>0</v>
      </c>
      <c r="H49" s="5" t="n">
        <v>5</v>
      </c>
      <c r="I49" s="5" t="n">
        <v>5</v>
      </c>
      <c r="J49" s="5" t="n">
        <v>5</v>
      </c>
      <c r="K49" s="5" t="n">
        <v>5</v>
      </c>
      <c r="L49" s="5" t="n">
        <v>5</v>
      </c>
      <c r="M49" s="5" t="n">
        <v>5</v>
      </c>
      <c r="N49" s="5" t="n">
        <v>5</v>
      </c>
      <c r="O49" s="5" t="n">
        <v>5</v>
      </c>
      <c r="P49" s="5" t="n">
        <v>5</v>
      </c>
      <c r="Q49" s="5" t="n">
        <v>5</v>
      </c>
      <c r="R49" s="5" t="n">
        <v>5</v>
      </c>
      <c r="S49" s="5" t="n">
        <v>5</v>
      </c>
      <c r="T49" s="5" t="n">
        <v>5</v>
      </c>
      <c r="U49" s="5" t="n">
        <v>5</v>
      </c>
      <c r="V49" s="5" t="n">
        <v>5</v>
      </c>
      <c r="W49" s="5" t="n">
        <v>5</v>
      </c>
      <c r="X49" s="5" t="n">
        <v>5</v>
      </c>
      <c r="Y49" s="5" t="n">
        <v>5</v>
      </c>
      <c r="Z49" s="5" t="n">
        <v>5</v>
      </c>
      <c r="AA49" s="5" t="n">
        <v>5</v>
      </c>
      <c r="AB49" s="5" t="n">
        <v>5</v>
      </c>
      <c r="AC49" s="5" t="n">
        <v>5</v>
      </c>
      <c r="AD49" s="5" t="n">
        <v>5</v>
      </c>
      <c r="AE49" s="5" t="n">
        <v>5</v>
      </c>
      <c r="AF49" s="5" t="n">
        <v>5</v>
      </c>
    </row>
    <row r="50" customFormat="false" ht="15" hidden="false" customHeight="false" outlineLevel="0" collapsed="false">
      <c r="A50" s="0" t="s">
        <v>54</v>
      </c>
      <c r="B50" s="0" t="s">
        <v>346</v>
      </c>
      <c r="C50" s="0" t="s">
        <v>350</v>
      </c>
      <c r="E50" s="5" t="n">
        <v>0</v>
      </c>
      <c r="F50" s="5" t="n">
        <v>0</v>
      </c>
      <c r="G50" s="5" t="n">
        <v>0</v>
      </c>
      <c r="H50" s="5" t="n">
        <v>5</v>
      </c>
      <c r="I50" s="5" t="n">
        <v>5</v>
      </c>
      <c r="J50" s="5" t="n">
        <v>5</v>
      </c>
      <c r="K50" s="5" t="n">
        <v>5</v>
      </c>
      <c r="L50" s="5" t="n">
        <v>5</v>
      </c>
      <c r="M50" s="5" t="n">
        <v>5</v>
      </c>
      <c r="N50" s="5" t="n">
        <v>5</v>
      </c>
      <c r="O50" s="5" t="n">
        <v>5</v>
      </c>
      <c r="P50" s="5" t="n">
        <v>5</v>
      </c>
      <c r="Q50" s="5" t="n">
        <v>5</v>
      </c>
      <c r="R50" s="5" t="n">
        <v>5</v>
      </c>
      <c r="S50" s="5" t="n">
        <v>5</v>
      </c>
      <c r="T50" s="5" t="n">
        <v>5</v>
      </c>
      <c r="U50" s="5" t="n">
        <v>5</v>
      </c>
      <c r="V50" s="5" t="n">
        <v>5</v>
      </c>
      <c r="W50" s="5" t="n">
        <v>5</v>
      </c>
      <c r="X50" s="5" t="n">
        <v>5</v>
      </c>
      <c r="Y50" s="5" t="n">
        <v>5</v>
      </c>
      <c r="Z50" s="5" t="n">
        <v>5</v>
      </c>
      <c r="AA50" s="5" t="n">
        <v>5</v>
      </c>
      <c r="AB50" s="5" t="n">
        <v>5</v>
      </c>
      <c r="AC50" s="5" t="n">
        <v>5</v>
      </c>
      <c r="AD50" s="5" t="n">
        <v>5</v>
      </c>
      <c r="AE50" s="5" t="n">
        <v>5</v>
      </c>
      <c r="AF50" s="5" t="n">
        <v>5</v>
      </c>
    </row>
    <row r="51" customFormat="false" ht="15" hidden="false" customHeight="false" outlineLevel="0" collapsed="false">
      <c r="A51" s="0" t="s">
        <v>54</v>
      </c>
      <c r="B51" s="0" t="s">
        <v>347</v>
      </c>
      <c r="C51" s="0" t="s">
        <v>350</v>
      </c>
      <c r="E51" s="4" t="n">
        <f aca="false">(E49+E50)/2</f>
        <v>0</v>
      </c>
      <c r="F51" s="4" t="n">
        <f aca="false">(F49+F50)/2</f>
        <v>0</v>
      </c>
      <c r="G51" s="4" t="n">
        <f aca="false">(G49+G50)/2</f>
        <v>0</v>
      </c>
      <c r="H51" s="4" t="n">
        <f aca="false">(H49+H50)/2</f>
        <v>5</v>
      </c>
      <c r="I51" s="4" t="n">
        <f aca="false">(I49+I50)/2</f>
        <v>5</v>
      </c>
      <c r="J51" s="4" t="n">
        <f aca="false">(J49+J50)/2</f>
        <v>5</v>
      </c>
      <c r="K51" s="4" t="n">
        <f aca="false">(K49+K50)/2</f>
        <v>5</v>
      </c>
      <c r="L51" s="4" t="n">
        <f aca="false">(L49+L50)/2</f>
        <v>5</v>
      </c>
      <c r="M51" s="4" t="n">
        <f aca="false">(M49+M50)/2</f>
        <v>5</v>
      </c>
      <c r="N51" s="4" t="n">
        <f aca="false">(N49+N50)/2</f>
        <v>5</v>
      </c>
      <c r="O51" s="4" t="n">
        <f aca="false">(O49+O50)/2</f>
        <v>5</v>
      </c>
      <c r="P51" s="4" t="n">
        <f aca="false">(P49+P50)/2</f>
        <v>5</v>
      </c>
      <c r="Q51" s="4" t="n">
        <f aca="false">(Q49+Q50)/2</f>
        <v>5</v>
      </c>
      <c r="R51" s="4" t="n">
        <f aca="false">(R49+R50)/2</f>
        <v>5</v>
      </c>
      <c r="S51" s="4" t="n">
        <f aca="false">(S49+S50)/2</f>
        <v>5</v>
      </c>
      <c r="T51" s="4" t="n">
        <f aca="false">(T49+T50)/2</f>
        <v>5</v>
      </c>
      <c r="U51" s="4" t="n">
        <f aca="false">(U49+U50)/2</f>
        <v>5</v>
      </c>
      <c r="V51" s="4" t="n">
        <f aca="false">(V49+V50)/2</f>
        <v>5</v>
      </c>
      <c r="W51" s="4" t="n">
        <f aca="false">(W49+W50)/2</f>
        <v>5</v>
      </c>
      <c r="X51" s="4" t="n">
        <f aca="false">(X49+X50)/2</f>
        <v>5</v>
      </c>
      <c r="Y51" s="4" t="n">
        <f aca="false">(Y49+Y50)/2</f>
        <v>5</v>
      </c>
      <c r="Z51" s="4" t="n">
        <f aca="false">(Z49+Z50)/2</f>
        <v>5</v>
      </c>
      <c r="AA51" s="4" t="n">
        <f aca="false">(AA49+AA50)/2</f>
        <v>5</v>
      </c>
      <c r="AB51" s="4" t="n">
        <f aca="false">(AB49+AB50)/2</f>
        <v>5</v>
      </c>
      <c r="AC51" s="4" t="n">
        <f aca="false">(AC49+AC50)/2</f>
        <v>5</v>
      </c>
      <c r="AD51" s="4" t="n">
        <f aca="false">(AD49+AD50)/2</f>
        <v>5</v>
      </c>
      <c r="AE51" s="4" t="n">
        <f aca="false">(AE49+AE50)/2</f>
        <v>5</v>
      </c>
      <c r="AF51" s="4" t="n">
        <f aca="false">(AF49+AF50)/2</f>
        <v>5</v>
      </c>
    </row>
    <row r="52" customFormat="false" ht="15" hidden="false" customHeight="false" outlineLevel="0" collapsed="false">
      <c r="A52" s="0" t="s">
        <v>54</v>
      </c>
      <c r="B52" s="0" t="s">
        <v>348</v>
      </c>
      <c r="C52" s="0" t="s">
        <v>349</v>
      </c>
    </row>
    <row r="53" customFormat="false" ht="15" hidden="false" customHeight="false" outlineLevel="0" collapsed="false">
      <c r="A53" s="0" t="s">
        <v>56</v>
      </c>
      <c r="B53" s="0" t="s">
        <v>157</v>
      </c>
      <c r="C53" s="0" t="s">
        <v>343</v>
      </c>
      <c r="H53" s="5" t="n">
        <v>10</v>
      </c>
      <c r="I53" s="5" t="n">
        <v>10</v>
      </c>
      <c r="J53" s="5" t="n">
        <v>10</v>
      </c>
      <c r="K53" s="5" t="n">
        <v>10</v>
      </c>
      <c r="L53" s="5" t="n">
        <v>10</v>
      </c>
      <c r="M53" s="5" t="n">
        <v>10</v>
      </c>
      <c r="N53" s="5" t="n">
        <v>10</v>
      </c>
      <c r="O53" s="5" t="n">
        <v>10</v>
      </c>
      <c r="P53" s="5" t="n">
        <v>10</v>
      </c>
      <c r="Q53" s="5" t="n">
        <v>10</v>
      </c>
      <c r="R53" s="5" t="n">
        <v>10</v>
      </c>
      <c r="S53" s="5" t="n">
        <v>10</v>
      </c>
      <c r="T53" s="5" t="n">
        <v>10</v>
      </c>
      <c r="U53" s="5" t="n">
        <v>10</v>
      </c>
      <c r="V53" s="5" t="n">
        <v>10</v>
      </c>
      <c r="W53" s="5" t="n">
        <v>10</v>
      </c>
      <c r="X53" s="5" t="n">
        <v>10</v>
      </c>
      <c r="Y53" s="5" t="n">
        <v>10</v>
      </c>
      <c r="Z53" s="5" t="n">
        <v>10</v>
      </c>
      <c r="AA53" s="5" t="n">
        <v>10</v>
      </c>
      <c r="AB53" s="5" t="n">
        <v>10</v>
      </c>
      <c r="AC53" s="5" t="n">
        <v>10</v>
      </c>
      <c r="AD53" s="5" t="n">
        <v>10</v>
      </c>
      <c r="AE53" s="5" t="n">
        <v>10</v>
      </c>
      <c r="AF53" s="5" t="n">
        <v>10</v>
      </c>
    </row>
    <row r="54" customFormat="false" ht="15" hidden="false" customHeight="false" outlineLevel="0" collapsed="false">
      <c r="A54" s="0" t="s">
        <v>56</v>
      </c>
      <c r="B54" s="0" t="s">
        <v>344</v>
      </c>
      <c r="C54" s="0" t="s">
        <v>350</v>
      </c>
      <c r="E54" s="5" t="n">
        <v>0</v>
      </c>
      <c r="F54" s="5" t="n">
        <v>0</v>
      </c>
      <c r="G54" s="5" t="n">
        <v>0</v>
      </c>
      <c r="H54" s="5" t="n">
        <v>0</v>
      </c>
      <c r="I54" s="5" t="n">
        <v>10</v>
      </c>
      <c r="J54" s="5" t="n">
        <v>10</v>
      </c>
      <c r="K54" s="5" t="n">
        <v>10</v>
      </c>
      <c r="L54" s="5" t="n">
        <v>10</v>
      </c>
      <c r="M54" s="5" t="n">
        <v>10</v>
      </c>
      <c r="N54" s="5" t="n">
        <v>10</v>
      </c>
      <c r="O54" s="5" t="n">
        <v>10</v>
      </c>
      <c r="P54" s="5" t="n">
        <v>10</v>
      </c>
      <c r="Q54" s="5" t="n">
        <v>10</v>
      </c>
      <c r="R54" s="5" t="n">
        <v>10</v>
      </c>
      <c r="S54" s="5" t="n">
        <v>10</v>
      </c>
      <c r="T54" s="5" t="n">
        <v>10</v>
      </c>
      <c r="U54" s="5" t="n">
        <v>10</v>
      </c>
      <c r="V54" s="5" t="n">
        <v>10</v>
      </c>
      <c r="W54" s="5" t="n">
        <v>10</v>
      </c>
      <c r="X54" s="5" t="n">
        <v>10</v>
      </c>
      <c r="Y54" s="5" t="n">
        <v>10</v>
      </c>
      <c r="Z54" s="5" t="n">
        <v>10</v>
      </c>
      <c r="AA54" s="5" t="n">
        <v>10</v>
      </c>
      <c r="AB54" s="5" t="n">
        <v>10</v>
      </c>
      <c r="AC54" s="5" t="n">
        <v>10</v>
      </c>
      <c r="AD54" s="5" t="n">
        <v>10</v>
      </c>
      <c r="AE54" s="5" t="n">
        <v>10</v>
      </c>
      <c r="AF54" s="5" t="n">
        <v>10</v>
      </c>
    </row>
    <row r="55" customFormat="false" ht="15" hidden="false" customHeight="false" outlineLevel="0" collapsed="false">
      <c r="A55" s="0" t="s">
        <v>56</v>
      </c>
      <c r="B55" s="0" t="s">
        <v>346</v>
      </c>
      <c r="C55" s="0" t="s">
        <v>350</v>
      </c>
      <c r="E55" s="5" t="n">
        <v>0</v>
      </c>
      <c r="F55" s="5" t="n">
        <v>0</v>
      </c>
      <c r="G55" s="5" t="n">
        <v>0</v>
      </c>
      <c r="H55" s="5" t="n">
        <v>0</v>
      </c>
      <c r="I55" s="5" t="n">
        <v>10</v>
      </c>
      <c r="J55" s="5" t="n">
        <v>10</v>
      </c>
      <c r="K55" s="5" t="n">
        <v>10</v>
      </c>
      <c r="L55" s="5" t="n">
        <v>10</v>
      </c>
      <c r="M55" s="5" t="n">
        <v>10</v>
      </c>
      <c r="N55" s="5" t="n">
        <v>10</v>
      </c>
      <c r="O55" s="5" t="n">
        <v>10</v>
      </c>
      <c r="P55" s="5" t="n">
        <v>10</v>
      </c>
      <c r="Q55" s="5" t="n">
        <v>10</v>
      </c>
      <c r="R55" s="5" t="n">
        <v>10</v>
      </c>
      <c r="S55" s="5" t="n">
        <v>10</v>
      </c>
      <c r="T55" s="5" t="n">
        <v>10</v>
      </c>
      <c r="U55" s="5" t="n">
        <v>10</v>
      </c>
      <c r="V55" s="5" t="n">
        <v>10</v>
      </c>
      <c r="W55" s="5" t="n">
        <v>10</v>
      </c>
      <c r="X55" s="5" t="n">
        <v>10</v>
      </c>
      <c r="Y55" s="5" t="n">
        <v>10</v>
      </c>
      <c r="Z55" s="5" t="n">
        <v>10</v>
      </c>
      <c r="AA55" s="5" t="n">
        <v>10</v>
      </c>
      <c r="AB55" s="5" t="n">
        <v>10</v>
      </c>
      <c r="AC55" s="5" t="n">
        <v>10</v>
      </c>
      <c r="AD55" s="5" t="n">
        <v>10</v>
      </c>
      <c r="AE55" s="5" t="n">
        <v>10</v>
      </c>
      <c r="AF55" s="5" t="n">
        <v>10</v>
      </c>
    </row>
    <row r="56" customFormat="false" ht="15" hidden="false" customHeight="false" outlineLevel="0" collapsed="false">
      <c r="A56" s="0" t="s">
        <v>56</v>
      </c>
      <c r="B56" s="0" t="s">
        <v>347</v>
      </c>
      <c r="C56" s="0" t="s">
        <v>350</v>
      </c>
      <c r="E56" s="4" t="n">
        <f aca="false">(E54+E55)/2</f>
        <v>0</v>
      </c>
      <c r="F56" s="4" t="n">
        <f aca="false">(F54+F55)/2</f>
        <v>0</v>
      </c>
      <c r="G56" s="4" t="n">
        <f aca="false">(G54+G55)/2</f>
        <v>0</v>
      </c>
      <c r="H56" s="4" t="n">
        <f aca="false">(H54+H55)/2</f>
        <v>0</v>
      </c>
      <c r="I56" s="4" t="n">
        <f aca="false">(I54+I55)/2</f>
        <v>10</v>
      </c>
      <c r="J56" s="4" t="n">
        <f aca="false">(J54+J55)/2</f>
        <v>10</v>
      </c>
      <c r="K56" s="4" t="n">
        <f aca="false">(K54+K55)/2</f>
        <v>10</v>
      </c>
      <c r="L56" s="4" t="n">
        <f aca="false">(L54+L55)/2</f>
        <v>10</v>
      </c>
      <c r="M56" s="4" t="n">
        <f aca="false">(M54+M55)/2</f>
        <v>10</v>
      </c>
      <c r="N56" s="4" t="n">
        <f aca="false">(N54+N55)/2</f>
        <v>10</v>
      </c>
      <c r="O56" s="4" t="n">
        <f aca="false">(O54+O55)/2</f>
        <v>10</v>
      </c>
      <c r="P56" s="4" t="n">
        <f aca="false">(P54+P55)/2</f>
        <v>10</v>
      </c>
      <c r="Q56" s="4" t="n">
        <f aca="false">(Q54+Q55)/2</f>
        <v>10</v>
      </c>
      <c r="R56" s="4" t="n">
        <f aca="false">(R54+R55)/2</f>
        <v>10</v>
      </c>
      <c r="S56" s="4" t="n">
        <f aca="false">(S54+S55)/2</f>
        <v>10</v>
      </c>
      <c r="T56" s="4" t="n">
        <f aca="false">(T54+T55)/2</f>
        <v>10</v>
      </c>
      <c r="U56" s="4" t="n">
        <f aca="false">(U54+U55)/2</f>
        <v>10</v>
      </c>
      <c r="V56" s="4" t="n">
        <f aca="false">(V54+V55)/2</f>
        <v>10</v>
      </c>
      <c r="W56" s="4" t="n">
        <f aca="false">(W54+W55)/2</f>
        <v>10</v>
      </c>
      <c r="X56" s="4" t="n">
        <f aca="false">(X54+X55)/2</f>
        <v>10</v>
      </c>
      <c r="Y56" s="4" t="n">
        <f aca="false">(Y54+Y55)/2</f>
        <v>10</v>
      </c>
      <c r="Z56" s="4" t="n">
        <f aca="false">(Z54+Z55)/2</f>
        <v>10</v>
      </c>
      <c r="AA56" s="4" t="n">
        <f aca="false">(AA54+AA55)/2</f>
        <v>10</v>
      </c>
      <c r="AB56" s="4" t="n">
        <f aca="false">(AB54+AB55)/2</f>
        <v>10</v>
      </c>
      <c r="AC56" s="4" t="n">
        <f aca="false">(AC54+AC55)/2</f>
        <v>10</v>
      </c>
      <c r="AD56" s="4" t="n">
        <f aca="false">(AD54+AD55)/2</f>
        <v>10</v>
      </c>
      <c r="AE56" s="4" t="n">
        <f aca="false">(AE54+AE55)/2</f>
        <v>10</v>
      </c>
      <c r="AF56" s="4" t="n">
        <f aca="false">(AF54+AF55)/2</f>
        <v>10</v>
      </c>
    </row>
    <row r="57" customFormat="false" ht="15" hidden="false" customHeight="false" outlineLevel="0" collapsed="false">
      <c r="A57" s="0" t="s">
        <v>56</v>
      </c>
      <c r="B57" s="0" t="s">
        <v>348</v>
      </c>
      <c r="C57" s="0" t="s">
        <v>349</v>
      </c>
    </row>
    <row r="58" customFormat="false" ht="15" hidden="false" customHeight="false" outlineLevel="0" collapsed="false">
      <c r="A58" s="0" t="s">
        <v>58</v>
      </c>
      <c r="B58" s="0" t="s">
        <v>157</v>
      </c>
      <c r="C58" s="0" t="s">
        <v>343</v>
      </c>
      <c r="J58" s="5" t="n">
        <v>16</v>
      </c>
      <c r="K58" s="5" t="n">
        <v>16</v>
      </c>
      <c r="L58" s="5" t="n">
        <v>16</v>
      </c>
      <c r="M58" s="5" t="n">
        <v>16</v>
      </c>
      <c r="N58" s="5" t="n">
        <v>19</v>
      </c>
      <c r="O58" s="5" t="n">
        <v>19</v>
      </c>
      <c r="P58" s="5" t="n">
        <v>19</v>
      </c>
      <c r="Q58" s="5" t="n">
        <v>19</v>
      </c>
      <c r="R58" s="5" t="n">
        <v>19</v>
      </c>
      <c r="S58" s="5" t="n">
        <v>19</v>
      </c>
      <c r="T58" s="5" t="n">
        <v>19</v>
      </c>
      <c r="U58" s="5" t="n">
        <v>19</v>
      </c>
      <c r="V58" s="5" t="n">
        <v>19</v>
      </c>
      <c r="W58" s="5" t="n">
        <v>19</v>
      </c>
      <c r="X58" s="5" t="n">
        <v>19</v>
      </c>
      <c r="Y58" s="5" t="n">
        <v>19</v>
      </c>
      <c r="Z58" s="5" t="n">
        <v>19</v>
      </c>
      <c r="AA58" s="5" t="n">
        <v>19</v>
      </c>
      <c r="AB58" s="5" t="n">
        <v>19</v>
      </c>
      <c r="AC58" s="5" t="n">
        <v>19</v>
      </c>
      <c r="AD58" s="5" t="n">
        <v>19</v>
      </c>
      <c r="AE58" s="5" t="n">
        <v>19</v>
      </c>
      <c r="AF58" s="5" t="n">
        <v>19</v>
      </c>
    </row>
    <row r="59" customFormat="false" ht="15" hidden="false" customHeight="false" outlineLevel="0" collapsed="false">
      <c r="A59" s="0" t="s">
        <v>58</v>
      </c>
      <c r="B59" s="0" t="s">
        <v>344</v>
      </c>
      <c r="C59" s="0" t="s">
        <v>350</v>
      </c>
      <c r="E59" s="5" t="n">
        <v>0</v>
      </c>
      <c r="F59" s="5" t="n">
        <v>0</v>
      </c>
      <c r="G59" s="5" t="n">
        <v>0</v>
      </c>
      <c r="H59" s="5" t="n">
        <v>0</v>
      </c>
      <c r="I59" s="5" t="n">
        <v>0</v>
      </c>
      <c r="J59" s="5" t="n">
        <v>0</v>
      </c>
      <c r="K59" s="5" t="n">
        <v>0</v>
      </c>
      <c r="L59" s="5" t="n">
        <v>16</v>
      </c>
      <c r="M59" s="5" t="n">
        <v>16</v>
      </c>
      <c r="N59" s="5" t="n">
        <v>16</v>
      </c>
      <c r="O59" s="5" t="n">
        <v>16</v>
      </c>
      <c r="P59" s="5" t="n">
        <v>16</v>
      </c>
      <c r="Q59" s="5" t="n">
        <v>19</v>
      </c>
      <c r="R59" s="5" t="n">
        <v>19</v>
      </c>
      <c r="S59" s="5" t="n">
        <v>19</v>
      </c>
      <c r="T59" s="5" t="n">
        <v>19</v>
      </c>
      <c r="U59" s="5" t="n">
        <v>19</v>
      </c>
      <c r="V59" s="5" t="n">
        <v>19</v>
      </c>
      <c r="W59" s="5" t="n">
        <v>19</v>
      </c>
      <c r="X59" s="5" t="n">
        <v>19</v>
      </c>
      <c r="Y59" s="5" t="n">
        <v>19</v>
      </c>
      <c r="Z59" s="5" t="n">
        <v>19</v>
      </c>
      <c r="AA59" s="5" t="n">
        <v>19</v>
      </c>
      <c r="AB59" s="5" t="n">
        <v>19</v>
      </c>
      <c r="AC59" s="5" t="n">
        <v>19</v>
      </c>
      <c r="AD59" s="5" t="n">
        <v>19</v>
      </c>
      <c r="AE59" s="5" t="n">
        <v>19</v>
      </c>
      <c r="AF59" s="5" t="n">
        <v>19</v>
      </c>
    </row>
    <row r="60" customFormat="false" ht="15" hidden="false" customHeight="false" outlineLevel="0" collapsed="false">
      <c r="A60" s="0" t="s">
        <v>58</v>
      </c>
      <c r="B60" s="0" t="s">
        <v>346</v>
      </c>
      <c r="C60" s="0" t="s">
        <v>350</v>
      </c>
      <c r="E60" s="5" t="n">
        <v>0</v>
      </c>
      <c r="F60" s="5" t="n">
        <v>0</v>
      </c>
      <c r="G60" s="5" t="n">
        <v>0</v>
      </c>
      <c r="H60" s="5" t="n">
        <v>0</v>
      </c>
      <c r="I60" s="5" t="n">
        <v>0</v>
      </c>
      <c r="J60" s="5" t="n">
        <v>0</v>
      </c>
      <c r="K60" s="5" t="n">
        <v>0</v>
      </c>
      <c r="L60" s="5" t="n">
        <v>16</v>
      </c>
      <c r="M60" s="5" t="n">
        <v>16</v>
      </c>
      <c r="N60" s="5" t="n">
        <v>16</v>
      </c>
      <c r="O60" s="5" t="n">
        <v>16</v>
      </c>
      <c r="P60" s="5" t="n">
        <v>19</v>
      </c>
      <c r="Q60" s="5" t="n">
        <v>19</v>
      </c>
      <c r="R60" s="5" t="n">
        <v>19</v>
      </c>
      <c r="S60" s="5" t="n">
        <v>19</v>
      </c>
      <c r="T60" s="5" t="n">
        <v>19</v>
      </c>
      <c r="U60" s="5" t="n">
        <v>19</v>
      </c>
      <c r="V60" s="5" t="n">
        <v>19</v>
      </c>
      <c r="W60" s="5" t="n">
        <v>19</v>
      </c>
      <c r="X60" s="5" t="n">
        <v>19</v>
      </c>
      <c r="Y60" s="5" t="n">
        <v>19</v>
      </c>
      <c r="Z60" s="5" t="n">
        <v>19</v>
      </c>
      <c r="AA60" s="5" t="n">
        <v>19</v>
      </c>
      <c r="AB60" s="5" t="n">
        <v>19</v>
      </c>
      <c r="AC60" s="5" t="n">
        <v>19</v>
      </c>
      <c r="AD60" s="5" t="n">
        <v>19</v>
      </c>
      <c r="AE60" s="5" t="n">
        <v>19</v>
      </c>
      <c r="AF60" s="5" t="n">
        <v>19</v>
      </c>
    </row>
    <row r="61" customFormat="false" ht="15" hidden="false" customHeight="false" outlineLevel="0" collapsed="false">
      <c r="A61" s="0" t="s">
        <v>58</v>
      </c>
      <c r="B61" s="0" t="s">
        <v>347</v>
      </c>
      <c r="C61" s="0" t="s">
        <v>350</v>
      </c>
      <c r="E61" s="4" t="n">
        <f aca="false">(E59+E60)/2</f>
        <v>0</v>
      </c>
      <c r="F61" s="4" t="n">
        <f aca="false">(F59+F60)/2</f>
        <v>0</v>
      </c>
      <c r="G61" s="4" t="n">
        <f aca="false">(G59+G60)/2</f>
        <v>0</v>
      </c>
      <c r="H61" s="4" t="n">
        <f aca="false">(H59+H60)/2</f>
        <v>0</v>
      </c>
      <c r="I61" s="4" t="n">
        <f aca="false">(I59+I60)/2</f>
        <v>0</v>
      </c>
      <c r="J61" s="4" t="n">
        <f aca="false">(J59+J60)/2</f>
        <v>0</v>
      </c>
      <c r="K61" s="4" t="n">
        <f aca="false">(K59+K60)/2</f>
        <v>0</v>
      </c>
      <c r="L61" s="4" t="n">
        <f aca="false">(L59+L60)/2</f>
        <v>16</v>
      </c>
      <c r="M61" s="4" t="n">
        <f aca="false">(M59+M60)/2</f>
        <v>16</v>
      </c>
      <c r="N61" s="4" t="n">
        <f aca="false">(N59+N60)/2</f>
        <v>16</v>
      </c>
      <c r="O61" s="4" t="n">
        <f aca="false">(O59+O60)/2</f>
        <v>16</v>
      </c>
      <c r="P61" s="4" t="n">
        <f aca="false">(P59+P60)/2</f>
        <v>17.5</v>
      </c>
      <c r="Q61" s="4" t="n">
        <f aca="false">(Q59+Q60)/2</f>
        <v>19</v>
      </c>
      <c r="R61" s="4" t="n">
        <f aca="false">(R59+R60)/2</f>
        <v>19</v>
      </c>
      <c r="S61" s="4" t="n">
        <f aca="false">(S59+S60)/2</f>
        <v>19</v>
      </c>
      <c r="T61" s="4" t="n">
        <f aca="false">(T59+T60)/2</f>
        <v>19</v>
      </c>
      <c r="U61" s="4" t="n">
        <f aca="false">(U59+U60)/2</f>
        <v>19</v>
      </c>
      <c r="V61" s="4" t="n">
        <f aca="false">(V59+V60)/2</f>
        <v>19</v>
      </c>
      <c r="W61" s="4" t="n">
        <f aca="false">(W59+W60)/2</f>
        <v>19</v>
      </c>
      <c r="X61" s="4" t="n">
        <f aca="false">(X59+X60)/2</f>
        <v>19</v>
      </c>
      <c r="Y61" s="4" t="n">
        <f aca="false">(Y59+Y60)/2</f>
        <v>19</v>
      </c>
      <c r="Z61" s="4" t="n">
        <f aca="false">(Z59+Z60)/2</f>
        <v>19</v>
      </c>
      <c r="AA61" s="4" t="n">
        <f aca="false">(AA59+AA60)/2</f>
        <v>19</v>
      </c>
      <c r="AB61" s="4" t="n">
        <f aca="false">(AB59+AB60)/2</f>
        <v>19</v>
      </c>
      <c r="AC61" s="4" t="n">
        <f aca="false">(AC59+AC60)/2</f>
        <v>19</v>
      </c>
      <c r="AD61" s="4" t="n">
        <f aca="false">(AD59+AD60)/2</f>
        <v>19</v>
      </c>
      <c r="AE61" s="4" t="n">
        <f aca="false">(AE59+AE60)/2</f>
        <v>19</v>
      </c>
      <c r="AF61" s="4" t="n">
        <f aca="false">(AF59+AF60)/2</f>
        <v>19</v>
      </c>
    </row>
    <row r="62" customFormat="false" ht="15" hidden="false" customHeight="false" outlineLevel="0" collapsed="false">
      <c r="A62" s="0" t="s">
        <v>58</v>
      </c>
      <c r="B62" s="0" t="s">
        <v>348</v>
      </c>
      <c r="C62" s="0" t="s">
        <v>349</v>
      </c>
      <c r="L62" s="5" t="n">
        <v>16</v>
      </c>
      <c r="P62" s="5" t="n">
        <v>19</v>
      </c>
    </row>
    <row r="63" customFormat="false" ht="15" hidden="false" customHeight="false" outlineLevel="0" collapsed="false">
      <c r="A63" s="0" t="s">
        <v>60</v>
      </c>
      <c r="B63" s="0" t="s">
        <v>157</v>
      </c>
      <c r="C63" s="0" t="s">
        <v>343</v>
      </c>
      <c r="N63" s="5" t="n">
        <v>22</v>
      </c>
      <c r="O63" s="5" t="n">
        <v>22</v>
      </c>
      <c r="P63" s="5" t="n">
        <v>22</v>
      </c>
      <c r="Q63" s="5" t="n">
        <v>22</v>
      </c>
      <c r="R63" s="5" t="n">
        <v>22</v>
      </c>
      <c r="S63" s="5" t="n">
        <v>22</v>
      </c>
      <c r="T63" s="5" t="n">
        <v>22</v>
      </c>
      <c r="U63" s="5" t="n">
        <v>22</v>
      </c>
      <c r="V63" s="5" t="n">
        <v>22</v>
      </c>
      <c r="W63" s="5" t="n">
        <v>22</v>
      </c>
      <c r="X63" s="5" t="n">
        <v>22</v>
      </c>
      <c r="Y63" s="5" t="n">
        <v>22</v>
      </c>
      <c r="Z63" s="5" t="n">
        <v>22</v>
      </c>
      <c r="AA63" s="5" t="n">
        <v>22</v>
      </c>
      <c r="AB63" s="5" t="n">
        <v>22</v>
      </c>
      <c r="AC63" s="5" t="n">
        <v>22</v>
      </c>
      <c r="AD63" s="5" t="n">
        <v>22</v>
      </c>
      <c r="AE63" s="5" t="n">
        <v>22</v>
      </c>
      <c r="AF63" s="5" t="n">
        <v>22</v>
      </c>
    </row>
    <row r="64" customFormat="false" ht="15" hidden="false" customHeight="false" outlineLevel="0" collapsed="false">
      <c r="A64" s="0" t="s">
        <v>60</v>
      </c>
      <c r="B64" s="0" t="s">
        <v>344</v>
      </c>
      <c r="C64" s="0" t="s">
        <v>350</v>
      </c>
      <c r="E64" s="5" t="n">
        <v>0</v>
      </c>
      <c r="F64" s="5" t="n">
        <v>0</v>
      </c>
      <c r="G64" s="5" t="n">
        <v>0</v>
      </c>
      <c r="H64" s="5" t="n">
        <v>0</v>
      </c>
      <c r="I64" s="5" t="n">
        <v>0</v>
      </c>
      <c r="J64" s="5" t="n">
        <v>0</v>
      </c>
      <c r="K64" s="5" t="n">
        <v>0</v>
      </c>
      <c r="L64" s="5" t="n">
        <v>0</v>
      </c>
      <c r="M64" s="5" t="n">
        <v>0</v>
      </c>
      <c r="N64" s="5" t="n">
        <v>0</v>
      </c>
      <c r="O64" s="5" t="n">
        <v>0</v>
      </c>
      <c r="P64" s="5" t="n">
        <v>0</v>
      </c>
      <c r="Q64" s="5" t="n">
        <v>4.4</v>
      </c>
      <c r="R64" s="5" t="n">
        <v>4.4</v>
      </c>
      <c r="S64" s="5" t="n">
        <v>22</v>
      </c>
      <c r="T64" s="5" t="n">
        <v>22</v>
      </c>
      <c r="U64" s="5" t="n">
        <v>22</v>
      </c>
      <c r="V64" s="5" t="n">
        <v>22</v>
      </c>
      <c r="W64" s="5" t="n">
        <v>22</v>
      </c>
      <c r="X64" s="5" t="n">
        <v>22</v>
      </c>
      <c r="Y64" s="5" t="n">
        <v>22</v>
      </c>
      <c r="Z64" s="5" t="n">
        <v>22</v>
      </c>
      <c r="AA64" s="5" t="n">
        <v>22</v>
      </c>
      <c r="AB64" s="5" t="n">
        <v>22</v>
      </c>
      <c r="AC64" s="5" t="n">
        <v>22</v>
      </c>
      <c r="AD64" s="5" t="n">
        <v>22</v>
      </c>
      <c r="AE64" s="5" t="n">
        <v>22</v>
      </c>
      <c r="AF64" s="5" t="n">
        <v>22</v>
      </c>
    </row>
    <row r="65" customFormat="false" ht="15" hidden="false" customHeight="false" outlineLevel="0" collapsed="false">
      <c r="A65" s="0" t="s">
        <v>60</v>
      </c>
      <c r="B65" s="0" t="s">
        <v>346</v>
      </c>
      <c r="C65" s="0" t="s">
        <v>350</v>
      </c>
      <c r="E65" s="5" t="n">
        <v>0</v>
      </c>
      <c r="F65" s="5" t="n">
        <v>0</v>
      </c>
      <c r="G65" s="5" t="n">
        <v>0</v>
      </c>
      <c r="H65" s="5" t="n">
        <v>0</v>
      </c>
      <c r="I65" s="5" t="n">
        <v>0</v>
      </c>
      <c r="J65" s="5" t="n">
        <v>0</v>
      </c>
      <c r="K65" s="5" t="n">
        <v>0</v>
      </c>
      <c r="L65" s="5" t="n">
        <v>0</v>
      </c>
      <c r="M65" s="5" t="n">
        <v>0</v>
      </c>
      <c r="N65" s="5" t="n">
        <v>0</v>
      </c>
      <c r="O65" s="5" t="n">
        <v>0</v>
      </c>
      <c r="P65" s="5" t="n">
        <v>4.4</v>
      </c>
      <c r="Q65" s="5" t="n">
        <v>22</v>
      </c>
      <c r="R65" s="5" t="n">
        <v>22</v>
      </c>
      <c r="S65" s="5" t="n">
        <v>22</v>
      </c>
      <c r="T65" s="5" t="n">
        <v>22</v>
      </c>
      <c r="U65" s="5" t="n">
        <v>22</v>
      </c>
      <c r="V65" s="5" t="n">
        <v>22</v>
      </c>
      <c r="W65" s="5" t="n">
        <v>22</v>
      </c>
      <c r="X65" s="5" t="n">
        <v>22</v>
      </c>
      <c r="Y65" s="5" t="n">
        <v>22</v>
      </c>
      <c r="Z65" s="5" t="n">
        <v>22</v>
      </c>
      <c r="AA65" s="5" t="n">
        <v>22</v>
      </c>
      <c r="AB65" s="5" t="n">
        <v>22</v>
      </c>
      <c r="AC65" s="5" t="n">
        <v>22</v>
      </c>
      <c r="AD65" s="5" t="n">
        <v>22</v>
      </c>
      <c r="AE65" s="5" t="n">
        <v>22</v>
      </c>
      <c r="AF65" s="5" t="n">
        <v>22</v>
      </c>
    </row>
    <row r="66" customFormat="false" ht="15" hidden="false" customHeight="false" outlineLevel="0" collapsed="false">
      <c r="A66" s="0" t="s">
        <v>60</v>
      </c>
      <c r="B66" s="0" t="s">
        <v>347</v>
      </c>
      <c r="C66" s="0" t="s">
        <v>350</v>
      </c>
      <c r="E66" s="4" t="n">
        <f aca="false">(E64+E65)/2</f>
        <v>0</v>
      </c>
      <c r="F66" s="4" t="n">
        <f aca="false">(F64+F65)/2</f>
        <v>0</v>
      </c>
      <c r="G66" s="4" t="n">
        <f aca="false">(G64+G65)/2</f>
        <v>0</v>
      </c>
      <c r="H66" s="4" t="n">
        <f aca="false">(H64+H65)/2</f>
        <v>0</v>
      </c>
      <c r="I66" s="4" t="n">
        <f aca="false">(I64+I65)/2</f>
        <v>0</v>
      </c>
      <c r="J66" s="4" t="n">
        <f aca="false">(J64+J65)/2</f>
        <v>0</v>
      </c>
      <c r="K66" s="4" t="n">
        <f aca="false">(K64+K65)/2</f>
        <v>0</v>
      </c>
      <c r="L66" s="4" t="n">
        <f aca="false">(L64+L65)/2</f>
        <v>0</v>
      </c>
      <c r="M66" s="4" t="n">
        <f aca="false">(M64+M65)/2</f>
        <v>0</v>
      </c>
      <c r="N66" s="4" t="n">
        <f aca="false">(N64+N65)/2</f>
        <v>0</v>
      </c>
      <c r="O66" s="4" t="n">
        <f aca="false">(O64+O65)/2</f>
        <v>0</v>
      </c>
      <c r="P66" s="4" t="n">
        <f aca="false">(P64+P65)/2</f>
        <v>2.2</v>
      </c>
      <c r="Q66" s="4" t="n">
        <f aca="false">(Q64+Q65)/2</f>
        <v>13.2</v>
      </c>
      <c r="R66" s="4" t="n">
        <f aca="false">(R64+R65)/2</f>
        <v>13.2</v>
      </c>
      <c r="S66" s="4" t="n">
        <f aca="false">(S64+S65)/2</f>
        <v>22</v>
      </c>
      <c r="T66" s="4" t="n">
        <f aca="false">(T64+T65)/2</f>
        <v>22</v>
      </c>
      <c r="U66" s="4" t="n">
        <f aca="false">(U64+U65)/2</f>
        <v>22</v>
      </c>
      <c r="V66" s="4" t="n">
        <f aca="false">(V64+V65)/2</f>
        <v>22</v>
      </c>
      <c r="W66" s="4" t="n">
        <f aca="false">(W64+W65)/2</f>
        <v>22</v>
      </c>
      <c r="X66" s="4" t="n">
        <f aca="false">(X64+X65)/2</f>
        <v>22</v>
      </c>
      <c r="Y66" s="4" t="n">
        <f aca="false">(Y64+Y65)/2</f>
        <v>22</v>
      </c>
      <c r="Z66" s="4" t="n">
        <f aca="false">(Z64+Z65)/2</f>
        <v>22</v>
      </c>
      <c r="AA66" s="4" t="n">
        <f aca="false">(AA64+AA65)/2</f>
        <v>22</v>
      </c>
      <c r="AB66" s="4" t="n">
        <f aca="false">(AB64+AB65)/2</f>
        <v>22</v>
      </c>
      <c r="AC66" s="4" t="n">
        <f aca="false">(AC64+AC65)/2</f>
        <v>22</v>
      </c>
      <c r="AD66" s="4" t="n">
        <f aca="false">(AD64+AD65)/2</f>
        <v>22</v>
      </c>
      <c r="AE66" s="4" t="n">
        <f aca="false">(AE64+AE65)/2</f>
        <v>22</v>
      </c>
      <c r="AF66" s="4" t="n">
        <f aca="false">(AF64+AF65)/2</f>
        <v>22</v>
      </c>
    </row>
    <row r="67" customFormat="false" ht="15" hidden="false" customHeight="false" outlineLevel="0" collapsed="false">
      <c r="A67" s="0" t="s">
        <v>60</v>
      </c>
      <c r="B67" s="0" t="s">
        <v>348</v>
      </c>
      <c r="C67" s="0" t="s">
        <v>349</v>
      </c>
      <c r="T67" s="5" t="n">
        <v>22</v>
      </c>
    </row>
    <row r="68" customFormat="false" ht="15" hidden="false" customHeight="false" outlineLevel="0" collapsed="false">
      <c r="A68" s="0" t="s">
        <v>62</v>
      </c>
      <c r="B68" s="0" t="s">
        <v>157</v>
      </c>
      <c r="C68" s="0" t="s">
        <v>343</v>
      </c>
      <c r="E68" s="5" t="s">
        <v>65</v>
      </c>
      <c r="F68" s="5" t="s">
        <v>65</v>
      </c>
      <c r="G68" s="5" t="s">
        <v>65</v>
      </c>
      <c r="H68" s="5" t="s">
        <v>65</v>
      </c>
      <c r="I68" s="5" t="s">
        <v>65</v>
      </c>
      <c r="J68" s="5" t="s">
        <v>65</v>
      </c>
      <c r="K68" s="5" t="s">
        <v>65</v>
      </c>
      <c r="L68" s="5" t="s">
        <v>65</v>
      </c>
      <c r="M68" s="5" t="s">
        <v>65</v>
      </c>
      <c r="N68" s="5" t="s">
        <v>65</v>
      </c>
      <c r="O68" s="5" t="s">
        <v>65</v>
      </c>
      <c r="P68" s="5" t="s">
        <v>65</v>
      </c>
      <c r="Q68" s="5" t="s">
        <v>65</v>
      </c>
      <c r="R68" s="5" t="s">
        <v>65</v>
      </c>
      <c r="S68" s="5" t="s">
        <v>65</v>
      </c>
      <c r="T68" s="5" t="s">
        <v>65</v>
      </c>
      <c r="U68" s="5" t="s">
        <v>65</v>
      </c>
      <c r="V68" s="5" t="s">
        <v>65</v>
      </c>
      <c r="W68" s="5" t="s">
        <v>65</v>
      </c>
      <c r="X68" s="5" t="s">
        <v>65</v>
      </c>
      <c r="Y68" s="5" t="s">
        <v>65</v>
      </c>
      <c r="Z68" s="5" t="s">
        <v>65</v>
      </c>
      <c r="AA68" s="5" t="s">
        <v>65</v>
      </c>
      <c r="AB68" s="5" t="s">
        <v>65</v>
      </c>
      <c r="AC68" s="5" t="s">
        <v>65</v>
      </c>
      <c r="AD68" s="5" t="s">
        <v>65</v>
      </c>
      <c r="AE68" s="5" t="s">
        <v>65</v>
      </c>
      <c r="AF68" s="5" t="s">
        <v>65</v>
      </c>
    </row>
    <row r="69" customFormat="false" ht="15" hidden="false" customHeight="false" outlineLevel="0" collapsed="false">
      <c r="A69" s="0" t="s">
        <v>62</v>
      </c>
      <c r="B69" s="0" t="s">
        <v>344</v>
      </c>
      <c r="C69" s="0" t="s">
        <v>350</v>
      </c>
      <c r="E69" s="5" t="n">
        <v>0</v>
      </c>
      <c r="F69" s="5" t="n">
        <v>0</v>
      </c>
      <c r="G69" s="5" t="n">
        <v>0</v>
      </c>
      <c r="H69" s="5" t="n">
        <v>0</v>
      </c>
      <c r="I69" s="5" t="n">
        <v>0</v>
      </c>
      <c r="J69" s="5" t="n">
        <v>0</v>
      </c>
      <c r="K69" s="5" t="n">
        <v>0</v>
      </c>
      <c r="L69" s="5" t="n">
        <v>0</v>
      </c>
      <c r="M69" s="5" t="n">
        <v>0</v>
      </c>
      <c r="N69" s="5" t="n">
        <v>0</v>
      </c>
      <c r="O69" s="5" t="n">
        <v>0</v>
      </c>
      <c r="P69" s="5" t="n">
        <v>0</v>
      </c>
      <c r="Q69" s="5" t="n">
        <v>5</v>
      </c>
      <c r="R69" s="5" t="n">
        <v>10</v>
      </c>
      <c r="S69" s="5" t="n">
        <v>15</v>
      </c>
      <c r="T69" s="5" t="n">
        <v>20</v>
      </c>
      <c r="U69" s="5" t="n">
        <v>20</v>
      </c>
      <c r="V69" s="5" t="n">
        <v>20</v>
      </c>
      <c r="W69" s="5" t="n">
        <v>20</v>
      </c>
      <c r="X69" s="5" t="n">
        <v>20</v>
      </c>
      <c r="Y69" s="5" t="n">
        <v>20</v>
      </c>
      <c r="Z69" s="5" t="n">
        <v>20</v>
      </c>
      <c r="AA69" s="5" t="n">
        <v>20</v>
      </c>
      <c r="AB69" s="5" t="n">
        <v>20</v>
      </c>
      <c r="AC69" s="5" t="n">
        <v>20</v>
      </c>
      <c r="AD69" s="5" t="n">
        <v>20</v>
      </c>
      <c r="AE69" s="5" t="n">
        <v>20</v>
      </c>
      <c r="AF69" s="5" t="n">
        <v>20</v>
      </c>
    </row>
    <row r="70" customFormat="false" ht="15" hidden="false" customHeight="false" outlineLevel="0" collapsed="false">
      <c r="A70" s="0" t="s">
        <v>62</v>
      </c>
      <c r="B70" s="0" t="s">
        <v>346</v>
      </c>
      <c r="C70" s="0" t="s">
        <v>350</v>
      </c>
      <c r="E70" s="5" t="n">
        <v>0</v>
      </c>
      <c r="F70" s="5" t="n">
        <v>0</v>
      </c>
      <c r="G70" s="5" t="n">
        <v>0</v>
      </c>
      <c r="H70" s="5" t="n">
        <v>0</v>
      </c>
      <c r="I70" s="5" t="n">
        <v>0</v>
      </c>
      <c r="J70" s="5" t="n">
        <v>0</v>
      </c>
      <c r="K70" s="5" t="n">
        <v>0</v>
      </c>
      <c r="L70" s="5" t="n">
        <v>0</v>
      </c>
      <c r="M70" s="5" t="n">
        <v>0</v>
      </c>
      <c r="N70" s="5" t="n">
        <v>0</v>
      </c>
      <c r="O70" s="5" t="n">
        <v>0</v>
      </c>
      <c r="P70" s="5" t="n">
        <v>10</v>
      </c>
      <c r="Q70" s="5" t="n">
        <v>25</v>
      </c>
      <c r="R70" s="5" t="n">
        <v>35</v>
      </c>
      <c r="S70" s="5" t="n">
        <v>43</v>
      </c>
      <c r="T70" s="5" t="n">
        <v>43</v>
      </c>
      <c r="U70" s="5" t="n">
        <v>43</v>
      </c>
      <c r="V70" s="5" t="n">
        <v>43</v>
      </c>
      <c r="W70" s="5" t="n">
        <v>43</v>
      </c>
      <c r="X70" s="5" t="n">
        <v>43</v>
      </c>
      <c r="Y70" s="5" t="n">
        <v>43</v>
      </c>
      <c r="Z70" s="5" t="n">
        <v>43</v>
      </c>
      <c r="AA70" s="5" t="n">
        <v>43</v>
      </c>
      <c r="AB70" s="5" t="n">
        <v>43</v>
      </c>
      <c r="AC70" s="5" t="n">
        <v>43</v>
      </c>
      <c r="AD70" s="5" t="n">
        <v>43</v>
      </c>
      <c r="AE70" s="5" t="n">
        <v>43</v>
      </c>
      <c r="AF70" s="5" t="n">
        <v>43</v>
      </c>
    </row>
    <row r="71" customFormat="false" ht="15" hidden="false" customHeight="false" outlineLevel="0" collapsed="false">
      <c r="A71" s="0" t="s">
        <v>62</v>
      </c>
      <c r="B71" s="0" t="s">
        <v>347</v>
      </c>
      <c r="C71" s="0" t="s">
        <v>350</v>
      </c>
      <c r="E71" s="4" t="n">
        <f aca="false">(E69+E70)/2</f>
        <v>0</v>
      </c>
      <c r="F71" s="4" t="n">
        <f aca="false">(F69+F70)/2</f>
        <v>0</v>
      </c>
      <c r="G71" s="4" t="n">
        <f aca="false">(G69+G70)/2</f>
        <v>0</v>
      </c>
      <c r="H71" s="4" t="n">
        <f aca="false">(H69+H70)/2</f>
        <v>0</v>
      </c>
      <c r="I71" s="4" t="n">
        <f aca="false">(I69+I70)/2</f>
        <v>0</v>
      </c>
      <c r="J71" s="4" t="n">
        <f aca="false">(J69+J70)/2</f>
        <v>0</v>
      </c>
      <c r="K71" s="4" t="n">
        <f aca="false">(K69+K70)/2</f>
        <v>0</v>
      </c>
      <c r="L71" s="4" t="n">
        <f aca="false">(L69+L70)/2</f>
        <v>0</v>
      </c>
      <c r="M71" s="4" t="n">
        <f aca="false">(M69+M70)/2</f>
        <v>0</v>
      </c>
      <c r="N71" s="4" t="n">
        <f aca="false">(N69+N70)/2</f>
        <v>0</v>
      </c>
      <c r="O71" s="4" t="n">
        <f aca="false">(O69+O70)/2</f>
        <v>0</v>
      </c>
      <c r="P71" s="4" t="n">
        <f aca="false">(P69+P70)/2</f>
        <v>5</v>
      </c>
      <c r="Q71" s="4" t="n">
        <f aca="false">(Q69+Q70)/2</f>
        <v>15</v>
      </c>
      <c r="R71" s="4" t="n">
        <f aca="false">(R69+R70)/2</f>
        <v>22.5</v>
      </c>
      <c r="S71" s="4" t="n">
        <f aca="false">(S69+S70)/2</f>
        <v>29</v>
      </c>
      <c r="T71" s="4" t="n">
        <f aca="false">(T69+T70)/2</f>
        <v>31.5</v>
      </c>
      <c r="U71" s="4" t="n">
        <f aca="false">(U69+U70)/2</f>
        <v>31.5</v>
      </c>
      <c r="V71" s="4" t="n">
        <f aca="false">(V69+V70)/2</f>
        <v>31.5</v>
      </c>
      <c r="W71" s="4" t="n">
        <f aca="false">(W69+W70)/2</f>
        <v>31.5</v>
      </c>
      <c r="X71" s="4" t="n">
        <f aca="false">(X69+X70)/2</f>
        <v>31.5</v>
      </c>
      <c r="Y71" s="4" t="n">
        <f aca="false">(Y69+Y70)/2</f>
        <v>31.5</v>
      </c>
      <c r="Z71" s="4" t="n">
        <f aca="false">(Z69+Z70)/2</f>
        <v>31.5</v>
      </c>
      <c r="AA71" s="4" t="n">
        <f aca="false">(AA69+AA70)/2</f>
        <v>31.5</v>
      </c>
      <c r="AB71" s="4" t="n">
        <f aca="false">(AB69+AB70)/2</f>
        <v>31.5</v>
      </c>
      <c r="AC71" s="4" t="n">
        <f aca="false">(AC69+AC70)/2</f>
        <v>31.5</v>
      </c>
      <c r="AD71" s="4" t="n">
        <f aca="false">(AD69+AD70)/2</f>
        <v>31.5</v>
      </c>
      <c r="AE71" s="4" t="n">
        <f aca="false">(AE69+AE70)/2</f>
        <v>31.5</v>
      </c>
      <c r="AF71" s="4" t="n">
        <f aca="false">(AF69+AF70)/2</f>
        <v>31.5</v>
      </c>
    </row>
    <row r="72" customFormat="false" ht="15" hidden="false" customHeight="false" outlineLevel="0" collapsed="false">
      <c r="A72" s="0" t="s">
        <v>62</v>
      </c>
      <c r="B72" s="0" t="s">
        <v>348</v>
      </c>
      <c r="C72" s="0" t="s">
        <v>349</v>
      </c>
      <c r="T72" s="5" t="s">
        <v>357</v>
      </c>
    </row>
    <row r="73" customFormat="false" ht="15" hidden="false" customHeight="false" outlineLevel="0" collapsed="false">
      <c r="A73" s="0" t="s">
        <v>64</v>
      </c>
      <c r="B73" s="0" t="s">
        <v>157</v>
      </c>
      <c r="C73" s="0" t="s">
        <v>343</v>
      </c>
      <c r="E73" s="5" t="s">
        <v>65</v>
      </c>
      <c r="F73" s="5" t="s">
        <v>65</v>
      </c>
      <c r="G73" s="5" t="s">
        <v>65</v>
      </c>
      <c r="H73" s="5" t="s">
        <v>65</v>
      </c>
      <c r="I73" s="5" t="s">
        <v>65</v>
      </c>
      <c r="J73" s="5" t="s">
        <v>65</v>
      </c>
      <c r="K73" s="5" t="s">
        <v>65</v>
      </c>
      <c r="L73" s="5" t="s">
        <v>65</v>
      </c>
      <c r="M73" s="5" t="s">
        <v>65</v>
      </c>
      <c r="N73" s="5" t="s">
        <v>65</v>
      </c>
      <c r="O73" s="5" t="s">
        <v>65</v>
      </c>
      <c r="P73" s="5" t="s">
        <v>65</v>
      </c>
      <c r="Q73" s="5" t="s">
        <v>65</v>
      </c>
      <c r="R73" s="5" t="s">
        <v>65</v>
      </c>
      <c r="S73" s="5" t="s">
        <v>65</v>
      </c>
      <c r="T73" s="5" t="s">
        <v>65</v>
      </c>
      <c r="U73" s="5" t="s">
        <v>65</v>
      </c>
      <c r="V73" s="5" t="s">
        <v>65</v>
      </c>
      <c r="W73" s="5" t="s">
        <v>65</v>
      </c>
      <c r="X73" s="5" t="s">
        <v>65</v>
      </c>
      <c r="Y73" s="5" t="s">
        <v>65</v>
      </c>
      <c r="Z73" s="5" t="s">
        <v>65</v>
      </c>
      <c r="AA73" s="5" t="s">
        <v>65</v>
      </c>
      <c r="AB73" s="5" t="s">
        <v>65</v>
      </c>
      <c r="AC73" s="5" t="s">
        <v>65</v>
      </c>
      <c r="AD73" s="5" t="s">
        <v>65</v>
      </c>
      <c r="AE73" s="5" t="s">
        <v>65</v>
      </c>
      <c r="AF73" s="5" t="s">
        <v>65</v>
      </c>
    </row>
    <row r="74" customFormat="false" ht="15" hidden="false" customHeight="false" outlineLevel="0" collapsed="false">
      <c r="A74" s="0" t="s">
        <v>64</v>
      </c>
      <c r="B74" s="0" t="s">
        <v>344</v>
      </c>
      <c r="C74" s="0" t="s">
        <v>350</v>
      </c>
      <c r="E74" s="5" t="n">
        <v>0</v>
      </c>
      <c r="F74" s="5" t="n">
        <v>0</v>
      </c>
      <c r="G74" s="5" t="n">
        <v>0</v>
      </c>
      <c r="H74" s="5" t="n">
        <v>0</v>
      </c>
      <c r="I74" s="5" t="n">
        <v>0</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row>
    <row r="75" customFormat="false" ht="15" hidden="false" customHeight="false" outlineLevel="0" collapsed="false">
      <c r="A75" s="0" t="s">
        <v>64</v>
      </c>
      <c r="B75" s="0" t="s">
        <v>346</v>
      </c>
      <c r="C75" s="0" t="s">
        <v>350</v>
      </c>
      <c r="E75" s="5" t="n">
        <v>0</v>
      </c>
      <c r="F75" s="5" t="n">
        <v>0</v>
      </c>
      <c r="G75" s="5" t="n">
        <v>0</v>
      </c>
      <c r="H75" s="5" t="n">
        <v>0</v>
      </c>
      <c r="I75" s="5" t="n">
        <v>0</v>
      </c>
      <c r="J75" s="5" t="n">
        <v>0</v>
      </c>
      <c r="K75" s="5" t="n">
        <v>0</v>
      </c>
      <c r="L75" s="5" t="n">
        <v>0</v>
      </c>
      <c r="M75" s="5" t="n">
        <v>0</v>
      </c>
      <c r="N75" s="5" t="n">
        <v>0</v>
      </c>
      <c r="O75" s="5" t="n">
        <v>0</v>
      </c>
      <c r="P75" s="5" t="n">
        <v>0</v>
      </c>
      <c r="Q75" s="5" t="n">
        <v>0</v>
      </c>
      <c r="R75" s="5" t="n">
        <v>5</v>
      </c>
      <c r="S75" s="5" t="n">
        <v>12</v>
      </c>
      <c r="T75" s="5" t="n">
        <v>14</v>
      </c>
      <c r="U75" s="5" t="n">
        <v>14</v>
      </c>
      <c r="V75" s="5" t="n">
        <v>14</v>
      </c>
      <c r="W75" s="5" t="n">
        <v>14</v>
      </c>
      <c r="X75" s="5" t="n">
        <v>14</v>
      </c>
      <c r="Y75" s="5" t="n">
        <v>14</v>
      </c>
      <c r="Z75" s="5" t="n">
        <v>14</v>
      </c>
      <c r="AA75" s="5" t="n">
        <v>14</v>
      </c>
      <c r="AB75" s="5" t="n">
        <v>14</v>
      </c>
      <c r="AC75" s="5" t="n">
        <v>14</v>
      </c>
      <c r="AD75" s="5" t="n">
        <v>14</v>
      </c>
      <c r="AE75" s="5" t="n">
        <v>14</v>
      </c>
      <c r="AF75" s="5" t="n">
        <v>14</v>
      </c>
    </row>
    <row r="76" customFormat="false" ht="15" hidden="false" customHeight="false" outlineLevel="0" collapsed="false">
      <c r="A76" s="0" t="s">
        <v>64</v>
      </c>
      <c r="B76" s="0" t="s">
        <v>347</v>
      </c>
      <c r="C76" s="0" t="s">
        <v>350</v>
      </c>
      <c r="E76" s="4" t="n">
        <f aca="false">(E74+E75)/2</f>
        <v>0</v>
      </c>
      <c r="F76" s="4" t="n">
        <f aca="false">(F74+F75)/2</f>
        <v>0</v>
      </c>
      <c r="G76" s="4" t="n">
        <f aca="false">(G74+G75)/2</f>
        <v>0</v>
      </c>
      <c r="H76" s="4" t="n">
        <f aca="false">(H74+H75)/2</f>
        <v>0</v>
      </c>
      <c r="I76" s="4" t="n">
        <f aca="false">(I74+I75)/2</f>
        <v>0</v>
      </c>
      <c r="J76" s="4" t="n">
        <f aca="false">(J74+J75)/2</f>
        <v>0</v>
      </c>
      <c r="K76" s="4" t="n">
        <f aca="false">(K74+K75)/2</f>
        <v>0</v>
      </c>
      <c r="L76" s="4" t="n">
        <f aca="false">(L74+L75)/2</f>
        <v>0</v>
      </c>
      <c r="M76" s="4" t="n">
        <f aca="false">(M74+M75)/2</f>
        <v>0</v>
      </c>
      <c r="N76" s="4" t="n">
        <f aca="false">(N74+N75)/2</f>
        <v>0</v>
      </c>
      <c r="O76" s="4" t="n">
        <f aca="false">(O74+O75)/2</f>
        <v>0</v>
      </c>
      <c r="P76" s="4" t="n">
        <f aca="false">(P74+P75)/2</f>
        <v>0</v>
      </c>
      <c r="Q76" s="4" t="n">
        <f aca="false">(Q74+Q75)/2</f>
        <v>0</v>
      </c>
      <c r="R76" s="4" t="n">
        <f aca="false">(R74+R75)/2</f>
        <v>2.5</v>
      </c>
      <c r="S76" s="4" t="n">
        <f aca="false">(S74+S75)/2</f>
        <v>6</v>
      </c>
      <c r="T76" s="4" t="n">
        <f aca="false">(T74+T75)/2</f>
        <v>7</v>
      </c>
      <c r="U76" s="4" t="n">
        <f aca="false">(U74+U75)/2</f>
        <v>7</v>
      </c>
      <c r="V76" s="4" t="n">
        <f aca="false">(V74+V75)/2</f>
        <v>7</v>
      </c>
      <c r="W76" s="4" t="n">
        <f aca="false">(W74+W75)/2</f>
        <v>7</v>
      </c>
      <c r="X76" s="4" t="n">
        <f aca="false">(X74+X75)/2</f>
        <v>7</v>
      </c>
      <c r="Y76" s="4" t="n">
        <f aca="false">(Y74+Y75)/2</f>
        <v>7</v>
      </c>
      <c r="Z76" s="4" t="n">
        <f aca="false">(Z74+Z75)/2</f>
        <v>7</v>
      </c>
      <c r="AA76" s="4" t="n">
        <f aca="false">(AA74+AA75)/2</f>
        <v>7</v>
      </c>
      <c r="AB76" s="4" t="n">
        <f aca="false">(AB74+AB75)/2</f>
        <v>7</v>
      </c>
      <c r="AC76" s="4" t="n">
        <f aca="false">(AC74+AC75)/2</f>
        <v>7</v>
      </c>
      <c r="AD76" s="4" t="n">
        <f aca="false">(AD74+AD75)/2</f>
        <v>7</v>
      </c>
      <c r="AE76" s="4" t="n">
        <f aca="false">(AE74+AE75)/2</f>
        <v>7</v>
      </c>
      <c r="AF76" s="4" t="n">
        <f aca="false">(AF74+AF75)/2</f>
        <v>7</v>
      </c>
    </row>
    <row r="77" customFormat="false" ht="15" hidden="false" customHeight="false" outlineLevel="0" collapsed="false">
      <c r="A77" s="0" t="s">
        <v>64</v>
      </c>
      <c r="B77" s="0" t="s">
        <v>348</v>
      </c>
      <c r="C77" s="0" t="s">
        <v>349</v>
      </c>
    </row>
    <row r="78" customFormat="false" ht="15" hidden="false" customHeight="false" outlineLevel="0" collapsed="false">
      <c r="A78" s="0" t="s">
        <v>66</v>
      </c>
      <c r="B78" s="0" t="s">
        <v>157</v>
      </c>
      <c r="C78" s="0" t="s">
        <v>343</v>
      </c>
      <c r="J78" s="5" t="n">
        <v>8</v>
      </c>
      <c r="K78" s="5" t="n">
        <v>8</v>
      </c>
      <c r="L78" s="5" t="n">
        <v>8</v>
      </c>
      <c r="M78" s="5" t="n">
        <v>8</v>
      </c>
      <c r="N78" s="5" t="n">
        <v>8</v>
      </c>
      <c r="O78" s="5" t="n">
        <v>8</v>
      </c>
      <c r="P78" s="5" t="n">
        <v>8</v>
      </c>
      <c r="Q78" s="5" t="n">
        <v>8</v>
      </c>
      <c r="R78" s="5" t="n">
        <v>8</v>
      </c>
      <c r="S78" s="5" t="n">
        <v>8</v>
      </c>
      <c r="T78" s="5" t="n">
        <v>8</v>
      </c>
      <c r="U78" s="5" t="n">
        <v>8</v>
      </c>
      <c r="V78" s="5" t="n">
        <v>8</v>
      </c>
      <c r="W78" s="5" t="n">
        <v>8</v>
      </c>
      <c r="X78" s="5" t="n">
        <v>8</v>
      </c>
      <c r="Y78" s="5" t="n">
        <v>8</v>
      </c>
      <c r="Z78" s="5" t="n">
        <v>8</v>
      </c>
      <c r="AA78" s="5" t="n">
        <v>8</v>
      </c>
      <c r="AB78" s="5" t="n">
        <v>8</v>
      </c>
      <c r="AC78" s="5" t="n">
        <v>8</v>
      </c>
      <c r="AD78" s="5" t="n">
        <v>8</v>
      </c>
      <c r="AE78" s="5" t="n">
        <v>8</v>
      </c>
      <c r="AF78" s="5" t="n">
        <v>8</v>
      </c>
    </row>
    <row r="79" customFormat="false" ht="15" hidden="false" customHeight="false" outlineLevel="0" collapsed="false">
      <c r="A79" s="0" t="s">
        <v>66</v>
      </c>
      <c r="B79" s="0" t="s">
        <v>344</v>
      </c>
      <c r="C79" s="0" t="s">
        <v>345</v>
      </c>
      <c r="E79" s="5" t="n">
        <v>0</v>
      </c>
      <c r="F79" s="5" t="n">
        <v>0</v>
      </c>
      <c r="G79" s="5" t="n">
        <v>0</v>
      </c>
      <c r="H79" s="5" t="n">
        <v>0</v>
      </c>
      <c r="I79" s="5" t="n">
        <v>0</v>
      </c>
      <c r="J79" s="5" t="n">
        <v>0</v>
      </c>
      <c r="K79" s="5" t="n">
        <v>0</v>
      </c>
      <c r="L79" s="5" t="n">
        <v>8</v>
      </c>
      <c r="M79" s="5" t="n">
        <v>8</v>
      </c>
      <c r="N79" s="5" t="n">
        <v>8</v>
      </c>
      <c r="O79" s="5" t="n">
        <v>8</v>
      </c>
      <c r="P79" s="5" t="n">
        <v>8</v>
      </c>
      <c r="Q79" s="5" t="n">
        <v>8</v>
      </c>
      <c r="R79" s="5" t="n">
        <v>8</v>
      </c>
      <c r="S79" s="5" t="n">
        <v>8</v>
      </c>
      <c r="T79" s="5" t="n">
        <v>8</v>
      </c>
      <c r="U79" s="5" t="n">
        <v>8</v>
      </c>
      <c r="V79" s="5" t="n">
        <v>8</v>
      </c>
      <c r="W79" s="5" t="n">
        <v>8</v>
      </c>
      <c r="X79" s="5" t="n">
        <v>8</v>
      </c>
      <c r="Y79" s="5" t="n">
        <v>8</v>
      </c>
      <c r="Z79" s="5" t="n">
        <v>8</v>
      </c>
      <c r="AA79" s="5" t="n">
        <v>8</v>
      </c>
      <c r="AB79" s="5" t="n">
        <v>8</v>
      </c>
      <c r="AC79" s="5" t="n">
        <v>8</v>
      </c>
      <c r="AD79" s="5" t="n">
        <v>8</v>
      </c>
      <c r="AE79" s="5" t="n">
        <v>8</v>
      </c>
      <c r="AF79" s="5" t="n">
        <v>8</v>
      </c>
    </row>
    <row r="80" customFormat="false" ht="15" hidden="false" customHeight="false" outlineLevel="0" collapsed="false">
      <c r="A80" s="0" t="s">
        <v>66</v>
      </c>
      <c r="B80" s="0" t="s">
        <v>346</v>
      </c>
      <c r="C80" s="0" t="s">
        <v>345</v>
      </c>
      <c r="E80" s="5" t="n">
        <v>0</v>
      </c>
      <c r="F80" s="5" t="n">
        <v>0</v>
      </c>
      <c r="G80" s="5" t="n">
        <v>0</v>
      </c>
      <c r="H80" s="5" t="n">
        <v>0</v>
      </c>
      <c r="I80" s="5" t="n">
        <v>0</v>
      </c>
      <c r="J80" s="5" t="n">
        <v>0</v>
      </c>
      <c r="K80" s="5" t="n">
        <v>0</v>
      </c>
      <c r="L80" s="5" t="n">
        <v>8</v>
      </c>
      <c r="M80" s="5" t="n">
        <v>8</v>
      </c>
      <c r="N80" s="5" t="n">
        <v>8</v>
      </c>
      <c r="O80" s="5" t="n">
        <v>8</v>
      </c>
      <c r="P80" s="5" t="n">
        <v>8</v>
      </c>
      <c r="Q80" s="5" t="n">
        <v>8</v>
      </c>
      <c r="R80" s="5" t="n">
        <v>8</v>
      </c>
      <c r="S80" s="5" t="n">
        <v>8</v>
      </c>
      <c r="T80" s="5" t="n">
        <v>8</v>
      </c>
      <c r="U80" s="5" t="n">
        <v>8</v>
      </c>
      <c r="V80" s="5" t="n">
        <v>8</v>
      </c>
      <c r="W80" s="5" t="n">
        <v>8</v>
      </c>
      <c r="X80" s="5" t="n">
        <v>8</v>
      </c>
      <c r="Y80" s="5" t="n">
        <v>8</v>
      </c>
      <c r="Z80" s="5" t="n">
        <v>8</v>
      </c>
      <c r="AA80" s="5" t="n">
        <v>8</v>
      </c>
      <c r="AB80" s="5" t="n">
        <v>8</v>
      </c>
      <c r="AC80" s="5" t="n">
        <v>8</v>
      </c>
      <c r="AD80" s="5" t="n">
        <v>8</v>
      </c>
      <c r="AE80" s="5" t="n">
        <v>8</v>
      </c>
      <c r="AF80" s="5" t="n">
        <v>8</v>
      </c>
    </row>
    <row r="81" customFormat="false" ht="15" hidden="false" customHeight="false" outlineLevel="0" collapsed="false">
      <c r="A81" s="0" t="s">
        <v>66</v>
      </c>
      <c r="B81" s="0" t="s">
        <v>347</v>
      </c>
      <c r="C81" s="0" t="s">
        <v>345</v>
      </c>
      <c r="E81" s="4" t="n">
        <f aca="false">(E79+E80)/2</f>
        <v>0</v>
      </c>
      <c r="F81" s="4" t="n">
        <f aca="false">(F79+F80)/2</f>
        <v>0</v>
      </c>
      <c r="G81" s="4" t="n">
        <f aca="false">(G79+G80)/2</f>
        <v>0</v>
      </c>
      <c r="H81" s="4" t="n">
        <f aca="false">(H79+H80)/2</f>
        <v>0</v>
      </c>
      <c r="I81" s="4" t="n">
        <f aca="false">(I79+I80)/2</f>
        <v>0</v>
      </c>
      <c r="J81" s="4" t="n">
        <f aca="false">(J79+J80)/2</f>
        <v>0</v>
      </c>
      <c r="K81" s="4" t="n">
        <f aca="false">(K79+K80)/2</f>
        <v>0</v>
      </c>
      <c r="L81" s="4" t="n">
        <f aca="false">(L79+L80)/2</f>
        <v>8</v>
      </c>
      <c r="M81" s="4" t="n">
        <f aca="false">(M79+M80)/2</f>
        <v>8</v>
      </c>
      <c r="N81" s="4" t="n">
        <f aca="false">(N79+N80)/2</f>
        <v>8</v>
      </c>
      <c r="O81" s="4" t="n">
        <f aca="false">(O79+O80)/2</f>
        <v>8</v>
      </c>
      <c r="P81" s="4" t="n">
        <f aca="false">(P79+P80)/2</f>
        <v>8</v>
      </c>
      <c r="Q81" s="4" t="n">
        <f aca="false">(Q79+Q80)/2</f>
        <v>8</v>
      </c>
      <c r="R81" s="4" t="n">
        <f aca="false">(R79+R80)/2</f>
        <v>8</v>
      </c>
      <c r="S81" s="4" t="n">
        <f aca="false">(S79+S80)/2</f>
        <v>8</v>
      </c>
      <c r="T81" s="4" t="n">
        <f aca="false">(T79+T80)/2</f>
        <v>8</v>
      </c>
      <c r="U81" s="4" t="n">
        <f aca="false">(U79+U80)/2</f>
        <v>8</v>
      </c>
      <c r="V81" s="4" t="n">
        <f aca="false">(V79+V80)/2</f>
        <v>8</v>
      </c>
      <c r="W81" s="4" t="n">
        <f aca="false">(W79+W80)/2</f>
        <v>8</v>
      </c>
      <c r="X81" s="4" t="n">
        <f aca="false">(X79+X80)/2</f>
        <v>8</v>
      </c>
      <c r="Y81" s="4" t="n">
        <f aca="false">(Y79+Y80)/2</f>
        <v>8</v>
      </c>
      <c r="Z81" s="4" t="n">
        <f aca="false">(Z79+Z80)/2</f>
        <v>8</v>
      </c>
      <c r="AA81" s="4" t="n">
        <f aca="false">(AA79+AA80)/2</f>
        <v>8</v>
      </c>
      <c r="AB81" s="4" t="n">
        <f aca="false">(AB79+AB80)/2</f>
        <v>8</v>
      </c>
      <c r="AC81" s="4" t="n">
        <f aca="false">(AC79+AC80)/2</f>
        <v>8</v>
      </c>
      <c r="AD81" s="4" t="n">
        <f aca="false">(AD79+AD80)/2</f>
        <v>8</v>
      </c>
      <c r="AE81" s="4" t="n">
        <f aca="false">(AE79+AE80)/2</f>
        <v>8</v>
      </c>
      <c r="AF81" s="4" t="n">
        <f aca="false">(AF79+AF80)/2</f>
        <v>8</v>
      </c>
    </row>
    <row r="82" customFormat="false" ht="15" hidden="false" customHeight="false" outlineLevel="0" collapsed="false">
      <c r="A82" s="0" t="s">
        <v>66</v>
      </c>
      <c r="B82" s="0" t="s">
        <v>348</v>
      </c>
      <c r="C82" s="0" t="s">
        <v>349</v>
      </c>
    </row>
    <row r="83" customFormat="false" ht="15" hidden="false" customHeight="false" outlineLevel="0" collapsed="false">
      <c r="A83" s="0" t="s">
        <v>68</v>
      </c>
      <c r="B83" s="0" t="s">
        <v>157</v>
      </c>
      <c r="C83" s="0" t="s">
        <v>343</v>
      </c>
      <c r="M83" s="5" t="n">
        <v>22</v>
      </c>
      <c r="N83" s="5" t="n">
        <v>22</v>
      </c>
      <c r="O83" s="5" t="n">
        <v>22</v>
      </c>
      <c r="P83" s="5" t="n">
        <v>22</v>
      </c>
      <c r="Q83" s="5" t="n">
        <v>22</v>
      </c>
      <c r="R83" s="5" t="n">
        <v>22</v>
      </c>
      <c r="S83" s="5" t="n">
        <v>22</v>
      </c>
      <c r="T83" s="5" t="n">
        <v>22</v>
      </c>
      <c r="U83" s="5" t="n">
        <v>22</v>
      </c>
      <c r="V83" s="5" t="n">
        <v>22</v>
      </c>
      <c r="W83" s="5" t="n">
        <v>22</v>
      </c>
      <c r="X83" s="5" t="n">
        <v>22</v>
      </c>
      <c r="Y83" s="5" t="n">
        <v>22</v>
      </c>
      <c r="Z83" s="5" t="n">
        <v>22</v>
      </c>
      <c r="AA83" s="5" t="n">
        <v>22</v>
      </c>
      <c r="AB83" s="5" t="n">
        <v>22</v>
      </c>
      <c r="AC83" s="5" t="n">
        <v>22</v>
      </c>
      <c r="AD83" s="5" t="n">
        <v>22</v>
      </c>
      <c r="AE83" s="5" t="n">
        <v>22</v>
      </c>
      <c r="AF83" s="5" t="n">
        <v>22</v>
      </c>
    </row>
    <row r="84" customFormat="false" ht="15" hidden="false" customHeight="false" outlineLevel="0" collapsed="false">
      <c r="A84" s="0" t="s">
        <v>68</v>
      </c>
      <c r="B84" s="0" t="s">
        <v>344</v>
      </c>
      <c r="C84" s="0" t="s">
        <v>350</v>
      </c>
      <c r="E84" s="5" t="n">
        <v>0</v>
      </c>
      <c r="F84" s="5" t="n">
        <v>0</v>
      </c>
      <c r="G84" s="5" t="n">
        <v>0</v>
      </c>
      <c r="H84" s="5" t="n">
        <v>0</v>
      </c>
      <c r="I84" s="5" t="n">
        <v>0</v>
      </c>
      <c r="J84" s="5" t="n">
        <v>0</v>
      </c>
      <c r="K84" s="5" t="n">
        <v>0</v>
      </c>
      <c r="L84" s="5" t="n">
        <v>0</v>
      </c>
      <c r="M84" s="5" t="n">
        <v>0</v>
      </c>
      <c r="N84" s="5" t="n">
        <v>0</v>
      </c>
      <c r="O84" s="5" t="n">
        <v>0</v>
      </c>
      <c r="P84" s="5" t="n">
        <v>0</v>
      </c>
      <c r="Q84" s="5" t="n">
        <v>0</v>
      </c>
      <c r="R84" s="5" t="n">
        <v>11</v>
      </c>
      <c r="S84" s="5" t="n">
        <v>22</v>
      </c>
      <c r="T84" s="5" t="n">
        <v>22</v>
      </c>
      <c r="U84" s="5" t="n">
        <v>22</v>
      </c>
      <c r="V84" s="5" t="n">
        <v>22</v>
      </c>
      <c r="W84" s="5" t="n">
        <v>22</v>
      </c>
      <c r="X84" s="5" t="n">
        <v>22</v>
      </c>
      <c r="Y84" s="5" t="n">
        <v>22</v>
      </c>
      <c r="Z84" s="5" t="n">
        <v>22</v>
      </c>
      <c r="AA84" s="5" t="n">
        <v>22</v>
      </c>
      <c r="AB84" s="5" t="n">
        <v>22</v>
      </c>
      <c r="AC84" s="5" t="n">
        <v>22</v>
      </c>
      <c r="AD84" s="5" t="n">
        <v>22</v>
      </c>
      <c r="AE84" s="5" t="n">
        <v>22</v>
      </c>
      <c r="AF84" s="5" t="n">
        <v>22</v>
      </c>
    </row>
    <row r="85" customFormat="false" ht="15" hidden="false" customHeight="false" outlineLevel="0" collapsed="false">
      <c r="A85" s="0" t="s">
        <v>68</v>
      </c>
      <c r="B85" s="0" t="s">
        <v>346</v>
      </c>
      <c r="C85" s="0" t="s">
        <v>350</v>
      </c>
      <c r="E85" s="5" t="n">
        <v>0</v>
      </c>
      <c r="F85" s="5" t="n">
        <v>0</v>
      </c>
      <c r="G85" s="5" t="n">
        <v>0</v>
      </c>
      <c r="H85" s="5" t="n">
        <v>0</v>
      </c>
      <c r="I85" s="5" t="n">
        <v>0</v>
      </c>
      <c r="J85" s="5" t="n">
        <v>0</v>
      </c>
      <c r="K85" s="5" t="n">
        <v>0</v>
      </c>
      <c r="L85" s="5" t="n">
        <v>0</v>
      </c>
      <c r="M85" s="5" t="n">
        <v>0</v>
      </c>
      <c r="N85" s="5" t="n">
        <v>0</v>
      </c>
      <c r="O85" s="5" t="n">
        <v>0</v>
      </c>
      <c r="P85" s="5" t="n">
        <v>11</v>
      </c>
      <c r="Q85" s="5" t="n">
        <v>22</v>
      </c>
      <c r="R85" s="5" t="n">
        <v>22</v>
      </c>
      <c r="S85" s="5" t="n">
        <v>22</v>
      </c>
      <c r="T85" s="5" t="n">
        <v>22</v>
      </c>
      <c r="U85" s="5" t="n">
        <v>22</v>
      </c>
      <c r="V85" s="5" t="n">
        <v>22</v>
      </c>
      <c r="W85" s="5" t="n">
        <v>22</v>
      </c>
      <c r="X85" s="5" t="n">
        <v>22</v>
      </c>
      <c r="Y85" s="5" t="n">
        <v>22</v>
      </c>
      <c r="Z85" s="5" t="n">
        <v>22</v>
      </c>
      <c r="AA85" s="5" t="n">
        <v>22</v>
      </c>
      <c r="AB85" s="5" t="n">
        <v>22</v>
      </c>
      <c r="AC85" s="5" t="n">
        <v>22</v>
      </c>
      <c r="AD85" s="5" t="n">
        <v>22</v>
      </c>
      <c r="AE85" s="5" t="n">
        <v>22</v>
      </c>
      <c r="AF85" s="5" t="n">
        <v>22</v>
      </c>
    </row>
    <row r="86" customFormat="false" ht="15" hidden="false" customHeight="false" outlineLevel="0" collapsed="false">
      <c r="A86" s="0" t="s">
        <v>68</v>
      </c>
      <c r="B86" s="0" t="s">
        <v>347</v>
      </c>
      <c r="C86" s="0" t="s">
        <v>350</v>
      </c>
      <c r="E86" s="4" t="n">
        <f aca="false">(E84+E85)/2</f>
        <v>0</v>
      </c>
      <c r="F86" s="4" t="n">
        <f aca="false">(F84+F85)/2</f>
        <v>0</v>
      </c>
      <c r="G86" s="4" t="n">
        <f aca="false">(G84+G85)/2</f>
        <v>0</v>
      </c>
      <c r="H86" s="4" t="n">
        <f aca="false">(H84+H85)/2</f>
        <v>0</v>
      </c>
      <c r="I86" s="4" t="n">
        <f aca="false">(I84+I85)/2</f>
        <v>0</v>
      </c>
      <c r="J86" s="4" t="n">
        <f aca="false">(J84+J85)/2</f>
        <v>0</v>
      </c>
      <c r="K86" s="4" t="n">
        <f aca="false">(K84+K85)/2</f>
        <v>0</v>
      </c>
      <c r="L86" s="4" t="n">
        <f aca="false">(L84+L85)/2</f>
        <v>0</v>
      </c>
      <c r="M86" s="4" t="n">
        <f aca="false">(M84+M85)/2</f>
        <v>0</v>
      </c>
      <c r="N86" s="4" t="n">
        <f aca="false">(N84+N85)/2</f>
        <v>0</v>
      </c>
      <c r="O86" s="4" t="n">
        <f aca="false">(O84+O85)/2</f>
        <v>0</v>
      </c>
      <c r="P86" s="4" t="n">
        <f aca="false">(P84+P85)/2</f>
        <v>5.5</v>
      </c>
      <c r="Q86" s="4" t="n">
        <f aca="false">(Q84+Q85)/2</f>
        <v>11</v>
      </c>
      <c r="R86" s="4" t="n">
        <f aca="false">(R84+R85)/2</f>
        <v>16.5</v>
      </c>
      <c r="S86" s="4" t="n">
        <f aca="false">(S84+S85)/2</f>
        <v>22</v>
      </c>
      <c r="T86" s="4" t="n">
        <f aca="false">(T84+T85)/2</f>
        <v>22</v>
      </c>
      <c r="U86" s="4" t="n">
        <f aca="false">(U84+U85)/2</f>
        <v>22</v>
      </c>
      <c r="V86" s="4" t="n">
        <f aca="false">(V84+V85)/2</f>
        <v>22</v>
      </c>
      <c r="W86" s="4" t="n">
        <f aca="false">(W84+W85)/2</f>
        <v>22</v>
      </c>
      <c r="X86" s="4" t="n">
        <f aca="false">(X84+X85)/2</f>
        <v>22</v>
      </c>
      <c r="Y86" s="4" t="n">
        <f aca="false">(Y84+Y85)/2</f>
        <v>22</v>
      </c>
      <c r="Z86" s="4" t="n">
        <f aca="false">(Z84+Z85)/2</f>
        <v>22</v>
      </c>
      <c r="AA86" s="4" t="n">
        <f aca="false">(AA84+AA85)/2</f>
        <v>22</v>
      </c>
      <c r="AB86" s="4" t="n">
        <f aca="false">(AB84+AB85)/2</f>
        <v>22</v>
      </c>
      <c r="AC86" s="4" t="n">
        <f aca="false">(AC84+AC85)/2</f>
        <v>22</v>
      </c>
      <c r="AD86" s="4" t="n">
        <f aca="false">(AD84+AD85)/2</f>
        <v>22</v>
      </c>
      <c r="AE86" s="4" t="n">
        <f aca="false">(AE84+AE85)/2</f>
        <v>22</v>
      </c>
      <c r="AF86" s="4" t="n">
        <f aca="false">(AF84+AF85)/2</f>
        <v>22</v>
      </c>
    </row>
    <row r="87" customFormat="false" ht="15" hidden="false" customHeight="false" outlineLevel="0" collapsed="false">
      <c r="A87" s="0" t="s">
        <v>68</v>
      </c>
      <c r="B87" s="0" t="s">
        <v>348</v>
      </c>
      <c r="C87" s="0" t="s">
        <v>349</v>
      </c>
      <c r="O87" s="5" t="n">
        <v>22</v>
      </c>
    </row>
    <row r="88" customFormat="false" ht="15" hidden="false" customHeight="false" outlineLevel="0" collapsed="false">
      <c r="A88" s="0" t="s">
        <v>69</v>
      </c>
      <c r="B88" s="0" t="s">
        <v>157</v>
      </c>
      <c r="C88" s="0" t="s">
        <v>343</v>
      </c>
      <c r="M88" s="5" t="n">
        <v>58</v>
      </c>
      <c r="N88" s="5" t="n">
        <v>58</v>
      </c>
      <c r="O88" s="5" t="n">
        <v>58</v>
      </c>
      <c r="P88" s="5" t="n">
        <v>58</v>
      </c>
      <c r="Q88" s="5" t="n">
        <v>58</v>
      </c>
      <c r="R88" s="5" t="n">
        <v>58</v>
      </c>
      <c r="S88" s="5" t="n">
        <v>58</v>
      </c>
      <c r="T88" s="5" t="n">
        <v>58</v>
      </c>
      <c r="U88" s="5" t="n">
        <v>58</v>
      </c>
      <c r="V88" s="5" t="n">
        <v>58</v>
      </c>
      <c r="W88" s="5" t="n">
        <v>58</v>
      </c>
      <c r="X88" s="5" t="n">
        <v>58</v>
      </c>
      <c r="Y88" s="5" t="n">
        <v>58</v>
      </c>
      <c r="Z88" s="5" t="n">
        <v>58</v>
      </c>
      <c r="AA88" s="5" t="n">
        <v>58</v>
      </c>
      <c r="AB88" s="5" t="n">
        <v>58</v>
      </c>
      <c r="AC88" s="5" t="n">
        <v>58</v>
      </c>
      <c r="AD88" s="5" t="n">
        <v>58</v>
      </c>
      <c r="AE88" s="5" t="n">
        <v>58</v>
      </c>
      <c r="AF88" s="5" t="n">
        <v>58</v>
      </c>
    </row>
    <row r="89" customFormat="false" ht="15" hidden="false" customHeight="false" outlineLevel="0" collapsed="false">
      <c r="A89" s="0" t="s">
        <v>69</v>
      </c>
      <c r="B89" s="0" t="s">
        <v>344</v>
      </c>
      <c r="C89" s="0" t="s">
        <v>350</v>
      </c>
      <c r="E89" s="5" t="n">
        <v>0</v>
      </c>
      <c r="F89" s="5" t="n">
        <v>0</v>
      </c>
      <c r="G89" s="5" t="n">
        <v>0</v>
      </c>
      <c r="H89" s="5" t="n">
        <v>0</v>
      </c>
      <c r="I89" s="5" t="n">
        <v>0</v>
      </c>
      <c r="J89" s="5" t="n">
        <v>0</v>
      </c>
      <c r="K89" s="5" t="n">
        <v>0</v>
      </c>
      <c r="L89" s="5" t="n">
        <v>0</v>
      </c>
      <c r="M89" s="5" t="n">
        <v>0</v>
      </c>
      <c r="N89" s="5" t="n">
        <v>0</v>
      </c>
      <c r="O89" s="5" t="n">
        <v>0</v>
      </c>
      <c r="P89" s="5" t="n">
        <v>0</v>
      </c>
      <c r="Q89" s="5" t="n">
        <v>0</v>
      </c>
      <c r="R89" s="5" t="n">
        <v>20</v>
      </c>
      <c r="S89" s="5" t="n">
        <v>39</v>
      </c>
      <c r="T89" s="5" t="n">
        <v>58</v>
      </c>
      <c r="U89" s="5" t="n">
        <v>58</v>
      </c>
      <c r="V89" s="5" t="n">
        <v>58</v>
      </c>
      <c r="W89" s="5" t="n">
        <v>58</v>
      </c>
      <c r="X89" s="5" t="n">
        <v>58</v>
      </c>
      <c r="Y89" s="5" t="n">
        <v>58</v>
      </c>
      <c r="Z89" s="5" t="n">
        <v>58</v>
      </c>
      <c r="AA89" s="5" t="n">
        <v>58</v>
      </c>
      <c r="AB89" s="5" t="n">
        <v>58</v>
      </c>
      <c r="AC89" s="5" t="n">
        <v>58</v>
      </c>
      <c r="AD89" s="5" t="n">
        <v>58</v>
      </c>
      <c r="AE89" s="5" t="n">
        <v>58</v>
      </c>
      <c r="AF89" s="5" t="n">
        <v>58</v>
      </c>
    </row>
    <row r="90" customFormat="false" ht="15" hidden="false" customHeight="false" outlineLevel="0" collapsed="false">
      <c r="A90" s="0" t="s">
        <v>69</v>
      </c>
      <c r="B90" s="0" t="s">
        <v>346</v>
      </c>
      <c r="C90" s="0" t="s">
        <v>350</v>
      </c>
      <c r="E90" s="5" t="n">
        <v>0</v>
      </c>
      <c r="F90" s="5" t="n">
        <v>0</v>
      </c>
      <c r="G90" s="5" t="n">
        <v>0</v>
      </c>
      <c r="H90" s="5" t="n">
        <v>0</v>
      </c>
      <c r="I90" s="5" t="n">
        <v>0</v>
      </c>
      <c r="J90" s="5" t="n">
        <v>0</v>
      </c>
      <c r="K90" s="5" t="n">
        <v>0</v>
      </c>
      <c r="L90" s="5" t="n">
        <v>0</v>
      </c>
      <c r="M90" s="5" t="n">
        <v>0</v>
      </c>
      <c r="N90" s="5" t="n">
        <v>0</v>
      </c>
      <c r="O90" s="5" t="n">
        <v>0</v>
      </c>
      <c r="P90" s="5" t="n">
        <v>0</v>
      </c>
      <c r="Q90" s="5" t="n">
        <v>20</v>
      </c>
      <c r="R90" s="5" t="n">
        <v>39</v>
      </c>
      <c r="S90" s="5" t="n">
        <v>58</v>
      </c>
      <c r="T90" s="5" t="n">
        <v>58</v>
      </c>
      <c r="U90" s="5" t="n">
        <v>58</v>
      </c>
      <c r="V90" s="5" t="n">
        <v>58</v>
      </c>
      <c r="W90" s="5" t="n">
        <v>58</v>
      </c>
      <c r="X90" s="5" t="n">
        <v>58</v>
      </c>
      <c r="Y90" s="5" t="n">
        <v>58</v>
      </c>
      <c r="Z90" s="5" t="n">
        <v>58</v>
      </c>
      <c r="AA90" s="5" t="n">
        <v>58</v>
      </c>
      <c r="AB90" s="5" t="n">
        <v>58</v>
      </c>
      <c r="AC90" s="5" t="n">
        <v>58</v>
      </c>
      <c r="AD90" s="5" t="n">
        <v>58</v>
      </c>
      <c r="AE90" s="5" t="n">
        <v>58</v>
      </c>
      <c r="AF90" s="5" t="n">
        <v>58</v>
      </c>
    </row>
    <row r="91" customFormat="false" ht="15" hidden="false" customHeight="false" outlineLevel="0" collapsed="false">
      <c r="A91" s="0" t="s">
        <v>69</v>
      </c>
      <c r="B91" s="0" t="s">
        <v>347</v>
      </c>
      <c r="C91" s="0" t="s">
        <v>350</v>
      </c>
      <c r="E91" s="4" t="n">
        <f aca="false">(E89+E90)/2</f>
        <v>0</v>
      </c>
      <c r="F91" s="4" t="n">
        <f aca="false">(F89+F90)/2</f>
        <v>0</v>
      </c>
      <c r="G91" s="4" t="n">
        <f aca="false">(G89+G90)/2</f>
        <v>0</v>
      </c>
      <c r="H91" s="4" t="n">
        <f aca="false">(H89+H90)/2</f>
        <v>0</v>
      </c>
      <c r="I91" s="4" t="n">
        <f aca="false">(I89+I90)/2</f>
        <v>0</v>
      </c>
      <c r="J91" s="4" t="n">
        <f aca="false">(J89+J90)/2</f>
        <v>0</v>
      </c>
      <c r="K91" s="4" t="n">
        <f aca="false">(K89+K90)/2</f>
        <v>0</v>
      </c>
      <c r="L91" s="4" t="n">
        <f aca="false">(L89+L90)/2</f>
        <v>0</v>
      </c>
      <c r="M91" s="4" t="n">
        <f aca="false">(M89+M90)/2</f>
        <v>0</v>
      </c>
      <c r="N91" s="4" t="n">
        <f aca="false">(N89+N90)/2</f>
        <v>0</v>
      </c>
      <c r="O91" s="4" t="n">
        <f aca="false">(O89+O90)/2</f>
        <v>0</v>
      </c>
      <c r="P91" s="4" t="n">
        <f aca="false">(P89+P90)/2</f>
        <v>0</v>
      </c>
      <c r="Q91" s="4" t="n">
        <f aca="false">(Q89+Q90)/2</f>
        <v>10</v>
      </c>
      <c r="R91" s="4" t="n">
        <f aca="false">(R89+R90)/2</f>
        <v>29.5</v>
      </c>
      <c r="S91" s="4" t="n">
        <f aca="false">(S89+S90)/2</f>
        <v>48.5</v>
      </c>
      <c r="T91" s="4" t="n">
        <f aca="false">(T89+T90)/2</f>
        <v>58</v>
      </c>
      <c r="U91" s="4" t="n">
        <f aca="false">(U89+U90)/2</f>
        <v>58</v>
      </c>
      <c r="V91" s="4" t="n">
        <f aca="false">(V89+V90)/2</f>
        <v>58</v>
      </c>
      <c r="W91" s="4" t="n">
        <f aca="false">(W89+W90)/2</f>
        <v>58</v>
      </c>
      <c r="X91" s="4" t="n">
        <f aca="false">(X89+X90)/2</f>
        <v>58</v>
      </c>
      <c r="Y91" s="4" t="n">
        <f aca="false">(Y89+Y90)/2</f>
        <v>58</v>
      </c>
      <c r="Z91" s="4" t="n">
        <f aca="false">(Z89+Z90)/2</f>
        <v>58</v>
      </c>
      <c r="AA91" s="4" t="n">
        <f aca="false">(AA89+AA90)/2</f>
        <v>58</v>
      </c>
      <c r="AB91" s="4" t="n">
        <f aca="false">(AB89+AB90)/2</f>
        <v>58</v>
      </c>
      <c r="AC91" s="4" t="n">
        <f aca="false">(AC89+AC90)/2</f>
        <v>58</v>
      </c>
      <c r="AD91" s="4" t="n">
        <f aca="false">(AD89+AD90)/2</f>
        <v>58</v>
      </c>
      <c r="AE91" s="4" t="n">
        <f aca="false">(AE89+AE90)/2</f>
        <v>58</v>
      </c>
      <c r="AF91" s="4" t="n">
        <f aca="false">(AF89+AF90)/2</f>
        <v>58</v>
      </c>
    </row>
    <row r="92" customFormat="false" ht="15" hidden="false" customHeight="false" outlineLevel="0" collapsed="false">
      <c r="A92" s="0" t="s">
        <v>69</v>
      </c>
      <c r="B92" s="0" t="s">
        <v>348</v>
      </c>
      <c r="C92" s="0" t="s">
        <v>349</v>
      </c>
      <c r="Q92" s="5" t="n">
        <v>58</v>
      </c>
    </row>
    <row r="93" customFormat="false" ht="15" hidden="false" customHeight="false" outlineLevel="0" collapsed="false">
      <c r="A93" s="0" t="s">
        <v>70</v>
      </c>
      <c r="B93" s="0" t="s">
        <v>157</v>
      </c>
      <c r="C93" s="0" t="s">
        <v>343</v>
      </c>
      <c r="N93" s="5" t="n">
        <v>18</v>
      </c>
      <c r="O93" s="5" t="n">
        <v>18</v>
      </c>
      <c r="P93" s="5" t="n">
        <v>18</v>
      </c>
      <c r="Q93" s="5" t="n">
        <v>18</v>
      </c>
      <c r="R93" s="5" t="n">
        <v>18</v>
      </c>
      <c r="S93" s="5" t="n">
        <v>18</v>
      </c>
      <c r="T93" s="5" t="n">
        <v>18</v>
      </c>
      <c r="U93" s="5" t="n">
        <v>18</v>
      </c>
      <c r="V93" s="5" t="n">
        <v>18</v>
      </c>
      <c r="W93" s="5" t="n">
        <v>18</v>
      </c>
      <c r="X93" s="5" t="n">
        <v>18</v>
      </c>
      <c r="Y93" s="5" t="n">
        <v>18</v>
      </c>
      <c r="Z93" s="5" t="n">
        <v>18</v>
      </c>
      <c r="AA93" s="5" t="n">
        <v>18</v>
      </c>
      <c r="AB93" s="5" t="n">
        <v>18</v>
      </c>
      <c r="AC93" s="5" t="n">
        <v>18</v>
      </c>
      <c r="AD93" s="5" t="n">
        <v>18</v>
      </c>
      <c r="AE93" s="5" t="n">
        <v>18</v>
      </c>
      <c r="AF93" s="5" t="n">
        <v>18</v>
      </c>
    </row>
    <row r="94" customFormat="false" ht="15" hidden="false" customHeight="false" outlineLevel="0" collapsed="false">
      <c r="A94" s="0" t="s">
        <v>70</v>
      </c>
      <c r="B94" s="0" t="s">
        <v>344</v>
      </c>
      <c r="C94" s="0" t="s">
        <v>350</v>
      </c>
      <c r="E94" s="5" t="n">
        <v>0</v>
      </c>
      <c r="F94" s="5" t="n">
        <v>0</v>
      </c>
      <c r="G94" s="5" t="n">
        <v>0</v>
      </c>
      <c r="H94" s="5" t="n">
        <v>0</v>
      </c>
      <c r="I94" s="5" t="n">
        <v>0</v>
      </c>
      <c r="J94" s="5" t="n">
        <v>0</v>
      </c>
      <c r="K94" s="5" t="n">
        <v>0</v>
      </c>
      <c r="L94" s="5" t="n">
        <v>0</v>
      </c>
      <c r="M94" s="5" t="n">
        <v>0</v>
      </c>
      <c r="N94" s="5" t="n">
        <v>0</v>
      </c>
      <c r="O94" s="5" t="n">
        <v>6</v>
      </c>
      <c r="P94" s="5" t="n">
        <v>9</v>
      </c>
      <c r="Q94" s="5" t="n">
        <v>18</v>
      </c>
      <c r="R94" s="5" t="n">
        <v>18</v>
      </c>
      <c r="S94" s="5" t="n">
        <v>18</v>
      </c>
      <c r="T94" s="5" t="n">
        <v>18</v>
      </c>
      <c r="U94" s="5" t="n">
        <v>18</v>
      </c>
      <c r="V94" s="5" t="n">
        <v>18</v>
      </c>
      <c r="W94" s="5" t="n">
        <v>18</v>
      </c>
      <c r="X94" s="5" t="n">
        <v>18</v>
      </c>
      <c r="Y94" s="5" t="n">
        <v>18</v>
      </c>
      <c r="Z94" s="5" t="n">
        <v>18</v>
      </c>
      <c r="AA94" s="5" t="n">
        <v>18</v>
      </c>
      <c r="AB94" s="5" t="n">
        <v>18</v>
      </c>
      <c r="AC94" s="5" t="n">
        <v>18</v>
      </c>
      <c r="AD94" s="5" t="n">
        <v>18</v>
      </c>
      <c r="AE94" s="5" t="n">
        <v>18</v>
      </c>
      <c r="AF94" s="5" t="n">
        <v>18</v>
      </c>
    </row>
    <row r="95" customFormat="false" ht="15" hidden="false" customHeight="false" outlineLevel="0" collapsed="false">
      <c r="A95" s="0" t="s">
        <v>70</v>
      </c>
      <c r="B95" s="0" t="s">
        <v>346</v>
      </c>
      <c r="C95" s="0" t="s">
        <v>350</v>
      </c>
      <c r="E95" s="5" t="n">
        <v>0</v>
      </c>
      <c r="F95" s="5" t="n">
        <v>0</v>
      </c>
      <c r="G95" s="5" t="n">
        <v>0</v>
      </c>
      <c r="H95" s="5" t="n">
        <v>0</v>
      </c>
      <c r="I95" s="5" t="n">
        <v>0</v>
      </c>
      <c r="J95" s="5" t="n">
        <v>0</v>
      </c>
      <c r="K95" s="5" t="n">
        <v>0</v>
      </c>
      <c r="L95" s="5" t="n">
        <v>0</v>
      </c>
      <c r="M95" s="5" t="n">
        <v>0</v>
      </c>
      <c r="N95" s="5" t="n">
        <v>0</v>
      </c>
      <c r="O95" s="5" t="n">
        <v>9</v>
      </c>
      <c r="P95" s="5" t="n">
        <v>18</v>
      </c>
      <c r="Q95" s="5" t="n">
        <v>18</v>
      </c>
      <c r="R95" s="5" t="n">
        <v>18</v>
      </c>
      <c r="S95" s="5" t="n">
        <v>18</v>
      </c>
      <c r="T95" s="5" t="n">
        <v>18</v>
      </c>
      <c r="U95" s="5" t="n">
        <v>18</v>
      </c>
      <c r="V95" s="5" t="n">
        <v>18</v>
      </c>
      <c r="W95" s="5" t="n">
        <v>18</v>
      </c>
      <c r="X95" s="5" t="n">
        <v>18</v>
      </c>
      <c r="Y95" s="5" t="n">
        <v>18</v>
      </c>
      <c r="Z95" s="5" t="n">
        <v>18</v>
      </c>
      <c r="AA95" s="5" t="n">
        <v>18</v>
      </c>
      <c r="AB95" s="5" t="n">
        <v>18</v>
      </c>
      <c r="AC95" s="5" t="n">
        <v>18</v>
      </c>
      <c r="AD95" s="5" t="n">
        <v>18</v>
      </c>
      <c r="AE95" s="5" t="n">
        <v>18</v>
      </c>
      <c r="AF95" s="5" t="n">
        <v>18</v>
      </c>
    </row>
    <row r="96" customFormat="false" ht="15" hidden="false" customHeight="false" outlineLevel="0" collapsed="false">
      <c r="A96" s="0" t="s">
        <v>70</v>
      </c>
      <c r="B96" s="0" t="s">
        <v>347</v>
      </c>
      <c r="C96" s="0" t="s">
        <v>350</v>
      </c>
      <c r="E96" s="4" t="n">
        <f aca="false">(E94+E95)/2</f>
        <v>0</v>
      </c>
      <c r="F96" s="4" t="n">
        <f aca="false">(F94+F95)/2</f>
        <v>0</v>
      </c>
      <c r="G96" s="4" t="n">
        <f aca="false">(G94+G95)/2</f>
        <v>0</v>
      </c>
      <c r="H96" s="4" t="n">
        <f aca="false">(H94+H95)/2</f>
        <v>0</v>
      </c>
      <c r="I96" s="4" t="n">
        <f aca="false">(I94+I95)/2</f>
        <v>0</v>
      </c>
      <c r="J96" s="4" t="n">
        <f aca="false">(J94+J95)/2</f>
        <v>0</v>
      </c>
      <c r="K96" s="4" t="n">
        <f aca="false">(K94+K95)/2</f>
        <v>0</v>
      </c>
      <c r="L96" s="4" t="n">
        <f aca="false">(L94+L95)/2</f>
        <v>0</v>
      </c>
      <c r="M96" s="4" t="n">
        <f aca="false">(M94+M95)/2</f>
        <v>0</v>
      </c>
      <c r="N96" s="4" t="n">
        <f aca="false">(N94+N95)/2</f>
        <v>0</v>
      </c>
      <c r="O96" s="4" t="n">
        <f aca="false">(O94+O95)/2</f>
        <v>7.5</v>
      </c>
      <c r="P96" s="4" t="n">
        <f aca="false">(P94+P95)/2</f>
        <v>13.5</v>
      </c>
      <c r="Q96" s="4" t="n">
        <f aca="false">(Q94+Q95)/2</f>
        <v>18</v>
      </c>
      <c r="R96" s="4" t="n">
        <f aca="false">(R94+R95)/2</f>
        <v>18</v>
      </c>
      <c r="S96" s="4" t="n">
        <f aca="false">(S94+S95)/2</f>
        <v>18</v>
      </c>
      <c r="T96" s="4" t="n">
        <f aca="false">(T94+T95)/2</f>
        <v>18</v>
      </c>
      <c r="U96" s="4" t="n">
        <f aca="false">(U94+U95)/2</f>
        <v>18</v>
      </c>
      <c r="V96" s="4" t="n">
        <f aca="false">(V94+V95)/2</f>
        <v>18</v>
      </c>
      <c r="W96" s="4" t="n">
        <f aca="false">(W94+W95)/2</f>
        <v>18</v>
      </c>
      <c r="X96" s="4" t="n">
        <f aca="false">(X94+X95)/2</f>
        <v>18</v>
      </c>
      <c r="Y96" s="4" t="n">
        <f aca="false">(Y94+Y95)/2</f>
        <v>18</v>
      </c>
      <c r="Z96" s="4" t="n">
        <f aca="false">(Z94+Z95)/2</f>
        <v>18</v>
      </c>
      <c r="AA96" s="4" t="n">
        <f aca="false">(AA94+AA95)/2</f>
        <v>18</v>
      </c>
      <c r="AB96" s="4" t="n">
        <f aca="false">(AB94+AB95)/2</f>
        <v>18</v>
      </c>
      <c r="AC96" s="4" t="n">
        <f aca="false">(AC94+AC95)/2</f>
        <v>18</v>
      </c>
      <c r="AD96" s="4" t="n">
        <f aca="false">(AD94+AD95)/2</f>
        <v>18</v>
      </c>
      <c r="AE96" s="4" t="n">
        <f aca="false">(AE94+AE95)/2</f>
        <v>18</v>
      </c>
      <c r="AF96" s="4" t="n">
        <f aca="false">(AF94+AF95)/2</f>
        <v>18</v>
      </c>
    </row>
    <row r="97" customFormat="false" ht="15" hidden="false" customHeight="false" outlineLevel="0" collapsed="false">
      <c r="A97" s="0" t="s">
        <v>70</v>
      </c>
      <c r="B97" s="0" t="s">
        <v>348</v>
      </c>
      <c r="C97" s="0" t="s">
        <v>349</v>
      </c>
      <c r="O97" s="5" t="n">
        <v>18</v>
      </c>
    </row>
    <row r="98" customFormat="false" ht="15" hidden="false" customHeight="false" outlineLevel="0" collapsed="false">
      <c r="A98" s="0" t="s">
        <v>72</v>
      </c>
      <c r="B98" s="0" t="s">
        <v>157</v>
      </c>
      <c r="C98" s="0" t="s">
        <v>343</v>
      </c>
      <c r="N98" s="5" t="n">
        <v>22</v>
      </c>
      <c r="O98" s="5" t="n">
        <v>22</v>
      </c>
      <c r="P98" s="5" t="n">
        <v>22</v>
      </c>
      <c r="Q98" s="5" t="n">
        <v>22</v>
      </c>
      <c r="R98" s="5" t="n">
        <v>22</v>
      </c>
      <c r="S98" s="5" t="n">
        <v>22</v>
      </c>
      <c r="T98" s="5" t="n">
        <v>22</v>
      </c>
      <c r="U98" s="5" t="n">
        <v>22</v>
      </c>
      <c r="V98" s="5" t="n">
        <v>22</v>
      </c>
      <c r="W98" s="5" t="n">
        <v>22</v>
      </c>
      <c r="X98" s="5" t="n">
        <v>22</v>
      </c>
      <c r="Y98" s="5" t="n">
        <v>22</v>
      </c>
      <c r="Z98" s="5" t="n">
        <v>22</v>
      </c>
      <c r="AA98" s="5" t="n">
        <v>22</v>
      </c>
      <c r="AB98" s="5" t="n">
        <v>22</v>
      </c>
      <c r="AC98" s="5" t="n">
        <v>22</v>
      </c>
      <c r="AD98" s="5" t="n">
        <v>22</v>
      </c>
      <c r="AE98" s="5" t="n">
        <v>22</v>
      </c>
      <c r="AF98" s="5" t="n">
        <v>22</v>
      </c>
    </row>
    <row r="99" customFormat="false" ht="15" hidden="false" customHeight="false" outlineLevel="0" collapsed="false">
      <c r="A99" s="0" t="s">
        <v>72</v>
      </c>
      <c r="B99" s="0" t="s">
        <v>344</v>
      </c>
      <c r="C99" s="0" t="s">
        <v>350</v>
      </c>
      <c r="E99" s="5" t="n">
        <v>0</v>
      </c>
      <c r="F99" s="5" t="n">
        <v>0</v>
      </c>
      <c r="G99" s="5" t="n">
        <v>0</v>
      </c>
      <c r="H99" s="5" t="n">
        <v>0</v>
      </c>
      <c r="I99" s="5" t="n">
        <v>0</v>
      </c>
      <c r="J99" s="5" t="n">
        <v>0</v>
      </c>
      <c r="K99" s="5" t="n">
        <v>0</v>
      </c>
      <c r="L99" s="5" t="n">
        <v>0</v>
      </c>
      <c r="M99" s="5" t="n">
        <v>0</v>
      </c>
      <c r="N99" s="5" t="n">
        <v>0</v>
      </c>
      <c r="O99" s="5" t="n">
        <v>0</v>
      </c>
      <c r="P99" s="5" t="n">
        <v>0</v>
      </c>
      <c r="Q99" s="5" t="n">
        <v>11</v>
      </c>
      <c r="R99" s="5" t="n">
        <v>22</v>
      </c>
      <c r="S99" s="5" t="n">
        <v>22</v>
      </c>
      <c r="T99" s="5" t="n">
        <v>22</v>
      </c>
      <c r="U99" s="5" t="n">
        <v>22</v>
      </c>
      <c r="V99" s="5" t="n">
        <v>22</v>
      </c>
      <c r="W99" s="5" t="n">
        <v>22</v>
      </c>
      <c r="X99" s="5" t="n">
        <v>22</v>
      </c>
      <c r="Y99" s="5" t="n">
        <v>22</v>
      </c>
      <c r="Z99" s="5" t="n">
        <v>22</v>
      </c>
      <c r="AA99" s="5" t="n">
        <v>22</v>
      </c>
      <c r="AB99" s="5" t="n">
        <v>22</v>
      </c>
      <c r="AC99" s="5" t="n">
        <v>22</v>
      </c>
      <c r="AD99" s="5" t="n">
        <v>22</v>
      </c>
      <c r="AE99" s="5" t="n">
        <v>22</v>
      </c>
      <c r="AF99" s="5" t="n">
        <v>22</v>
      </c>
    </row>
    <row r="100" customFormat="false" ht="15" hidden="false" customHeight="false" outlineLevel="0" collapsed="false">
      <c r="A100" s="0" t="s">
        <v>72</v>
      </c>
      <c r="B100" s="0" t="s">
        <v>346</v>
      </c>
      <c r="C100" s="0" t="s">
        <v>350</v>
      </c>
      <c r="E100" s="5" t="n">
        <v>0</v>
      </c>
      <c r="F100" s="5" t="n">
        <v>0</v>
      </c>
      <c r="G100" s="5" t="n">
        <v>0</v>
      </c>
      <c r="H100" s="5" t="n">
        <v>0</v>
      </c>
      <c r="I100" s="5" t="n">
        <v>0</v>
      </c>
      <c r="J100" s="5" t="n">
        <v>0</v>
      </c>
      <c r="K100" s="5" t="n">
        <v>0</v>
      </c>
      <c r="L100" s="5" t="n">
        <v>0</v>
      </c>
      <c r="M100" s="5" t="n">
        <v>0</v>
      </c>
      <c r="N100" s="5" t="n">
        <v>0</v>
      </c>
      <c r="O100" s="5" t="n">
        <v>0</v>
      </c>
      <c r="P100" s="5" t="n">
        <v>22</v>
      </c>
      <c r="Q100" s="5" t="n">
        <v>22</v>
      </c>
      <c r="R100" s="5" t="n">
        <v>22</v>
      </c>
      <c r="S100" s="5" t="n">
        <v>22</v>
      </c>
      <c r="T100" s="5" t="n">
        <v>22</v>
      </c>
      <c r="U100" s="5" t="n">
        <v>22</v>
      </c>
      <c r="V100" s="5" t="n">
        <v>22</v>
      </c>
      <c r="W100" s="5" t="n">
        <v>22</v>
      </c>
      <c r="X100" s="5" t="n">
        <v>22</v>
      </c>
      <c r="Y100" s="5" t="n">
        <v>22</v>
      </c>
      <c r="Z100" s="5" t="n">
        <v>22</v>
      </c>
      <c r="AA100" s="5" t="n">
        <v>22</v>
      </c>
      <c r="AB100" s="5" t="n">
        <v>22</v>
      </c>
      <c r="AC100" s="5" t="n">
        <v>22</v>
      </c>
      <c r="AD100" s="5" t="n">
        <v>22</v>
      </c>
      <c r="AE100" s="5" t="n">
        <v>22</v>
      </c>
      <c r="AF100" s="5" t="n">
        <v>22</v>
      </c>
    </row>
    <row r="101" customFormat="false" ht="15" hidden="false" customHeight="false" outlineLevel="0" collapsed="false">
      <c r="A101" s="0" t="s">
        <v>72</v>
      </c>
      <c r="B101" s="0" t="s">
        <v>347</v>
      </c>
      <c r="C101" s="0" t="s">
        <v>350</v>
      </c>
      <c r="E101" s="4" t="n">
        <f aca="false">(E99+E100)/2</f>
        <v>0</v>
      </c>
      <c r="F101" s="4" t="n">
        <f aca="false">(F99+F100)/2</f>
        <v>0</v>
      </c>
      <c r="G101" s="4" t="n">
        <f aca="false">(G99+G100)/2</f>
        <v>0</v>
      </c>
      <c r="H101" s="4" t="n">
        <f aca="false">(H99+H100)/2</f>
        <v>0</v>
      </c>
      <c r="I101" s="4" t="n">
        <f aca="false">(I99+I100)/2</f>
        <v>0</v>
      </c>
      <c r="J101" s="4" t="n">
        <f aca="false">(J99+J100)/2</f>
        <v>0</v>
      </c>
      <c r="K101" s="4" t="n">
        <f aca="false">(K99+K100)/2</f>
        <v>0</v>
      </c>
      <c r="L101" s="4" t="n">
        <f aca="false">(L99+L100)/2</f>
        <v>0</v>
      </c>
      <c r="M101" s="4" t="n">
        <f aca="false">(M99+M100)/2</f>
        <v>0</v>
      </c>
      <c r="N101" s="4" t="n">
        <f aca="false">(N99+N100)/2</f>
        <v>0</v>
      </c>
      <c r="O101" s="4" t="n">
        <f aca="false">(O99+O100)/2</f>
        <v>0</v>
      </c>
      <c r="P101" s="4" t="n">
        <f aca="false">(P99+P100)/2</f>
        <v>11</v>
      </c>
      <c r="Q101" s="4" t="n">
        <f aca="false">(Q99+Q100)/2</f>
        <v>16.5</v>
      </c>
      <c r="R101" s="4" t="n">
        <f aca="false">(R99+R100)/2</f>
        <v>22</v>
      </c>
      <c r="S101" s="4" t="n">
        <f aca="false">(S99+S100)/2</f>
        <v>22</v>
      </c>
      <c r="T101" s="4" t="n">
        <f aca="false">(T99+T100)/2</f>
        <v>22</v>
      </c>
      <c r="U101" s="4" t="n">
        <f aca="false">(U99+U100)/2</f>
        <v>22</v>
      </c>
      <c r="V101" s="4" t="n">
        <f aca="false">(V99+V100)/2</f>
        <v>22</v>
      </c>
      <c r="W101" s="4" t="n">
        <f aca="false">(W99+W100)/2</f>
        <v>22</v>
      </c>
      <c r="X101" s="4" t="n">
        <f aca="false">(X99+X100)/2</f>
        <v>22</v>
      </c>
      <c r="Y101" s="4" t="n">
        <f aca="false">(Y99+Y100)/2</f>
        <v>22</v>
      </c>
      <c r="Z101" s="4" t="n">
        <f aca="false">(Z99+Z100)/2</f>
        <v>22</v>
      </c>
      <c r="AA101" s="4" t="n">
        <f aca="false">(AA99+AA100)/2</f>
        <v>22</v>
      </c>
      <c r="AB101" s="4" t="n">
        <f aca="false">(AB99+AB100)/2</f>
        <v>22</v>
      </c>
      <c r="AC101" s="4" t="n">
        <f aca="false">(AC99+AC100)/2</f>
        <v>22</v>
      </c>
      <c r="AD101" s="4" t="n">
        <f aca="false">(AD99+AD100)/2</f>
        <v>22</v>
      </c>
      <c r="AE101" s="4" t="n">
        <f aca="false">(AE99+AE100)/2</f>
        <v>22</v>
      </c>
      <c r="AF101" s="4" t="n">
        <f aca="false">(AF99+AF100)/2</f>
        <v>22</v>
      </c>
    </row>
    <row r="102" customFormat="false" ht="15" hidden="false" customHeight="false" outlineLevel="0" collapsed="false">
      <c r="A102" s="0" t="s">
        <v>72</v>
      </c>
      <c r="B102" s="0" t="s">
        <v>348</v>
      </c>
      <c r="C102" s="0" t="s">
        <v>349</v>
      </c>
      <c r="P102" s="5" t="n">
        <v>22</v>
      </c>
    </row>
    <row r="103" customFormat="false" ht="15" hidden="false" customHeight="false" outlineLevel="0" collapsed="false">
      <c r="A103" s="0" t="s">
        <v>74</v>
      </c>
      <c r="B103" s="0" t="s">
        <v>157</v>
      </c>
      <c r="C103" s="0" t="s">
        <v>343</v>
      </c>
      <c r="E103" s="5" t="s">
        <v>65</v>
      </c>
      <c r="F103" s="5" t="s">
        <v>65</v>
      </c>
      <c r="G103" s="5" t="s">
        <v>65</v>
      </c>
      <c r="H103" s="5" t="s">
        <v>65</v>
      </c>
      <c r="I103" s="5" t="s">
        <v>65</v>
      </c>
      <c r="J103" s="5" t="s">
        <v>65</v>
      </c>
      <c r="K103" s="5" t="s">
        <v>65</v>
      </c>
      <c r="L103" s="5" t="s">
        <v>65</v>
      </c>
      <c r="M103" s="5" t="s">
        <v>65</v>
      </c>
      <c r="N103" s="5" t="s">
        <v>65</v>
      </c>
      <c r="O103" s="5" t="s">
        <v>65</v>
      </c>
      <c r="P103" s="5" t="s">
        <v>65</v>
      </c>
      <c r="Q103" s="5" t="s">
        <v>65</v>
      </c>
      <c r="R103" s="5" t="s">
        <v>65</v>
      </c>
      <c r="S103" s="5" t="s">
        <v>65</v>
      </c>
      <c r="T103" s="5" t="s">
        <v>65</v>
      </c>
      <c r="U103" s="5" t="s">
        <v>65</v>
      </c>
      <c r="V103" s="5" t="s">
        <v>65</v>
      </c>
      <c r="W103" s="5" t="s">
        <v>65</v>
      </c>
      <c r="X103" s="5" t="s">
        <v>65</v>
      </c>
      <c r="Y103" s="5" t="s">
        <v>65</v>
      </c>
      <c r="Z103" s="5" t="s">
        <v>65</v>
      </c>
      <c r="AA103" s="5" t="s">
        <v>65</v>
      </c>
      <c r="AB103" s="5" t="s">
        <v>65</v>
      </c>
      <c r="AC103" s="5" t="s">
        <v>65</v>
      </c>
      <c r="AD103" s="5" t="s">
        <v>65</v>
      </c>
      <c r="AE103" s="5" t="s">
        <v>65</v>
      </c>
      <c r="AF103" s="5" t="s">
        <v>65</v>
      </c>
    </row>
    <row r="104" customFormat="false" ht="15" hidden="false" customHeight="false" outlineLevel="0" collapsed="false">
      <c r="A104" s="0" t="s">
        <v>74</v>
      </c>
      <c r="B104" s="0" t="s">
        <v>344</v>
      </c>
      <c r="C104" s="0" t="s">
        <v>350</v>
      </c>
      <c r="E104" s="5" t="n">
        <v>0</v>
      </c>
      <c r="F104" s="5" t="n">
        <v>0</v>
      </c>
      <c r="G104" s="5" t="n">
        <v>0</v>
      </c>
      <c r="H104" s="5" t="n">
        <v>0</v>
      </c>
      <c r="I104" s="5" t="n">
        <v>0</v>
      </c>
      <c r="J104" s="5" t="n">
        <v>0</v>
      </c>
      <c r="K104" s="5" t="n">
        <v>0</v>
      </c>
      <c r="L104" s="5" t="n">
        <v>0</v>
      </c>
      <c r="M104" s="5" t="n">
        <v>5</v>
      </c>
      <c r="N104" s="5" t="n">
        <v>5</v>
      </c>
      <c r="O104" s="5" t="n">
        <v>5</v>
      </c>
      <c r="P104" s="5" t="n">
        <v>5</v>
      </c>
      <c r="Q104" s="5" t="n">
        <v>5</v>
      </c>
      <c r="R104" s="5" t="n">
        <v>5</v>
      </c>
      <c r="S104" s="5" t="n">
        <v>5</v>
      </c>
      <c r="T104" s="5" t="n">
        <v>5</v>
      </c>
      <c r="U104" s="5" t="n">
        <v>5</v>
      </c>
      <c r="V104" s="5" t="n">
        <v>5</v>
      </c>
      <c r="W104" s="5" t="n">
        <v>5</v>
      </c>
      <c r="X104" s="5" t="n">
        <v>5</v>
      </c>
      <c r="Y104" s="5" t="n">
        <v>5</v>
      </c>
      <c r="Z104" s="5" t="n">
        <v>5</v>
      </c>
      <c r="AA104" s="5" t="n">
        <v>5</v>
      </c>
      <c r="AB104" s="5" t="n">
        <v>5</v>
      </c>
      <c r="AC104" s="5" t="n">
        <v>5</v>
      </c>
      <c r="AD104" s="5" t="n">
        <v>5</v>
      </c>
      <c r="AE104" s="5" t="n">
        <v>5</v>
      </c>
      <c r="AF104" s="5" t="n">
        <v>5</v>
      </c>
    </row>
    <row r="105" customFormat="false" ht="15" hidden="false" customHeight="false" outlineLevel="0" collapsed="false">
      <c r="A105" s="0" t="s">
        <v>74</v>
      </c>
      <c r="B105" s="0" t="s">
        <v>346</v>
      </c>
      <c r="C105" s="0" t="s">
        <v>350</v>
      </c>
      <c r="E105" s="5" t="n">
        <v>0</v>
      </c>
      <c r="F105" s="5" t="n">
        <v>0</v>
      </c>
      <c r="G105" s="5" t="n">
        <v>0</v>
      </c>
      <c r="H105" s="5" t="n">
        <v>0</v>
      </c>
      <c r="I105" s="5" t="n">
        <v>0</v>
      </c>
      <c r="J105" s="5" t="n">
        <v>0</v>
      </c>
      <c r="K105" s="5" t="n">
        <v>0</v>
      </c>
      <c r="L105" s="5" t="n">
        <v>0</v>
      </c>
      <c r="M105" s="5" t="n">
        <v>15</v>
      </c>
      <c r="N105" s="5" t="n">
        <v>15</v>
      </c>
      <c r="O105" s="5" t="n">
        <v>15</v>
      </c>
      <c r="P105" s="5" t="n">
        <v>15</v>
      </c>
      <c r="Q105" s="5" t="n">
        <v>15</v>
      </c>
      <c r="R105" s="5" t="n">
        <v>15</v>
      </c>
      <c r="S105" s="5" t="n">
        <v>15</v>
      </c>
      <c r="T105" s="5" t="n">
        <v>15</v>
      </c>
      <c r="U105" s="5" t="n">
        <v>15</v>
      </c>
      <c r="V105" s="5" t="n">
        <v>15</v>
      </c>
      <c r="W105" s="5" t="n">
        <v>15</v>
      </c>
      <c r="X105" s="5" t="n">
        <v>15</v>
      </c>
      <c r="Y105" s="5" t="n">
        <v>15</v>
      </c>
      <c r="Z105" s="5" t="n">
        <v>15</v>
      </c>
      <c r="AA105" s="5" t="n">
        <v>15</v>
      </c>
      <c r="AB105" s="5" t="n">
        <v>15</v>
      </c>
      <c r="AC105" s="5" t="n">
        <v>15</v>
      </c>
      <c r="AD105" s="5" t="n">
        <v>15</v>
      </c>
      <c r="AE105" s="5" t="n">
        <v>15</v>
      </c>
      <c r="AF105" s="5" t="n">
        <v>15</v>
      </c>
    </row>
    <row r="106" customFormat="false" ht="15" hidden="false" customHeight="false" outlineLevel="0" collapsed="false">
      <c r="A106" s="0" t="s">
        <v>74</v>
      </c>
      <c r="B106" s="0" t="s">
        <v>347</v>
      </c>
      <c r="C106" s="0" t="s">
        <v>350</v>
      </c>
      <c r="E106" s="4" t="n">
        <f aca="false">(E104+E105)/2</f>
        <v>0</v>
      </c>
      <c r="F106" s="4" t="n">
        <f aca="false">(F104+F105)/2</f>
        <v>0</v>
      </c>
      <c r="G106" s="4" t="n">
        <f aca="false">(G104+G105)/2</f>
        <v>0</v>
      </c>
      <c r="H106" s="4" t="n">
        <f aca="false">(H104+H105)/2</f>
        <v>0</v>
      </c>
      <c r="I106" s="4" t="n">
        <f aca="false">(I104+I105)/2</f>
        <v>0</v>
      </c>
      <c r="J106" s="4" t="n">
        <f aca="false">(J104+J105)/2</f>
        <v>0</v>
      </c>
      <c r="K106" s="4" t="n">
        <f aca="false">(K104+K105)/2</f>
        <v>0</v>
      </c>
      <c r="L106" s="4" t="n">
        <f aca="false">(L104+L105)/2</f>
        <v>0</v>
      </c>
      <c r="M106" s="4" t="n">
        <f aca="false">(M104+M105)/2</f>
        <v>10</v>
      </c>
      <c r="N106" s="4" t="n">
        <f aca="false">(N104+N105)/2</f>
        <v>10</v>
      </c>
      <c r="O106" s="4" t="n">
        <f aca="false">(O104+O105)/2</f>
        <v>10</v>
      </c>
      <c r="P106" s="4" t="n">
        <f aca="false">(P104+P105)/2</f>
        <v>10</v>
      </c>
      <c r="Q106" s="4" t="n">
        <f aca="false">(Q104+Q105)/2</f>
        <v>10</v>
      </c>
      <c r="R106" s="4" t="n">
        <f aca="false">(R104+R105)/2</f>
        <v>10</v>
      </c>
      <c r="S106" s="4" t="n">
        <f aca="false">(S104+S105)/2</f>
        <v>10</v>
      </c>
      <c r="T106" s="4" t="n">
        <f aca="false">(T104+T105)/2</f>
        <v>10</v>
      </c>
      <c r="U106" s="4" t="n">
        <f aca="false">(U104+U105)/2</f>
        <v>10</v>
      </c>
      <c r="V106" s="4" t="n">
        <f aca="false">(V104+V105)/2</f>
        <v>10</v>
      </c>
      <c r="W106" s="4" t="n">
        <f aca="false">(W104+W105)/2</f>
        <v>10</v>
      </c>
      <c r="X106" s="4" t="n">
        <f aca="false">(X104+X105)/2</f>
        <v>10</v>
      </c>
      <c r="Y106" s="4" t="n">
        <f aca="false">(Y104+Y105)/2</f>
        <v>10</v>
      </c>
      <c r="Z106" s="4" t="n">
        <f aca="false">(Z104+Z105)/2</f>
        <v>10</v>
      </c>
      <c r="AA106" s="4" t="n">
        <f aca="false">(AA104+AA105)/2</f>
        <v>10</v>
      </c>
      <c r="AB106" s="4" t="n">
        <f aca="false">(AB104+AB105)/2</f>
        <v>10</v>
      </c>
      <c r="AC106" s="4" t="n">
        <f aca="false">(AC104+AC105)/2</f>
        <v>10</v>
      </c>
      <c r="AD106" s="4" t="n">
        <f aca="false">(AD104+AD105)/2</f>
        <v>10</v>
      </c>
      <c r="AE106" s="4" t="n">
        <f aca="false">(AE104+AE105)/2</f>
        <v>10</v>
      </c>
      <c r="AF106" s="4" t="n">
        <f aca="false">(AF104+AF105)/2</f>
        <v>10</v>
      </c>
    </row>
    <row r="107" customFormat="false" ht="15" hidden="false" customHeight="false" outlineLevel="0" collapsed="false">
      <c r="A107" s="0" t="s">
        <v>74</v>
      </c>
      <c r="B107" s="0" t="s">
        <v>348</v>
      </c>
      <c r="C107" s="0" t="s">
        <v>349</v>
      </c>
    </row>
    <row r="108" customFormat="false" ht="15" hidden="false" customHeight="false" outlineLevel="0" collapsed="false">
      <c r="A108" s="0" t="s">
        <v>76</v>
      </c>
      <c r="B108" s="0" t="s">
        <v>157</v>
      </c>
      <c r="C108" s="0" t="s">
        <v>343</v>
      </c>
      <c r="E108" s="5" t="s">
        <v>65</v>
      </c>
      <c r="F108" s="5" t="s">
        <v>65</v>
      </c>
      <c r="G108" s="5" t="s">
        <v>65</v>
      </c>
      <c r="H108" s="5" t="s">
        <v>65</v>
      </c>
      <c r="I108" s="5" t="s">
        <v>65</v>
      </c>
      <c r="J108" s="5" t="s">
        <v>65</v>
      </c>
      <c r="K108" s="5" t="s">
        <v>65</v>
      </c>
      <c r="L108" s="5" t="s">
        <v>65</v>
      </c>
      <c r="M108" s="5" t="s">
        <v>65</v>
      </c>
      <c r="N108" s="5" t="s">
        <v>65</v>
      </c>
      <c r="O108" s="5" t="s">
        <v>65</v>
      </c>
      <c r="P108" s="5" t="s">
        <v>65</v>
      </c>
      <c r="Q108" s="5" t="s">
        <v>65</v>
      </c>
      <c r="R108" s="5" t="s">
        <v>65</v>
      </c>
      <c r="S108" s="5" t="s">
        <v>65</v>
      </c>
      <c r="T108" s="5" t="s">
        <v>65</v>
      </c>
      <c r="U108" s="5" t="s">
        <v>65</v>
      </c>
      <c r="V108" s="5" t="s">
        <v>65</v>
      </c>
      <c r="W108" s="5" t="s">
        <v>65</v>
      </c>
      <c r="X108" s="5" t="s">
        <v>65</v>
      </c>
      <c r="Y108" s="5" t="s">
        <v>65</v>
      </c>
      <c r="Z108" s="5" t="s">
        <v>65</v>
      </c>
      <c r="AA108" s="5" t="s">
        <v>65</v>
      </c>
      <c r="AB108" s="5" t="s">
        <v>65</v>
      </c>
      <c r="AC108" s="5" t="s">
        <v>65</v>
      </c>
      <c r="AD108" s="5" t="s">
        <v>65</v>
      </c>
      <c r="AE108" s="5" t="s">
        <v>65</v>
      </c>
      <c r="AF108" s="5" t="s">
        <v>65</v>
      </c>
    </row>
    <row r="109" customFormat="false" ht="15" hidden="false" customHeight="false" outlineLevel="0" collapsed="false">
      <c r="A109" s="0" t="s">
        <v>76</v>
      </c>
      <c r="B109" s="0" t="s">
        <v>344</v>
      </c>
      <c r="C109" s="0" t="s">
        <v>350</v>
      </c>
      <c r="E109" s="5" t="n">
        <v>0</v>
      </c>
      <c r="F109" s="5" t="n">
        <v>0</v>
      </c>
      <c r="G109" s="5" t="n">
        <v>0</v>
      </c>
      <c r="H109" s="5" t="n">
        <v>0</v>
      </c>
      <c r="I109" s="5" t="n">
        <v>0</v>
      </c>
      <c r="J109" s="5" t="n">
        <v>0</v>
      </c>
      <c r="K109" s="5" t="n">
        <v>0</v>
      </c>
      <c r="L109" s="5" t="n">
        <v>0</v>
      </c>
      <c r="M109" s="5" t="n">
        <v>0</v>
      </c>
      <c r="N109" s="5" t="n">
        <v>0</v>
      </c>
      <c r="O109" s="5" t="n">
        <v>5</v>
      </c>
      <c r="P109" s="5" t="n">
        <v>10</v>
      </c>
      <c r="Q109" s="5" t="n">
        <v>25</v>
      </c>
      <c r="R109" s="5" t="n">
        <v>50</v>
      </c>
      <c r="S109" s="5" t="n">
        <v>75</v>
      </c>
      <c r="T109" s="5" t="n">
        <v>75</v>
      </c>
      <c r="U109" s="5" t="n">
        <v>75</v>
      </c>
      <c r="V109" s="5" t="n">
        <v>75</v>
      </c>
      <c r="W109" s="5" t="n">
        <v>75</v>
      </c>
      <c r="X109" s="5" t="n">
        <v>75</v>
      </c>
      <c r="Y109" s="5" t="n">
        <v>75</v>
      </c>
      <c r="Z109" s="5" t="n">
        <v>75</v>
      </c>
      <c r="AA109" s="5" t="n">
        <v>75</v>
      </c>
      <c r="AB109" s="5" t="n">
        <v>75</v>
      </c>
      <c r="AC109" s="5" t="n">
        <v>75</v>
      </c>
      <c r="AD109" s="5" t="n">
        <v>75</v>
      </c>
      <c r="AE109" s="5" t="n">
        <v>75</v>
      </c>
      <c r="AF109" s="5" t="n">
        <v>75</v>
      </c>
    </row>
    <row r="110" customFormat="false" ht="15" hidden="false" customHeight="false" outlineLevel="0" collapsed="false">
      <c r="A110" s="0" t="s">
        <v>76</v>
      </c>
      <c r="B110" s="0" t="s">
        <v>346</v>
      </c>
      <c r="C110" s="0" t="s">
        <v>350</v>
      </c>
      <c r="E110" s="5" t="n">
        <v>0</v>
      </c>
      <c r="F110" s="5" t="n">
        <v>0</v>
      </c>
      <c r="G110" s="5" t="n">
        <v>0</v>
      </c>
      <c r="H110" s="5" t="n">
        <v>0</v>
      </c>
      <c r="I110" s="5" t="n">
        <v>0</v>
      </c>
      <c r="J110" s="5" t="n">
        <v>0</v>
      </c>
      <c r="K110" s="5" t="n">
        <v>0</v>
      </c>
      <c r="L110" s="5" t="n">
        <v>0</v>
      </c>
      <c r="M110" s="5" t="n">
        <v>0</v>
      </c>
      <c r="N110" s="5" t="n">
        <v>20</v>
      </c>
      <c r="O110" s="5" t="n">
        <v>15</v>
      </c>
      <c r="P110" s="5" t="n">
        <v>40</v>
      </c>
      <c r="Q110" s="5" t="n">
        <v>75</v>
      </c>
      <c r="R110" s="5" t="n">
        <v>100</v>
      </c>
      <c r="S110" s="5" t="n">
        <v>125</v>
      </c>
      <c r="T110" s="5" t="n">
        <v>125</v>
      </c>
      <c r="U110" s="5" t="n">
        <v>125</v>
      </c>
      <c r="V110" s="5" t="n">
        <v>125</v>
      </c>
      <c r="W110" s="5" t="n">
        <v>125</v>
      </c>
      <c r="X110" s="5" t="n">
        <v>125</v>
      </c>
      <c r="Y110" s="5" t="n">
        <v>125</v>
      </c>
      <c r="Z110" s="5" t="n">
        <v>125</v>
      </c>
      <c r="AA110" s="5" t="n">
        <v>125</v>
      </c>
      <c r="AB110" s="5" t="n">
        <v>125</v>
      </c>
      <c r="AC110" s="5" t="n">
        <v>125</v>
      </c>
      <c r="AD110" s="5" t="n">
        <v>125</v>
      </c>
      <c r="AE110" s="5" t="n">
        <v>125</v>
      </c>
      <c r="AF110" s="5" t="n">
        <v>125</v>
      </c>
    </row>
    <row r="111" customFormat="false" ht="15" hidden="false" customHeight="false" outlineLevel="0" collapsed="false">
      <c r="A111" s="0" t="s">
        <v>76</v>
      </c>
      <c r="B111" s="0" t="s">
        <v>347</v>
      </c>
      <c r="C111" s="0" t="s">
        <v>350</v>
      </c>
      <c r="E111" s="4" t="n">
        <f aca="false">(E109+E110)/2</f>
        <v>0</v>
      </c>
      <c r="F111" s="4" t="n">
        <f aca="false">(F109+F110)/2</f>
        <v>0</v>
      </c>
      <c r="G111" s="4" t="n">
        <f aca="false">(G109+G110)/2</f>
        <v>0</v>
      </c>
      <c r="H111" s="4" t="n">
        <f aca="false">(H109+H110)/2</f>
        <v>0</v>
      </c>
      <c r="I111" s="4" t="n">
        <f aca="false">(I109+I110)/2</f>
        <v>0</v>
      </c>
      <c r="J111" s="4" t="n">
        <f aca="false">(J109+J110)/2</f>
        <v>0</v>
      </c>
      <c r="K111" s="4" t="n">
        <f aca="false">(K109+K110)/2</f>
        <v>0</v>
      </c>
      <c r="L111" s="4" t="n">
        <f aca="false">(L109+L110)/2</f>
        <v>0</v>
      </c>
      <c r="M111" s="4" t="n">
        <f aca="false">(M109+M110)/2</f>
        <v>0</v>
      </c>
      <c r="N111" s="4" t="n">
        <f aca="false">(N109+N110)/2</f>
        <v>10</v>
      </c>
      <c r="O111" s="4" t="n">
        <f aca="false">(O109+O110)/2</f>
        <v>10</v>
      </c>
      <c r="P111" s="4" t="n">
        <f aca="false">(P109+P110)/2</f>
        <v>25</v>
      </c>
      <c r="Q111" s="4" t="n">
        <f aca="false">(Q109+Q110)/2</f>
        <v>50</v>
      </c>
      <c r="R111" s="4" t="n">
        <f aca="false">(R109+R110)/2</f>
        <v>75</v>
      </c>
      <c r="S111" s="4" t="n">
        <f aca="false">(S109+S110)/2</f>
        <v>100</v>
      </c>
      <c r="T111" s="4" t="n">
        <f aca="false">(T109+T110)/2</f>
        <v>100</v>
      </c>
      <c r="U111" s="4" t="n">
        <f aca="false">(U109+U110)/2</f>
        <v>100</v>
      </c>
      <c r="V111" s="4" t="n">
        <f aca="false">(V109+V110)/2</f>
        <v>100</v>
      </c>
      <c r="W111" s="4" t="n">
        <f aca="false">(W109+W110)/2</f>
        <v>100</v>
      </c>
      <c r="X111" s="4" t="n">
        <f aca="false">(X109+X110)/2</f>
        <v>100</v>
      </c>
      <c r="Y111" s="4" t="n">
        <f aca="false">(Y109+Y110)/2</f>
        <v>100</v>
      </c>
      <c r="Z111" s="4" t="n">
        <f aca="false">(Z109+Z110)/2</f>
        <v>100</v>
      </c>
      <c r="AA111" s="4" t="n">
        <f aca="false">(AA109+AA110)/2</f>
        <v>100</v>
      </c>
      <c r="AB111" s="4" t="n">
        <f aca="false">(AB109+AB110)/2</f>
        <v>100</v>
      </c>
      <c r="AC111" s="4" t="n">
        <f aca="false">(AC109+AC110)/2</f>
        <v>100</v>
      </c>
      <c r="AD111" s="4" t="n">
        <f aca="false">(AD109+AD110)/2</f>
        <v>100</v>
      </c>
      <c r="AE111" s="4" t="n">
        <f aca="false">(AE109+AE110)/2</f>
        <v>100</v>
      </c>
      <c r="AF111" s="4" t="n">
        <f aca="false">(AF109+AF110)/2</f>
        <v>100</v>
      </c>
    </row>
    <row r="112" customFormat="false" ht="15" hidden="false" customHeight="false" outlineLevel="0" collapsed="false">
      <c r="A112" s="0" t="s">
        <v>76</v>
      </c>
      <c r="B112" s="0" t="s">
        <v>348</v>
      </c>
      <c r="C112" s="0" t="s">
        <v>349</v>
      </c>
      <c r="N112" s="5" t="s">
        <v>358</v>
      </c>
    </row>
    <row r="113" customFormat="false" ht="15" hidden="false" customHeight="false" outlineLevel="0" collapsed="false">
      <c r="A113" s="0" t="s">
        <v>78</v>
      </c>
      <c r="B113" s="0" t="s">
        <v>157</v>
      </c>
      <c r="C113" s="0" t="s">
        <v>343</v>
      </c>
      <c r="E113" s="5" t="s">
        <v>65</v>
      </c>
      <c r="F113" s="5" t="s">
        <v>65</v>
      </c>
      <c r="G113" s="5" t="s">
        <v>65</v>
      </c>
      <c r="H113" s="5" t="s">
        <v>65</v>
      </c>
      <c r="I113" s="5" t="s">
        <v>65</v>
      </c>
      <c r="J113" s="5" t="s">
        <v>65</v>
      </c>
      <c r="K113" s="5" t="s">
        <v>65</v>
      </c>
      <c r="L113" s="5" t="s">
        <v>65</v>
      </c>
      <c r="M113" s="5" t="s">
        <v>65</v>
      </c>
      <c r="N113" s="5" t="s">
        <v>65</v>
      </c>
      <c r="O113" s="5" t="s">
        <v>65</v>
      </c>
      <c r="P113" s="5" t="s">
        <v>65</v>
      </c>
      <c r="Q113" s="5" t="s">
        <v>65</v>
      </c>
      <c r="R113" s="5" t="s">
        <v>65</v>
      </c>
      <c r="S113" s="5" t="s">
        <v>65</v>
      </c>
      <c r="T113" s="5" t="s">
        <v>65</v>
      </c>
      <c r="U113" s="5" t="s">
        <v>65</v>
      </c>
      <c r="V113" s="5" t="s">
        <v>65</v>
      </c>
      <c r="W113" s="5" t="s">
        <v>65</v>
      </c>
      <c r="X113" s="5" t="s">
        <v>65</v>
      </c>
      <c r="Y113" s="5" t="s">
        <v>65</v>
      </c>
      <c r="Z113" s="5" t="s">
        <v>65</v>
      </c>
      <c r="AA113" s="5" t="s">
        <v>65</v>
      </c>
      <c r="AB113" s="5" t="s">
        <v>65</v>
      </c>
      <c r="AC113" s="5" t="s">
        <v>65</v>
      </c>
      <c r="AD113" s="5" t="s">
        <v>65</v>
      </c>
      <c r="AE113" s="5" t="s">
        <v>65</v>
      </c>
      <c r="AF113" s="5" t="s">
        <v>65</v>
      </c>
    </row>
    <row r="114" customFormat="false" ht="15" hidden="false" customHeight="false" outlineLevel="0" collapsed="false">
      <c r="A114" s="0" t="s">
        <v>78</v>
      </c>
      <c r="B114" s="0" t="s">
        <v>344</v>
      </c>
      <c r="C114" s="0" t="s">
        <v>350</v>
      </c>
      <c r="E114" s="5" t="s">
        <v>65</v>
      </c>
      <c r="F114" s="5" t="s">
        <v>65</v>
      </c>
      <c r="G114" s="5" t="s">
        <v>65</v>
      </c>
      <c r="H114" s="5" t="s">
        <v>65</v>
      </c>
      <c r="I114" s="5" t="s">
        <v>65</v>
      </c>
      <c r="J114" s="5" t="s">
        <v>65</v>
      </c>
      <c r="K114" s="5" t="s">
        <v>65</v>
      </c>
      <c r="L114" s="5" t="s">
        <v>65</v>
      </c>
      <c r="M114" s="5" t="s">
        <v>65</v>
      </c>
      <c r="N114" s="5" t="s">
        <v>65</v>
      </c>
      <c r="O114" s="5" t="s">
        <v>65</v>
      </c>
      <c r="P114" s="5" t="s">
        <v>65</v>
      </c>
      <c r="Q114" s="5" t="s">
        <v>65</v>
      </c>
      <c r="R114" s="5" t="s">
        <v>65</v>
      </c>
      <c r="S114" s="5" t="s">
        <v>65</v>
      </c>
      <c r="T114" s="5" t="s">
        <v>65</v>
      </c>
      <c r="U114" s="5" t="s">
        <v>65</v>
      </c>
      <c r="V114" s="5" t="s">
        <v>65</v>
      </c>
      <c r="W114" s="5" t="s">
        <v>65</v>
      </c>
      <c r="X114" s="5" t="s">
        <v>65</v>
      </c>
      <c r="Y114" s="5" t="s">
        <v>65</v>
      </c>
      <c r="Z114" s="5" t="s">
        <v>65</v>
      </c>
      <c r="AA114" s="5" t="s">
        <v>65</v>
      </c>
      <c r="AB114" s="5" t="s">
        <v>65</v>
      </c>
      <c r="AC114" s="5" t="s">
        <v>65</v>
      </c>
      <c r="AD114" s="5" t="s">
        <v>65</v>
      </c>
      <c r="AE114" s="5" t="s">
        <v>65</v>
      </c>
      <c r="AF114" s="5" t="s">
        <v>65</v>
      </c>
    </row>
    <row r="115" customFormat="false" ht="15" hidden="false" customHeight="false" outlineLevel="0" collapsed="false">
      <c r="A115" s="0" t="s">
        <v>78</v>
      </c>
      <c r="B115" s="0" t="s">
        <v>346</v>
      </c>
      <c r="C115" s="0" t="s">
        <v>350</v>
      </c>
      <c r="E115" s="5" t="s">
        <v>65</v>
      </c>
      <c r="F115" s="5" t="s">
        <v>65</v>
      </c>
      <c r="G115" s="5" t="s">
        <v>65</v>
      </c>
      <c r="H115" s="5" t="s">
        <v>65</v>
      </c>
      <c r="I115" s="5" t="s">
        <v>65</v>
      </c>
      <c r="J115" s="5" t="s">
        <v>65</v>
      </c>
      <c r="K115" s="5" t="s">
        <v>65</v>
      </c>
      <c r="L115" s="5" t="s">
        <v>65</v>
      </c>
      <c r="M115" s="5" t="s">
        <v>65</v>
      </c>
      <c r="N115" s="5" t="s">
        <v>65</v>
      </c>
      <c r="O115" s="5" t="s">
        <v>65</v>
      </c>
      <c r="P115" s="5" t="s">
        <v>65</v>
      </c>
      <c r="Q115" s="5" t="s">
        <v>65</v>
      </c>
      <c r="R115" s="5" t="s">
        <v>65</v>
      </c>
      <c r="S115" s="5" t="s">
        <v>65</v>
      </c>
      <c r="T115" s="5" t="s">
        <v>65</v>
      </c>
      <c r="U115" s="5" t="s">
        <v>65</v>
      </c>
      <c r="V115" s="5" t="s">
        <v>65</v>
      </c>
      <c r="W115" s="5" t="s">
        <v>65</v>
      </c>
      <c r="X115" s="5" t="s">
        <v>65</v>
      </c>
      <c r="Y115" s="5" t="s">
        <v>65</v>
      </c>
      <c r="Z115" s="5" t="s">
        <v>65</v>
      </c>
      <c r="AA115" s="5" t="s">
        <v>65</v>
      </c>
      <c r="AB115" s="5" t="s">
        <v>65</v>
      </c>
      <c r="AC115" s="5" t="s">
        <v>65</v>
      </c>
      <c r="AD115" s="5" t="s">
        <v>65</v>
      </c>
      <c r="AE115" s="5" t="s">
        <v>65</v>
      </c>
      <c r="AF115" s="5" t="s">
        <v>65</v>
      </c>
    </row>
    <row r="116" customFormat="false" ht="15" hidden="false" customHeight="false" outlineLevel="0" collapsed="false">
      <c r="A116" s="0" t="s">
        <v>78</v>
      </c>
      <c r="B116" s="0" t="s">
        <v>347</v>
      </c>
      <c r="C116" s="0" t="s">
        <v>350</v>
      </c>
      <c r="E116" s="5" t="s">
        <v>65</v>
      </c>
      <c r="F116" s="5" t="s">
        <v>65</v>
      </c>
      <c r="G116" s="5" t="s">
        <v>65</v>
      </c>
      <c r="H116" s="5" t="s">
        <v>65</v>
      </c>
      <c r="I116" s="5" t="s">
        <v>65</v>
      </c>
      <c r="J116" s="5" t="s">
        <v>65</v>
      </c>
      <c r="K116" s="5" t="s">
        <v>65</v>
      </c>
      <c r="L116" s="5" t="s">
        <v>65</v>
      </c>
      <c r="M116" s="5" t="s">
        <v>65</v>
      </c>
      <c r="N116" s="5" t="s">
        <v>65</v>
      </c>
      <c r="O116" s="5" t="s">
        <v>65</v>
      </c>
      <c r="P116" s="5" t="s">
        <v>65</v>
      </c>
      <c r="Q116" s="5" t="s">
        <v>65</v>
      </c>
      <c r="R116" s="5" t="s">
        <v>65</v>
      </c>
      <c r="S116" s="5" t="s">
        <v>65</v>
      </c>
      <c r="T116" s="5" t="s">
        <v>65</v>
      </c>
      <c r="U116" s="5" t="s">
        <v>65</v>
      </c>
      <c r="V116" s="5" t="s">
        <v>65</v>
      </c>
      <c r="W116" s="5" t="s">
        <v>65</v>
      </c>
      <c r="X116" s="5" t="s">
        <v>65</v>
      </c>
      <c r="Y116" s="5" t="s">
        <v>65</v>
      </c>
      <c r="Z116" s="5" t="s">
        <v>65</v>
      </c>
      <c r="AA116" s="5" t="s">
        <v>65</v>
      </c>
      <c r="AB116" s="5" t="s">
        <v>65</v>
      </c>
      <c r="AC116" s="5" t="s">
        <v>65</v>
      </c>
      <c r="AD116" s="5" t="s">
        <v>65</v>
      </c>
      <c r="AE116" s="5" t="s">
        <v>65</v>
      </c>
      <c r="AF116" s="5" t="s">
        <v>65</v>
      </c>
    </row>
    <row r="117" customFormat="false" ht="15" hidden="false" customHeight="false" outlineLevel="0" collapsed="false">
      <c r="A117" s="0" t="s">
        <v>78</v>
      </c>
      <c r="B117" s="0" t="s">
        <v>348</v>
      </c>
      <c r="C117" s="0" t="s">
        <v>349</v>
      </c>
    </row>
    <row r="118" customFormat="false" ht="15" hidden="false" customHeight="false" outlineLevel="0" collapsed="false">
      <c r="A118" s="0" t="s">
        <v>79</v>
      </c>
      <c r="B118" s="0" t="s">
        <v>157</v>
      </c>
      <c r="C118" s="0" t="s">
        <v>343</v>
      </c>
      <c r="O118" s="5" t="n">
        <v>50</v>
      </c>
      <c r="P118" s="5" t="n">
        <v>50</v>
      </c>
      <c r="Q118" s="5" t="n">
        <v>50</v>
      </c>
      <c r="R118" s="5" t="n">
        <v>50</v>
      </c>
      <c r="S118" s="5" t="n">
        <v>50</v>
      </c>
      <c r="T118" s="5" t="n">
        <v>50</v>
      </c>
      <c r="U118" s="5" t="n">
        <v>50</v>
      </c>
      <c r="V118" s="5" t="n">
        <v>50</v>
      </c>
      <c r="W118" s="5" t="n">
        <v>50</v>
      </c>
      <c r="X118" s="5" t="n">
        <v>50</v>
      </c>
      <c r="Y118" s="5" t="n">
        <v>50</v>
      </c>
      <c r="Z118" s="5" t="n">
        <v>50</v>
      </c>
      <c r="AA118" s="5" t="n">
        <v>50</v>
      </c>
      <c r="AB118" s="5" t="n">
        <v>50</v>
      </c>
      <c r="AC118" s="5" t="n">
        <v>50</v>
      </c>
      <c r="AD118" s="5" t="n">
        <v>50</v>
      </c>
      <c r="AE118" s="5" t="n">
        <v>50</v>
      </c>
      <c r="AF118" s="5" t="n">
        <v>50</v>
      </c>
    </row>
    <row r="119" customFormat="false" ht="15" hidden="false" customHeight="false" outlineLevel="0" collapsed="false">
      <c r="A119" s="0" t="s">
        <v>79</v>
      </c>
      <c r="B119" s="0" t="s">
        <v>344</v>
      </c>
      <c r="C119" s="0" t="s">
        <v>345</v>
      </c>
      <c r="E119" s="5" t="n">
        <v>0</v>
      </c>
      <c r="F119" s="5" t="n">
        <v>0</v>
      </c>
      <c r="G119" s="5" t="n">
        <v>0</v>
      </c>
      <c r="H119" s="5" t="n">
        <v>0</v>
      </c>
      <c r="I119" s="5" t="n">
        <v>0</v>
      </c>
      <c r="J119" s="5" t="n">
        <v>0</v>
      </c>
      <c r="K119" s="5" t="n">
        <v>0</v>
      </c>
      <c r="L119" s="5" t="n">
        <v>0</v>
      </c>
      <c r="M119" s="5" t="n">
        <v>0</v>
      </c>
      <c r="N119" s="5" t="n">
        <v>0</v>
      </c>
      <c r="O119" s="5" t="n">
        <v>0</v>
      </c>
      <c r="P119" s="5" t="n">
        <v>0</v>
      </c>
      <c r="Q119" s="5" t="n">
        <v>0</v>
      </c>
      <c r="R119" s="5" t="n">
        <v>0</v>
      </c>
      <c r="S119" s="5" t="n">
        <v>0</v>
      </c>
      <c r="T119" s="5" t="n">
        <v>0</v>
      </c>
      <c r="U119" s="5" t="n">
        <v>25</v>
      </c>
      <c r="V119" s="5" t="n">
        <v>25</v>
      </c>
      <c r="W119" s="5" t="n">
        <v>50</v>
      </c>
      <c r="X119" s="5" t="n">
        <v>50</v>
      </c>
      <c r="Y119" s="5" t="n">
        <v>50</v>
      </c>
      <c r="Z119" s="5" t="n">
        <v>50</v>
      </c>
      <c r="AA119" s="5" t="n">
        <v>50</v>
      </c>
      <c r="AB119" s="5" t="n">
        <v>50</v>
      </c>
      <c r="AC119" s="5" t="n">
        <v>50</v>
      </c>
      <c r="AD119" s="5" t="n">
        <v>50</v>
      </c>
      <c r="AE119" s="5" t="n">
        <v>50</v>
      </c>
      <c r="AF119" s="5" t="n">
        <v>50</v>
      </c>
    </row>
    <row r="120" customFormat="false" ht="15" hidden="false" customHeight="false" outlineLevel="0" collapsed="false">
      <c r="A120" s="0" t="s">
        <v>79</v>
      </c>
      <c r="B120" s="0" t="s">
        <v>346</v>
      </c>
      <c r="C120" s="0" t="s">
        <v>345</v>
      </c>
      <c r="E120" s="5" t="n">
        <v>0</v>
      </c>
      <c r="F120" s="5" t="n">
        <v>0</v>
      </c>
      <c r="G120" s="5" t="n">
        <v>0</v>
      </c>
      <c r="H120" s="5" t="n">
        <v>0</v>
      </c>
      <c r="I120" s="5" t="n">
        <v>0</v>
      </c>
      <c r="J120" s="5" t="n">
        <v>0</v>
      </c>
      <c r="K120" s="5" t="n">
        <v>0</v>
      </c>
      <c r="L120" s="5" t="n">
        <v>0</v>
      </c>
      <c r="M120" s="5" t="n">
        <v>0</v>
      </c>
      <c r="N120" s="5" t="n">
        <v>0</v>
      </c>
      <c r="O120" s="5" t="n">
        <v>0</v>
      </c>
      <c r="P120" s="5" t="n">
        <v>0</v>
      </c>
      <c r="Q120" s="5" t="n">
        <v>0</v>
      </c>
      <c r="R120" s="5" t="n">
        <v>0</v>
      </c>
      <c r="S120" s="5" t="n">
        <v>25</v>
      </c>
      <c r="T120" s="5" t="n">
        <v>50</v>
      </c>
      <c r="U120" s="5" t="n">
        <v>50</v>
      </c>
      <c r="V120" s="5" t="n">
        <v>50</v>
      </c>
      <c r="W120" s="5" t="n">
        <v>50</v>
      </c>
      <c r="X120" s="5" t="n">
        <v>50</v>
      </c>
      <c r="Y120" s="5" t="n">
        <v>50</v>
      </c>
      <c r="Z120" s="5" t="n">
        <v>50</v>
      </c>
      <c r="AA120" s="5" t="n">
        <v>50</v>
      </c>
      <c r="AB120" s="5" t="n">
        <v>50</v>
      </c>
      <c r="AC120" s="5" t="n">
        <v>50</v>
      </c>
      <c r="AD120" s="5" t="n">
        <v>50</v>
      </c>
      <c r="AE120" s="5" t="n">
        <v>50</v>
      </c>
      <c r="AF120" s="5" t="n">
        <v>50</v>
      </c>
    </row>
    <row r="121" customFormat="false" ht="15" hidden="false" customHeight="false" outlineLevel="0" collapsed="false">
      <c r="A121" s="0" t="s">
        <v>79</v>
      </c>
      <c r="B121" s="0" t="s">
        <v>347</v>
      </c>
      <c r="C121" s="0" t="s">
        <v>345</v>
      </c>
      <c r="E121" s="4" t="n">
        <f aca="false">(E119+E120)/2</f>
        <v>0</v>
      </c>
      <c r="F121" s="4" t="n">
        <f aca="false">(F119+F120)/2</f>
        <v>0</v>
      </c>
      <c r="G121" s="4" t="n">
        <f aca="false">(G119+G120)/2</f>
        <v>0</v>
      </c>
      <c r="H121" s="4" t="n">
        <f aca="false">(H119+H120)/2</f>
        <v>0</v>
      </c>
      <c r="I121" s="4" t="n">
        <f aca="false">(I119+I120)/2</f>
        <v>0</v>
      </c>
      <c r="J121" s="4" t="n">
        <f aca="false">(J119+J120)/2</f>
        <v>0</v>
      </c>
      <c r="K121" s="4" t="n">
        <f aca="false">(K119+K120)/2</f>
        <v>0</v>
      </c>
      <c r="L121" s="4" t="n">
        <f aca="false">(L119+L120)/2</f>
        <v>0</v>
      </c>
      <c r="M121" s="4" t="n">
        <f aca="false">(M119+M120)/2</f>
        <v>0</v>
      </c>
      <c r="N121" s="4" t="n">
        <f aca="false">(N119+N120)/2</f>
        <v>0</v>
      </c>
      <c r="O121" s="4" t="n">
        <f aca="false">(O119+O120)/2</f>
        <v>0</v>
      </c>
      <c r="P121" s="4" t="n">
        <f aca="false">(P119+P120)/2</f>
        <v>0</v>
      </c>
      <c r="Q121" s="4" t="n">
        <f aca="false">(Q119+Q120)/2</f>
        <v>0</v>
      </c>
      <c r="R121" s="4" t="n">
        <f aca="false">(R119+R120)/2</f>
        <v>0</v>
      </c>
      <c r="S121" s="4" t="n">
        <f aca="false">(S119+S120)/2</f>
        <v>12.5</v>
      </c>
      <c r="T121" s="4" t="n">
        <f aca="false">(T119+T120)/2</f>
        <v>25</v>
      </c>
      <c r="U121" s="4" t="n">
        <f aca="false">(U119+U120)/2</f>
        <v>37.5</v>
      </c>
      <c r="V121" s="4" t="n">
        <f aca="false">(V119+V120)/2</f>
        <v>37.5</v>
      </c>
      <c r="W121" s="4" t="n">
        <f aca="false">(W119+W120)/2</f>
        <v>50</v>
      </c>
      <c r="X121" s="4" t="n">
        <f aca="false">(X119+X120)/2</f>
        <v>50</v>
      </c>
      <c r="Y121" s="4" t="n">
        <f aca="false">(Y119+Y120)/2</f>
        <v>50</v>
      </c>
      <c r="Z121" s="4" t="n">
        <f aca="false">(Z119+Z120)/2</f>
        <v>50</v>
      </c>
      <c r="AA121" s="4" t="n">
        <f aca="false">(AA119+AA120)/2</f>
        <v>50</v>
      </c>
      <c r="AB121" s="4" t="n">
        <f aca="false">(AB119+AB120)/2</f>
        <v>50</v>
      </c>
      <c r="AC121" s="4" t="n">
        <f aca="false">(AC119+AC120)/2</f>
        <v>50</v>
      </c>
      <c r="AD121" s="4" t="n">
        <f aca="false">(AD119+AD120)/2</f>
        <v>50</v>
      </c>
      <c r="AE121" s="4" t="n">
        <f aca="false">(AE119+AE120)/2</f>
        <v>50</v>
      </c>
      <c r="AF121" s="4" t="n">
        <f aca="false">(AF119+AF120)/2</f>
        <v>50</v>
      </c>
    </row>
    <row r="122" customFormat="false" ht="15" hidden="false" customHeight="false" outlineLevel="0" collapsed="false">
      <c r="A122" s="0" t="s">
        <v>79</v>
      </c>
      <c r="B122" s="0" t="s">
        <v>348</v>
      </c>
      <c r="C122" s="0" t="s">
        <v>349</v>
      </c>
      <c r="S122" s="5" t="n">
        <v>25</v>
      </c>
      <c r="T122" s="5" t="n">
        <v>50</v>
      </c>
    </row>
    <row r="124" customFormat="false" ht="15" hidden="false" customHeight="false" outlineLevel="0" collapsed="false">
      <c r="A124" s="0" t="s">
        <v>359</v>
      </c>
      <c r="B124" s="0" t="s">
        <v>360</v>
      </c>
      <c r="C124" s="0" t="s">
        <v>361</v>
      </c>
      <c r="E124" s="4" t="n">
        <f aca="false">SUM(E4,E9,E14,E19,E24,E29,E34,E39,E44,E49,E54,E59,E64,E69,E74,E79,E84,E89,E94,E99,E104,E109,E114,E119)</f>
        <v>25</v>
      </c>
      <c r="F124" s="4" t="n">
        <f aca="false">SUM(F4,F9,F14,F19,F24,F29,F34,F39,F44,F49,F54,F59,F64,F69,F74,F79,F84,F89,F94,F99,F104,F109,F114,F119)</f>
        <v>25</v>
      </c>
      <c r="G124" s="4" t="n">
        <f aca="false">SUM(G4,G9,G14,G19,G24,G29,G34,G39,G44,G49,G54,G59,G64,G69,G74,G79,G84,G89,G94,G99,G104,G109,G114,G119)</f>
        <v>25</v>
      </c>
      <c r="H124" s="4" t="n">
        <f aca="false">SUM(H4,H9,H14,H19,H24,H29,H34,H39,H44,H49,H54,H59,H64,H69,H74,H79,H84,H89,H94,H99,H104,H109,H114,H119)</f>
        <v>30</v>
      </c>
      <c r="I124" s="4" t="n">
        <f aca="false">SUM(I4,I9,I14,I19,I24,I29,I34,I39,I44,I49,I54,I59,I64,I69,I74,I79,I84,I89,I94,I99,I104,I109,I114,I119)</f>
        <v>45</v>
      </c>
      <c r="J124" s="4" t="n">
        <f aca="false">SUM(J4,J9,J14,J19,J24,J29,J34,J39,J44,J49,J54,J59,J64,J69,J74,J79,J84,J89,J94,J99,J104,J109,J114,J119)</f>
        <v>45</v>
      </c>
      <c r="K124" s="4" t="n">
        <f aca="false">SUM(K4,K9,K14,K19,K24,K29,K34,K39,K44,K49,K54,K59,K64,K69,K74,K79,K84,K89,K94,K99,K104,K109,K114,K119)</f>
        <v>45</v>
      </c>
      <c r="L124" s="4" t="n">
        <f aca="false">SUM(L4,L9,L14,L19,L24,L29,L34,L39,L44,L49,L54,L59,L64,L69,L74,L79,L84,L89,L94,L99,L104,L109,L114,L119)</f>
        <v>115.8</v>
      </c>
      <c r="M124" s="4" t="n">
        <f aca="false">SUM(M4,M9,M14,M19,M24,M29,M34,M39,M44,M49,M54,M59,M64,M69,M74,M79,M84,M89,M94,M99,M104,M109,M114,M119)</f>
        <v>154</v>
      </c>
      <c r="N124" s="4" t="n">
        <f aca="false">SUM(N4,N9,N14,N19,N24,N29,N34,N39,N44,N49,N54,N59,N64,N69,N74,N79,N84,N89,N94,N99,N104,N109,N114,N119)</f>
        <v>157</v>
      </c>
      <c r="O124" s="4" t="n">
        <f aca="false">SUM(O4,O9,O14,O19,O24,O29,O34,O39,O44,O49,O54,O59,O64,O69,O74,O79,O84,O89,O94,O99,O104,O109,O114,O119)</f>
        <v>192</v>
      </c>
      <c r="P124" s="4" t="n">
        <f aca="false">SUM(P4,P9,P14,P19,P24,P29,P34,P39,P44,P49,P54,P59,P64,P69,P74,P79,P84,P89,P94,P99,P104,P109,P114,P119)</f>
        <v>200</v>
      </c>
      <c r="Q124" s="4" t="n">
        <f aca="false">SUM(Q4,Q9,Q14,Q19,Q24,Q29,Q34,Q39,Q44,Q49,Q54,Q59,Q64,Q69,Q74,Q79,Q84,Q89,Q94,Q99,Q104,Q109,Q114,Q119)</f>
        <v>274.4</v>
      </c>
      <c r="R124" s="4" t="n">
        <f aca="false">SUM(R4,R9,R14,R19,R24,R29,R34,R39,R44,R49,R54,R59,R64,R69,R74,R79,R84,R89,R94,R99,R104,R109,R114,R119)</f>
        <v>429.4</v>
      </c>
      <c r="S124" s="4" t="n">
        <f aca="false">SUM(S4,S9,S14,S19,S24,S29,S34,S39,S44,S49,S54,S59,S64,S69,S74,S79,S84,S89,S94,S99,S104,S109,S114,S119)</f>
        <v>585</v>
      </c>
      <c r="T124" s="4" t="n">
        <f aca="false">SUM(T4,T9,T14,T19,T24,T29,T34,T39,T44,T49,T54,T59,T64,T69,T74,T79,T84,T89,T94,T99,T104,T109,T114,T119)</f>
        <v>864</v>
      </c>
      <c r="U124" s="4" t="n">
        <f aca="false">SUM(U4,U9,U14,U19,U24,U29,U34,U39,U44,U49,U54,U59,U64,U69,U74,U79,U84,U89,U94,U99,U104,U109,U114,U119)</f>
        <v>924</v>
      </c>
      <c r="V124" s="4" t="n">
        <f aca="false">SUM(V4,V9,V14,V19,V24,V29,V34,V39,V44,V49,V54,V59,V64,V69,V74,V79,V84,V89,V94,V99,V104,V109,V114,V119)</f>
        <v>1094</v>
      </c>
      <c r="W124" s="4" t="n">
        <f aca="false">SUM(W4,W9,W14,W19,W24,W29,W34,W39,W44,W49,W54,W59,W64,W69,W74,W79,W84,W89,W94,W99,W104,W109,W114,W119)</f>
        <v>1119</v>
      </c>
      <c r="X124" s="4" t="n">
        <f aca="false">SUM(X4,X9,X14,X19,X24,X29,X34,X39,X44,X49,X54,X59,X64,X69,X74,X79,X84,X89,X94,X99,X104,X109,X114,X119)</f>
        <v>1639</v>
      </c>
      <c r="Y124" s="4" t="n">
        <f aca="false">SUM(Y4,Y9,Y14,Y19,Y24,Y29,Y34,Y39,Y44,Y49,Y54,Y59,Y64,Y69,Y74,Y79,Y84,Y89,Y94,Y99,Y104,Y109,Y114,Y119)</f>
        <v>1639</v>
      </c>
      <c r="Z124" s="4" t="n">
        <f aca="false">SUM(Z4,Z9,Z14,Z19,Z24,Z29,Z34,Z39,Z44,Z49,Z54,Z59,Z64,Z69,Z74,Z79,Z84,Z89,Z94,Z99,Z104,Z109,Z114,Z119)</f>
        <v>1869</v>
      </c>
      <c r="AA124" s="4" t="n">
        <f aca="false">SUM(AA4,AA9,AA14,AA19,AA24,AA29,AA34,AA39,AA44,AA49,AA54,AA59,AA64,AA69,AA74,AA79,AA84,AA89,AA94,AA99,AA104,AA109,AA114,AA119)</f>
        <v>1869</v>
      </c>
      <c r="AB124" s="4" t="n">
        <f aca="false">SUM(AB4,AB9,AB14,AB19,AB24,AB29,AB34,AB39,AB44,AB49,AB54,AB59,AB64,AB69,AB74,AB79,AB84,AB89,AB94,AB99,AB104,AB109,AB114,AB119)</f>
        <v>2389</v>
      </c>
      <c r="AC124" s="4" t="n">
        <f aca="false">SUM(AC4,AC9,AC14,AC19,AC24,AC29,AC34,AC39,AC44,AC49,AC54,AC59,AC64,AC69,AC74,AC79,AC84,AC89,AC94,AC99,AC104,AC109,AC114,AC119)</f>
        <v>2389</v>
      </c>
      <c r="AD124" s="4" t="n">
        <f aca="false">SUM(AD4,AD9,AD14,AD19,AD24,AD29,AD34,AD39,AD44,AD49,AD54,AD59,AD64,AD69,AD74,AD79,AD84,AD89,AD94,AD99,AD104,AD109,AD114,AD119)</f>
        <v>2389</v>
      </c>
      <c r="AE124" s="4" t="n">
        <f aca="false">SUM(AE4,AE9,AE14,AE19,AE24,AE29,AE34,AE39,AE44,AE49,AE54,AE59,AE64,AE69,AE74,AE79,AE84,AE89,AE94,AE99,AE104,AE109,AE114,AE119)</f>
        <v>2389</v>
      </c>
      <c r="AF124" s="4" t="n">
        <f aca="false">SUM(AF4,AF9,AF14,AF19,AF24,AF29,AF34,AF39,AF44,AF49,AF54,AF59,AF64,AF69,AF74,AF79,AF84,AF89,AF94,AF99,AF104,AF109,AF114,AF119)</f>
        <v>2939</v>
      </c>
    </row>
    <row r="125" customFormat="false" ht="15" hidden="false" customHeight="false" outlineLevel="0" collapsed="false">
      <c r="A125" s="0" t="s">
        <v>359</v>
      </c>
      <c r="B125" s="0" t="s">
        <v>362</v>
      </c>
      <c r="C125" s="0" t="s">
        <v>361</v>
      </c>
      <c r="E125" s="4" t="n">
        <f aca="false">SUM(E5,E10,E15,E20,E25,E30,E35,E40,E45,E50,E55,E60,E65,E70,E75,E80,E85,E90,E95,E100,E105,E110,E115,E120)</f>
        <v>25</v>
      </c>
      <c r="F125" s="4" t="n">
        <f aca="false">SUM(F5,F10,F15,F20,F25,F30,F35,F40,F45,F50,F55,F60,F65,F70,F75,F80,F85,F90,F95,F100,F105,F110,F115,F120)</f>
        <v>25</v>
      </c>
      <c r="G125" s="4" t="n">
        <f aca="false">SUM(G5,G10,G15,G20,G25,G30,G35,G40,G45,G50,G55,G60,G65,G70,G75,G80,G85,G90,G95,G100,G105,G110,G115,G120)</f>
        <v>25</v>
      </c>
      <c r="H125" s="4" t="n">
        <f aca="false">SUM(H5,H10,H15,H20,H25,H30,H35,H40,H45,H50,H55,H60,H65,H70,H75,H80,H85,H90,H95,H100,H105,H110,H115,H120)</f>
        <v>30</v>
      </c>
      <c r="I125" s="4" t="n">
        <f aca="false">SUM(I5,I10,I15,I20,I25,I30,I35,I40,I45,I50,I55,I60,I65,I70,I75,I80,I85,I90,I95,I100,I105,I110,I115,I120)</f>
        <v>55</v>
      </c>
      <c r="J125" s="4" t="n">
        <f aca="false">SUM(J5,J10,J15,J20,J25,J30,J35,J40,J45,J50,J55,J60,J65,J70,J75,J80,J85,J90,J95,J100,J105,J110,J115,J120)</f>
        <v>55</v>
      </c>
      <c r="K125" s="4" t="n">
        <f aca="false">SUM(K5,K10,K15,K20,K25,K30,K35,K40,K45,K50,K55,K60,K65,K70,K75,K80,K85,K90,K95,K100,K105,K110,K115,K120)</f>
        <v>80</v>
      </c>
      <c r="L125" s="4" t="n">
        <f aca="false">SUM(L5,L10,L15,L20,L25,L30,L35,L40,L45,L50,L55,L60,L65,L70,L75,L80,L85,L90,L95,L100,L105,L110,L115,L120)</f>
        <v>179.6</v>
      </c>
      <c r="M125" s="4" t="n">
        <f aca="false">SUM(M5,M10,M15,M20,M25,M30,M35,M40,M45,M50,M55,M60,M65,M70,M75,M80,M85,M90,M95,M100,M105,M110,M115,M120)</f>
        <v>209</v>
      </c>
      <c r="N125" s="4" t="n">
        <f aca="false">SUM(N5,N10,N15,N20,N25,N30,N35,N40,N45,N50,N55,N60,N65,N70,N75,N80,N85,N90,N95,N100,N105,N110,N115,N120)</f>
        <v>229</v>
      </c>
      <c r="O125" s="4" t="n">
        <f aca="false">SUM(O5,O10,O15,O20,O25,O30,O35,O40,O45,O50,O55,O60,O65,O70,O75,O80,O85,O90,O95,O100,O105,O110,O115,O120)</f>
        <v>263</v>
      </c>
      <c r="P125" s="4" t="n">
        <f aca="false">SUM(P5,P10,P15,P20,P25,P30,P35,P40,P45,P50,P55,P60,P65,P70,P75,P80,P85,P90,P95,P100,P105,P110,P115,P120)</f>
        <v>439</v>
      </c>
      <c r="Q125" s="4" t="n">
        <f aca="false">SUM(Q5,Q10,Q15,Q20,Q25,Q30,Q35,Q40,Q45,Q50,Q55,Q60,Q65,Q70,Q75,Q80,Q85,Q90,Q95,Q100,Q105,Q110,Q115,Q120)</f>
        <v>696</v>
      </c>
      <c r="R125" s="4" t="n">
        <f aca="false">SUM(R5,R10,R15,R20,R25,R30,R35,R40,R45,R50,R55,R60,R65,R70,R75,R80,R85,R90,R95,R100,R105,R110,R115,R120)</f>
        <v>925</v>
      </c>
      <c r="S125" s="4" t="n">
        <f aca="false">SUM(S5,S10,S15,S20,S25,S30,S35,S40,S45,S50,S55,S60,S65,S70,S75,S80,S85,S90,S95,S100,S105,S110,S115,S120)</f>
        <v>1179</v>
      </c>
      <c r="T125" s="4" t="n">
        <f aca="false">SUM(T5,T10,T15,T20,T25,T30,T35,T40,T45,T50,T55,T60,T65,T70,T75,T80,T85,T90,T95,T100,T105,T110,T115,T120)</f>
        <v>1561</v>
      </c>
      <c r="U125" s="4" t="n">
        <f aca="false">SUM(U5,U10,U15,U20,U25,U30,U35,U40,U45,U50,U55,U60,U65,U70,U75,U80,U85,U90,U95,U100,U105,U110,U115,U120)</f>
        <v>1726</v>
      </c>
      <c r="V125" s="4" t="n">
        <f aca="false">SUM(V5,V10,V15,V20,V25,V30,V35,V40,V45,V50,V55,V60,V65,V70,V75,V80,V85,V90,V95,V100,V105,V110,V115,V120)</f>
        <v>1946</v>
      </c>
      <c r="W125" s="4" t="n">
        <f aca="false">SUM(W5,W10,W15,W20,W25,W30,W35,W40,W45,W50,W55,W60,W65,W70,W75,W80,W85,W90,W95,W100,W105,W110,W115,W120)</f>
        <v>1946</v>
      </c>
      <c r="X125" s="4" t="n">
        <f aca="false">SUM(X5,X10,X15,X20,X25,X30,X35,X40,X45,X50,X55,X60,X65,X70,X75,X80,X85,X90,X95,X100,X105,X110,X115,X120)</f>
        <v>2246</v>
      </c>
      <c r="Y125" s="4" t="n">
        <f aca="false">SUM(Y5,Y10,Y15,Y20,Y25,Y30,Y35,Y40,Y45,Y50,Y55,Y60,Y65,Y70,Y75,Y80,Y85,Y90,Y95,Y100,Y105,Y110,Y115,Y120)</f>
        <v>2246</v>
      </c>
      <c r="Z125" s="4" t="n">
        <f aca="false">SUM(Z5,Z10,Z15,Z20,Z25,Z30,Z35,Z40,Z45,Z50,Z55,Z60,Z65,Z70,Z75,Z80,Z85,Z90,Z95,Z100,Z105,Z110,Z115,Z120)</f>
        <v>2856</v>
      </c>
      <c r="AA125" s="4" t="n">
        <f aca="false">SUM(AA5,AA10,AA15,AA20,AA25,AA30,AA35,AA40,AA45,AA50,AA55,AA60,AA65,AA70,AA75,AA80,AA85,AA90,AA95,AA100,AA105,AA110,AA115,AA120)</f>
        <v>2856</v>
      </c>
      <c r="AB125" s="4" t="n">
        <f aca="false">SUM(AB5,AB10,AB15,AB20,AB25,AB30,AB35,AB40,AB45,AB50,AB55,AB60,AB65,AB70,AB75,AB80,AB85,AB90,AB95,AB100,AB105,AB110,AB115,AB120)</f>
        <v>3506</v>
      </c>
      <c r="AC125" s="4" t="n">
        <f aca="false">SUM(AC5,AC10,AC15,AC20,AC25,AC30,AC35,AC40,AC45,AC50,AC55,AC60,AC65,AC70,AC75,AC80,AC85,AC90,AC95,AC100,AC105,AC110,AC115,AC120)</f>
        <v>3506</v>
      </c>
      <c r="AD125" s="4" t="n">
        <f aca="false">SUM(AD5,AD10,AD15,AD20,AD25,AD30,AD35,AD40,AD45,AD50,AD55,AD60,AD65,AD70,AD75,AD80,AD85,AD90,AD95,AD100,AD105,AD110,AD115,AD120)</f>
        <v>3506</v>
      </c>
      <c r="AE125" s="4" t="n">
        <f aca="false">SUM(AE5,AE10,AE15,AE20,AE25,AE30,AE35,AE40,AE45,AE50,AE55,AE60,AE65,AE70,AE75,AE80,AE85,AE90,AE95,AE100,AE105,AE110,AE115,AE120)</f>
        <v>3506</v>
      </c>
      <c r="AF125" s="4" t="n">
        <f aca="false">SUM(AF5,AF10,AF15,AF20,AF25,AF30,AF35,AF40,AF45,AF50,AF55,AF60,AF65,AF70,AF75,AF80,AF85,AF90,AF95,AF100,AF105,AF110,AF115,AF120)</f>
        <v>4106</v>
      </c>
    </row>
    <row r="126" customFormat="false" ht="15" hidden="false" customHeight="false" outlineLevel="0" collapsed="false">
      <c r="A126" s="0" t="s">
        <v>359</v>
      </c>
      <c r="B126" s="0" t="s">
        <v>363</v>
      </c>
      <c r="C126" s="0" t="s">
        <v>361</v>
      </c>
      <c r="E126" s="4" t="n">
        <f aca="false">SUM(E6,E11,E16,E21,E26,E31,E36,E41,E46,E51,E56,E61,E66,E71,E76,E81,E86,E91,E96,E101,E106,E111,E116,E121)</f>
        <v>25</v>
      </c>
      <c r="F126" s="4" t="n">
        <f aca="false">SUM(F6,F11,F16,F21,F26,F31,F36,F41,F46,F51,F56,F61,F66,F71,F76,F81,F86,F91,F96,F101,F106,F111,F116,F121)</f>
        <v>25</v>
      </c>
      <c r="G126" s="4" t="n">
        <f aca="false">SUM(G6,G11,G16,G21,G26,G31,G36,G41,G46,G51,G56,G61,G66,G71,G76,G81,G86,G91,G96,G101,G106,G111,G116,G121)</f>
        <v>25</v>
      </c>
      <c r="H126" s="4" t="n">
        <f aca="false">SUM(H6,H11,H16,H21,H26,H31,H36,H41,H46,H51,H56,H61,H66,H71,H76,H81,H86,H91,H96,H101,H106,H111,H116,H121)</f>
        <v>30</v>
      </c>
      <c r="I126" s="4" t="n">
        <f aca="false">SUM(I6,I11,I16,I21,I26,I31,I36,I41,I46,I51,I56,I61,I66,I71,I76,I81,I86,I91,I96,I101,I106,I111,I116,I121)</f>
        <v>50</v>
      </c>
      <c r="J126" s="4" t="n">
        <f aca="false">SUM(J6,J11,J16,J21,J26,J31,J36,J41,J46,J51,J56,J61,J66,J71,J76,J81,J86,J91,J96,J101,J106,J111,J116,J121)</f>
        <v>50</v>
      </c>
      <c r="K126" s="4" t="n">
        <f aca="false">SUM(K6,K11,K16,K21,K26,K31,K36,K41,K46,K51,K56,K61,K66,K71,K76,K81,K86,K91,K96,K101,K106,K111,K116,K121)</f>
        <v>62.5</v>
      </c>
      <c r="L126" s="4" t="n">
        <f aca="false">SUM(L6,L11,L16,L21,L26,L31,L36,L41,L46,L51,L56,L61,L66,L71,L76,L81,L86,L91,L96,L101,L106,L111,L116,L121)</f>
        <v>147.7</v>
      </c>
      <c r="M126" s="4" t="n">
        <f aca="false">SUM(M6,M11,M16,M21,M26,M31,M36,M41,M46,M51,M56,M61,M66,M71,M76,M81,M86,M91,M96,M101,M106,M111,M116,M121)</f>
        <v>181.5</v>
      </c>
      <c r="N126" s="4" t="n">
        <f aca="false">SUM(N6,N11,N16,N21,N26,N31,N36,N41,N46,N51,N56,N61,N66,N71,N76,N81,N86,N91,N96,N101,N106,N111,N116,N121)</f>
        <v>193</v>
      </c>
      <c r="O126" s="4" t="n">
        <f aca="false">SUM(O6,O11,O16,O21,O26,O31,O36,O41,O46,O51,O56,O61,O66,O71,O76,O81,O86,O91,O96,O101,O106,O111,O116,O121)</f>
        <v>227.5</v>
      </c>
      <c r="P126" s="4" t="n">
        <f aca="false">SUM(P6,P11,P16,P21,P26,P31,P36,P41,P46,P51,P56,P61,P66,P71,P76,P81,P86,P91,P96,P101,P106,P111,P116,P121)</f>
        <v>319.5</v>
      </c>
      <c r="Q126" s="4" t="n">
        <f aca="false">SUM(Q6,Q11,Q16,Q21,Q26,Q31,Q36,Q41,Q46,Q51,Q56,Q61,Q66,Q71,Q76,Q81,Q86,Q91,Q96,Q101,Q106,Q111,Q116,Q121)</f>
        <v>485.2</v>
      </c>
      <c r="R126" s="4" t="n">
        <f aca="false">SUM(R6,R11,R16,R21,R26,R31,R36,R41,R46,R51,R56,R61,R66,R71,R76,R81,R86,R91,R96,R101,R106,R111,R116,R121)</f>
        <v>677.2</v>
      </c>
      <c r="S126" s="4" t="n">
        <f aca="false">SUM(S6,S11,S16,S21,S26,S31,S36,S41,S46,S51,S56,S61,S66,S71,S76,S81,S86,S91,S96,S101,S106,S111,S116,S121)</f>
        <v>882</v>
      </c>
      <c r="T126" s="4" t="n">
        <f aca="false">SUM(T6,T11,T16,T21,T26,T31,T36,T41,T46,T51,T56,T61,T66,T71,T76,T81,T86,T91,T96,T101,T106,T111,T116,T121)</f>
        <v>1212.5</v>
      </c>
      <c r="U126" s="4" t="n">
        <f aca="false">SUM(U6,U11,U16,U21,U26,U31,U36,U41,U46,U51,U56,U61,U66,U71,U76,U81,U86,U91,U96,U101,U106,U111,U116,U121)</f>
        <v>1325</v>
      </c>
      <c r="V126" s="4" t="n">
        <f aca="false">SUM(V6,V11,V16,V21,V26,V31,V36,V41,V46,V51,V56,V61,V66,V71,V76,V81,V86,V91,V96,V101,V106,V111,V116,V121)</f>
        <v>1520</v>
      </c>
      <c r="W126" s="4" t="n">
        <f aca="false">SUM(W6,W11,W16,W21,W26,W31,W36,W41,W46,W51,W56,W61,W66,W71,W76,W81,W86,W91,W96,W101,W106,W111,W116,W121)</f>
        <v>1532.5</v>
      </c>
      <c r="X126" s="4" t="n">
        <f aca="false">SUM(X6,X11,X16,X21,X26,X31,X36,X41,X46,X51,X56,X61,X66,X71,X76,X81,X86,X91,X96,X101,X106,X111,X116,X121)</f>
        <v>1942.5</v>
      </c>
      <c r="Y126" s="4" t="n">
        <f aca="false">SUM(Y6,Y11,Y16,Y21,Y26,Y31,Y36,Y41,Y46,Y51,Y56,Y61,Y66,Y71,Y76,Y81,Y86,Y91,Y96,Y101,Y106,Y111,Y116,Y121)</f>
        <v>1942.5</v>
      </c>
      <c r="Z126" s="4" t="n">
        <f aca="false">SUM(Z6,Z11,Z16,Z21,Z26,Z31,Z36,Z41,Z46,Z51,Z56,Z61,Z66,Z71,Z76,Z81,Z86,Z91,Z96,Z101,Z106,Z111,Z116,Z121)</f>
        <v>2362.5</v>
      </c>
      <c r="AA126" s="4" t="n">
        <f aca="false">SUM(AA6,AA11,AA16,AA21,AA26,AA31,AA36,AA41,AA46,AA51,AA56,AA61,AA66,AA71,AA76,AA81,AA86,AA91,AA96,AA101,AA106,AA111,AA116,AA121)</f>
        <v>2362.5</v>
      </c>
      <c r="AB126" s="4" t="n">
        <f aca="false">SUM(AB6,AB11,AB16,AB21,AB26,AB31,AB36,AB41,AB46,AB51,AB56,AB61,AB66,AB71,AB76,AB81,AB86,AB91,AB96,AB101,AB106,AB111,AB116,AB121)</f>
        <v>2947.5</v>
      </c>
      <c r="AC126" s="4" t="n">
        <f aca="false">SUM(AC6,AC11,AC16,AC21,AC26,AC31,AC36,AC41,AC46,AC51,AC56,AC61,AC66,AC71,AC76,AC81,AC86,AC91,AC96,AC101,AC106,AC111,AC116,AC121)</f>
        <v>2947.5</v>
      </c>
      <c r="AD126" s="4" t="n">
        <f aca="false">SUM(AD6,AD11,AD16,AD21,AD26,AD31,AD36,AD41,AD46,AD51,AD56,AD61,AD66,AD71,AD76,AD81,AD86,AD91,AD96,AD101,AD106,AD111,AD116,AD121)</f>
        <v>2947.5</v>
      </c>
      <c r="AE126" s="4" t="n">
        <f aca="false">SUM(AE6,AE11,AE16,AE21,AE26,AE31,AE36,AE41,AE46,AE51,AE56,AE61,AE66,AE71,AE76,AE81,AE86,AE91,AE96,AE101,AE106,AE111,AE116,AE121)</f>
        <v>2947.5</v>
      </c>
      <c r="AF126" s="4" t="n">
        <f aca="false">SUM(AF6,AF11,AF16,AF21,AF26,AF31,AF36,AF41,AF46,AF51,AF56,AF61,AF66,AF71,AF76,AF81,AF86,AF91,AF96,AF101,AF106,AF111,AF116,AF121)</f>
        <v>3522.5</v>
      </c>
    </row>
    <row r="127" customFormat="false" ht="15" hidden="false" customHeight="false" outlineLevel="0" collapsed="false">
      <c r="A127" s="0" t="s">
        <v>359</v>
      </c>
      <c r="B127" s="0" t="s">
        <v>364</v>
      </c>
      <c r="C127" s="0" t="s">
        <v>361</v>
      </c>
      <c r="E127" s="4" t="n">
        <f aca="false">SUM(E3,E8,E13,E18,E23,E28,E33,E38,E43,E48,E53,E58,E63,E68,E73,E78,E83,E88,E93,E98,E103,E108,E113,E118)</f>
        <v>0</v>
      </c>
      <c r="F127" s="4" t="n">
        <f aca="false">SUM(F3,F8,F13,F18,F23,F28,F33,F38,F43,F48,F53,F58,F63,F68,F73,F78,F83,F88,F93,F98,F103,F108,F113,F118)</f>
        <v>0</v>
      </c>
      <c r="G127" s="4" t="n">
        <f aca="false">SUM(G3,G8,G13,G18,G23,G28,G33,G38,G43,G48,G53,G58,G63,G68,G73,G78,G83,G88,G93,G98,G103,G108,G113,G118)</f>
        <v>5</v>
      </c>
      <c r="H127" s="4" t="n">
        <f aca="false">SUM(H3,H8,H13,H18,H23,H28,H33,H38,H43,H48,H53,H58,H63,H68,H73,H78,H83,H88,H93,H98,H103,H108,H113,H118)</f>
        <v>130</v>
      </c>
      <c r="I127" s="4" t="n">
        <f aca="false">SUM(I3,I8,I13,I18,I23,I28,I33,I38,I43,I48,I53,I58,I63,I68,I73,I78,I83,I88,I93,I98,I103,I108,I113,I118)</f>
        <v>430</v>
      </c>
      <c r="J127" s="4" t="n">
        <f aca="false">SUM(J3,J8,J13,J18,J23,J28,J33,J38,J43,J48,J53,J58,J63,J68,J73,J78,J83,J88,J93,J98,J103,J108,J113,J118)</f>
        <v>454</v>
      </c>
      <c r="K127" s="4" t="n">
        <f aca="false">SUM(K3,K8,K13,K18,K23,K28,K33,K38,K43,K48,K53,K58,K63,K68,K73,K78,K83,K88,K93,K98,K103,K108,K113,K118)</f>
        <v>754</v>
      </c>
      <c r="L127" s="4" t="n">
        <f aca="false">SUM(L3,L8,L13,L18,L23,L28,L33,L38,L43,L48,L53,L58,L63,L68,L73,L78,L83,L88,L93,L98,L103,L108,L113,L118)</f>
        <v>1954</v>
      </c>
      <c r="M127" s="4" t="n">
        <f aca="false">SUM(M3,M8,M13,M18,M23,M28,M33,M38,M43,M48,M53,M58,M63,M68,M73,M78,M83,M88,M93,M98,M103,M108,M113,M118)</f>
        <v>2584</v>
      </c>
      <c r="N127" s="4" t="n">
        <f aca="false">SUM(N3,N8,N13,N18,N23,N28,N33,N38,N43,N48,N53,N58,N63,N68,N73,N78,N83,N88,N93,N98,N103,N108,N113,N118)</f>
        <v>3919</v>
      </c>
      <c r="O127" s="4" t="n">
        <f aca="false">SUM(O3,O8,O13,O18,O23,O28,O33,O38,O43,O48,O53,O58,O63,O68,O73,O78,O83,O88,O93,O98,O103,O108,O113,O118)</f>
        <v>3969</v>
      </c>
      <c r="P127" s="4" t="n">
        <f aca="false">SUM(P3,P8,P13,P18,P23,P28,P33,P38,P43,P48,P53,P58,P63,P68,P73,P78,P83,P88,P93,P98,P103,P108,P113,P118)</f>
        <v>3969</v>
      </c>
      <c r="Q127" s="4" t="n">
        <f aca="false">SUM(Q3,Q8,Q13,Q18,Q23,Q28,Q33,Q38,Q43,Q48,Q53,Q58,Q63,Q68,Q73,Q78,Q83,Q88,Q93,Q98,Q103,Q108,Q113,Q118)</f>
        <v>3969</v>
      </c>
      <c r="R127" s="4" t="n">
        <f aca="false">SUM(R3,R8,R13,R18,R23,R28,R33,R38,R43,R48,R53,R58,R63,R68,R73,R78,R83,R88,R93,R98,R103,R108,R113,R118)</f>
        <v>3969</v>
      </c>
      <c r="S127" s="4" t="n">
        <f aca="false">SUM(S3,S8,S13,S18,S23,S28,S33,S38,S43,S48,S53,S58,S63,S68,S73,S78,S83,S88,S93,S98,S103,S108,S113,S118)</f>
        <v>3969</v>
      </c>
      <c r="T127" s="4" t="n">
        <f aca="false">SUM(T3,T8,T13,T18,T23,T28,T33,T38,T43,T48,T53,T58,T63,T68,T73,T78,T83,T88,T93,T98,T103,T108,T113,T118)</f>
        <v>3969</v>
      </c>
      <c r="U127" s="4" t="n">
        <f aca="false">SUM(U3,U8,U13,U18,U23,U28,U33,U38,U43,U48,U53,U58,U63,U68,U73,U78,U83,U88,U93,U98,U103,U108,U113,U118)</f>
        <v>3969</v>
      </c>
      <c r="V127" s="4" t="n">
        <f aca="false">SUM(V3,V8,V13,V18,V23,V28,V33,V38,V43,V48,V53,V58,V63,V68,V73,V78,V83,V88,V93,V98,V103,V108,V113,V118)</f>
        <v>3969</v>
      </c>
      <c r="W127" s="4" t="n">
        <f aca="false">SUM(W3,W8,W13,W18,W23,W28,W33,W38,W43,W48,W53,W58,W63,W68,W73,W78,W83,W88,W93,W98,W103,W108,W113,W118)</f>
        <v>3969</v>
      </c>
      <c r="X127" s="4" t="n">
        <f aca="false">SUM(X3,X8,X13,X18,X23,X28,X33,X38,X43,X48,X53,X58,X63,X68,X73,X78,X83,X88,X93,X98,X103,X108,X113,X118)</f>
        <v>3969</v>
      </c>
      <c r="Y127" s="4" t="n">
        <f aca="false">SUM(Y3,Y8,Y13,Y18,Y23,Y28,Y33,Y38,Y43,Y48,Y53,Y58,Y63,Y68,Y73,Y78,Y83,Y88,Y93,Y98,Y103,Y108,Y113,Y118)</f>
        <v>3969</v>
      </c>
      <c r="Z127" s="4" t="n">
        <f aca="false">SUM(Z3,Z8,Z13,Z18,Z23,Z28,Z33,Z38,Z43,Z48,Z53,Z58,Z63,Z68,Z73,Z78,Z83,Z88,Z93,Z98,Z103,Z108,Z113,Z118)</f>
        <v>3969</v>
      </c>
      <c r="AA127" s="4" t="n">
        <f aca="false">SUM(AA3,AA8,AA13,AA18,AA23,AA28,AA33,AA38,AA43,AA48,AA53,AA58,AA63,AA68,AA73,AA78,AA83,AA88,AA93,AA98,AA103,AA108,AA113,AA118)</f>
        <v>3969</v>
      </c>
      <c r="AB127" s="4" t="n">
        <f aca="false">SUM(AB3,AB8,AB13,AB18,AB23,AB28,AB33,AB38,AB43,AB48,AB53,AB58,AB63,AB68,AB73,AB78,AB83,AB88,AB93,AB98,AB103,AB108,AB113,AB118)</f>
        <v>3969</v>
      </c>
      <c r="AC127" s="4" t="n">
        <f aca="false">SUM(AC3,AC8,AC13,AC18,AC23,AC28,AC33,AC38,AC43,AC48,AC53,AC58,AC63,AC68,AC73,AC78,AC83,AC88,AC93,AC98,AC103,AC108,AC113,AC118)</f>
        <v>3969</v>
      </c>
      <c r="AD127" s="4" t="n">
        <f aca="false">SUM(AD3,AD8,AD13,AD18,AD23,AD28,AD33,AD38,AD43,AD48,AD53,AD58,AD63,AD68,AD73,AD78,AD83,AD88,AD93,AD98,AD103,AD108,AD113,AD118)</f>
        <v>3969</v>
      </c>
      <c r="AE127" s="4" t="n">
        <f aca="false">SUM(AE3,AE8,AE13,AE18,AE23,AE28,AE33,AE38,AE43,AE48,AE53,AE58,AE63,AE68,AE73,AE78,AE83,AE88,AE93,AE98,AE103,AE108,AE113,AE118)</f>
        <v>3969</v>
      </c>
      <c r="AF127" s="4" t="n">
        <f aca="false">SUM(AF3,AF8,AF13,AF18,AF23,AF28,AF33,AF38,AF43,AF48,AF53,AF58,AF63,AF68,AF73,AF78,AF83,AF88,AF93,AF98,AF103,AF108,AF113,AF118)</f>
        <v>3969</v>
      </c>
    </row>
    <row r="128" customFormat="false" ht="15" hidden="false" customHeight="false" outlineLevel="0" collapsed="false">
      <c r="A128" s="0" t="s">
        <v>359</v>
      </c>
      <c r="B128" s="0" t="s">
        <v>365</v>
      </c>
      <c r="C128" s="0" t="s">
        <v>349</v>
      </c>
      <c r="H128" s="5" t="n">
        <v>25</v>
      </c>
      <c r="L128" s="5" t="n">
        <v>170</v>
      </c>
      <c r="P128" s="5" t="n">
        <v>800</v>
      </c>
      <c r="T128" s="4" t="n">
        <f aca="false">800+1000</f>
        <v>1800</v>
      </c>
    </row>
    <row r="129" customFormat="false" ht="15" hidden="false" customHeight="false" outlineLevel="0" collapsed="false">
      <c r="A129" s="0" t="s">
        <v>359</v>
      </c>
      <c r="B129" s="0" t="s">
        <v>366</v>
      </c>
      <c r="C129" s="0" t="s">
        <v>367</v>
      </c>
      <c r="H129" s="4" t="n">
        <f aca="false">H128-H126</f>
        <v>-5</v>
      </c>
      <c r="L129" s="4" t="n">
        <f aca="false">L128-L126</f>
        <v>22.3</v>
      </c>
      <c r="P129" s="4" t="n">
        <f aca="false">P128-P126</f>
        <v>480.5</v>
      </c>
      <c r="T129" s="4" t="n">
        <f aca="false">T128-T126</f>
        <v>587.5</v>
      </c>
    </row>
    <row r="130" customFormat="false" ht="15" hidden="false" customHeight="false" outlineLevel="0" collapsed="false">
      <c r="A130" s="0" t="s">
        <v>359</v>
      </c>
      <c r="B130" s="0" t="s">
        <v>368</v>
      </c>
      <c r="C130" s="0" t="s">
        <v>367</v>
      </c>
      <c r="E130" s="4" t="n">
        <f aca="false">E126+N(E129)</f>
        <v>25</v>
      </c>
      <c r="F130" s="4" t="n">
        <f aca="false">F126+N(F129)</f>
        <v>25</v>
      </c>
      <c r="G130" s="4" t="n">
        <f aca="false">G126+N(G129)</f>
        <v>25</v>
      </c>
      <c r="H130" s="4" t="n">
        <f aca="false">H126+N(H129)</f>
        <v>25</v>
      </c>
      <c r="I130" s="4" t="n">
        <f aca="false">I126+N(I129)</f>
        <v>50</v>
      </c>
      <c r="J130" s="4" t="n">
        <f aca="false">J126+N(J129)</f>
        <v>50</v>
      </c>
      <c r="K130" s="4" t="n">
        <f aca="false">K126+N(K129)</f>
        <v>62.5</v>
      </c>
      <c r="L130" s="4" t="n">
        <f aca="false">L126+N(L129)</f>
        <v>170</v>
      </c>
      <c r="M130" s="4" t="n">
        <f aca="false">M126+N(M129)</f>
        <v>181.5</v>
      </c>
      <c r="N130" s="4" t="n">
        <f aca="false">N126+N(N129)</f>
        <v>193</v>
      </c>
      <c r="O130" s="4" t="n">
        <f aca="false">O126+N(O129)</f>
        <v>227.5</v>
      </c>
      <c r="P130" s="4" t="n">
        <f aca="false">P126+N(P129)</f>
        <v>800</v>
      </c>
      <c r="Q130" s="4" t="n">
        <f aca="false">Q126+N(Q129)</f>
        <v>485.2</v>
      </c>
      <c r="R130" s="4" t="n">
        <f aca="false">R126+N(R129)</f>
        <v>677.2</v>
      </c>
      <c r="S130" s="4" t="n">
        <f aca="false">S126+N(S129)</f>
        <v>882</v>
      </c>
      <c r="T130" s="4" t="n">
        <f aca="false">T126+N(T129)</f>
        <v>1800</v>
      </c>
      <c r="U130" s="4" t="n">
        <f aca="false">U126+N(U129)</f>
        <v>1325</v>
      </c>
      <c r="V130" s="4" t="n">
        <f aca="false">V126+N(V129)</f>
        <v>1520</v>
      </c>
      <c r="W130" s="4" t="n">
        <f aca="false">W126+N(W129)</f>
        <v>1532.5</v>
      </c>
      <c r="X130" s="4" t="n">
        <f aca="false">X126+N(X129)</f>
        <v>1942.5</v>
      </c>
      <c r="Y130" s="4" t="n">
        <f aca="false">Y126+N(Y129)</f>
        <v>1942.5</v>
      </c>
      <c r="Z130" s="4" t="n">
        <f aca="false">Z126+N(Z129)</f>
        <v>2362.5</v>
      </c>
      <c r="AA130" s="4" t="n">
        <f aca="false">AA126+N(AA129)</f>
        <v>2362.5</v>
      </c>
      <c r="AB130" s="4" t="n">
        <f aca="false">AB126+N(AB129)</f>
        <v>2947.5</v>
      </c>
      <c r="AC130" s="4" t="n">
        <f aca="false">AC126+N(AC129)</f>
        <v>2947.5</v>
      </c>
      <c r="AD130" s="4" t="n">
        <f aca="false">AD126+N(AD129)</f>
        <v>2947.5</v>
      </c>
      <c r="AE130" s="4" t="n">
        <f aca="false">AE126+N(AE129)</f>
        <v>2947.5</v>
      </c>
      <c r="AF130" s="4" t="n">
        <f aca="false">AF126+N(AF129)</f>
        <v>3522.5</v>
      </c>
    </row>
    <row r="131" customFormat="false" ht="15" hidden="false" customHeight="false" outlineLevel="0" collapsed="false">
      <c r="A131" s="0" t="s">
        <v>359</v>
      </c>
      <c r="B131" s="0" t="s">
        <v>369</v>
      </c>
      <c r="C131" s="0" t="s">
        <v>370</v>
      </c>
      <c r="L131" s="5" t="n">
        <v>2000</v>
      </c>
      <c r="M131" s="5" t="n">
        <v>3500</v>
      </c>
      <c r="P131" s="5" t="n">
        <v>5000</v>
      </c>
    </row>
    <row r="132" customFormat="false" ht="15" hidden="false" customHeight="false" outlineLevel="0" collapsed="false">
      <c r="A132" s="0" t="s">
        <v>359</v>
      </c>
      <c r="B132" s="0" t="s">
        <v>371</v>
      </c>
      <c r="C132" s="0" t="s">
        <v>370</v>
      </c>
      <c r="L132" s="4" t="n">
        <f aca="false">L131-L127</f>
        <v>46</v>
      </c>
      <c r="M132" s="4" t="n">
        <f aca="false">M131-M127</f>
        <v>916</v>
      </c>
      <c r="P132" s="4" t="n">
        <f aca="false">P131-P127</f>
        <v>1031</v>
      </c>
    </row>
    <row r="134" customFormat="false" ht="15" hidden="false" customHeight="false" outlineLevel="0" collapsed="false">
      <c r="A134" s="1" t="s">
        <v>372</v>
      </c>
    </row>
    <row r="135" customFormat="false" ht="15" hidden="false" customHeight="false" outlineLevel="0" collapsed="false">
      <c r="A135" s="0" t="s">
        <v>359</v>
      </c>
      <c r="B135" s="0" t="s">
        <v>373</v>
      </c>
      <c r="C135" s="0" t="s">
        <v>345</v>
      </c>
      <c r="E135" s="4" t="n">
        <f aca="false">N(E4)+N(E9)/Basis!$G$3+N(E14)/Basis!$G$4+N(E19)/Basis!$G$5+N(E24)/Basis!$G$6+N(E29)/Basis!$G$7+N(E34)/Basis!$G$8+N(E39)/Basis!$G$9+N(E44)+N(E49)+N(E54)+N(E59)/Basis!$G$13+N(E64)+N(E69)+N(E74)+N(E79)+N(E84)+N(E89)+N(E94)+N(E99)+N(E104)+N(E109)+N(E114)+N(E119)</f>
        <v>22.7272727272727</v>
      </c>
      <c r="F135" s="4" t="n">
        <f aca="false">N(F4)+N(F9)/Basis!$G$3+N(F14)/Basis!$G$4+N(F19)/Basis!$G$5+N(F24)/Basis!$G$6+N(F29)/Basis!$G$7+N(F34)/Basis!$G$8+N(F39)/Basis!$G$9+N(F44)+N(F49)+N(F54)+N(F59)/Basis!$G$13+N(F64)+N(F69)+N(F74)+N(F79)+N(F84)+N(F89)+N(F94)+N(F99)+N(F104)+N(F109)+N(F114)+N(F119)</f>
        <v>22.7272727272727</v>
      </c>
      <c r="G135" s="4" t="n">
        <f aca="false">N(G4)+N(G9)/Basis!$G$3+N(G14)/Basis!$G$4+N(G19)/Basis!$G$5+N(G24)/Basis!$G$6+N(G29)/Basis!$G$7+N(G34)/Basis!$G$8+N(G39)/Basis!$G$9+N(G44)+N(G49)+N(G54)+N(G59)/Basis!$G$13+N(G64)+N(G69)+N(G74)+N(G79)+N(G84)+N(G89)+N(G94)+N(G99)+N(G104)+N(G109)+N(G114)+N(G119)</f>
        <v>22.7272727272727</v>
      </c>
      <c r="H135" s="4" t="n">
        <f aca="false">N(H4)+N(H9)/Basis!$G$3+N(H14)/Basis!$G$4+N(H19)/Basis!$G$5+N(H24)/Basis!$G$6+N(H29)/Basis!$G$7+N(H34)/Basis!$G$8+N(H39)/Basis!$G$9+N(H44)+N(H49)+N(H54)+N(H59)/Basis!$G$13+N(H64)+N(H69)+N(H74)+N(H79)+N(H84)+N(H89)+N(H94)+N(H99)+N(H104)+N(H109)+N(H114)+N(H119)</f>
        <v>27.7272727272727</v>
      </c>
      <c r="I135" s="4" t="n">
        <f aca="false">N(I4)+N(I9)/Basis!$G$3+N(I14)/Basis!$G$4+N(I19)/Basis!$G$5+N(I24)/Basis!$G$6+N(I29)/Basis!$G$7+N(I34)/Basis!$G$8+N(I39)/Basis!$G$9+N(I44)+N(I49)+N(I54)+N(I59)/Basis!$G$13+N(I64)+N(I69)+N(I74)+N(I79)+N(I84)+N(I89)+N(I94)+N(I99)+N(I104)+N(I109)+N(I114)+N(I119)</f>
        <v>42.7272727272727</v>
      </c>
      <c r="J135" s="4" t="n">
        <f aca="false">N(J4)+N(J9)/Basis!$G$3+N(J14)/Basis!$G$4+N(J19)/Basis!$G$5+N(J24)/Basis!$G$6+N(J29)/Basis!$G$7+N(J34)/Basis!$G$8+N(J39)/Basis!$G$9+N(J44)+N(J49)+N(J54)+N(J59)/Basis!$G$13+N(J64)+N(J69)+N(J74)+N(J79)+N(J84)+N(J89)+N(J94)+N(J99)+N(J104)+N(J109)+N(J114)+N(J119)</f>
        <v>42.7272727272727</v>
      </c>
      <c r="K135" s="4" t="n">
        <f aca="false">N(K4)+N(K9)/Basis!$G$3+N(K14)/Basis!$G$4+N(K19)/Basis!$G$5+N(K24)/Basis!$G$6+N(K29)/Basis!$G$7+N(K34)/Basis!$G$8+N(K39)/Basis!$G$9+N(K44)+N(K49)+N(K54)+N(K59)/Basis!$G$13+N(K64)+N(K69)+N(K74)+N(K79)+N(K84)+N(K89)+N(K94)+N(K99)+N(K104)+N(K109)+N(K114)+N(K119)</f>
        <v>42.7272727272727</v>
      </c>
      <c r="L135" s="4" t="n">
        <f aca="false">N(L4)+N(L9)/Basis!$G$3+N(L14)/Basis!$G$4+N(L19)/Basis!$G$5+N(L24)/Basis!$G$6+N(L29)/Basis!$G$7+N(L34)/Basis!$G$8+N(L39)/Basis!$G$9+N(L44)+N(L49)+N(L54)+N(L59)/Basis!$G$13+N(L64)+N(L69)+N(L74)+N(L79)+N(L84)+N(L89)+N(L94)+N(L99)+N(L104)+N(L109)+N(L114)+N(L119)</f>
        <v>107.562237762238</v>
      </c>
      <c r="M135" s="4" t="n">
        <f aca="false">N(M4)+N(M9)/Basis!$G$3+N(M14)/Basis!$G$4+N(M19)/Basis!$G$5+N(M24)/Basis!$G$6+N(M29)/Basis!$G$7+N(M34)/Basis!$G$8+N(M39)/Basis!$G$9+N(M44)+N(M49)+N(M54)+N(M59)/Basis!$G$13+N(M64)+N(M69)+N(M74)+N(M79)+N(M84)+N(M89)+N(M94)+N(M99)+N(M104)+N(M109)+N(M114)+N(M119)</f>
        <v>143.48951048951</v>
      </c>
      <c r="N135" s="4" t="n">
        <f aca="false">N(N4)+N(N9)/Basis!$G$3+N(N14)/Basis!$G$4+N(N19)/Basis!$G$5+N(N24)/Basis!$G$6+N(N29)/Basis!$G$7+N(N34)/Basis!$G$8+N(N39)/Basis!$G$9+N(N44)+N(N49)+N(N54)+N(N59)/Basis!$G$13+N(N64)+N(N69)+N(N74)+N(N79)+N(N84)+N(N89)+N(N94)+N(N99)+N(N104)+N(N109)+N(N114)+N(N119)</f>
        <v>146.48951048951</v>
      </c>
      <c r="O135" s="4" t="n">
        <f aca="false">N(O4)+N(O9)/Basis!$G$3+N(O14)/Basis!$G$4+N(O19)/Basis!$G$5+N(O24)/Basis!$G$6+N(O29)/Basis!$G$7+N(O34)/Basis!$G$8+N(O39)/Basis!$G$9+N(O44)+N(O49)+N(O54)+N(O59)/Basis!$G$13+N(O64)+N(O69)+N(O74)+N(O79)+N(O84)+N(O89)+N(O94)+N(O99)+N(O104)+N(O109)+N(O114)+N(O119)</f>
        <v>181.489510489511</v>
      </c>
      <c r="P135" s="4" t="n">
        <f aca="false">N(P4)+N(P9)/Basis!$G$3+N(P14)/Basis!$G$4+N(P19)/Basis!$G$5+N(P24)/Basis!$G$6+N(P29)/Basis!$G$7+N(P34)/Basis!$G$8+N(P39)/Basis!$G$9+N(P44)+N(P49)+N(P54)+N(P59)/Basis!$G$13+N(P64)+N(P69)+N(P74)+N(P79)+N(P84)+N(P89)+N(P94)+N(P99)+N(P104)+N(P109)+N(P114)+N(P119)</f>
        <v>189.489510489511</v>
      </c>
      <c r="Q135" s="4" t="n">
        <f aca="false">N(Q4)+N(Q9)/Basis!$G$3+N(Q14)/Basis!$G$4+N(Q19)/Basis!$G$5+N(Q24)/Basis!$G$6+N(Q29)/Basis!$G$7+N(Q34)/Basis!$G$8+N(Q39)/Basis!$G$9+N(Q44)+N(Q49)+N(Q54)+N(Q59)/Basis!$G$13+N(Q64)+N(Q69)+N(Q74)+N(Q79)+N(Q84)+N(Q89)+N(Q94)+N(Q99)+N(Q104)+N(Q109)+N(Q114)+N(Q119)</f>
        <v>256.966433566434</v>
      </c>
      <c r="R135" s="4" t="n">
        <f aca="false">N(R4)+N(R9)/Basis!$G$3+N(R14)/Basis!$G$4+N(R19)/Basis!$G$5+N(R24)/Basis!$G$6+N(R29)/Basis!$G$7+N(R34)/Basis!$G$8+N(R39)/Basis!$G$9+N(R44)+N(R49)+N(R54)+N(R59)/Basis!$G$13+N(R64)+N(R69)+N(R74)+N(R79)+N(R84)+N(R89)+N(R94)+N(R99)+N(R104)+N(R109)+N(R114)+N(R119)</f>
        <v>404.351048951049</v>
      </c>
      <c r="S135" s="4" t="n">
        <f aca="false">N(S4)+N(S9)/Basis!$G$3+N(S14)/Basis!$G$4+N(S19)/Basis!$G$5+N(S24)/Basis!$G$6+N(S29)/Basis!$G$7+N(S34)/Basis!$G$8+N(S39)/Basis!$G$9+N(S44)+N(S49)+N(S54)+N(S59)/Basis!$G$13+N(S64)+N(S69)+N(S74)+N(S79)+N(S84)+N(S89)+N(S94)+N(S99)+N(S104)+N(S109)+N(S114)+N(S119)</f>
        <v>553.469567469567</v>
      </c>
      <c r="T135" s="4" t="n">
        <f aca="false">N(T4)+N(T9)/Basis!$G$3+N(T14)/Basis!$G$4+N(T19)/Basis!$G$5+N(T24)/Basis!$G$6+N(T29)/Basis!$G$7+N(T34)/Basis!$G$8+N(T39)/Basis!$G$9+N(T44)+N(T49)+N(T54)+N(T59)/Basis!$G$13+N(T64)+N(T69)+N(T74)+N(T79)+N(T84)+N(T89)+N(T94)+N(T99)+N(T104)+N(T109)+N(T114)+N(T119)</f>
        <v>794.613751787665</v>
      </c>
      <c r="U135" s="4" t="n">
        <f aca="false">N(U4)+N(U9)/Basis!$G$3+N(U14)/Basis!$G$4+N(U19)/Basis!$G$5+N(U24)/Basis!$G$6+N(U29)/Basis!$G$7+N(U34)/Basis!$G$8+N(U39)/Basis!$G$9+N(U44)+N(U49)+N(U54)+N(U59)/Basis!$G$13+N(U64)+N(U69)+N(U74)+N(U79)+N(U84)+N(U89)+N(U94)+N(U99)+N(U104)+N(U109)+N(U114)+N(U119)</f>
        <v>850.048534396361</v>
      </c>
      <c r="V135" s="4" t="n">
        <f aca="false">N(V4)+N(V9)/Basis!$G$3+N(V14)/Basis!$G$4+N(V19)/Basis!$G$5+N(V24)/Basis!$G$6+N(V29)/Basis!$G$7+N(V34)/Basis!$G$8+N(V39)/Basis!$G$9+N(V44)+N(V49)+N(V54)+N(V59)/Basis!$G$13+N(V64)+N(V69)+N(V74)+N(V79)+N(V84)+N(V89)+N(V94)+N(V99)+N(V104)+N(V109)+N(V114)+N(V119)</f>
        <v>984.992173687826</v>
      </c>
      <c r="W135" s="4" t="n">
        <f aca="false">N(W4)+N(W9)/Basis!$G$3+N(W14)/Basis!$G$4+N(W19)/Basis!$G$5+N(W24)/Basis!$G$6+N(W29)/Basis!$G$7+N(W34)/Basis!$G$8+N(W39)/Basis!$G$9+N(W44)+N(W49)+N(W54)+N(W59)/Basis!$G$13+N(W64)+N(W69)+N(W74)+N(W79)+N(W84)+N(W89)+N(W94)+N(W99)+N(W104)+N(W109)+N(W114)+N(W119)</f>
        <v>1009.99217368783</v>
      </c>
      <c r="X135" s="4" t="n">
        <f aca="false">N(X4)+N(X9)/Basis!$G$3+N(X14)/Basis!$G$4+N(X19)/Basis!$G$5+N(X24)/Basis!$G$6+N(X29)/Basis!$G$7+N(X34)/Basis!$G$8+N(X39)/Basis!$G$9+N(X44)+N(X49)+N(X54)+N(X59)/Basis!$G$13+N(X64)+N(X69)+N(X74)+N(X79)+N(X84)+N(X89)+N(X94)+N(X99)+N(X104)+N(X109)+N(X114)+N(X119)</f>
        <v>1407.61387565735</v>
      </c>
      <c r="Y135" s="4" t="n">
        <f aca="false">N(Y4)+N(Y9)/Basis!$G$3+N(Y14)/Basis!$G$4+N(Y19)/Basis!$G$5+N(Y24)/Basis!$G$6+N(Y29)/Basis!$G$7+N(Y34)/Basis!$G$8+N(Y39)/Basis!$G$9+N(Y44)+N(Y49)+N(Y54)+N(Y59)/Basis!$G$13+N(Y64)+N(Y69)+N(Y74)+N(Y79)+N(Y84)+N(Y89)+N(Y94)+N(Y99)+N(Y104)+N(Y109)+N(Y114)+N(Y119)</f>
        <v>1407.61387565735</v>
      </c>
      <c r="Z135" s="4" t="n">
        <f aca="false">N(Z4)+N(Z9)/Basis!$G$3+N(Z14)/Basis!$G$4+N(Z19)/Basis!$G$5+N(Z24)/Basis!$G$6+N(Z29)/Basis!$G$7+N(Z34)/Basis!$G$8+N(Z39)/Basis!$G$9+N(Z44)+N(Z49)+N(Z54)+N(Z59)/Basis!$G$13+N(Z64)+N(Z69)+N(Z74)+N(Z79)+N(Z84)+N(Z89)+N(Z94)+N(Z99)+N(Z104)+N(Z109)+N(Z114)+N(Z119)</f>
        <v>1577.98424602772</v>
      </c>
      <c r="AA135" s="4" t="n">
        <f aca="false">N(AA4)+N(AA9)/Basis!$G$3+N(AA14)/Basis!$G$4+N(AA19)/Basis!$G$5+N(AA24)/Basis!$G$6+N(AA29)/Basis!$G$7+N(AA34)/Basis!$G$8+N(AA39)/Basis!$G$9+N(AA44)+N(AA49)+N(AA54)+N(AA59)/Basis!$G$13+N(AA64)+N(AA69)+N(AA74)+N(AA79)+N(AA84)+N(AA89)+N(AA94)+N(AA99)+N(AA104)+N(AA109)+N(AA114)+N(AA119)</f>
        <v>1577.98424602772</v>
      </c>
      <c r="AB135" s="4" t="n">
        <f aca="false">N(AB4)+N(AB9)/Basis!$G$3+N(AB14)/Basis!$G$4+N(AB19)/Basis!$G$5+N(AB24)/Basis!$G$6+N(AB29)/Basis!$G$7+N(AB34)/Basis!$G$8+N(AB39)/Basis!$G$9+N(AB44)+N(AB49)+N(AB54)+N(AB59)/Basis!$G$13+N(AB64)+N(AB69)+N(AB74)+N(AB79)+N(AB84)+N(AB89)+N(AB94)+N(AB99)+N(AB104)+N(AB109)+N(AB114)+N(AB119)</f>
        <v>1973.47538934495</v>
      </c>
      <c r="AC135" s="4" t="n">
        <f aca="false">N(AC4)+N(AC9)/Basis!$G$3+N(AC14)/Basis!$G$4+N(AC19)/Basis!$G$5+N(AC24)/Basis!$G$6+N(AC29)/Basis!$G$7+N(AC34)/Basis!$G$8+N(AC39)/Basis!$G$9+N(AC44)+N(AC49)+N(AC54)+N(AC59)/Basis!$G$13+N(AC64)+N(AC69)+N(AC74)+N(AC79)+N(AC84)+N(AC89)+N(AC94)+N(AC99)+N(AC104)+N(AC109)+N(AC114)+N(AC119)</f>
        <v>1973.47538934495</v>
      </c>
      <c r="AD135" s="4" t="n">
        <f aca="false">N(AD4)+N(AD9)/Basis!$G$3+N(AD14)/Basis!$G$4+N(AD19)/Basis!$G$5+N(AD24)/Basis!$G$6+N(AD29)/Basis!$G$7+N(AD34)/Basis!$G$8+N(AD39)/Basis!$G$9+N(AD44)+N(AD49)+N(AD54)+N(AD59)/Basis!$G$13+N(AD64)+N(AD69)+N(AD74)+N(AD79)+N(AD84)+N(AD89)+N(AD94)+N(AD99)+N(AD104)+N(AD109)+N(AD114)+N(AD119)</f>
        <v>1973.47538934495</v>
      </c>
      <c r="AE135" s="4" t="n">
        <f aca="false">N(AE4)+N(AE9)/Basis!$G$3+N(AE14)/Basis!$G$4+N(AE19)/Basis!$G$5+N(AE24)/Basis!$G$6+N(AE29)/Basis!$G$7+N(AE34)/Basis!$G$8+N(AE39)/Basis!$G$9+N(AE44)+N(AE49)+N(AE54)+N(AE59)/Basis!$G$13+N(AE64)+N(AE69)+N(AE74)+N(AE79)+N(AE84)+N(AE89)+N(AE94)+N(AE99)+N(AE104)+N(AE109)+N(AE114)+N(AE119)</f>
        <v>1973.47538934495</v>
      </c>
      <c r="AF135" s="4" t="n">
        <f aca="false">N(AF4)+N(AF9)/Basis!$G$3+N(AF14)/Basis!$G$4+N(AF19)/Basis!$G$5+N(AF24)/Basis!$G$6+N(AF29)/Basis!$G$7+N(AF34)/Basis!$G$8+N(AF39)/Basis!$G$9+N(AF44)+N(AF49)+N(AF54)+N(AF59)/Basis!$G$13+N(AF64)+N(AF69)+N(AF74)+N(AF79)+N(AF84)+N(AF89)+N(AF94)+N(AF99)+N(AF104)+N(AF109)+N(AF114)+N(AF119)</f>
        <v>2392.47699965091</v>
      </c>
    </row>
    <row r="136" customFormat="false" ht="15" hidden="false" customHeight="false" outlineLevel="0" collapsed="false">
      <c r="A136" s="0" t="s">
        <v>359</v>
      </c>
      <c r="B136" s="0" t="s">
        <v>374</v>
      </c>
      <c r="C136" s="0" t="s">
        <v>345</v>
      </c>
      <c r="E136" s="4" t="n">
        <f aca="false">N(E6)+N(E11)/Basis!$G$3+N(E16)/Basis!$G$4+N(E21)/Basis!$G$5+N(E26)/Basis!$G$6+N(E31)/Basis!$G$7+N(E36)/Basis!$G$8+N(E41)/Basis!$G$9+N(E46)+N(E51)+N(E56)+N(E61)/Basis!$G$13+N(E66)+N(E71)+N(E76)+N(E81)+N(E86)+N(E91)+N(E96)+N(E101)+N(E106)+N(E111)+N(E116)+N(E121)</f>
        <v>22.7272727272727</v>
      </c>
      <c r="F136" s="4" t="n">
        <f aca="false">N(F6)+N(F11)/Basis!$G$3+N(F16)/Basis!$G$4+N(F21)/Basis!$G$5+N(F26)/Basis!$G$6+N(F31)/Basis!$G$7+N(F36)/Basis!$G$8+N(F41)/Basis!$G$9+N(F46)+N(F51)+N(F56)+N(F61)/Basis!$G$13+N(F66)+N(F71)+N(F76)+N(F81)+N(F86)+N(F91)+N(F96)+N(F101)+N(F106)+N(F111)+N(F116)+N(F121)</f>
        <v>22.7272727272727</v>
      </c>
      <c r="G136" s="4" t="n">
        <f aca="false">N(G6)+N(G11)/Basis!$G$3+N(G16)/Basis!$G$4+N(G21)/Basis!$G$5+N(G26)/Basis!$G$6+N(G31)/Basis!$G$7+N(G36)/Basis!$G$8+N(G41)/Basis!$G$9+N(G46)+N(G51)+N(G56)+N(G61)/Basis!$G$13+N(G66)+N(G71)+N(G76)+N(G81)+N(G86)+N(G91)+N(G96)+N(G101)+N(G106)+N(G111)+N(G116)+N(G121)</f>
        <v>22.7272727272727</v>
      </c>
      <c r="H136" s="4" t="n">
        <f aca="false">N(H6)+N(H11)/Basis!$G$3+N(H16)/Basis!$G$4+N(H21)/Basis!$G$5+N(H26)/Basis!$G$6+N(H31)/Basis!$G$7+N(H36)/Basis!$G$8+N(H41)/Basis!$G$9+N(H46)+N(H51)+N(H56)+N(H61)/Basis!$G$13+N(H66)+N(H71)+N(H76)+N(H81)+N(H86)+N(H91)+N(H96)+N(H101)+N(H106)+N(H111)+N(H116)+N(H121)</f>
        <v>27.7272727272727</v>
      </c>
      <c r="I136" s="4" t="n">
        <f aca="false">N(I6)+N(I11)/Basis!$G$3+N(I16)/Basis!$G$4+N(I21)/Basis!$G$5+N(I26)/Basis!$G$6+N(I31)/Basis!$G$7+N(I36)/Basis!$G$8+N(I41)/Basis!$G$9+N(I46)+N(I51)+N(I56)+N(I61)/Basis!$G$13+N(I66)+N(I71)+N(I76)+N(I81)+N(I86)+N(I91)+N(I96)+N(I101)+N(I106)+N(I111)+N(I116)+N(I121)</f>
        <v>47.7272727272727</v>
      </c>
      <c r="J136" s="4" t="n">
        <f aca="false">N(J6)+N(J11)/Basis!$G$3+N(J16)/Basis!$G$4+N(J21)/Basis!$G$5+N(J26)/Basis!$G$6+N(J31)/Basis!$G$7+N(J36)/Basis!$G$8+N(J41)/Basis!$G$9+N(J46)+N(J51)+N(J56)+N(J61)/Basis!$G$13+N(J66)+N(J71)+N(J76)+N(J81)+N(J86)+N(J91)+N(J96)+N(J101)+N(J106)+N(J111)+N(J116)+N(J121)</f>
        <v>47.7272727272727</v>
      </c>
      <c r="K136" s="4" t="n">
        <f aca="false">N(K6)+N(K11)/Basis!$G$3+N(K16)/Basis!$G$4+N(K21)/Basis!$G$5+N(K26)/Basis!$G$6+N(K31)/Basis!$G$7+N(K36)/Basis!$G$8+N(K41)/Basis!$G$9+N(K46)+N(K51)+N(K56)+N(K61)/Basis!$G$13+N(K66)+N(K71)+N(K76)+N(K81)+N(K86)+N(K91)+N(K96)+N(K101)+N(K106)+N(K111)+N(K116)+N(K121)</f>
        <v>59.0909090909091</v>
      </c>
      <c r="L136" s="4" t="n">
        <f aca="false">N(L6)+N(L11)/Basis!$G$3+N(L16)/Basis!$G$4+N(L21)/Basis!$G$5+N(L26)/Basis!$G$6+N(L31)/Basis!$G$7+N(L36)/Basis!$G$8+N(L41)/Basis!$G$9+N(L46)+N(L51)+N(L56)+N(L61)/Basis!$G$13+N(L66)+N(L71)+N(L76)+N(L81)+N(L86)+N(L91)+N(L96)+N(L101)+N(L106)+N(L111)+N(L116)+N(L121)</f>
        <v>138.325874125874</v>
      </c>
      <c r="M136" s="4" t="n">
        <f aca="false">N(M6)+N(M11)/Basis!$G$3+N(M16)/Basis!$G$4+N(M21)/Basis!$G$5+N(M26)/Basis!$G$6+N(M31)/Basis!$G$7+N(M36)/Basis!$G$8+N(M41)/Basis!$G$9+N(M46)+N(M51)+N(M56)+N(M61)/Basis!$G$13+N(M66)+N(M71)+N(M76)+N(M81)+N(M86)+N(M91)+N(M96)+N(M101)+N(M106)+N(M111)+N(M116)+N(M121)</f>
        <v>170.989510489511</v>
      </c>
      <c r="N136" s="4" t="n">
        <f aca="false">N(N6)+N(N11)/Basis!$G$3+N(N16)/Basis!$G$4+N(N21)/Basis!$G$5+N(N26)/Basis!$G$6+N(N31)/Basis!$G$7+N(N36)/Basis!$G$8+N(N41)/Basis!$G$9+N(N46)+N(N51)+N(N56)+N(N61)/Basis!$G$13+N(N66)+N(N71)+N(N76)+N(N81)+N(N86)+N(N91)+N(N96)+N(N101)+N(N106)+N(N111)+N(N116)+N(N121)</f>
        <v>182.489510489511</v>
      </c>
      <c r="O136" s="4" t="n">
        <f aca="false">N(O6)+N(O11)/Basis!$G$3+N(O16)/Basis!$G$4+N(O21)/Basis!$G$5+N(O26)/Basis!$G$6+N(O31)/Basis!$G$7+N(O36)/Basis!$G$8+N(O41)/Basis!$G$9+N(O46)+N(O51)+N(O56)+N(O61)/Basis!$G$13+N(O66)+N(O71)+N(O76)+N(O81)+N(O86)+N(O91)+N(O96)+N(O101)+N(O106)+N(O111)+N(O116)+N(O121)</f>
        <v>216.989510489511</v>
      </c>
      <c r="P136" s="4" t="n">
        <f aca="false">N(P6)+N(P11)/Basis!$G$3+N(P16)/Basis!$G$4+N(P21)/Basis!$G$5+N(P26)/Basis!$G$6+N(P31)/Basis!$G$7+N(P36)/Basis!$G$8+N(P41)/Basis!$G$9+N(P46)+N(P51)+N(P56)+N(P61)/Basis!$G$13+N(P66)+N(P71)+N(P76)+N(P81)+N(P86)+N(P91)+N(P96)+N(P101)+N(P106)+N(P111)+N(P116)+N(P121)</f>
        <v>301.72027972028</v>
      </c>
      <c r="Q136" s="4" t="n">
        <f aca="false">N(Q6)+N(Q11)/Basis!$G$3+N(Q16)/Basis!$G$4+N(Q21)/Basis!$G$5+N(Q26)/Basis!$G$6+N(Q31)/Basis!$G$7+N(Q36)/Basis!$G$8+N(Q41)/Basis!$G$9+N(Q46)+N(Q51)+N(Q56)+N(Q61)/Basis!$G$13+N(Q66)+N(Q71)+N(Q76)+N(Q81)+N(Q86)+N(Q91)+N(Q96)+N(Q101)+N(Q106)+N(Q111)+N(Q116)+N(Q121)</f>
        <v>453.794923594924</v>
      </c>
      <c r="R136" s="4" t="n">
        <f aca="false">N(R6)+N(R11)/Basis!$G$3+N(R16)/Basis!$G$4+N(R21)/Basis!$G$5+N(R26)/Basis!$G$6+N(R31)/Basis!$G$7+N(R36)/Basis!$G$8+N(R41)/Basis!$G$9+N(R46)+N(R51)+N(R56)+N(R61)/Basis!$G$13+N(R66)+N(R71)+N(R76)+N(R81)+N(R86)+N(R91)+N(R96)+N(R101)+N(R106)+N(R111)+N(R116)+N(R121)</f>
        <v>629.540804927761</v>
      </c>
      <c r="S136" s="4" t="n">
        <f aca="false">N(S6)+N(S11)/Basis!$G$3+N(S16)/Basis!$G$4+N(S21)/Basis!$G$5+N(S26)/Basis!$G$6+N(S31)/Basis!$G$7+N(S36)/Basis!$G$8+N(S41)/Basis!$G$9+N(S46)+N(S51)+N(S56)+N(S61)/Basis!$G$13+N(S66)+N(S71)+N(S76)+N(S81)+N(S86)+N(S91)+N(S96)+N(S101)+N(S106)+N(S111)+N(S116)+N(S121)</f>
        <v>812.613751787665</v>
      </c>
      <c r="T136" s="4" t="n">
        <f aca="false">N(T6)+N(T11)/Basis!$G$3+N(T16)/Basis!$G$4+N(T21)/Basis!$G$5+N(T26)/Basis!$G$6+N(T31)/Basis!$G$7+N(T36)/Basis!$G$8+N(T41)/Basis!$G$9+N(T46)+N(T51)+N(T56)+N(T61)/Basis!$G$13+N(T66)+N(T71)+N(T76)+N(T81)+N(T86)+N(T91)+N(T96)+N(T101)+N(T106)+N(T111)+N(T116)+N(T121)</f>
        <v>1081.92460277243</v>
      </c>
      <c r="U136" s="4" t="n">
        <f aca="false">N(U6)+N(U11)/Basis!$G$3+N(U16)/Basis!$G$4+N(U21)/Basis!$G$5+N(U26)/Basis!$G$6+N(U31)/Basis!$G$7+N(U36)/Basis!$G$8+N(U41)/Basis!$G$9+N(U46)+N(U51)+N(U56)+N(U61)/Basis!$G$13+N(U66)+N(U71)+N(U76)+N(U81)+N(U86)+N(U91)+N(U96)+N(U101)+N(U106)+N(U111)+N(U116)+N(U121)</f>
        <v>1173.00753352927</v>
      </c>
      <c r="V136" s="4" t="n">
        <f aca="false">N(V6)+N(V11)/Basis!$G$3+N(V16)/Basis!$G$4+N(V21)/Basis!$G$5+N(V26)/Basis!$G$6+N(V31)/Basis!$G$7+N(V36)/Basis!$G$8+N(V41)/Basis!$G$9+N(V46)+N(V51)+N(V56)+N(V61)/Basis!$G$13+N(V66)+N(V71)+N(V76)+N(V81)+N(V86)+N(V91)+N(V96)+N(V101)+N(V106)+N(V111)+N(V116)+N(V121)</f>
        <v>1326.46969133926</v>
      </c>
      <c r="W136" s="4" t="n">
        <f aca="false">N(W6)+N(W11)/Basis!$G$3+N(W16)/Basis!$G$4+N(W21)/Basis!$G$5+N(W26)/Basis!$G$6+N(W31)/Basis!$G$7+N(W36)/Basis!$G$8+N(W41)/Basis!$G$9+N(W46)+N(W51)+N(W56)+N(W61)/Basis!$G$13+N(W66)+N(W71)+N(W76)+N(W81)+N(W86)+N(W91)+N(W96)+N(W101)+N(W106)+N(W111)+N(W116)+N(W121)</f>
        <v>1338.96969133926</v>
      </c>
      <c r="X136" s="4" t="n">
        <f aca="false">N(X6)+N(X11)/Basis!$G$3+N(X16)/Basis!$G$4+N(X21)/Basis!$G$5+N(X26)/Basis!$G$6+N(X31)/Basis!$G$7+N(X36)/Basis!$G$8+N(X41)/Basis!$G$9+N(X46)+N(X51)+N(X56)+N(X61)/Basis!$G$13+N(X66)+N(X71)+N(X76)+N(X81)+N(X86)+N(X91)+N(X96)+N(X101)+N(X106)+N(X111)+N(X116)+N(X121)</f>
        <v>1652.75638773465</v>
      </c>
      <c r="Y136" s="4" t="n">
        <f aca="false">N(Y6)+N(Y11)/Basis!$G$3+N(Y16)/Basis!$G$4+N(Y21)/Basis!$G$5+N(Y26)/Basis!$G$6+N(Y31)/Basis!$G$7+N(Y36)/Basis!$G$8+N(Y41)/Basis!$G$9+N(Y46)+N(Y51)+N(Y56)+N(Y61)/Basis!$G$13+N(Y66)+N(Y71)+N(Y76)+N(Y81)+N(Y86)+N(Y91)+N(Y96)+N(Y101)+N(Y106)+N(Y111)+N(Y116)+N(Y121)</f>
        <v>1652.75638773465</v>
      </c>
      <c r="Z136" s="4" t="n">
        <f aca="false">N(Z6)+N(Z11)/Basis!$G$3+N(Z16)/Basis!$G$4+N(Z21)/Basis!$G$5+N(Z26)/Basis!$G$6+N(Z31)/Basis!$G$7+N(Z36)/Basis!$G$8+N(Z41)/Basis!$G$9+N(Z46)+N(Z51)+N(Z56)+N(Z61)/Basis!$G$13+N(Z66)+N(Z71)+N(Z76)+N(Z81)+N(Z86)+N(Z91)+N(Z96)+N(Z101)+N(Z106)+N(Z111)+N(Z116)+N(Z121)</f>
        <v>1963.86749884576</v>
      </c>
      <c r="AA136" s="4" t="n">
        <f aca="false">N(AA6)+N(AA11)/Basis!$G$3+N(AA16)/Basis!$G$4+N(AA21)/Basis!$G$5+N(AA26)/Basis!$G$6+N(AA31)/Basis!$G$7+N(AA36)/Basis!$G$8+N(AA41)/Basis!$G$9+N(AA46)+N(AA51)+N(AA56)+N(AA61)/Basis!$G$13+N(AA66)+N(AA71)+N(AA76)+N(AA81)+N(AA86)+N(AA91)+N(AA96)+N(AA101)+N(AA106)+N(AA111)+N(AA116)+N(AA121)</f>
        <v>1963.86749884576</v>
      </c>
      <c r="AB136" s="4" t="n">
        <f aca="false">N(AB6)+N(AB11)/Basis!$G$3+N(AB16)/Basis!$G$4+N(AB21)/Basis!$G$5+N(AB26)/Basis!$G$6+N(AB31)/Basis!$G$7+N(AB36)/Basis!$G$8+N(AB41)/Basis!$G$9+N(AB46)+N(AB51)+N(AB56)+N(AB61)/Basis!$G$13+N(AB66)+N(AB71)+N(AB76)+N(AB81)+N(AB86)+N(AB91)+N(AB96)+N(AB101)+N(AB106)+N(AB111)+N(AB116)+N(AB121)</f>
        <v>2409.4391574609</v>
      </c>
      <c r="AC136" s="4" t="n">
        <f aca="false">N(AC6)+N(AC11)/Basis!$G$3+N(AC16)/Basis!$G$4+N(AC21)/Basis!$G$5+N(AC26)/Basis!$G$6+N(AC31)/Basis!$G$7+N(AC36)/Basis!$G$8+N(AC41)/Basis!$G$9+N(AC46)+N(AC51)+N(AC56)+N(AC61)/Basis!$G$13+N(AC66)+N(AC71)+N(AC76)+N(AC81)+N(AC86)+N(AC91)+N(AC96)+N(AC101)+N(AC106)+N(AC111)+N(AC116)+N(AC121)</f>
        <v>2409.4391574609</v>
      </c>
      <c r="AD136" s="4" t="n">
        <f aca="false">N(AD6)+N(AD11)/Basis!$G$3+N(AD16)/Basis!$G$4+N(AD21)/Basis!$G$5+N(AD26)/Basis!$G$6+N(AD31)/Basis!$G$7+N(AD36)/Basis!$G$8+N(AD41)/Basis!$G$9+N(AD46)+N(AD51)+N(AD56)+N(AD61)/Basis!$G$13+N(AD66)+N(AD71)+N(AD76)+N(AD81)+N(AD86)+N(AD91)+N(AD96)+N(AD101)+N(AD106)+N(AD111)+N(AD116)+N(AD121)</f>
        <v>2409.4391574609</v>
      </c>
      <c r="AE136" s="4" t="n">
        <f aca="false">N(AE6)+N(AE11)/Basis!$G$3+N(AE16)/Basis!$G$4+N(AE21)/Basis!$G$5+N(AE26)/Basis!$G$6+N(AE31)/Basis!$G$7+N(AE36)/Basis!$G$8+N(AE41)/Basis!$G$9+N(AE46)+N(AE51)+N(AE56)+N(AE61)/Basis!$G$13+N(AE66)+N(AE71)+N(AE76)+N(AE81)+N(AE86)+N(AE91)+N(AE96)+N(AE101)+N(AE106)+N(AE111)+N(AE116)+N(AE121)</f>
        <v>2409.4391574609</v>
      </c>
      <c r="AF136" s="4" t="n">
        <f aca="false">N(AF6)+N(AF11)/Basis!$G$3+N(AF16)/Basis!$G$4+N(AF21)/Basis!$G$5+N(AF26)/Basis!$G$6+N(AF31)/Basis!$G$7+N(AF36)/Basis!$G$8+N(AF41)/Basis!$G$9+N(AF46)+N(AF51)+N(AF56)+N(AF61)/Basis!$G$13+N(AF66)+N(AF71)+N(AF76)+N(AF81)+N(AF86)+N(AF91)+N(AF96)+N(AF101)+N(AF106)+N(AF111)+N(AF116)+N(AF121)</f>
        <v>2841.1621848361</v>
      </c>
    </row>
    <row r="137" customFormat="false" ht="15" hidden="false" customHeight="false" outlineLevel="0" collapsed="false">
      <c r="A137" s="0" t="s">
        <v>359</v>
      </c>
      <c r="B137" s="0" t="s">
        <v>375</v>
      </c>
      <c r="C137" s="0" t="s">
        <v>345</v>
      </c>
      <c r="E137" s="4" t="n">
        <f aca="false">N(E5)+N(E10)/Basis!$G$3+N(E15)/Basis!$G$4+N(E20)/Basis!$G$5+N(E25)/Basis!$G$6+N(E30)/Basis!$G$7+N(E35)/Basis!$G$8+N(E40)/Basis!$G$9+N(E45)+N(E50)+N(E55)+N(E60)/Basis!$G$13+N(E65)+N(E70)+N(E75)+N(E80)+N(E85)+N(E90)+N(E95)+N(E100)+N(E105)+N(E110)+N(E115)+N(E120)</f>
        <v>22.7272727272727</v>
      </c>
      <c r="F137" s="4" t="n">
        <f aca="false">N(F5)+N(F10)/Basis!$G$3+N(F15)/Basis!$G$4+N(F20)/Basis!$G$5+N(F25)/Basis!$G$6+N(F30)/Basis!$G$7+N(F35)/Basis!$G$8+N(F40)/Basis!$G$9+N(F45)+N(F50)+N(F55)+N(F60)/Basis!$G$13+N(F65)+N(F70)+N(F75)+N(F80)+N(F85)+N(F90)+N(F95)+N(F100)+N(F105)+N(F110)+N(F115)+N(F120)</f>
        <v>22.7272727272727</v>
      </c>
      <c r="G137" s="4" t="n">
        <f aca="false">N(G5)+N(G10)/Basis!$G$3+N(G15)/Basis!$G$4+N(G20)/Basis!$G$5+N(G25)/Basis!$G$6+N(G30)/Basis!$G$7+N(G35)/Basis!$G$8+N(G40)/Basis!$G$9+N(G45)+N(G50)+N(G55)+N(G60)/Basis!$G$13+N(G65)+N(G70)+N(G75)+N(G80)+N(G85)+N(G90)+N(G95)+N(G100)+N(G105)+N(G110)+N(G115)+N(G120)</f>
        <v>22.7272727272727</v>
      </c>
      <c r="H137" s="4" t="n">
        <f aca="false">N(H5)+N(H10)/Basis!$G$3+N(H15)/Basis!$G$4+N(H20)/Basis!$G$5+N(H25)/Basis!$G$6+N(H30)/Basis!$G$7+N(H35)/Basis!$G$8+N(H40)/Basis!$G$9+N(H45)+N(H50)+N(H55)+N(H60)/Basis!$G$13+N(H65)+N(H70)+N(H75)+N(H80)+N(H85)+N(H90)+N(H95)+N(H100)+N(H105)+N(H110)+N(H115)+N(H120)</f>
        <v>27.7272727272727</v>
      </c>
      <c r="I137" s="4" t="n">
        <f aca="false">N(I5)+N(I10)/Basis!$G$3+N(I15)/Basis!$G$4+N(I20)/Basis!$G$5+N(I25)/Basis!$G$6+N(I30)/Basis!$G$7+N(I35)/Basis!$G$8+N(I40)/Basis!$G$9+N(I45)+N(I50)+N(I55)+N(I60)/Basis!$G$13+N(I65)+N(I70)+N(I75)+N(I80)+N(I85)+N(I90)+N(I95)+N(I100)+N(I105)+N(I110)+N(I115)+N(I120)</f>
        <v>52.7272727272727</v>
      </c>
      <c r="J137" s="4" t="n">
        <f aca="false">N(J5)+N(J10)/Basis!$G$3+N(J15)/Basis!$G$4+N(J20)/Basis!$G$5+N(J25)/Basis!$G$6+N(J30)/Basis!$G$7+N(J35)/Basis!$G$8+N(J40)/Basis!$G$9+N(J45)+N(J50)+N(J55)+N(J60)/Basis!$G$13+N(J65)+N(J70)+N(J75)+N(J80)+N(J85)+N(J90)+N(J95)+N(J100)+N(J105)+N(J110)+N(J115)+N(J120)</f>
        <v>52.7272727272727</v>
      </c>
      <c r="K137" s="4" t="n">
        <f aca="false">N(K5)+N(K10)/Basis!$G$3+N(K15)/Basis!$G$4+N(K20)/Basis!$G$5+N(K25)/Basis!$G$6+N(K30)/Basis!$G$7+N(K35)/Basis!$G$8+N(K40)/Basis!$G$9+N(K45)+N(K50)+N(K55)+N(K60)/Basis!$G$13+N(K65)+N(K70)+N(K75)+N(K80)+N(K85)+N(K90)+N(K95)+N(K100)+N(K105)+N(K110)+N(K115)+N(K120)</f>
        <v>75.4545454545455</v>
      </c>
      <c r="L137" s="4" t="n">
        <f aca="false">N(L5)+N(L10)/Basis!$G$3+N(L15)/Basis!$G$4+N(L20)/Basis!$G$5+N(L25)/Basis!$G$6+N(L30)/Basis!$G$7+N(L35)/Basis!$G$8+N(L40)/Basis!$G$9+N(L45)+N(L50)+N(L55)+N(L60)/Basis!$G$13+N(L65)+N(L70)+N(L75)+N(L80)+N(L85)+N(L90)+N(L95)+N(L100)+N(L105)+N(L110)+N(L115)+N(L120)</f>
        <v>169.08951048951</v>
      </c>
      <c r="M137" s="4" t="n">
        <f aca="false">N(M5)+N(M10)/Basis!$G$3+N(M15)/Basis!$G$4+N(M20)/Basis!$G$5+N(M25)/Basis!$G$6+N(M30)/Basis!$G$7+N(M35)/Basis!$G$8+N(M40)/Basis!$G$9+N(M45)+N(M50)+N(M55)+N(M60)/Basis!$G$13+N(M65)+N(M70)+N(M75)+N(M80)+N(M85)+N(M90)+N(M95)+N(M100)+N(M105)+N(M110)+N(M115)+N(M120)</f>
        <v>198.489510489511</v>
      </c>
      <c r="N137" s="4" t="n">
        <f aca="false">N(N5)+N(N10)/Basis!$G$3+N(N15)/Basis!$G$4+N(N20)/Basis!$G$5+N(N25)/Basis!$G$6+N(N30)/Basis!$G$7+N(N35)/Basis!$G$8+N(N40)/Basis!$G$9+N(N45)+N(N50)+N(N55)+N(N60)/Basis!$G$13+N(N65)+N(N70)+N(N75)+N(N80)+N(N85)+N(N90)+N(N95)+N(N100)+N(N105)+N(N110)+N(N115)+N(N120)</f>
        <v>218.489510489511</v>
      </c>
      <c r="O137" s="4" t="n">
        <f aca="false">N(O5)+N(O10)/Basis!$G$3+N(O15)/Basis!$G$4+N(O20)/Basis!$G$5+N(O25)/Basis!$G$6+N(O30)/Basis!$G$7+N(O35)/Basis!$G$8+N(O40)/Basis!$G$9+N(O45)+N(O50)+N(O55)+N(O60)/Basis!$G$13+N(O65)+N(O70)+N(O75)+N(O80)+N(O85)+N(O90)+N(O95)+N(O100)+N(O105)+N(O110)+N(O115)+N(O120)</f>
        <v>252.489510489511</v>
      </c>
      <c r="P137" s="4" t="n">
        <f aca="false">N(P5)+N(P10)/Basis!$G$3+N(P15)/Basis!$G$4+N(P20)/Basis!$G$5+N(P25)/Basis!$G$6+N(P30)/Basis!$G$7+N(P35)/Basis!$G$8+N(P40)/Basis!$G$9+N(P45)+N(P50)+N(P55)+N(P60)/Basis!$G$13+N(P65)+N(P70)+N(P75)+N(P80)+N(P85)+N(P90)+N(P95)+N(P100)+N(P105)+N(P110)+N(P115)+N(P120)</f>
        <v>413.951048951049</v>
      </c>
      <c r="Q137" s="4" t="n">
        <f aca="false">N(Q5)+N(Q10)/Basis!$G$3+N(Q15)/Basis!$G$4+N(Q20)/Basis!$G$5+N(Q25)/Basis!$G$6+N(Q30)/Basis!$G$7+N(Q35)/Basis!$G$8+N(Q40)/Basis!$G$9+N(Q45)+N(Q50)+N(Q55)+N(Q60)/Basis!$G$13+N(Q65)+N(Q70)+N(Q75)+N(Q80)+N(Q85)+N(Q90)+N(Q95)+N(Q100)+N(Q105)+N(Q110)+N(Q115)+N(Q120)</f>
        <v>650.623413623414</v>
      </c>
      <c r="R137" s="4" t="n">
        <f aca="false">N(R5)+N(R10)/Basis!$G$3+N(R15)/Basis!$G$4+N(R20)/Basis!$G$5+N(R25)/Basis!$G$6+N(R30)/Basis!$G$7+N(R35)/Basis!$G$8+N(R40)/Basis!$G$9+N(R45)+N(R50)+N(R55)+N(R60)/Basis!$G$13+N(R65)+N(R70)+N(R75)+N(R80)+N(R85)+N(R90)+N(R95)+N(R100)+N(R105)+N(R110)+N(R115)+N(R120)</f>
        <v>854.730560904474</v>
      </c>
      <c r="S137" s="4" t="n">
        <f aca="false">N(S5)+N(S10)/Basis!$G$3+N(S15)/Basis!$G$4+N(S20)/Basis!$G$5+N(S25)/Basis!$G$6+N(S30)/Basis!$G$7+N(S35)/Basis!$G$8+N(S40)/Basis!$G$9+N(S45)+N(S50)+N(S55)+N(S60)/Basis!$G$13+N(S65)+N(S70)+N(S75)+N(S80)+N(S85)+N(S90)+N(S95)+N(S100)+N(S105)+N(S110)+N(S115)+N(S120)</f>
        <v>1071.75793610576</v>
      </c>
      <c r="T137" s="4" t="n">
        <f aca="false">N(T5)+N(T10)/Basis!$G$3+N(T15)/Basis!$G$4+N(T20)/Basis!$G$5+N(T25)/Basis!$G$6+N(T30)/Basis!$G$7+N(T35)/Basis!$G$8+N(T40)/Basis!$G$9+N(T45)+N(T50)+N(T55)+N(T60)/Basis!$G$13+N(T65)+N(T70)+N(T75)+N(T80)+N(T85)+N(T90)+N(T95)+N(T100)+N(T105)+N(T110)+N(T115)+N(T120)</f>
        <v>1369.23545375719</v>
      </c>
      <c r="U137" s="4" t="n">
        <f aca="false">N(U5)+N(U10)/Basis!$G$3+N(U15)/Basis!$G$4+N(U20)/Basis!$G$5+N(U25)/Basis!$G$6+N(U30)/Basis!$G$7+N(U35)/Basis!$G$8+N(U40)/Basis!$G$9+N(U45)+N(U50)+N(U55)+N(U60)/Basis!$G$13+N(U65)+N(U70)+N(U75)+N(U80)+N(U85)+N(U90)+N(U95)+N(U100)+N(U105)+N(U110)+N(U115)+N(U120)</f>
        <v>1495.96653266218</v>
      </c>
      <c r="V137" s="4" t="n">
        <f aca="false">N(V5)+N(V10)/Basis!$G$3+N(V15)/Basis!$G$4+N(V20)/Basis!$G$5+N(V25)/Basis!$G$6+N(V30)/Basis!$G$7+N(V35)/Basis!$G$8+N(V40)/Basis!$G$9+N(V45)+N(V50)+N(V55)+N(V60)/Basis!$G$13+N(V65)+N(V70)+N(V75)+N(V80)+N(V85)+N(V90)+N(V95)+N(V100)+N(V105)+N(V110)+N(V115)+N(V120)</f>
        <v>1667.94720899069</v>
      </c>
      <c r="W137" s="4" t="n">
        <f aca="false">N(W5)+N(W10)/Basis!$G$3+N(W15)/Basis!$G$4+N(W20)/Basis!$G$5+N(W25)/Basis!$G$6+N(W30)/Basis!$G$7+N(W35)/Basis!$G$8+N(W40)/Basis!$G$9+N(W45)+N(W50)+N(W55)+N(W60)/Basis!$G$13+N(W65)+N(W70)+N(W75)+N(W80)+N(W85)+N(W90)+N(W95)+N(W100)+N(W105)+N(W110)+N(W115)+N(W120)</f>
        <v>1667.94720899069</v>
      </c>
      <c r="X137" s="4" t="n">
        <f aca="false">N(X5)+N(X10)/Basis!$G$3+N(X15)/Basis!$G$4+N(X20)/Basis!$G$5+N(X25)/Basis!$G$6+N(X30)/Basis!$G$7+N(X35)/Basis!$G$8+N(X40)/Basis!$G$9+N(X45)+N(X50)+N(X55)+N(X60)/Basis!$G$13+N(X65)+N(X70)+N(X75)+N(X80)+N(X85)+N(X90)+N(X95)+N(X100)+N(X105)+N(X110)+N(X115)+N(X120)</f>
        <v>1897.89889981194</v>
      </c>
      <c r="Y137" s="4" t="n">
        <f aca="false">N(Y5)+N(Y10)/Basis!$G$3+N(Y15)/Basis!$G$4+N(Y20)/Basis!$G$5+N(Y25)/Basis!$G$6+N(Y30)/Basis!$G$7+N(Y35)/Basis!$G$8+N(Y40)/Basis!$G$9+N(Y45)+N(Y50)+N(Y55)+N(Y60)/Basis!$G$13+N(Y65)+N(Y70)+N(Y75)+N(Y80)+N(Y85)+N(Y90)+N(Y95)+N(Y100)+N(Y105)+N(Y110)+N(Y115)+N(Y120)</f>
        <v>1897.89889981194</v>
      </c>
      <c r="Z137" s="4" t="n">
        <f aca="false">N(Z5)+N(Z10)/Basis!$G$3+N(Z15)/Basis!$G$4+N(Z20)/Basis!$G$5+N(Z25)/Basis!$G$6+N(Z30)/Basis!$G$7+N(Z35)/Basis!$G$8+N(Z40)/Basis!$G$9+N(Z45)+N(Z50)+N(Z55)+N(Z60)/Basis!$G$13+N(Z65)+N(Z70)+N(Z75)+N(Z80)+N(Z85)+N(Z90)+N(Z95)+N(Z100)+N(Z105)+N(Z110)+N(Z115)+N(Z120)</f>
        <v>2349.7507516638</v>
      </c>
      <c r="AA137" s="4" t="n">
        <f aca="false">N(AA5)+N(AA10)/Basis!$G$3+N(AA15)/Basis!$G$4+N(AA20)/Basis!$G$5+N(AA25)/Basis!$G$6+N(AA30)/Basis!$G$7+N(AA35)/Basis!$G$8+N(AA40)/Basis!$G$9+N(AA45)+N(AA50)+N(AA55)+N(AA60)/Basis!$G$13+N(AA65)+N(AA70)+N(AA75)+N(AA80)+N(AA85)+N(AA90)+N(AA95)+N(AA100)+N(AA105)+N(AA110)+N(AA115)+N(AA120)</f>
        <v>2349.7507516638</v>
      </c>
      <c r="AB137" s="4" t="n">
        <f aca="false">N(AB5)+N(AB10)/Basis!$G$3+N(AB15)/Basis!$G$4+N(AB20)/Basis!$G$5+N(AB25)/Basis!$G$6+N(AB30)/Basis!$G$7+N(AB35)/Basis!$G$8+N(AB40)/Basis!$G$9+N(AB45)+N(AB50)+N(AB55)+N(AB60)/Basis!$G$13+N(AB65)+N(AB70)+N(AB75)+N(AB80)+N(AB85)+N(AB90)+N(AB95)+N(AB100)+N(AB105)+N(AB110)+N(AB115)+N(AB120)</f>
        <v>2845.40292557684</v>
      </c>
      <c r="AC137" s="4" t="n">
        <f aca="false">N(AC5)+N(AC10)/Basis!$G$3+N(AC15)/Basis!$G$4+N(AC20)/Basis!$G$5+N(AC25)/Basis!$G$6+N(AC30)/Basis!$G$7+N(AC35)/Basis!$G$8+N(AC40)/Basis!$G$9+N(AC45)+N(AC50)+N(AC55)+N(AC60)/Basis!$G$13+N(AC65)+N(AC70)+N(AC75)+N(AC80)+N(AC85)+N(AC90)+N(AC95)+N(AC100)+N(AC105)+N(AC110)+N(AC115)+N(AC120)</f>
        <v>2845.40292557684</v>
      </c>
      <c r="AD137" s="4" t="n">
        <f aca="false">N(AD5)+N(AD10)/Basis!$G$3+N(AD15)/Basis!$G$4+N(AD20)/Basis!$G$5+N(AD25)/Basis!$G$6+N(AD30)/Basis!$G$7+N(AD35)/Basis!$G$8+N(AD40)/Basis!$G$9+N(AD45)+N(AD50)+N(AD55)+N(AD60)/Basis!$G$13+N(AD65)+N(AD70)+N(AD75)+N(AD80)+N(AD85)+N(AD90)+N(AD95)+N(AD100)+N(AD105)+N(AD110)+N(AD115)+N(AD120)</f>
        <v>2845.40292557684</v>
      </c>
      <c r="AE137" s="4" t="n">
        <f aca="false">N(AE5)+N(AE10)/Basis!$G$3+N(AE15)/Basis!$G$4+N(AE20)/Basis!$G$5+N(AE25)/Basis!$G$6+N(AE30)/Basis!$G$7+N(AE35)/Basis!$G$8+N(AE40)/Basis!$G$9+N(AE45)+N(AE50)+N(AE55)+N(AE60)/Basis!$G$13+N(AE65)+N(AE70)+N(AE75)+N(AE80)+N(AE85)+N(AE90)+N(AE95)+N(AE100)+N(AE105)+N(AE110)+N(AE115)+N(AE120)</f>
        <v>2845.40292557684</v>
      </c>
      <c r="AF137" s="4" t="n">
        <f aca="false">N(AF5)+N(AF10)/Basis!$G$3+N(AF15)/Basis!$G$4+N(AF20)/Basis!$G$5+N(AF25)/Basis!$G$6+N(AF30)/Basis!$G$7+N(AF35)/Basis!$G$8+N(AF40)/Basis!$G$9+N(AF45)+N(AF50)+N(AF55)+N(AF60)/Basis!$G$13+N(AF65)+N(AF70)+N(AF75)+N(AF80)+N(AF85)+N(AF90)+N(AF95)+N(AF100)+N(AF105)+N(AF110)+N(AF115)+N(AF120)</f>
        <v>3289.84737002128</v>
      </c>
    </row>
    <row r="138" customFormat="false" ht="15" hidden="false" customHeight="false" outlineLevel="0" collapsed="false">
      <c r="A138" s="0" t="s">
        <v>359</v>
      </c>
      <c r="B138" s="0" t="s">
        <v>376</v>
      </c>
      <c r="C138" s="0" t="s">
        <v>370</v>
      </c>
      <c r="E138" s="4" t="n">
        <f aca="false">N(E4)*Basis!$G$2+N(E9)+N(E14)+N(E19)+N(E24)+N(E29)+N(E34)+N(E39)+N(E44)*Basis!$G$10+N(E49)*Basis!$G$11+N(E54)*Basis!$G$12+N(E59)+N(E64)*Basis!$G$14+N(E69)*Basis!$G$15+N(E74)*Basis!$G$16+N(E79)*Basis!$G$17+N(E84)*Basis!$G$18+N(E89)*Basis!$G$19+N(E94)*Basis!$G$20+N(E99)*Basis!$G$21+N(E104)*Basis!$G$22+N(E109)*Basis!$G$23+N(E114)*Basis!$G$24+N(E119)*Basis!$G$25</f>
        <v>25</v>
      </c>
      <c r="F138" s="4" t="n">
        <f aca="false">N(F4)*Basis!$G$2+N(F9)+N(F14)+N(F19)+N(F24)+N(F29)+N(F34)+N(F39)+N(F44)*Basis!$G$10+N(F49)*Basis!$G$11+N(F54)*Basis!$G$12+N(F59)+N(F64)*Basis!$G$14+N(F69)*Basis!$G$15+N(F74)*Basis!$G$16+N(F79)*Basis!$G$17+N(F84)*Basis!$G$18+N(F89)*Basis!$G$19+N(F94)*Basis!$G$20+N(F99)*Basis!$G$21+N(F104)*Basis!$G$22+N(F109)*Basis!$G$23+N(F114)*Basis!$G$24+N(F119)*Basis!$G$25</f>
        <v>25</v>
      </c>
      <c r="G138" s="4" t="n">
        <f aca="false">N(G4)*Basis!$G$2+N(G9)+N(G14)+N(G19)+N(G24)+N(G29)+N(G34)+N(G39)+N(G44)*Basis!$G$10+N(G49)*Basis!$G$11+N(G54)*Basis!$G$12+N(G59)+N(G64)*Basis!$G$14+N(G69)*Basis!$G$15+N(G74)*Basis!$G$16+N(G79)*Basis!$G$17+N(G84)*Basis!$G$18+N(G89)*Basis!$G$19+N(G94)*Basis!$G$20+N(G99)*Basis!$G$21+N(G104)*Basis!$G$22+N(G109)*Basis!$G$23+N(G114)*Basis!$G$24+N(G119)*Basis!$G$25</f>
        <v>25</v>
      </c>
      <c r="H138" s="4" t="n">
        <f aca="false">N(H4)*Basis!$G$2+N(H9)+N(H14)+N(H19)+N(H24)+N(H29)+N(H34)+N(H39)+N(H44)*Basis!$G$10+N(H49)*Basis!$G$11+N(H54)*Basis!$G$12+N(H59)+N(H64)*Basis!$G$14+N(H69)*Basis!$G$15+N(H74)*Basis!$G$16+N(H79)*Basis!$G$17+N(H84)*Basis!$G$18+N(H89)*Basis!$G$19+N(H94)*Basis!$G$20+N(H99)*Basis!$G$21+N(H104)*Basis!$G$22+N(H109)*Basis!$G$23+N(H114)*Basis!$G$24+N(H119)*Basis!$G$25</f>
        <v>31.75</v>
      </c>
      <c r="I138" s="4" t="n">
        <f aca="false">N(I4)*Basis!$G$2+N(I9)+N(I14)+N(I19)+N(I24)+N(I29)+N(I34)+N(I39)+N(I44)*Basis!$G$10+N(I49)*Basis!$G$11+N(I54)*Basis!$G$12+N(I59)+N(I64)*Basis!$G$14+N(I69)*Basis!$G$15+N(I74)*Basis!$G$16+N(I79)*Basis!$G$17+N(I84)*Basis!$G$18+N(I89)*Basis!$G$19+N(I94)*Basis!$G$20+N(I99)*Basis!$G$21+N(I104)*Basis!$G$22+N(I109)*Basis!$G$23+N(I114)*Basis!$G$24+N(I119)*Basis!$G$25</f>
        <v>50</v>
      </c>
      <c r="J138" s="4" t="n">
        <f aca="false">N(J4)*Basis!$G$2+N(J9)+N(J14)+N(J19)+N(J24)+N(J29)+N(J34)+N(J39)+N(J44)*Basis!$G$10+N(J49)*Basis!$G$11+N(J54)*Basis!$G$12+N(J59)+N(J64)*Basis!$G$14+N(J69)*Basis!$G$15+N(J74)*Basis!$G$16+N(J79)*Basis!$G$17+N(J84)*Basis!$G$18+N(J89)*Basis!$G$19+N(J94)*Basis!$G$20+N(J99)*Basis!$G$21+N(J104)*Basis!$G$22+N(J109)*Basis!$G$23+N(J114)*Basis!$G$24+N(J119)*Basis!$G$25</f>
        <v>50</v>
      </c>
      <c r="K138" s="4" t="n">
        <f aca="false">N(K4)*Basis!$G$2+N(K9)+N(K14)+N(K19)+N(K24)+N(K29)+N(K34)+N(K39)+N(K44)*Basis!$G$10+N(K49)*Basis!$G$11+N(K54)*Basis!$G$12+N(K59)+N(K64)*Basis!$G$14+N(K69)*Basis!$G$15+N(K74)*Basis!$G$16+N(K79)*Basis!$G$17+N(K84)*Basis!$G$18+N(K89)*Basis!$G$19+N(K94)*Basis!$G$20+N(K99)*Basis!$G$21+N(K104)*Basis!$G$22+N(K109)*Basis!$G$23+N(K114)*Basis!$G$24+N(K119)*Basis!$G$25</f>
        <v>50</v>
      </c>
      <c r="L138" s="4" t="n">
        <f aca="false">N(L4)*Basis!$G$2+N(L9)+N(L14)+N(L19)+N(L24)+N(L29)+N(L34)+N(L39)+N(L44)*Basis!$G$10+N(L49)*Basis!$G$11+N(L54)*Basis!$G$12+N(L59)+N(L64)*Basis!$G$14+N(L69)*Basis!$G$15+N(L74)*Basis!$G$16+N(L79)*Basis!$G$17+N(L84)*Basis!$G$18+N(L89)*Basis!$G$19+N(L94)*Basis!$G$20+N(L99)*Basis!$G$21+N(L104)*Basis!$G$22+N(L109)*Basis!$G$23+N(L114)*Basis!$G$24+N(L119)*Basis!$G$25</f>
        <v>127.56</v>
      </c>
      <c r="M138" s="4" t="n">
        <f aca="false">N(M4)*Basis!$G$2+N(M9)+N(M14)+N(M19)+N(M24)+N(M29)+N(M34)+N(M39)+N(M44)*Basis!$G$10+N(M49)*Basis!$G$11+N(M54)*Basis!$G$12+N(M59)+N(M64)*Basis!$G$14+N(M69)*Basis!$G$15+N(M74)*Basis!$G$16+N(M79)*Basis!$G$17+N(M84)*Basis!$G$18+N(M89)*Basis!$G$19+N(M94)*Basis!$G$20+N(M99)*Basis!$G$21+N(M104)*Basis!$G$22+N(M109)*Basis!$G$23+N(M114)*Basis!$G$24+N(M119)*Basis!$G$25</f>
        <v>168.9</v>
      </c>
      <c r="N138" s="4" t="n">
        <f aca="false">N(N4)*Basis!$G$2+N(N9)+N(N14)+N(N19)+N(N24)+N(N29)+N(N34)+N(N39)+N(N44)*Basis!$G$10+N(N49)*Basis!$G$11+N(N54)*Basis!$G$12+N(N59)+N(N64)*Basis!$G$14+N(N69)*Basis!$G$15+N(N74)*Basis!$G$16+N(N79)*Basis!$G$17+N(N84)*Basis!$G$18+N(N89)*Basis!$G$19+N(N94)*Basis!$G$20+N(N99)*Basis!$G$21+N(N104)*Basis!$G$22+N(N109)*Basis!$G$23+N(N114)*Basis!$G$24+N(N119)*Basis!$G$25</f>
        <v>172.5</v>
      </c>
      <c r="O138" s="4" t="n">
        <f aca="false">N(O4)*Basis!$G$2+N(O9)+N(O14)+N(O19)+N(O24)+N(O29)+N(O34)+N(O39)+N(O44)*Basis!$G$10+N(O49)*Basis!$G$11+N(O54)*Basis!$G$12+N(O59)+N(O64)*Basis!$G$14+N(O69)*Basis!$G$15+N(O74)*Basis!$G$16+N(O79)*Basis!$G$17+N(O84)*Basis!$G$18+N(O89)*Basis!$G$19+N(O94)*Basis!$G$20+N(O99)*Basis!$G$21+N(O104)*Basis!$G$22+N(O109)*Basis!$G$23+N(O114)*Basis!$G$24+N(O119)*Basis!$G$25</f>
        <v>215.6</v>
      </c>
      <c r="P138" s="4" t="n">
        <f aca="false">N(P4)*Basis!$G$2+N(P9)+N(P14)+N(P19)+N(P24)+N(P29)+N(P34)+N(P39)+N(P44)*Basis!$G$10+N(P49)*Basis!$G$11+N(P54)*Basis!$G$12+N(P59)+N(P64)*Basis!$G$14+N(P69)*Basis!$G$15+N(P74)*Basis!$G$16+N(P79)*Basis!$G$17+N(P84)*Basis!$G$18+N(P89)*Basis!$G$19+N(P94)*Basis!$G$20+N(P99)*Basis!$G$21+N(P104)*Basis!$G$22+N(P109)*Basis!$G$23+N(P114)*Basis!$G$24+N(P119)*Basis!$G$25</f>
        <v>226</v>
      </c>
      <c r="Q138" s="4" t="n">
        <f aca="false">N(Q4)*Basis!$G$2+N(Q9)+N(Q14)+N(Q19)+N(Q24)+N(Q29)+N(Q34)+N(Q39)+N(Q44)*Basis!$G$10+N(Q49)*Basis!$G$11+N(Q54)*Basis!$G$12+N(Q59)+N(Q64)*Basis!$G$14+N(Q69)*Basis!$G$15+N(Q74)*Basis!$G$16+N(Q79)*Basis!$G$17+N(Q84)*Basis!$G$18+N(Q89)*Basis!$G$19+N(Q94)*Basis!$G$20+N(Q99)*Basis!$G$21+N(Q104)*Basis!$G$22+N(Q109)*Basis!$G$23+N(Q114)*Basis!$G$24+N(Q119)*Basis!$G$25</f>
        <v>311.93</v>
      </c>
      <c r="R138" s="4" t="n">
        <f aca="false">N(R4)*Basis!$G$2+N(R9)+N(R14)+N(R19)+N(R24)+N(R29)+N(R34)+N(R39)+N(R44)*Basis!$G$10+N(R49)*Basis!$G$11+N(R54)*Basis!$G$12+N(R59)+N(R64)*Basis!$G$14+N(R69)*Basis!$G$15+N(R74)*Basis!$G$16+N(R79)*Basis!$G$17+N(R84)*Basis!$G$18+N(R89)*Basis!$G$19+N(R94)*Basis!$G$20+N(R99)*Basis!$G$21+N(R104)*Basis!$G$22+N(R109)*Basis!$G$23+N(R114)*Basis!$G$24+N(R119)*Basis!$G$25</f>
        <v>497.18</v>
      </c>
      <c r="S138" s="4" t="n">
        <f aca="false">N(S4)*Basis!$G$2+N(S9)+N(S14)+N(S19)+N(S24)+N(S29)+N(S34)+N(S39)+N(S44)*Basis!$G$10+N(S49)*Basis!$G$11+N(S54)*Basis!$G$12+N(S59)+N(S64)*Basis!$G$14+N(S69)*Basis!$G$15+N(S74)*Basis!$G$16+N(S79)*Basis!$G$17+N(S84)*Basis!$G$18+N(S89)*Basis!$G$19+N(S94)*Basis!$G$20+N(S99)*Basis!$G$21+N(S104)*Basis!$G$22+N(S109)*Basis!$G$23+N(S114)*Basis!$G$24+N(S119)*Basis!$G$25</f>
        <v>684.65</v>
      </c>
      <c r="T138" s="4" t="n">
        <f aca="false">N(T4)*Basis!$G$2+N(T9)+N(T14)+N(T19)+N(T24)+N(T29)+N(T34)+N(T39)+N(T44)*Basis!$G$10+N(T49)*Basis!$G$11+N(T54)*Basis!$G$12+N(T59)+N(T64)*Basis!$G$14+N(T69)*Basis!$G$15+N(T74)*Basis!$G$16+N(T79)*Basis!$G$17+N(T84)*Basis!$G$18+N(T89)*Basis!$G$19+N(T94)*Basis!$G$20+N(T99)*Basis!$G$21+N(T104)*Basis!$G$22+N(T109)*Basis!$G$23+N(T114)*Basis!$G$24+N(T119)*Basis!$G$25</f>
        <v>989.85</v>
      </c>
      <c r="U138" s="4" t="n">
        <f aca="false">N(U4)*Basis!$G$2+N(U9)+N(U14)+N(U19)+N(U24)+N(U29)+N(U34)+N(U39)+N(U44)*Basis!$G$10+N(U49)*Basis!$G$11+N(U54)*Basis!$G$12+N(U59)+N(U64)*Basis!$G$14+N(U69)*Basis!$G$15+N(U74)*Basis!$G$16+N(U79)*Basis!$G$17+N(U84)*Basis!$G$18+N(U89)*Basis!$G$19+N(U94)*Basis!$G$20+N(U99)*Basis!$G$21+N(U104)*Basis!$G$22+N(U109)*Basis!$G$23+N(U114)*Basis!$G$24+N(U119)*Basis!$G$25</f>
        <v>1057.35</v>
      </c>
      <c r="V138" s="4" t="n">
        <f aca="false">N(V4)*Basis!$G$2+N(V9)+N(V14)+N(V19)+N(V24)+N(V29)+N(V34)+N(V39)+N(V44)*Basis!$G$10+N(V49)*Basis!$G$11+N(V54)*Basis!$G$12+N(V59)+N(V64)*Basis!$G$14+N(V69)*Basis!$G$15+N(V74)*Basis!$G$16+N(V79)*Basis!$G$17+N(V84)*Basis!$G$18+N(V89)*Basis!$G$19+N(V94)*Basis!$G$20+N(V99)*Basis!$G$21+N(V104)*Basis!$G$22+N(V109)*Basis!$G$23+N(V114)*Basis!$G$24+N(V119)*Basis!$G$25</f>
        <v>1227.35</v>
      </c>
      <c r="W138" s="4" t="n">
        <f aca="false">N(W4)*Basis!$G$2+N(W9)+N(W14)+N(W19)+N(W24)+N(W29)+N(W34)+N(W39)+N(W44)*Basis!$G$10+N(W49)*Basis!$G$11+N(W54)*Basis!$G$12+N(W59)+N(W64)*Basis!$G$14+N(W69)*Basis!$G$15+N(W74)*Basis!$G$16+N(W79)*Basis!$G$17+N(W84)*Basis!$G$18+N(W89)*Basis!$G$19+N(W94)*Basis!$G$20+N(W99)*Basis!$G$21+N(W104)*Basis!$G$22+N(W109)*Basis!$G$23+N(W114)*Basis!$G$24+N(W119)*Basis!$G$25</f>
        <v>1259.85</v>
      </c>
      <c r="X138" s="4" t="n">
        <f aca="false">N(X4)*Basis!$G$2+N(X9)+N(X14)+N(X19)+N(X24)+N(X29)+N(X34)+N(X39)+N(X44)*Basis!$G$10+N(X49)*Basis!$G$11+N(X54)*Basis!$G$12+N(X59)+N(X64)*Basis!$G$14+N(X69)*Basis!$G$15+N(X74)*Basis!$G$16+N(X79)*Basis!$G$17+N(X84)*Basis!$G$18+N(X89)*Basis!$G$19+N(X94)*Basis!$G$20+N(X99)*Basis!$G$21+N(X104)*Basis!$G$22+N(X109)*Basis!$G$23+N(X114)*Basis!$G$24+N(X119)*Basis!$G$25</f>
        <v>1779.85</v>
      </c>
      <c r="Y138" s="4" t="n">
        <f aca="false">N(Y4)*Basis!$G$2+N(Y9)+N(Y14)+N(Y19)+N(Y24)+N(Y29)+N(Y34)+N(Y39)+N(Y44)*Basis!$G$10+N(Y49)*Basis!$G$11+N(Y54)*Basis!$G$12+N(Y59)+N(Y64)*Basis!$G$14+N(Y69)*Basis!$G$15+N(Y74)*Basis!$G$16+N(Y79)*Basis!$G$17+N(Y84)*Basis!$G$18+N(Y89)*Basis!$G$19+N(Y94)*Basis!$G$20+N(Y99)*Basis!$G$21+N(Y104)*Basis!$G$22+N(Y109)*Basis!$G$23+N(Y114)*Basis!$G$24+N(Y119)*Basis!$G$25</f>
        <v>1779.85</v>
      </c>
      <c r="Z138" s="4" t="n">
        <f aca="false">N(Z4)*Basis!$G$2+N(Z9)+N(Z14)+N(Z19)+N(Z24)+N(Z29)+N(Z34)+N(Z39)+N(Z44)*Basis!$G$10+N(Z49)*Basis!$G$11+N(Z54)*Basis!$G$12+N(Z59)+N(Z64)*Basis!$G$14+N(Z69)*Basis!$G$15+N(Z74)*Basis!$G$16+N(Z79)*Basis!$G$17+N(Z84)*Basis!$G$18+N(Z89)*Basis!$G$19+N(Z94)*Basis!$G$20+N(Z99)*Basis!$G$21+N(Z104)*Basis!$G$22+N(Z109)*Basis!$G$23+N(Z114)*Basis!$G$24+N(Z119)*Basis!$G$25</f>
        <v>2009.85</v>
      </c>
      <c r="AA138" s="4" t="n">
        <f aca="false">N(AA4)*Basis!$G$2+N(AA9)+N(AA14)+N(AA19)+N(AA24)+N(AA29)+N(AA34)+N(AA39)+N(AA44)*Basis!$G$10+N(AA49)*Basis!$G$11+N(AA54)*Basis!$G$12+N(AA59)+N(AA64)*Basis!$G$14+N(AA69)*Basis!$G$15+N(AA74)*Basis!$G$16+N(AA79)*Basis!$G$17+N(AA84)*Basis!$G$18+N(AA89)*Basis!$G$19+N(AA94)*Basis!$G$20+N(AA99)*Basis!$G$21+N(AA104)*Basis!$G$22+N(AA109)*Basis!$G$23+N(AA114)*Basis!$G$24+N(AA119)*Basis!$G$25</f>
        <v>2009.85</v>
      </c>
      <c r="AB138" s="4" t="n">
        <f aca="false">N(AB4)*Basis!$G$2+N(AB9)+N(AB14)+N(AB19)+N(AB24)+N(AB29)+N(AB34)+N(AB39)+N(AB44)*Basis!$G$10+N(AB49)*Basis!$G$11+N(AB54)*Basis!$G$12+N(AB59)+N(AB64)*Basis!$G$14+N(AB69)*Basis!$G$15+N(AB74)*Basis!$G$16+N(AB79)*Basis!$G$17+N(AB84)*Basis!$G$18+N(AB89)*Basis!$G$19+N(AB94)*Basis!$G$20+N(AB99)*Basis!$G$21+N(AB104)*Basis!$G$22+N(AB109)*Basis!$G$23+N(AB114)*Basis!$G$24+N(AB119)*Basis!$G$25</f>
        <v>2529.85</v>
      </c>
      <c r="AC138" s="4" t="n">
        <f aca="false">N(AC4)*Basis!$G$2+N(AC9)+N(AC14)+N(AC19)+N(AC24)+N(AC29)+N(AC34)+N(AC39)+N(AC44)*Basis!$G$10+N(AC49)*Basis!$G$11+N(AC54)*Basis!$G$12+N(AC59)+N(AC64)*Basis!$G$14+N(AC69)*Basis!$G$15+N(AC74)*Basis!$G$16+N(AC79)*Basis!$G$17+N(AC84)*Basis!$G$18+N(AC89)*Basis!$G$19+N(AC94)*Basis!$G$20+N(AC99)*Basis!$G$21+N(AC104)*Basis!$G$22+N(AC109)*Basis!$G$23+N(AC114)*Basis!$G$24+N(AC119)*Basis!$G$25</f>
        <v>2529.85</v>
      </c>
      <c r="AD138" s="4" t="n">
        <f aca="false">N(AD4)*Basis!$G$2+N(AD9)+N(AD14)+N(AD19)+N(AD24)+N(AD29)+N(AD34)+N(AD39)+N(AD44)*Basis!$G$10+N(AD49)*Basis!$G$11+N(AD54)*Basis!$G$12+N(AD59)+N(AD64)*Basis!$G$14+N(AD69)*Basis!$G$15+N(AD74)*Basis!$G$16+N(AD79)*Basis!$G$17+N(AD84)*Basis!$G$18+N(AD89)*Basis!$G$19+N(AD94)*Basis!$G$20+N(AD99)*Basis!$G$21+N(AD104)*Basis!$G$22+N(AD109)*Basis!$G$23+N(AD114)*Basis!$G$24+N(AD119)*Basis!$G$25</f>
        <v>2529.85</v>
      </c>
      <c r="AE138" s="4" t="n">
        <f aca="false">N(AE4)*Basis!$G$2+N(AE9)+N(AE14)+N(AE19)+N(AE24)+N(AE29)+N(AE34)+N(AE39)+N(AE44)*Basis!$G$10+N(AE49)*Basis!$G$11+N(AE54)*Basis!$G$12+N(AE59)+N(AE64)*Basis!$G$14+N(AE69)*Basis!$G$15+N(AE74)*Basis!$G$16+N(AE79)*Basis!$G$17+N(AE84)*Basis!$G$18+N(AE89)*Basis!$G$19+N(AE94)*Basis!$G$20+N(AE99)*Basis!$G$21+N(AE104)*Basis!$G$22+N(AE109)*Basis!$G$23+N(AE114)*Basis!$G$24+N(AE119)*Basis!$G$25</f>
        <v>2529.85</v>
      </c>
      <c r="AF138" s="4" t="n">
        <f aca="false">N(AF4)*Basis!$G$2+N(AF9)+N(AF14)+N(AF19)+N(AF24)+N(AF29)+N(AF34)+N(AF39)+N(AF44)*Basis!$G$10+N(AF49)*Basis!$G$11+N(AF54)*Basis!$G$12+N(AF59)+N(AF64)*Basis!$G$14+N(AF69)*Basis!$G$15+N(AF74)*Basis!$G$16+N(AF79)*Basis!$G$17+N(AF84)*Basis!$G$18+N(AF89)*Basis!$G$19+N(AF94)*Basis!$G$20+N(AF99)*Basis!$G$21+N(AF104)*Basis!$G$22+N(AF109)*Basis!$G$23+N(AF114)*Basis!$G$24+N(AF119)*Basis!$G$25</f>
        <v>3079.85</v>
      </c>
    </row>
    <row r="139" customFormat="false" ht="15" hidden="false" customHeight="false" outlineLevel="0" collapsed="false">
      <c r="A139" s="0" t="s">
        <v>359</v>
      </c>
      <c r="B139" s="0" t="s">
        <v>377</v>
      </c>
      <c r="C139" s="0" t="s">
        <v>370</v>
      </c>
      <c r="E139" s="4" t="n">
        <f aca="false">N(E6)*Basis!$G$2+N(E11)+N(E16)+N(E21)+N(E26)+N(E31)+N(E36)+N(E41)+N(E46)*Basis!$G$10+N(E51)*Basis!$G$11+N(E56)*Basis!$G$12+N(E61)+N(E66)*Basis!$G$14+N(E71)*Basis!$G$15+N(E76)*Basis!$G$16+N(E81)*Basis!$G$17+N(E86)*Basis!$G$18+N(E91)*Basis!$G$19+N(E96)*Basis!$G$20+N(E101)*Basis!$G$21+N(E106)*Basis!$G$22+N(E111)*Basis!$G$23+N(E116)*Basis!$G$24+N(E121)*Basis!$G$25</f>
        <v>25</v>
      </c>
      <c r="F139" s="4" t="n">
        <f aca="false">N(F6)*Basis!$G$2+N(F11)+N(F16)+N(F21)+N(F26)+N(F31)+N(F36)+N(F41)+N(F46)*Basis!$G$10+N(F51)*Basis!$G$11+N(F56)*Basis!$G$12+N(F61)+N(F66)*Basis!$G$14+N(F71)*Basis!$G$15+N(F76)*Basis!$G$16+N(F81)*Basis!$G$17+N(F86)*Basis!$G$18+N(F91)*Basis!$G$19+N(F96)*Basis!$G$20+N(F101)*Basis!$G$21+N(F106)*Basis!$G$22+N(F111)*Basis!$G$23+N(F116)*Basis!$G$24+N(F121)*Basis!$G$25</f>
        <v>25</v>
      </c>
      <c r="G139" s="4" t="n">
        <f aca="false">N(G6)*Basis!$G$2+N(G11)+N(G16)+N(G21)+N(G26)+N(G31)+N(G36)+N(G41)+N(G46)*Basis!$G$10+N(G51)*Basis!$G$11+N(G56)*Basis!$G$12+N(G61)+N(G66)*Basis!$G$14+N(G71)*Basis!$G$15+N(G76)*Basis!$G$16+N(G81)*Basis!$G$17+N(G86)*Basis!$G$18+N(G91)*Basis!$G$19+N(G96)*Basis!$G$20+N(G101)*Basis!$G$21+N(G106)*Basis!$G$22+N(G111)*Basis!$G$23+N(G116)*Basis!$G$24+N(G121)*Basis!$G$25</f>
        <v>25</v>
      </c>
      <c r="H139" s="4" t="n">
        <f aca="false">N(H6)*Basis!$G$2+N(H11)+N(H16)+N(H21)+N(H26)+N(H31)+N(H36)+N(H41)+N(H46)*Basis!$G$10+N(H51)*Basis!$G$11+N(H56)*Basis!$G$12+N(H61)+N(H66)*Basis!$G$14+N(H71)*Basis!$G$15+N(H76)*Basis!$G$16+N(H81)*Basis!$G$17+N(H86)*Basis!$G$18+N(H91)*Basis!$G$19+N(H96)*Basis!$G$20+N(H101)*Basis!$G$21+N(H106)*Basis!$G$22+N(H111)*Basis!$G$23+N(H116)*Basis!$G$24+N(H121)*Basis!$G$25</f>
        <v>31.75</v>
      </c>
      <c r="I139" s="4" t="n">
        <f aca="false">N(I6)*Basis!$G$2+N(I11)+N(I16)+N(I21)+N(I26)+N(I31)+N(I36)+N(I41)+N(I46)*Basis!$G$10+N(I51)*Basis!$G$11+N(I56)*Basis!$G$12+N(I61)+N(I66)*Basis!$G$14+N(I71)*Basis!$G$15+N(I76)*Basis!$G$16+N(I81)*Basis!$G$17+N(I86)*Basis!$G$18+N(I91)*Basis!$G$19+N(I96)*Basis!$G$20+N(I101)*Basis!$G$21+N(I106)*Basis!$G$22+N(I111)*Basis!$G$23+N(I116)*Basis!$G$24+N(I121)*Basis!$G$25</f>
        <v>56.75</v>
      </c>
      <c r="J139" s="4" t="n">
        <f aca="false">N(J6)*Basis!$G$2+N(J11)+N(J16)+N(J21)+N(J26)+N(J31)+N(J36)+N(J41)+N(J46)*Basis!$G$10+N(J51)*Basis!$G$11+N(J56)*Basis!$G$12+N(J61)+N(J66)*Basis!$G$14+N(J71)*Basis!$G$15+N(J76)*Basis!$G$16+N(J81)*Basis!$G$17+N(J86)*Basis!$G$18+N(J91)*Basis!$G$19+N(J96)*Basis!$G$20+N(J101)*Basis!$G$21+N(J106)*Basis!$G$22+N(J111)*Basis!$G$23+N(J116)*Basis!$G$24+N(J121)*Basis!$G$25</f>
        <v>56.75</v>
      </c>
      <c r="K139" s="4" t="n">
        <f aca="false">N(K6)*Basis!$G$2+N(K11)+N(K16)+N(K21)+N(K26)+N(K31)+N(K36)+N(K41)+N(K46)*Basis!$G$10+N(K51)*Basis!$G$11+N(K56)*Basis!$G$12+N(K61)+N(K66)*Basis!$G$14+N(K71)*Basis!$G$15+N(K76)*Basis!$G$16+N(K81)*Basis!$G$17+N(K86)*Basis!$G$18+N(K91)*Basis!$G$19+N(K96)*Basis!$G$20+N(K101)*Basis!$G$21+N(K106)*Basis!$G$22+N(K111)*Basis!$G$23+N(K116)*Basis!$G$24+N(K121)*Basis!$G$25</f>
        <v>69.25</v>
      </c>
      <c r="L139" s="4" t="n">
        <f aca="false">N(L6)*Basis!$G$2+N(L11)+N(L16)+N(L21)+N(L26)+N(L31)+N(L36)+N(L41)+N(L46)*Basis!$G$10+N(L51)*Basis!$G$11+N(L56)*Basis!$G$12+N(L61)+N(L66)*Basis!$G$14+N(L71)*Basis!$G$15+N(L76)*Basis!$G$16+N(L81)*Basis!$G$17+N(L86)*Basis!$G$18+N(L91)*Basis!$G$19+N(L96)*Basis!$G$20+N(L101)*Basis!$G$21+N(L106)*Basis!$G$22+N(L111)*Basis!$G$23+N(L116)*Basis!$G$24+N(L121)*Basis!$G$25</f>
        <v>165.59</v>
      </c>
      <c r="M139" s="4" t="n">
        <f aca="false">N(M6)*Basis!$G$2+N(M11)+N(M16)+N(M21)+N(M26)+N(M31)+N(M36)+N(M41)+N(M46)*Basis!$G$10+N(M51)*Basis!$G$11+N(M56)*Basis!$G$12+N(M61)+N(M66)*Basis!$G$14+N(M71)*Basis!$G$15+N(M76)*Basis!$G$16+N(M81)*Basis!$G$17+N(M86)*Basis!$G$18+N(M91)*Basis!$G$19+N(M96)*Basis!$G$20+N(M101)*Basis!$G$21+N(M106)*Basis!$G$22+N(M111)*Basis!$G$23+N(M116)*Basis!$G$24+N(M121)*Basis!$G$25</f>
        <v>204.65</v>
      </c>
      <c r="N139" s="4" t="n">
        <f aca="false">N(N6)*Basis!$G$2+N(N11)+N(N16)+N(N21)+N(N26)+N(N31)+N(N36)+N(N41)+N(N46)*Basis!$G$10+N(N51)*Basis!$G$11+N(N56)*Basis!$G$12+N(N61)+N(N66)*Basis!$G$14+N(N71)*Basis!$G$15+N(N76)*Basis!$G$16+N(N81)*Basis!$G$17+N(N86)*Basis!$G$18+N(N91)*Basis!$G$19+N(N96)*Basis!$G$20+N(N101)*Basis!$G$21+N(N106)*Basis!$G$22+N(N111)*Basis!$G$23+N(N116)*Basis!$G$24+N(N121)*Basis!$G$25</f>
        <v>219.45</v>
      </c>
      <c r="O139" s="4" t="n">
        <f aca="false">N(O6)*Basis!$G$2+N(O11)+N(O16)+N(O21)+N(O26)+N(O31)+N(O36)+N(O41)+N(O46)*Basis!$G$10+N(O51)*Basis!$G$11+N(O56)*Basis!$G$12+N(O61)+N(O66)*Basis!$G$14+N(O71)*Basis!$G$15+N(O76)*Basis!$G$16+N(O81)*Basis!$G$17+N(O86)*Basis!$G$18+N(O91)*Basis!$G$19+N(O96)*Basis!$G$20+N(O101)*Basis!$G$21+N(O106)*Basis!$G$22+N(O111)*Basis!$G$23+N(O116)*Basis!$G$24+N(O121)*Basis!$G$25</f>
        <v>261.6</v>
      </c>
      <c r="P139" s="4" t="n">
        <f aca="false">N(P6)*Basis!$G$2+N(P11)+N(P16)+N(P21)+N(P26)+N(P31)+N(P36)+N(P41)+N(P46)*Basis!$G$10+N(P51)*Basis!$G$11+N(P56)*Basis!$G$12+N(P61)+N(P66)*Basis!$G$14+N(P71)*Basis!$G$15+N(P76)*Basis!$G$16+N(P81)*Basis!$G$17+N(P86)*Basis!$G$18+N(P91)*Basis!$G$19+N(P96)*Basis!$G$20+N(P101)*Basis!$G$21+N(P106)*Basis!$G$22+N(P111)*Basis!$G$23+N(P116)*Basis!$G$24+N(P121)*Basis!$G$25</f>
        <v>368.6</v>
      </c>
      <c r="Q139" s="4" t="n">
        <f aca="false">N(Q6)*Basis!$G$2+N(Q11)+N(Q16)+N(Q21)+N(Q26)+N(Q31)+N(Q36)+N(Q41)+N(Q46)*Basis!$G$10+N(Q51)*Basis!$G$11+N(Q56)*Basis!$G$12+N(Q61)+N(Q66)*Basis!$G$14+N(Q71)*Basis!$G$15+N(Q76)*Basis!$G$16+N(Q81)*Basis!$G$17+N(Q86)*Basis!$G$18+N(Q91)*Basis!$G$19+N(Q96)*Basis!$G$20+N(Q101)*Basis!$G$21+N(Q106)*Basis!$G$22+N(Q111)*Basis!$G$23+N(Q116)*Basis!$G$24+N(Q121)*Basis!$G$25</f>
        <v>560.94</v>
      </c>
      <c r="R139" s="4" t="n">
        <f aca="false">N(R6)*Basis!$G$2+N(R11)+N(R16)+N(R21)+N(R26)+N(R31)+N(R36)+N(R41)+N(R46)*Basis!$G$10+N(R51)*Basis!$G$11+N(R56)*Basis!$G$12+N(R61)+N(R66)*Basis!$G$14+N(R71)*Basis!$G$15+N(R76)*Basis!$G$16+N(R81)*Basis!$G$17+N(R86)*Basis!$G$18+N(R91)*Basis!$G$19+N(R96)*Basis!$G$20+N(R101)*Basis!$G$21+N(R106)*Basis!$G$22+N(R111)*Basis!$G$23+N(R116)*Basis!$G$24+N(R121)*Basis!$G$25</f>
        <v>781.54</v>
      </c>
      <c r="S139" s="4" t="n">
        <f aca="false">N(S6)*Basis!$G$2+N(S11)+N(S16)+N(S21)+N(S26)+N(S31)+N(S36)+N(S41)+N(S46)*Basis!$G$10+N(S51)*Basis!$G$11+N(S56)*Basis!$G$12+N(S61)+N(S66)*Basis!$G$14+N(S71)*Basis!$G$15+N(S76)*Basis!$G$16+N(S81)*Basis!$G$17+N(S86)*Basis!$G$18+N(S91)*Basis!$G$19+N(S96)*Basis!$G$20+N(S101)*Basis!$G$21+N(S106)*Basis!$G$22+N(S111)*Basis!$G$23+N(S116)*Basis!$G$24+N(S121)*Basis!$G$25</f>
        <v>1015.5</v>
      </c>
      <c r="T139" s="4" t="n">
        <f aca="false">N(T6)*Basis!$G$2+N(T11)+N(T16)+N(T21)+N(T26)+N(T31)+N(T36)+N(T41)+N(T46)*Basis!$G$10+N(T51)*Basis!$G$11+N(T56)*Basis!$G$12+N(T61)+N(T66)*Basis!$G$14+N(T71)*Basis!$G$15+N(T76)*Basis!$G$16+N(T81)*Basis!$G$17+N(T86)*Basis!$G$18+N(T91)*Basis!$G$19+N(T96)*Basis!$G$20+N(T101)*Basis!$G$21+N(T106)*Basis!$G$22+N(T111)*Basis!$G$23+N(T116)*Basis!$G$24+N(T121)*Basis!$G$25</f>
        <v>1363.975</v>
      </c>
      <c r="U139" s="4" t="n">
        <f aca="false">N(U6)*Basis!$G$2+N(U11)+N(U16)+N(U21)+N(U26)+N(U31)+N(U36)+N(U41)+N(U46)*Basis!$G$10+N(U51)*Basis!$G$11+N(U56)*Basis!$G$12+N(U61)+N(U66)*Basis!$G$14+N(U71)*Basis!$G$15+N(U76)*Basis!$G$16+N(U81)*Basis!$G$17+N(U86)*Basis!$G$18+N(U91)*Basis!$G$19+N(U96)*Basis!$G$20+N(U101)*Basis!$G$21+N(U106)*Basis!$G$22+N(U111)*Basis!$G$23+N(U116)*Basis!$G$24+N(U121)*Basis!$G$25</f>
        <v>1480.225</v>
      </c>
      <c r="V139" s="4" t="n">
        <f aca="false">N(V6)*Basis!$G$2+N(V11)+N(V16)+N(V21)+N(V26)+N(V31)+N(V36)+N(V41)+N(V46)*Basis!$G$10+N(V51)*Basis!$G$11+N(V56)*Basis!$G$12+N(V61)+N(V66)*Basis!$G$14+N(V71)*Basis!$G$15+N(V76)*Basis!$G$16+N(V81)*Basis!$G$17+N(V86)*Basis!$G$18+N(V91)*Basis!$G$19+N(V96)*Basis!$G$20+N(V101)*Basis!$G$21+N(V106)*Basis!$G$22+N(V111)*Basis!$G$23+N(V116)*Basis!$G$24+N(V121)*Basis!$G$25</f>
        <v>1675.225</v>
      </c>
      <c r="W139" s="4" t="n">
        <f aca="false">N(W6)*Basis!$G$2+N(W11)+N(W16)+N(W21)+N(W26)+N(W31)+N(W36)+N(W41)+N(W46)*Basis!$G$10+N(W51)*Basis!$G$11+N(W56)*Basis!$G$12+N(W61)+N(W66)*Basis!$G$14+N(W71)*Basis!$G$15+N(W76)*Basis!$G$16+N(W81)*Basis!$G$17+N(W86)*Basis!$G$18+N(W91)*Basis!$G$19+N(W96)*Basis!$G$20+N(W101)*Basis!$G$21+N(W106)*Basis!$G$22+N(W111)*Basis!$G$23+N(W116)*Basis!$G$24+N(W121)*Basis!$G$25</f>
        <v>1691.475</v>
      </c>
      <c r="X139" s="4" t="n">
        <f aca="false">N(X6)*Basis!$G$2+N(X11)+N(X16)+N(X21)+N(X26)+N(X31)+N(X36)+N(X41)+N(X46)*Basis!$G$10+N(X51)*Basis!$G$11+N(X56)*Basis!$G$12+N(X61)+N(X66)*Basis!$G$14+N(X71)*Basis!$G$15+N(X76)*Basis!$G$16+N(X81)*Basis!$G$17+N(X86)*Basis!$G$18+N(X91)*Basis!$G$19+N(X96)*Basis!$G$20+N(X101)*Basis!$G$21+N(X106)*Basis!$G$22+N(X111)*Basis!$G$23+N(X116)*Basis!$G$24+N(X121)*Basis!$G$25</f>
        <v>2101.475</v>
      </c>
      <c r="Y139" s="4" t="n">
        <f aca="false">N(Y6)*Basis!$G$2+N(Y11)+N(Y16)+N(Y21)+N(Y26)+N(Y31)+N(Y36)+N(Y41)+N(Y46)*Basis!$G$10+N(Y51)*Basis!$G$11+N(Y56)*Basis!$G$12+N(Y61)+N(Y66)*Basis!$G$14+N(Y71)*Basis!$G$15+N(Y76)*Basis!$G$16+N(Y81)*Basis!$G$17+N(Y86)*Basis!$G$18+N(Y91)*Basis!$G$19+N(Y96)*Basis!$G$20+N(Y101)*Basis!$G$21+N(Y106)*Basis!$G$22+N(Y111)*Basis!$G$23+N(Y116)*Basis!$G$24+N(Y121)*Basis!$G$25</f>
        <v>2101.475</v>
      </c>
      <c r="Z139" s="4" t="n">
        <f aca="false">N(Z6)*Basis!$G$2+N(Z11)+N(Z16)+N(Z21)+N(Z26)+N(Z31)+N(Z36)+N(Z41)+N(Z46)*Basis!$G$10+N(Z51)*Basis!$G$11+N(Z56)*Basis!$G$12+N(Z61)+N(Z66)*Basis!$G$14+N(Z71)*Basis!$G$15+N(Z76)*Basis!$G$16+N(Z81)*Basis!$G$17+N(Z86)*Basis!$G$18+N(Z91)*Basis!$G$19+N(Z96)*Basis!$G$20+N(Z101)*Basis!$G$21+N(Z106)*Basis!$G$22+N(Z111)*Basis!$G$23+N(Z116)*Basis!$G$24+N(Z121)*Basis!$G$25</f>
        <v>2521.475</v>
      </c>
      <c r="AA139" s="4" t="n">
        <f aca="false">N(AA6)*Basis!$G$2+N(AA11)+N(AA16)+N(AA21)+N(AA26)+N(AA31)+N(AA36)+N(AA41)+N(AA46)*Basis!$G$10+N(AA51)*Basis!$G$11+N(AA56)*Basis!$G$12+N(AA61)+N(AA66)*Basis!$G$14+N(AA71)*Basis!$G$15+N(AA76)*Basis!$G$16+N(AA81)*Basis!$G$17+N(AA86)*Basis!$G$18+N(AA91)*Basis!$G$19+N(AA96)*Basis!$G$20+N(AA101)*Basis!$G$21+N(AA106)*Basis!$G$22+N(AA111)*Basis!$G$23+N(AA116)*Basis!$G$24+N(AA121)*Basis!$G$25</f>
        <v>2521.475</v>
      </c>
      <c r="AB139" s="4" t="n">
        <f aca="false">N(AB6)*Basis!$G$2+N(AB11)+N(AB16)+N(AB21)+N(AB26)+N(AB31)+N(AB36)+N(AB41)+N(AB46)*Basis!$G$10+N(AB51)*Basis!$G$11+N(AB56)*Basis!$G$12+N(AB61)+N(AB66)*Basis!$G$14+N(AB71)*Basis!$G$15+N(AB76)*Basis!$G$16+N(AB81)*Basis!$G$17+N(AB86)*Basis!$G$18+N(AB91)*Basis!$G$19+N(AB96)*Basis!$G$20+N(AB101)*Basis!$G$21+N(AB106)*Basis!$G$22+N(AB111)*Basis!$G$23+N(AB116)*Basis!$G$24+N(AB121)*Basis!$G$25</f>
        <v>3106.475</v>
      </c>
      <c r="AC139" s="4" t="n">
        <f aca="false">N(AC6)*Basis!$G$2+N(AC11)+N(AC16)+N(AC21)+N(AC26)+N(AC31)+N(AC36)+N(AC41)+N(AC46)*Basis!$G$10+N(AC51)*Basis!$G$11+N(AC56)*Basis!$G$12+N(AC61)+N(AC66)*Basis!$G$14+N(AC71)*Basis!$G$15+N(AC76)*Basis!$G$16+N(AC81)*Basis!$G$17+N(AC86)*Basis!$G$18+N(AC91)*Basis!$G$19+N(AC96)*Basis!$G$20+N(AC101)*Basis!$G$21+N(AC106)*Basis!$G$22+N(AC111)*Basis!$G$23+N(AC116)*Basis!$G$24+N(AC121)*Basis!$G$25</f>
        <v>3106.475</v>
      </c>
      <c r="AD139" s="4" t="n">
        <f aca="false">N(AD6)*Basis!$G$2+N(AD11)+N(AD16)+N(AD21)+N(AD26)+N(AD31)+N(AD36)+N(AD41)+N(AD46)*Basis!$G$10+N(AD51)*Basis!$G$11+N(AD56)*Basis!$G$12+N(AD61)+N(AD66)*Basis!$G$14+N(AD71)*Basis!$G$15+N(AD76)*Basis!$G$16+N(AD81)*Basis!$G$17+N(AD86)*Basis!$G$18+N(AD91)*Basis!$G$19+N(AD96)*Basis!$G$20+N(AD101)*Basis!$G$21+N(AD106)*Basis!$G$22+N(AD111)*Basis!$G$23+N(AD116)*Basis!$G$24+N(AD121)*Basis!$G$25</f>
        <v>3106.475</v>
      </c>
      <c r="AE139" s="4" t="n">
        <f aca="false">N(AE6)*Basis!$G$2+N(AE11)+N(AE16)+N(AE21)+N(AE26)+N(AE31)+N(AE36)+N(AE41)+N(AE46)*Basis!$G$10+N(AE51)*Basis!$G$11+N(AE56)*Basis!$G$12+N(AE61)+N(AE66)*Basis!$G$14+N(AE71)*Basis!$G$15+N(AE76)*Basis!$G$16+N(AE81)*Basis!$G$17+N(AE86)*Basis!$G$18+N(AE91)*Basis!$G$19+N(AE96)*Basis!$G$20+N(AE101)*Basis!$G$21+N(AE106)*Basis!$G$22+N(AE111)*Basis!$G$23+N(AE116)*Basis!$G$24+N(AE121)*Basis!$G$25</f>
        <v>3106.475</v>
      </c>
      <c r="AF139" s="4" t="n">
        <f aca="false">N(AF6)*Basis!$G$2+N(AF11)+N(AF16)+N(AF21)+N(AF26)+N(AF31)+N(AF36)+N(AF41)+N(AF46)*Basis!$G$10+N(AF51)*Basis!$G$11+N(AF56)*Basis!$G$12+N(AF61)+N(AF66)*Basis!$G$14+N(AF71)*Basis!$G$15+N(AF76)*Basis!$G$16+N(AF81)*Basis!$G$17+N(AF86)*Basis!$G$18+N(AF91)*Basis!$G$19+N(AF96)*Basis!$G$20+N(AF101)*Basis!$G$21+N(AF106)*Basis!$G$22+N(AF111)*Basis!$G$23+N(AF116)*Basis!$G$24+N(AF121)*Basis!$G$25</f>
        <v>3681.475</v>
      </c>
    </row>
    <row r="140" customFormat="false" ht="15" hidden="false" customHeight="false" outlineLevel="0" collapsed="false">
      <c r="A140" s="0" t="s">
        <v>359</v>
      </c>
      <c r="B140" s="0" t="s">
        <v>378</v>
      </c>
      <c r="C140" s="0" t="s">
        <v>370</v>
      </c>
      <c r="E140" s="4" t="n">
        <f aca="false">N(E5)*Basis!$G$2+N(E10)+N(E15)+N(E20)+N(E25)+N(E30)+N(E35)+N(E40)+N(E45)*Basis!$G$10+N(E50)*Basis!$G$11+N(E55)*Basis!$G$12+N(E60)+N(E65)*Basis!$G$14+N(E70)*Basis!$G$15+N(E75)*Basis!$G$16+N(E80)*Basis!$G$17+N(E85)*Basis!$G$18+N(E90)*Basis!$G$19+N(E95)*Basis!$G$20+N(E100)*Basis!$G$21+N(E105)*Basis!$G$22+N(E110)*Basis!$G$23+N(E115)*Basis!$G$24+N(E120)*Basis!$G$25</f>
        <v>25</v>
      </c>
      <c r="F140" s="4" t="n">
        <f aca="false">N(F5)*Basis!$G$2+N(F10)+N(F15)+N(F20)+N(F25)+N(F30)+N(F35)+N(F40)+N(F45)*Basis!$G$10+N(F50)*Basis!$G$11+N(F55)*Basis!$G$12+N(F60)+N(F65)*Basis!$G$14+N(F70)*Basis!$G$15+N(F75)*Basis!$G$16+N(F80)*Basis!$G$17+N(F85)*Basis!$G$18+N(F90)*Basis!$G$19+N(F95)*Basis!$G$20+N(F100)*Basis!$G$21+N(F105)*Basis!$G$22+N(F110)*Basis!$G$23+N(F115)*Basis!$G$24+N(F120)*Basis!$G$25</f>
        <v>25</v>
      </c>
      <c r="G140" s="4" t="n">
        <f aca="false">N(G5)*Basis!$G$2+N(G10)+N(G15)+N(G20)+N(G25)+N(G30)+N(G35)+N(G40)+N(G45)*Basis!$G$10+N(G50)*Basis!$G$11+N(G55)*Basis!$G$12+N(G60)+N(G65)*Basis!$G$14+N(G70)*Basis!$G$15+N(G75)*Basis!$G$16+N(G80)*Basis!$G$17+N(G85)*Basis!$G$18+N(G90)*Basis!$G$19+N(G95)*Basis!$G$20+N(G100)*Basis!$G$21+N(G105)*Basis!$G$22+N(G110)*Basis!$G$23+N(G115)*Basis!$G$24+N(G120)*Basis!$G$25</f>
        <v>25</v>
      </c>
      <c r="H140" s="4" t="n">
        <f aca="false">N(H5)*Basis!$G$2+N(H10)+N(H15)+N(H20)+N(H25)+N(H30)+N(H35)+N(H40)+N(H45)*Basis!$G$10+N(H50)*Basis!$G$11+N(H55)*Basis!$G$12+N(H60)+N(H65)*Basis!$G$14+N(H70)*Basis!$G$15+N(H75)*Basis!$G$16+N(H80)*Basis!$G$17+N(H85)*Basis!$G$18+N(H90)*Basis!$G$19+N(H95)*Basis!$G$20+N(H100)*Basis!$G$21+N(H105)*Basis!$G$22+N(H110)*Basis!$G$23+N(H115)*Basis!$G$24+N(H120)*Basis!$G$25</f>
        <v>31.75</v>
      </c>
      <c r="I140" s="4" t="n">
        <f aca="false">N(I5)*Basis!$G$2+N(I10)+N(I15)+N(I20)+N(I25)+N(I30)+N(I35)+N(I40)+N(I45)*Basis!$G$10+N(I50)*Basis!$G$11+N(I55)*Basis!$G$12+N(I60)+N(I65)*Basis!$G$14+N(I70)*Basis!$G$15+N(I75)*Basis!$G$16+N(I80)*Basis!$G$17+N(I85)*Basis!$G$18+N(I90)*Basis!$G$19+N(I95)*Basis!$G$20+N(I100)*Basis!$G$21+N(I105)*Basis!$G$22+N(I110)*Basis!$G$23+N(I115)*Basis!$G$24+N(I120)*Basis!$G$25</f>
        <v>63.5</v>
      </c>
      <c r="J140" s="4" t="n">
        <f aca="false">N(J5)*Basis!$G$2+N(J10)+N(J15)+N(J20)+N(J25)+N(J30)+N(J35)+N(J40)+N(J45)*Basis!$G$10+N(J50)*Basis!$G$11+N(J55)*Basis!$G$12+N(J60)+N(J65)*Basis!$G$14+N(J70)*Basis!$G$15+N(J75)*Basis!$G$16+N(J80)*Basis!$G$17+N(J85)*Basis!$G$18+N(J90)*Basis!$G$19+N(J95)*Basis!$G$20+N(J100)*Basis!$G$21+N(J105)*Basis!$G$22+N(J110)*Basis!$G$23+N(J115)*Basis!$G$24+N(J120)*Basis!$G$25</f>
        <v>63.5</v>
      </c>
      <c r="K140" s="4" t="n">
        <f aca="false">N(K5)*Basis!$G$2+N(K10)+N(K15)+N(K20)+N(K25)+N(K30)+N(K35)+N(K40)+N(K45)*Basis!$G$10+N(K50)*Basis!$G$11+N(K55)*Basis!$G$12+N(K60)+N(K65)*Basis!$G$14+N(K70)*Basis!$G$15+N(K75)*Basis!$G$16+N(K80)*Basis!$G$17+N(K85)*Basis!$G$18+N(K90)*Basis!$G$19+N(K95)*Basis!$G$20+N(K100)*Basis!$G$21+N(K105)*Basis!$G$22+N(K110)*Basis!$G$23+N(K115)*Basis!$G$24+N(K120)*Basis!$G$25</f>
        <v>88.5</v>
      </c>
      <c r="L140" s="4" t="n">
        <f aca="false">N(L5)*Basis!$G$2+N(L10)+N(L15)+N(L20)+N(L25)+N(L30)+N(L35)+N(L40)+N(L45)*Basis!$G$10+N(L50)*Basis!$G$11+N(L55)*Basis!$G$12+N(L60)+N(L65)*Basis!$G$14+N(L70)*Basis!$G$15+N(L75)*Basis!$G$16+N(L80)*Basis!$G$17+N(L85)*Basis!$G$18+N(L90)*Basis!$G$19+N(L95)*Basis!$G$20+N(L100)*Basis!$G$21+N(L105)*Basis!$G$22+N(L110)*Basis!$G$23+N(L115)*Basis!$G$24+N(L120)*Basis!$G$25</f>
        <v>203.62</v>
      </c>
      <c r="M140" s="4" t="n">
        <f aca="false">N(M5)*Basis!$G$2+N(M10)+N(M15)+N(M20)+N(M25)+N(M30)+N(M35)+N(M40)+N(M45)*Basis!$G$10+N(M50)*Basis!$G$11+N(M55)*Basis!$G$12+N(M60)+N(M65)*Basis!$G$14+N(M70)*Basis!$G$15+N(M75)*Basis!$G$16+N(M80)*Basis!$G$17+N(M85)*Basis!$G$18+N(M90)*Basis!$G$19+N(M95)*Basis!$G$20+N(M100)*Basis!$G$21+N(M105)*Basis!$G$22+N(M110)*Basis!$G$23+N(M115)*Basis!$G$24+N(M120)*Basis!$G$25</f>
        <v>240.4</v>
      </c>
      <c r="N140" s="4" t="n">
        <f aca="false">N(N5)*Basis!$G$2+N(N10)+N(N15)+N(N20)+N(N25)+N(N30)+N(N35)+N(N40)+N(N45)*Basis!$G$10+N(N50)*Basis!$G$11+N(N55)*Basis!$G$12+N(N60)+N(N65)*Basis!$G$14+N(N70)*Basis!$G$15+N(N75)*Basis!$G$16+N(N80)*Basis!$G$17+N(N85)*Basis!$G$18+N(N90)*Basis!$G$19+N(N95)*Basis!$G$20+N(N100)*Basis!$G$21+N(N105)*Basis!$G$22+N(N110)*Basis!$G$23+N(N115)*Basis!$G$24+N(N120)*Basis!$G$25</f>
        <v>266.4</v>
      </c>
      <c r="O140" s="4" t="n">
        <f aca="false">N(O5)*Basis!$G$2+N(O10)+N(O15)+N(O20)+N(O25)+N(O30)+N(O35)+N(O40)+N(O45)*Basis!$G$10+N(O50)*Basis!$G$11+N(O55)*Basis!$G$12+N(O60)+N(O65)*Basis!$G$14+N(O70)*Basis!$G$15+N(O75)*Basis!$G$16+N(O80)*Basis!$G$17+N(O85)*Basis!$G$18+N(O90)*Basis!$G$19+N(O95)*Basis!$G$20+N(O100)*Basis!$G$21+N(O105)*Basis!$G$22+N(O110)*Basis!$G$23+N(O115)*Basis!$G$24+N(O120)*Basis!$G$25</f>
        <v>307.6</v>
      </c>
      <c r="P140" s="4" t="n">
        <f aca="false">N(P5)*Basis!$G$2+N(P10)+N(P15)+N(P20)+N(P25)+N(P30)+N(P35)+N(P40)+N(P45)*Basis!$G$10+N(P50)*Basis!$G$11+N(P55)*Basis!$G$12+N(P60)+N(P65)*Basis!$G$14+N(P70)*Basis!$G$15+N(P75)*Basis!$G$16+N(P80)*Basis!$G$17+N(P85)*Basis!$G$18+N(P90)*Basis!$G$19+N(P95)*Basis!$G$20+N(P100)*Basis!$G$21+N(P105)*Basis!$G$22+N(P110)*Basis!$G$23+N(P115)*Basis!$G$24+N(P120)*Basis!$G$25</f>
        <v>511.2</v>
      </c>
      <c r="Q140" s="4" t="n">
        <f aca="false">N(Q5)*Basis!$G$2+N(Q10)+N(Q15)+N(Q20)+N(Q25)+N(Q30)+N(Q35)+N(Q40)+N(Q45)*Basis!$G$10+N(Q50)*Basis!$G$11+N(Q55)*Basis!$G$12+N(Q60)+N(Q65)*Basis!$G$14+N(Q70)*Basis!$G$15+N(Q75)*Basis!$G$16+N(Q80)*Basis!$G$17+N(Q85)*Basis!$G$18+N(Q90)*Basis!$G$19+N(Q95)*Basis!$G$20+N(Q100)*Basis!$G$21+N(Q105)*Basis!$G$22+N(Q110)*Basis!$G$23+N(Q115)*Basis!$G$24+N(Q120)*Basis!$G$25</f>
        <v>809.95</v>
      </c>
      <c r="R140" s="4" t="n">
        <f aca="false">N(R5)*Basis!$G$2+N(R10)+N(R15)+N(R20)+N(R25)+N(R30)+N(R35)+N(R40)+N(R45)*Basis!$G$10+N(R50)*Basis!$G$11+N(R55)*Basis!$G$12+N(R60)+N(R65)*Basis!$G$14+N(R70)*Basis!$G$15+N(R75)*Basis!$G$16+N(R80)*Basis!$G$17+N(R85)*Basis!$G$18+N(R90)*Basis!$G$19+N(R95)*Basis!$G$20+N(R100)*Basis!$G$21+N(R105)*Basis!$G$22+N(R110)*Basis!$G$23+N(R115)*Basis!$G$24+N(R120)*Basis!$G$25</f>
        <v>1065.9</v>
      </c>
      <c r="S140" s="4" t="n">
        <f aca="false">N(S5)*Basis!$G$2+N(S10)+N(S15)+N(S20)+N(S25)+N(S30)+N(S35)+N(S40)+N(S45)*Basis!$G$10+N(S50)*Basis!$G$11+N(S55)*Basis!$G$12+N(S60)+N(S65)*Basis!$G$14+N(S70)*Basis!$G$15+N(S75)*Basis!$G$16+N(S80)*Basis!$G$17+N(S85)*Basis!$G$18+N(S90)*Basis!$G$19+N(S95)*Basis!$G$20+N(S100)*Basis!$G$21+N(S105)*Basis!$G$22+N(S110)*Basis!$G$23+N(S115)*Basis!$G$24+N(S120)*Basis!$G$25</f>
        <v>1346.35</v>
      </c>
      <c r="T140" s="4" t="n">
        <f aca="false">N(T5)*Basis!$G$2+N(T10)+N(T15)+N(T20)+N(T25)+N(T30)+N(T35)+N(T40)+N(T45)*Basis!$G$10+N(T50)*Basis!$G$11+N(T55)*Basis!$G$12+N(T60)+N(T65)*Basis!$G$14+N(T70)*Basis!$G$15+N(T75)*Basis!$G$16+N(T80)*Basis!$G$17+N(T85)*Basis!$G$18+N(T90)*Basis!$G$19+N(T95)*Basis!$G$20+N(T100)*Basis!$G$21+N(T105)*Basis!$G$22+N(T110)*Basis!$G$23+N(T115)*Basis!$G$24+N(T120)*Basis!$G$25</f>
        <v>1738.1</v>
      </c>
      <c r="U140" s="4" t="n">
        <f aca="false">N(U5)*Basis!$G$2+N(U10)+N(U15)+N(U20)+N(U25)+N(U30)+N(U35)+N(U40)+N(U45)*Basis!$G$10+N(U50)*Basis!$G$11+N(U55)*Basis!$G$12+N(U60)+N(U65)*Basis!$G$14+N(U70)*Basis!$G$15+N(U75)*Basis!$G$16+N(U80)*Basis!$G$17+N(U85)*Basis!$G$18+N(U90)*Basis!$G$19+N(U95)*Basis!$G$20+N(U100)*Basis!$G$21+N(U105)*Basis!$G$22+N(U110)*Basis!$G$23+N(U115)*Basis!$G$24+N(U120)*Basis!$G$25</f>
        <v>1903.1</v>
      </c>
      <c r="V140" s="4" t="n">
        <f aca="false">N(V5)*Basis!$G$2+N(V10)+N(V15)+N(V20)+N(V25)+N(V30)+N(V35)+N(V40)+N(V45)*Basis!$G$10+N(V50)*Basis!$G$11+N(V55)*Basis!$G$12+N(V60)+N(V65)*Basis!$G$14+N(V70)*Basis!$G$15+N(V75)*Basis!$G$16+N(V80)*Basis!$G$17+N(V85)*Basis!$G$18+N(V90)*Basis!$G$19+N(V95)*Basis!$G$20+N(V100)*Basis!$G$21+N(V105)*Basis!$G$22+N(V110)*Basis!$G$23+N(V115)*Basis!$G$24+N(V120)*Basis!$G$25</f>
        <v>2123.1</v>
      </c>
      <c r="W140" s="4" t="n">
        <f aca="false">N(W5)*Basis!$G$2+N(W10)+N(W15)+N(W20)+N(W25)+N(W30)+N(W35)+N(W40)+N(W45)*Basis!$G$10+N(W50)*Basis!$G$11+N(W55)*Basis!$G$12+N(W60)+N(W65)*Basis!$G$14+N(W70)*Basis!$G$15+N(W75)*Basis!$G$16+N(W80)*Basis!$G$17+N(W85)*Basis!$G$18+N(W90)*Basis!$G$19+N(W95)*Basis!$G$20+N(W100)*Basis!$G$21+N(W105)*Basis!$G$22+N(W110)*Basis!$G$23+N(W115)*Basis!$G$24+N(W120)*Basis!$G$25</f>
        <v>2123.1</v>
      </c>
      <c r="X140" s="4" t="n">
        <f aca="false">N(X5)*Basis!$G$2+N(X10)+N(X15)+N(X20)+N(X25)+N(X30)+N(X35)+N(X40)+N(X45)*Basis!$G$10+N(X50)*Basis!$G$11+N(X55)*Basis!$G$12+N(X60)+N(X65)*Basis!$G$14+N(X70)*Basis!$G$15+N(X75)*Basis!$G$16+N(X80)*Basis!$G$17+N(X85)*Basis!$G$18+N(X90)*Basis!$G$19+N(X95)*Basis!$G$20+N(X100)*Basis!$G$21+N(X105)*Basis!$G$22+N(X110)*Basis!$G$23+N(X115)*Basis!$G$24+N(X120)*Basis!$G$25</f>
        <v>2423.1</v>
      </c>
      <c r="Y140" s="4" t="n">
        <f aca="false">N(Y5)*Basis!$G$2+N(Y10)+N(Y15)+N(Y20)+N(Y25)+N(Y30)+N(Y35)+N(Y40)+N(Y45)*Basis!$G$10+N(Y50)*Basis!$G$11+N(Y55)*Basis!$G$12+N(Y60)+N(Y65)*Basis!$G$14+N(Y70)*Basis!$G$15+N(Y75)*Basis!$G$16+N(Y80)*Basis!$G$17+N(Y85)*Basis!$G$18+N(Y90)*Basis!$G$19+N(Y95)*Basis!$G$20+N(Y100)*Basis!$G$21+N(Y105)*Basis!$G$22+N(Y110)*Basis!$G$23+N(Y115)*Basis!$G$24+N(Y120)*Basis!$G$25</f>
        <v>2423.1</v>
      </c>
      <c r="Z140" s="4" t="n">
        <f aca="false">N(Z5)*Basis!$G$2+N(Z10)+N(Z15)+N(Z20)+N(Z25)+N(Z30)+N(Z35)+N(Z40)+N(Z45)*Basis!$G$10+N(Z50)*Basis!$G$11+N(Z55)*Basis!$G$12+N(Z60)+N(Z65)*Basis!$G$14+N(Z70)*Basis!$G$15+N(Z75)*Basis!$G$16+N(Z80)*Basis!$G$17+N(Z85)*Basis!$G$18+N(Z90)*Basis!$G$19+N(Z95)*Basis!$G$20+N(Z100)*Basis!$G$21+N(Z105)*Basis!$G$22+N(Z110)*Basis!$G$23+N(Z115)*Basis!$G$24+N(Z120)*Basis!$G$25</f>
        <v>3033.1</v>
      </c>
      <c r="AA140" s="4" t="n">
        <f aca="false">N(AA5)*Basis!$G$2+N(AA10)+N(AA15)+N(AA20)+N(AA25)+N(AA30)+N(AA35)+N(AA40)+N(AA45)*Basis!$G$10+N(AA50)*Basis!$G$11+N(AA55)*Basis!$G$12+N(AA60)+N(AA65)*Basis!$G$14+N(AA70)*Basis!$G$15+N(AA75)*Basis!$G$16+N(AA80)*Basis!$G$17+N(AA85)*Basis!$G$18+N(AA90)*Basis!$G$19+N(AA95)*Basis!$G$20+N(AA100)*Basis!$G$21+N(AA105)*Basis!$G$22+N(AA110)*Basis!$G$23+N(AA115)*Basis!$G$24+N(AA120)*Basis!$G$25</f>
        <v>3033.1</v>
      </c>
      <c r="AB140" s="4" t="n">
        <f aca="false">N(AB5)*Basis!$G$2+N(AB10)+N(AB15)+N(AB20)+N(AB25)+N(AB30)+N(AB35)+N(AB40)+N(AB45)*Basis!$G$10+N(AB50)*Basis!$G$11+N(AB55)*Basis!$G$12+N(AB60)+N(AB65)*Basis!$G$14+N(AB70)*Basis!$G$15+N(AB75)*Basis!$G$16+N(AB80)*Basis!$G$17+N(AB85)*Basis!$G$18+N(AB90)*Basis!$G$19+N(AB95)*Basis!$G$20+N(AB100)*Basis!$G$21+N(AB105)*Basis!$G$22+N(AB110)*Basis!$G$23+N(AB115)*Basis!$G$24+N(AB120)*Basis!$G$25</f>
        <v>3683.1</v>
      </c>
      <c r="AC140" s="4" t="n">
        <f aca="false">N(AC5)*Basis!$G$2+N(AC10)+N(AC15)+N(AC20)+N(AC25)+N(AC30)+N(AC35)+N(AC40)+N(AC45)*Basis!$G$10+N(AC50)*Basis!$G$11+N(AC55)*Basis!$G$12+N(AC60)+N(AC65)*Basis!$G$14+N(AC70)*Basis!$G$15+N(AC75)*Basis!$G$16+N(AC80)*Basis!$G$17+N(AC85)*Basis!$G$18+N(AC90)*Basis!$G$19+N(AC95)*Basis!$G$20+N(AC100)*Basis!$G$21+N(AC105)*Basis!$G$22+N(AC110)*Basis!$G$23+N(AC115)*Basis!$G$24+N(AC120)*Basis!$G$25</f>
        <v>3683.1</v>
      </c>
      <c r="AD140" s="4" t="n">
        <f aca="false">N(AD5)*Basis!$G$2+N(AD10)+N(AD15)+N(AD20)+N(AD25)+N(AD30)+N(AD35)+N(AD40)+N(AD45)*Basis!$G$10+N(AD50)*Basis!$G$11+N(AD55)*Basis!$G$12+N(AD60)+N(AD65)*Basis!$G$14+N(AD70)*Basis!$G$15+N(AD75)*Basis!$G$16+N(AD80)*Basis!$G$17+N(AD85)*Basis!$G$18+N(AD90)*Basis!$G$19+N(AD95)*Basis!$G$20+N(AD100)*Basis!$G$21+N(AD105)*Basis!$G$22+N(AD110)*Basis!$G$23+N(AD115)*Basis!$G$24+N(AD120)*Basis!$G$25</f>
        <v>3683.1</v>
      </c>
      <c r="AE140" s="4" t="n">
        <f aca="false">N(AE5)*Basis!$G$2+N(AE10)+N(AE15)+N(AE20)+N(AE25)+N(AE30)+N(AE35)+N(AE40)+N(AE45)*Basis!$G$10+N(AE50)*Basis!$G$11+N(AE55)*Basis!$G$12+N(AE60)+N(AE65)*Basis!$G$14+N(AE70)*Basis!$G$15+N(AE75)*Basis!$G$16+N(AE80)*Basis!$G$17+N(AE85)*Basis!$G$18+N(AE90)*Basis!$G$19+N(AE95)*Basis!$G$20+N(AE100)*Basis!$G$21+N(AE105)*Basis!$G$22+N(AE110)*Basis!$G$23+N(AE115)*Basis!$G$24+N(AE120)*Basis!$G$25</f>
        <v>3683.1</v>
      </c>
      <c r="AF140" s="4" t="n">
        <f aca="false">N(AF5)*Basis!$G$2+N(AF10)+N(AF15)+N(AF20)+N(AF25)+N(AF30)+N(AF35)+N(AF40)+N(AF45)*Basis!$G$10+N(AF50)*Basis!$G$11+N(AF55)*Basis!$G$12+N(AF60)+N(AF65)*Basis!$G$14+N(AF70)*Basis!$G$15+N(AF75)*Basis!$G$16+N(AF80)*Basis!$G$17+N(AF85)*Basis!$G$18+N(AF90)*Basis!$G$19+N(AF95)*Basis!$G$20+N(AF100)*Basis!$G$21+N(AF105)*Basis!$G$22+N(AF110)*Basis!$G$23+N(AF115)*Basis!$G$24+N(AF120)*Basis!$G$25</f>
        <v>4283.1</v>
      </c>
    </row>
    <row r="141" customFormat="false" ht="15" hidden="false" customHeight="false" outlineLevel="0" collapsed="false">
      <c r="A141" s="0" t="s">
        <v>359</v>
      </c>
      <c r="B141" s="0" t="s">
        <v>379</v>
      </c>
      <c r="C141" s="0" t="s">
        <v>380</v>
      </c>
      <c r="H141" s="5" t="n">
        <v>25</v>
      </c>
      <c r="L141" s="5" t="n">
        <v>220</v>
      </c>
      <c r="O141" s="5" t="n">
        <v>295</v>
      </c>
      <c r="P141" s="5" t="n">
        <v>561</v>
      </c>
      <c r="Q141" s="5" t="n">
        <v>626.4</v>
      </c>
      <c r="R141" s="5" t="n">
        <v>763.4</v>
      </c>
      <c r="S141" s="5" t="n">
        <v>990</v>
      </c>
      <c r="T141" s="5" t="n">
        <v>1249</v>
      </c>
      <c r="U141" s="5" t="s">
        <v>65</v>
      </c>
      <c r="V141" s="5" t="s">
        <v>65</v>
      </c>
      <c r="W141" s="5" t="s">
        <v>65</v>
      </c>
      <c r="X141" s="5" t="s">
        <v>65</v>
      </c>
      <c r="Y141" s="5" t="s">
        <v>65</v>
      </c>
      <c r="Z141" s="5" t="s">
        <v>65</v>
      </c>
      <c r="AA141" s="5" t="s">
        <v>65</v>
      </c>
      <c r="AB141" s="5" t="s">
        <v>65</v>
      </c>
      <c r="AC141" s="5" t="s">
        <v>65</v>
      </c>
      <c r="AD141" s="5" t="s">
        <v>65</v>
      </c>
      <c r="AE141" s="5" t="s">
        <v>65</v>
      </c>
      <c r="AF141" s="5" t="s">
        <v>65</v>
      </c>
    </row>
    <row r="142" customFormat="false" ht="15" hidden="false" customHeight="false" outlineLevel="0" collapsed="false">
      <c r="A142" s="0" t="s">
        <v>359</v>
      </c>
      <c r="B142" s="0" t="s">
        <v>381</v>
      </c>
      <c r="C142" s="0" t="s">
        <v>380</v>
      </c>
      <c r="H142" s="5" t="n">
        <v>25</v>
      </c>
      <c r="L142" s="5" t="n">
        <v>220</v>
      </c>
      <c r="O142" s="5" t="n">
        <v>353</v>
      </c>
      <c r="P142" s="5" t="n">
        <v>941</v>
      </c>
      <c r="Q142" s="5" t="n">
        <v>1078</v>
      </c>
      <c r="R142" s="5" t="n">
        <v>1243</v>
      </c>
      <c r="S142" s="5" t="n">
        <v>1382</v>
      </c>
      <c r="T142" s="5" t="n">
        <v>1882</v>
      </c>
      <c r="U142" s="5" t="s">
        <v>65</v>
      </c>
      <c r="V142" s="5" t="s">
        <v>65</v>
      </c>
      <c r="W142" s="5" t="s">
        <v>65</v>
      </c>
      <c r="X142" s="5" t="s">
        <v>65</v>
      </c>
      <c r="Y142" s="5" t="s">
        <v>65</v>
      </c>
      <c r="Z142" s="5" t="s">
        <v>65</v>
      </c>
      <c r="AA142" s="5" t="s">
        <v>65</v>
      </c>
      <c r="AB142" s="5" t="s">
        <v>65</v>
      </c>
      <c r="AC142" s="5" t="s">
        <v>65</v>
      </c>
      <c r="AD142" s="5" t="s">
        <v>65</v>
      </c>
      <c r="AE142" s="5" t="s">
        <v>65</v>
      </c>
      <c r="AF142" s="5" t="s">
        <v>65</v>
      </c>
    </row>
    <row r="143" customFormat="false" ht="15" hidden="false" customHeight="false" outlineLevel="0" collapsed="false">
      <c r="A143" s="0" t="s">
        <v>359</v>
      </c>
      <c r="B143" s="0" t="s">
        <v>382</v>
      </c>
      <c r="C143" s="0" t="s">
        <v>380</v>
      </c>
      <c r="H143" s="5" t="n">
        <v>25</v>
      </c>
      <c r="L143" s="5" t="n">
        <v>220</v>
      </c>
      <c r="O143" s="5" t="n">
        <v>412</v>
      </c>
      <c r="P143" s="5" t="n">
        <v>1195</v>
      </c>
      <c r="Q143" s="5" t="n">
        <v>1322</v>
      </c>
      <c r="R143" s="5" t="n">
        <v>1577</v>
      </c>
      <c r="S143" s="5" t="n">
        <v>2017</v>
      </c>
      <c r="T143" s="5" t="n">
        <v>2517</v>
      </c>
      <c r="U143" s="5" t="s">
        <v>65</v>
      </c>
      <c r="V143" s="5" t="s">
        <v>65</v>
      </c>
      <c r="W143" s="5" t="s">
        <v>65</v>
      </c>
      <c r="X143" s="5" t="s">
        <v>65</v>
      </c>
      <c r="Y143" s="5" t="s">
        <v>65</v>
      </c>
      <c r="Z143" s="5" t="s">
        <v>65</v>
      </c>
      <c r="AA143" s="5" t="s">
        <v>65</v>
      </c>
      <c r="AB143" s="5" t="s">
        <v>65</v>
      </c>
      <c r="AC143" s="5" t="s">
        <v>65</v>
      </c>
      <c r="AD143" s="5" t="s">
        <v>65</v>
      </c>
      <c r="AE143" s="5" t="s">
        <v>65</v>
      </c>
      <c r="AF143" s="5" t="s">
        <v>65</v>
      </c>
    </row>
    <row r="144" customFormat="false" ht="15" hidden="false" customHeight="false" outlineLevel="0" collapsed="false">
      <c r="A144" s="0" t="s">
        <v>359</v>
      </c>
      <c r="B144" s="0" t="s">
        <v>383</v>
      </c>
      <c r="C144" s="0" t="s">
        <v>349</v>
      </c>
      <c r="P144" s="5" t="s">
        <v>33</v>
      </c>
    </row>
    <row r="145" customFormat="false" ht="15" hidden="false" customHeight="false" outlineLevel="0" collapsed="false">
      <c r="A145" s="0" t="s">
        <v>47</v>
      </c>
      <c r="B145" s="0" t="s">
        <v>384</v>
      </c>
      <c r="C145" s="0" t="s">
        <v>345</v>
      </c>
      <c r="E145" s="4" t="n">
        <f aca="false">E6</f>
        <v>0</v>
      </c>
      <c r="F145" s="4" t="n">
        <f aca="false">F6</f>
        <v>0</v>
      </c>
      <c r="G145" s="4" t="n">
        <f aca="false">G6</f>
        <v>0</v>
      </c>
      <c r="H145" s="4" t="n">
        <f aca="false">H6</f>
        <v>0</v>
      </c>
      <c r="I145" s="4" t="n">
        <f aca="false">I6</f>
        <v>0</v>
      </c>
      <c r="J145" s="4" t="n">
        <f aca="false">J6</f>
        <v>0</v>
      </c>
      <c r="K145" s="4" t="n">
        <f aca="false">K6</f>
        <v>0</v>
      </c>
      <c r="L145" s="4" t="n">
        <f aca="false">L6</f>
        <v>26.2</v>
      </c>
      <c r="M145" s="4" t="n">
        <f aca="false">M6</f>
        <v>37.5</v>
      </c>
      <c r="N145" s="4" t="n">
        <f aca="false">N6</f>
        <v>39</v>
      </c>
      <c r="O145" s="4" t="n">
        <f aca="false">O6</f>
        <v>66</v>
      </c>
      <c r="P145" s="4" t="n">
        <f aca="false">P6</f>
        <v>81.8</v>
      </c>
      <c r="Q145" s="4" t="n">
        <f aca="false">MAX($P$6,O6)</f>
        <v>81.8</v>
      </c>
      <c r="R145" s="4" t="n">
        <f aca="false">MAX($P$6,P6)</f>
        <v>81.8</v>
      </c>
      <c r="S145" s="4" t="n">
        <f aca="false">MAX($P$6,Q6)</f>
        <v>118.5</v>
      </c>
      <c r="T145" s="4" t="n">
        <f aca="false">MAX($P$6,R6)</f>
        <v>168.5</v>
      </c>
      <c r="U145" s="4" t="n">
        <f aca="false">MAX($P$6,S6)</f>
        <v>200</v>
      </c>
      <c r="V145" s="4" t="n">
        <f aca="false">MAX($P$6,T6)</f>
        <v>235</v>
      </c>
      <c r="W145" s="4" t="n">
        <f aca="false">MAX($P$6,U6)</f>
        <v>235</v>
      </c>
      <c r="X145" s="4" t="n">
        <f aca="false">MAX($P$6,V6)</f>
        <v>235</v>
      </c>
      <c r="Y145" s="4" t="n">
        <f aca="false">MAX($P$6,W6)</f>
        <v>235</v>
      </c>
      <c r="Z145" s="4" t="n">
        <f aca="false">MAX($P$6,X6)</f>
        <v>235</v>
      </c>
      <c r="AA145" s="4" t="n">
        <f aca="false">MAX($P$6,Y6)</f>
        <v>235</v>
      </c>
      <c r="AB145" s="4" t="n">
        <f aca="false">MAX($P$6,Z6)</f>
        <v>235</v>
      </c>
      <c r="AC145" s="4" t="n">
        <f aca="false">MAX($P$6,AA6)</f>
        <v>235</v>
      </c>
      <c r="AD145" s="4" t="n">
        <f aca="false">MAX($P$6,AB6)</f>
        <v>235</v>
      </c>
      <c r="AE145" s="4" t="n">
        <f aca="false">MAX($P$6,AC6)</f>
        <v>235</v>
      </c>
      <c r="AF145" s="4" t="n">
        <f aca="false">MAX($P$6,AD6)</f>
        <v>235</v>
      </c>
    </row>
    <row r="146" customFormat="false" ht="15" hidden="false" customHeight="false" outlineLevel="0" collapsed="false">
      <c r="A146" s="0" t="s">
        <v>47</v>
      </c>
      <c r="B146" s="0" t="s">
        <v>385</v>
      </c>
      <c r="C146" s="0" t="s">
        <v>345</v>
      </c>
      <c r="E146" s="4" t="n">
        <f aca="false">E6-E145</f>
        <v>0</v>
      </c>
      <c r="F146" s="4" t="n">
        <f aca="false">F6-F145</f>
        <v>0</v>
      </c>
      <c r="G146" s="4" t="n">
        <f aca="false">G6-G145</f>
        <v>0</v>
      </c>
      <c r="H146" s="4" t="n">
        <f aca="false">H6-H145</f>
        <v>0</v>
      </c>
      <c r="I146" s="4" t="n">
        <f aca="false">I6-I145</f>
        <v>0</v>
      </c>
      <c r="J146" s="4" t="n">
        <f aca="false">J6-J145</f>
        <v>0</v>
      </c>
      <c r="K146" s="4" t="n">
        <f aca="false">K6-K145</f>
        <v>0</v>
      </c>
      <c r="L146" s="4" t="n">
        <f aca="false">L6-L145</f>
        <v>0</v>
      </c>
      <c r="M146" s="4" t="n">
        <f aca="false">M6-M145</f>
        <v>0</v>
      </c>
      <c r="N146" s="4" t="n">
        <f aca="false">N6-N145</f>
        <v>0</v>
      </c>
      <c r="O146" s="4" t="n">
        <f aca="false">O6-O145</f>
        <v>0</v>
      </c>
      <c r="P146" s="4" t="n">
        <f aca="false">P6-P145</f>
        <v>0</v>
      </c>
      <c r="Q146" s="4" t="n">
        <f aca="false">Q6-Q145</f>
        <v>36.7</v>
      </c>
      <c r="R146" s="4" t="n">
        <f aca="false">R6-R145</f>
        <v>86.7</v>
      </c>
      <c r="S146" s="4" t="n">
        <f aca="false">S6-S145</f>
        <v>81.5</v>
      </c>
      <c r="T146" s="4" t="n">
        <f aca="false">T6-T145</f>
        <v>66.5</v>
      </c>
      <c r="U146" s="4" t="n">
        <f aca="false">U6-U145</f>
        <v>35</v>
      </c>
      <c r="V146" s="4" t="n">
        <f aca="false">V6-V145</f>
        <v>0</v>
      </c>
      <c r="W146" s="4" t="n">
        <f aca="false">W6-W145</f>
        <v>0</v>
      </c>
      <c r="X146" s="4" t="n">
        <f aca="false">X6-X145</f>
        <v>0</v>
      </c>
      <c r="Y146" s="4" t="n">
        <f aca="false">Y6-Y145</f>
        <v>0</v>
      </c>
      <c r="Z146" s="4" t="n">
        <f aca="false">Z6-Z145</f>
        <v>0</v>
      </c>
      <c r="AA146" s="4" t="n">
        <f aca="false">AA6-AA145</f>
        <v>0</v>
      </c>
      <c r="AB146" s="4" t="n">
        <f aca="false">AB6-AB145</f>
        <v>0</v>
      </c>
      <c r="AC146" s="4" t="n">
        <f aca="false">AC6-AC145</f>
        <v>0</v>
      </c>
      <c r="AD146" s="4" t="n">
        <f aca="false">AD6-AD145</f>
        <v>0</v>
      </c>
      <c r="AE146" s="4" t="n">
        <f aca="false">AE6-AE145</f>
        <v>0</v>
      </c>
      <c r="AF146" s="4" t="n">
        <f aca="false">AF6-AF145</f>
        <v>0</v>
      </c>
    </row>
    <row r="147" customFormat="false" ht="15" hidden="false" customHeight="false" outlineLevel="0" collapsed="false">
      <c r="A147" s="0" t="s">
        <v>359</v>
      </c>
      <c r="B147" s="0" t="s">
        <v>386</v>
      </c>
      <c r="C147" s="0" t="s">
        <v>345</v>
      </c>
      <c r="E147" s="4" t="n">
        <f aca="false">0*'Vineland tranche track'!$B$16+0</f>
        <v>0</v>
      </c>
      <c r="F147" s="4" t="n">
        <f aca="false">0*'Vineland tranche track'!$B$16+(E136-N(E6))</f>
        <v>22.7272727272727</v>
      </c>
      <c r="G147" s="4" t="n">
        <f aca="false">0*'Vineland tranche track'!$B$16+(F136-N(F6))</f>
        <v>22.7272727272727</v>
      </c>
      <c r="H147" s="4" t="n">
        <f aca="false">0*'Vineland tranche track'!$B$16+(G136-N(G6))</f>
        <v>22.7272727272727</v>
      </c>
      <c r="I147" s="4" t="n">
        <f aca="false">0*'Vineland tranche track'!$B$16+(H136-N(H6))</f>
        <v>27.7272727272727</v>
      </c>
      <c r="J147" s="4" t="n">
        <f aca="false">0*'Vineland tranche track'!$B$16+(I136-N(I6))</f>
        <v>47.7272727272727</v>
      </c>
      <c r="K147" s="4" t="n">
        <f aca="false">0*'Vineland tranche track'!$B$16+(J136-N(J6))</f>
        <v>47.7272727272727</v>
      </c>
      <c r="L147" s="4" t="n">
        <f aca="false">1*'Vineland tranche track'!$B$16+(K136-N(K6))</f>
        <v>85.7575757575758</v>
      </c>
      <c r="M147" s="4" t="n">
        <f aca="false">2*'Vineland tranche track'!$B$16+(L136-N(L6))</f>
        <v>165.459207459207</v>
      </c>
      <c r="N147" s="4" t="n">
        <f aca="false">2*'Vineland tranche track'!$B$16+(M136-N(M6))</f>
        <v>186.822843822844</v>
      </c>
      <c r="O147" s="4" t="n">
        <f aca="false">4*'Vineland tranche track'!$B$16+(N136-N(N6))</f>
        <v>250.156177156177</v>
      </c>
      <c r="P147" s="4" t="n">
        <f aca="false">4*'Vineland tranche track'!$B$16+(O136-N(O6))</f>
        <v>257.656177156177</v>
      </c>
      <c r="Q147" s="4" t="n">
        <f aca="false">4*'Vineland tranche track'!$B$16+(P136-N(P6))</f>
        <v>326.586946386946</v>
      </c>
      <c r="R147" s="4" t="n">
        <f aca="false">6*'Vineland tranche track'!$B$16+(Q136-N(Q6))</f>
        <v>495.294923594924</v>
      </c>
      <c r="S147" s="4" t="n">
        <f aca="false">9*'Vineland tranche track'!$B$16+(R136-N(R6))</f>
        <v>701.040804927761</v>
      </c>
      <c r="T147" s="4" t="n">
        <f aca="false">9*'Vineland tranche track'!$B$16+(S136-N(S6))</f>
        <v>852.613751787665</v>
      </c>
      <c r="U147" s="4" t="n">
        <f aca="false">9*'Vineland tranche track'!$B$16+(T136-N(T6))</f>
        <v>1086.92460277243</v>
      </c>
      <c r="V147" s="4" t="n">
        <f aca="false">9*'Vineland tranche track'!$B$16+(U136-N(U6))</f>
        <v>1178.00753352927</v>
      </c>
      <c r="W147" s="4" t="n">
        <f aca="false">9*'Vineland tranche track'!$B$16+(V136-N(V6))</f>
        <v>1331.46969133926</v>
      </c>
      <c r="X147" s="4" t="n">
        <f aca="false">9*'Vineland tranche track'!$B$16+(W136-N(W6))</f>
        <v>1343.96969133926</v>
      </c>
      <c r="Y147" s="4" t="n">
        <f aca="false">9*'Vineland tranche track'!$B$16+(X136-N(X6))</f>
        <v>1657.75638773465</v>
      </c>
      <c r="Z147" s="4" t="n">
        <f aca="false">9*'Vineland tranche track'!$B$16+(Y136-N(Y6))</f>
        <v>1657.75638773465</v>
      </c>
      <c r="AA147" s="4" t="n">
        <f aca="false">9*'Vineland tranche track'!$B$16+(Z136-N(Z6))</f>
        <v>1968.86749884576</v>
      </c>
      <c r="AB147" s="4" t="n">
        <f aca="false">9*'Vineland tranche track'!$B$16+(AA136-N(AA6))</f>
        <v>1968.86749884576</v>
      </c>
      <c r="AC147" s="4" t="n">
        <f aca="false">9*'Vineland tranche track'!$B$16+(AB136-N(AB6))</f>
        <v>2414.4391574609</v>
      </c>
      <c r="AD147" s="4" t="n">
        <f aca="false">9*'Vineland tranche track'!$B$16+(AC136-N(AC6))</f>
        <v>2414.4391574609</v>
      </c>
      <c r="AE147" s="4" t="n">
        <f aca="false">9*'Vineland tranche track'!$B$16+(AD136-N(AD6))</f>
        <v>2414.4391574609</v>
      </c>
      <c r="AF147" s="4" t="n">
        <f aca="false">9*'Vineland tranche track'!$B$16+(AE136-N(AE6))</f>
        <v>2414.4391574609</v>
      </c>
    </row>
    <row r="148" customFormat="false" ht="15" hidden="false" customHeight="false" outlineLevel="0" collapsed="false">
      <c r="A148" s="0" t="s">
        <v>359</v>
      </c>
      <c r="B148" s="0" t="s">
        <v>387</v>
      </c>
      <c r="C148" s="0" t="s">
        <v>345</v>
      </c>
      <c r="E148" s="4" t="n">
        <f aca="false">0*'Vineland tranche track'!$B$16+0</f>
        <v>0</v>
      </c>
      <c r="F148" s="4" t="n">
        <f aca="false">0*'Vineland tranche track'!$B$16+(E136-N(E6))</f>
        <v>22.7272727272727</v>
      </c>
      <c r="G148" s="4" t="n">
        <f aca="false">0*'Vineland tranche track'!$B$16+(F136-N(F6))</f>
        <v>22.7272727272727</v>
      </c>
      <c r="H148" s="4" t="n">
        <f aca="false">0*'Vineland tranche track'!$B$16+(G136-N(G6))</f>
        <v>22.7272727272727</v>
      </c>
      <c r="I148" s="4" t="n">
        <f aca="false">0*'Vineland tranche track'!$B$16+(H136-N(H6))</f>
        <v>27.7272727272727</v>
      </c>
      <c r="J148" s="4" t="n">
        <f aca="false">0*'Vineland tranche track'!$B$16+(I136-N(I6))</f>
        <v>47.7272727272727</v>
      </c>
      <c r="K148" s="4" t="n">
        <f aca="false">0*'Vineland tranche track'!$B$16+(J136-N(J6))</f>
        <v>47.7272727272727</v>
      </c>
      <c r="L148" s="4" t="n">
        <f aca="false">1*'Vineland tranche track'!$B$16+(K136-N(K6))</f>
        <v>85.7575757575758</v>
      </c>
      <c r="M148" s="4" t="n">
        <f aca="false">2*'Vineland tranche track'!$B$16+(L136-N(L6))</f>
        <v>165.459207459207</v>
      </c>
      <c r="N148" s="4" t="n">
        <f aca="false">2*'Vineland tranche track'!$B$16+(M136-N(M6))</f>
        <v>186.822843822844</v>
      </c>
      <c r="O148" s="4" t="n">
        <f aca="false">4*'Vineland tranche track'!$B$16+(N136-N(N6))</f>
        <v>250.156177156177</v>
      </c>
      <c r="P148" s="4" t="n">
        <f aca="false">4*'Vineland tranche track'!$B$16+(O136-N(O6))</f>
        <v>257.656177156177</v>
      </c>
      <c r="Q148" s="4" t="n">
        <f aca="false">4*'Vineland tranche track'!$B$16+(P136-N(P6))</f>
        <v>326.586946386946</v>
      </c>
      <c r="R148" s="4" t="n">
        <f aca="false">4*'Vineland tranche track'!$B$16+(Q136-N(Q6))</f>
        <v>441.96159026159</v>
      </c>
      <c r="S148" s="4" t="n">
        <f aca="false">4*'Vineland tranche track'!$B$16+(R136-N(R6))</f>
        <v>567.707471594428</v>
      </c>
      <c r="T148" s="4" t="n">
        <f aca="false">6*'Vineland tranche track'!$B$16+(S136-N(S6))</f>
        <v>772.613751787665</v>
      </c>
      <c r="U148" s="4" t="n">
        <f aca="false">9*'Vineland tranche track'!$B$16+(T136-N(T6))</f>
        <v>1086.92460277243</v>
      </c>
      <c r="V148" s="4" t="n">
        <f aca="false">9*'Vineland tranche track'!$B$16+(U136-N(U6))</f>
        <v>1178.00753352927</v>
      </c>
      <c r="W148" s="4" t="n">
        <f aca="false">9*'Vineland tranche track'!$B$16+(V136-N(V6))</f>
        <v>1331.46969133926</v>
      </c>
      <c r="X148" s="4" t="n">
        <f aca="false">9*'Vineland tranche track'!$B$16+(W136-N(W6))</f>
        <v>1343.96969133926</v>
      </c>
      <c r="Y148" s="4" t="n">
        <f aca="false">9*'Vineland tranche track'!$B$16+(X136-N(X6))</f>
        <v>1657.75638773465</v>
      </c>
      <c r="Z148" s="4" t="n">
        <f aca="false">9*'Vineland tranche track'!$B$16+(Y136-N(Y6))</f>
        <v>1657.75638773465</v>
      </c>
      <c r="AA148" s="4" t="n">
        <f aca="false">9*'Vineland tranche track'!$B$16+(Z136-N(Z6))</f>
        <v>1968.86749884576</v>
      </c>
      <c r="AB148" s="4" t="n">
        <f aca="false">9*'Vineland tranche track'!$B$16+(AA136-N(AA6))</f>
        <v>1968.86749884576</v>
      </c>
      <c r="AC148" s="4" t="n">
        <f aca="false">9*'Vineland tranche track'!$B$16+(AB136-N(AB6))</f>
        <v>2414.4391574609</v>
      </c>
      <c r="AD148" s="4" t="n">
        <f aca="false">9*'Vineland tranche track'!$B$16+(AC136-N(AC6))</f>
        <v>2414.4391574609</v>
      </c>
      <c r="AE148" s="4" t="n">
        <f aca="false">9*'Vineland tranche track'!$B$16+(AD136-N(AD6))</f>
        <v>2414.4391574609</v>
      </c>
      <c r="AF148" s="4" t="n">
        <f aca="false">9*'Vineland tranche track'!$B$16+(AE136-N(AE6))</f>
        <v>2414.4391574609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4" min="4" style="0" width="30"/>
  </cols>
  <sheetData>
    <row r="1" customFormat="false" ht="68.65" hidden="false" customHeight="false" outlineLevel="0" collapsed="false">
      <c r="A1" s="3" t="s">
        <v>388</v>
      </c>
      <c r="B1" s="3" t="s">
        <v>389</v>
      </c>
      <c r="C1" s="3" t="s">
        <v>390</v>
      </c>
      <c r="D1" s="3" t="s">
        <v>391</v>
      </c>
      <c r="E1" s="3" t="s">
        <v>23</v>
      </c>
    </row>
    <row r="2" customFormat="false" ht="15" hidden="false" customHeight="false" outlineLevel="0" collapsed="false">
      <c r="A2" s="0" t="s">
        <v>246</v>
      </c>
      <c r="B2" s="5" t="n">
        <v>713</v>
      </c>
      <c r="C2" s="5" t="n">
        <v>548.5</v>
      </c>
      <c r="D2" s="0" t="s">
        <v>392</v>
      </c>
      <c r="E2" s="0" t="s">
        <v>93</v>
      </c>
    </row>
    <row r="3" customFormat="false" ht="15" hidden="false" customHeight="false" outlineLevel="0" collapsed="false">
      <c r="A3" s="0" t="s">
        <v>277</v>
      </c>
      <c r="B3" s="5" t="n">
        <v>508.6</v>
      </c>
      <c r="C3" s="5" t="n">
        <v>391.2</v>
      </c>
      <c r="D3" s="0" t="s">
        <v>393</v>
      </c>
      <c r="E3" s="0" t="s">
        <v>93</v>
      </c>
    </row>
    <row r="4" customFormat="false" ht="15" hidden="false" customHeight="false" outlineLevel="0" collapsed="false">
      <c r="A4" s="0" t="s">
        <v>256</v>
      </c>
      <c r="B4" s="5" t="n">
        <v>501.6</v>
      </c>
      <c r="C4" s="5" t="n">
        <v>385.8</v>
      </c>
      <c r="D4" s="0" t="s">
        <v>394</v>
      </c>
      <c r="E4" s="0" t="s">
        <v>93</v>
      </c>
    </row>
    <row r="5" customFormat="false" ht="15" hidden="false" customHeight="false" outlineLevel="0" collapsed="false">
      <c r="A5" s="0" t="s">
        <v>395</v>
      </c>
      <c r="B5" s="5" t="n">
        <v>491.2</v>
      </c>
      <c r="C5" s="5" t="n">
        <v>409.3</v>
      </c>
      <c r="D5" s="0" t="s">
        <v>396</v>
      </c>
      <c r="E5" s="0" t="s">
        <v>93</v>
      </c>
    </row>
    <row r="6" customFormat="false" ht="15" hidden="false" customHeight="false" outlineLevel="0" collapsed="false">
      <c r="A6" s="0" t="s">
        <v>397</v>
      </c>
      <c r="B6" s="5" t="n">
        <v>320</v>
      </c>
      <c r="C6" s="5" t="n">
        <v>267</v>
      </c>
      <c r="D6" s="0" t="s">
        <v>398</v>
      </c>
      <c r="E6" s="0" t="s">
        <v>93</v>
      </c>
    </row>
    <row r="8" customFormat="false" ht="15" hidden="false" customHeight="false" outlineLevel="0" collapsed="false">
      <c r="A8" s="10" t="s">
        <v>399</v>
      </c>
    </row>
    <row r="10" customFormat="false" ht="28.35" hidden="false" customHeight="false" outlineLevel="0" collapsed="false">
      <c r="A10" s="3" t="s">
        <v>38</v>
      </c>
      <c r="B10" s="3" t="s">
        <v>388</v>
      </c>
      <c r="C10" s="3" t="s">
        <v>400</v>
      </c>
      <c r="D10" s="3" t="s">
        <v>46</v>
      </c>
      <c r="E10" s="3" t="s">
        <v>314</v>
      </c>
      <c r="F10" s="3" t="s">
        <v>315</v>
      </c>
      <c r="G10" s="3" t="s">
        <v>316</v>
      </c>
      <c r="H10" s="3" t="s">
        <v>317</v>
      </c>
      <c r="I10" s="3" t="s">
        <v>318</v>
      </c>
      <c r="J10" s="3" t="s">
        <v>319</v>
      </c>
      <c r="K10" s="3" t="s">
        <v>320</v>
      </c>
      <c r="L10" s="3" t="s">
        <v>321</v>
      </c>
      <c r="M10" s="3" t="s">
        <v>322</v>
      </c>
      <c r="N10" s="3" t="s">
        <v>323</v>
      </c>
      <c r="O10" s="3" t="s">
        <v>324</v>
      </c>
      <c r="P10" s="3" t="s">
        <v>325</v>
      </c>
      <c r="Q10" s="3" t="s">
        <v>326</v>
      </c>
      <c r="R10" s="3" t="s">
        <v>327</v>
      </c>
      <c r="S10" s="3" t="s">
        <v>328</v>
      </c>
      <c r="T10" s="3" t="s">
        <v>329</v>
      </c>
      <c r="U10" s="3" t="s">
        <v>330</v>
      </c>
      <c r="V10" s="3" t="s">
        <v>331</v>
      </c>
      <c r="W10" s="3" t="s">
        <v>332</v>
      </c>
      <c r="X10" s="3" t="s">
        <v>333</v>
      </c>
      <c r="Y10" s="3" t="s">
        <v>334</v>
      </c>
      <c r="Z10" s="3" t="s">
        <v>335</v>
      </c>
      <c r="AA10" s="3" t="s">
        <v>336</v>
      </c>
      <c r="AB10" s="3" t="s">
        <v>337</v>
      </c>
      <c r="AC10" s="3" t="s">
        <v>338</v>
      </c>
      <c r="AD10" s="3" t="s">
        <v>339</v>
      </c>
      <c r="AE10" s="3" t="s">
        <v>340</v>
      </c>
      <c r="AF10" s="3" t="s">
        <v>341</v>
      </c>
    </row>
    <row r="11" customFormat="false" ht="15" hidden="false" customHeight="false" outlineLevel="0" collapsed="false">
      <c r="A11" s="0" t="s">
        <v>47</v>
      </c>
      <c r="B11" s="0" t="s">
        <v>395</v>
      </c>
      <c r="C11" s="0" t="s">
        <v>345</v>
      </c>
      <c r="E11" s="4" t="n">
        <f aca="false">ROUND('Quarterly MW'!E6*$B$5,0)</f>
        <v>0</v>
      </c>
      <c r="F11" s="4" t="n">
        <f aca="false">ROUND('Quarterly MW'!F6*$B$5,0)</f>
        <v>0</v>
      </c>
      <c r="G11" s="4" t="n">
        <f aca="false">ROUND('Quarterly MW'!G6*$B$5,0)</f>
        <v>0</v>
      </c>
      <c r="H11" s="4" t="n">
        <f aca="false">ROUND('Quarterly MW'!H6*$B$5,0)</f>
        <v>0</v>
      </c>
      <c r="I11" s="4" t="n">
        <f aca="false">ROUND('Quarterly MW'!I6*$B$5,0)</f>
        <v>0</v>
      </c>
      <c r="J11" s="4" t="n">
        <f aca="false">ROUND('Quarterly MW'!J6*$B$5,0)</f>
        <v>0</v>
      </c>
      <c r="K11" s="4" t="n">
        <f aca="false">ROUND('Quarterly MW'!K6*$B$5,0)</f>
        <v>0</v>
      </c>
      <c r="L11" s="4" t="n">
        <f aca="false">ROUND('Quarterly MW'!L6*$B$5,0)</f>
        <v>12869</v>
      </c>
      <c r="M11" s="4" t="n">
        <f aca="false">ROUND('Quarterly MW'!M6*$B$5,0)</f>
        <v>18420</v>
      </c>
      <c r="N11" s="4" t="n">
        <f aca="false">ROUND('Quarterly MW'!N6*$B$5,0)</f>
        <v>19157</v>
      </c>
      <c r="O11" s="4" t="n">
        <f aca="false">ROUND('Quarterly MW'!O6*$B$5,0)</f>
        <v>32419</v>
      </c>
      <c r="P11" s="4" t="n">
        <f aca="false">ROUND('Quarterly MW'!P6*$B$5,0)</f>
        <v>40180</v>
      </c>
      <c r="Q11" s="4" t="n">
        <f aca="false">ROUND('Quarterly MW'!Q6*$B$5,0)</f>
        <v>58207</v>
      </c>
      <c r="R11" s="4" t="n">
        <f aca="false">ROUND('Quarterly MW'!R6*$B$5,0)</f>
        <v>82767</v>
      </c>
      <c r="S11" s="4" t="n">
        <f aca="false">ROUND('Quarterly MW'!S6*$B$5,0)</f>
        <v>98240</v>
      </c>
      <c r="T11" s="4" t="n">
        <f aca="false">ROUND('Quarterly MW'!T6*$B$5,0)</f>
        <v>115432</v>
      </c>
      <c r="U11" s="4" t="n">
        <f aca="false">ROUND('Quarterly MW'!U6*$B$5,0)</f>
        <v>115432</v>
      </c>
      <c r="V11" s="4" t="n">
        <f aca="false">ROUND('Quarterly MW'!V6*$B$5,0)</f>
        <v>115432</v>
      </c>
      <c r="W11" s="4" t="n">
        <f aca="false">ROUND('Quarterly MW'!W6*$B$5,0)</f>
        <v>115432</v>
      </c>
      <c r="X11" s="4" t="n">
        <f aca="false">ROUND('Quarterly MW'!X6*$B$5,0)</f>
        <v>115432</v>
      </c>
      <c r="Y11" s="4" t="n">
        <f aca="false">ROUND('Quarterly MW'!Y6*$B$5,0)</f>
        <v>115432</v>
      </c>
      <c r="Z11" s="4" t="n">
        <f aca="false">ROUND('Quarterly MW'!Z6*$B$5,0)</f>
        <v>115432</v>
      </c>
      <c r="AA11" s="4" t="n">
        <f aca="false">ROUND('Quarterly MW'!AA6*$B$5,0)</f>
        <v>115432</v>
      </c>
      <c r="AB11" s="4" t="n">
        <f aca="false">ROUND('Quarterly MW'!AB6*$B$5,0)</f>
        <v>115432</v>
      </c>
      <c r="AC11" s="4" t="n">
        <f aca="false">ROUND('Quarterly MW'!AC6*$B$5,0)</f>
        <v>115432</v>
      </c>
      <c r="AD11" s="4" t="n">
        <f aca="false">ROUND('Quarterly MW'!AD6*$B$5,0)</f>
        <v>115432</v>
      </c>
      <c r="AE11" s="4" t="n">
        <f aca="false">ROUND('Quarterly MW'!AE6*$B$5,0)</f>
        <v>115432</v>
      </c>
      <c r="AF11" s="4" t="n">
        <f aca="false">ROUND('Quarterly MW'!AF6*$B$5,0)</f>
        <v>115432</v>
      </c>
    </row>
    <row r="12" customFormat="false" ht="15" hidden="false" customHeight="false" outlineLevel="0" collapsed="false">
      <c r="A12" s="0" t="s">
        <v>179</v>
      </c>
      <c r="B12" s="0" t="s">
        <v>397</v>
      </c>
      <c r="C12" s="0" t="s">
        <v>370</v>
      </c>
      <c r="E12" s="4" t="n">
        <f aca="false">ROUND('Quarterly MW'!E11*$C$6,0)</f>
        <v>0</v>
      </c>
      <c r="F12" s="4" t="n">
        <f aca="false">ROUND('Quarterly MW'!F11*$C$6,0)</f>
        <v>0</v>
      </c>
      <c r="G12" s="4" t="n">
        <f aca="false">ROUND('Quarterly MW'!G11*$C$6,0)</f>
        <v>0</v>
      </c>
      <c r="H12" s="4" t="n">
        <f aca="false">ROUND('Quarterly MW'!H11*$C$6,0)</f>
        <v>0</v>
      </c>
      <c r="I12" s="4" t="n">
        <f aca="false">ROUND('Quarterly MW'!I11*$C$6,0)</f>
        <v>0</v>
      </c>
      <c r="J12" s="4" t="n">
        <f aca="false">ROUND('Quarterly MW'!J11*$C$6,0)</f>
        <v>0</v>
      </c>
      <c r="K12" s="4" t="n">
        <f aca="false">ROUND('Quarterly MW'!K11*$C$6,0)</f>
        <v>0</v>
      </c>
      <c r="L12" s="4" t="n">
        <f aca="false">ROUND('Quarterly MW'!L11*$C$6,0)</f>
        <v>0</v>
      </c>
      <c r="M12" s="4" t="n">
        <f aca="false">ROUND('Quarterly MW'!M11*$C$6,0)</f>
        <v>0</v>
      </c>
      <c r="N12" s="4" t="n">
        <f aca="false">ROUND('Quarterly MW'!N11*$C$6,0)</f>
        <v>0</v>
      </c>
      <c r="O12" s="4" t="n">
        <f aca="false">ROUND('Quarterly MW'!O11*$C$6,0)</f>
        <v>0</v>
      </c>
      <c r="P12" s="4" t="n">
        <f aca="false">ROUND('Quarterly MW'!P11*$C$6,0)</f>
        <v>0</v>
      </c>
      <c r="Q12" s="4" t="n">
        <f aca="false">ROUND('Quarterly MW'!Q11*$C$6,0)</f>
        <v>0</v>
      </c>
      <c r="R12" s="4" t="n">
        <f aca="false">ROUND('Quarterly MW'!R11*$C$6,0)</f>
        <v>0</v>
      </c>
      <c r="S12" s="4" t="n">
        <f aca="false">ROUND('Quarterly MW'!S11*$C$6,0)</f>
        <v>13350</v>
      </c>
      <c r="T12" s="4" t="n">
        <f aca="false">ROUND('Quarterly MW'!T11*$C$6,0)</f>
        <v>33375</v>
      </c>
      <c r="U12" s="4" t="n">
        <f aca="false">ROUND('Quarterly MW'!U11*$C$6,0)</f>
        <v>33375</v>
      </c>
      <c r="V12" s="4" t="n">
        <f aca="false">ROUND('Quarterly MW'!V11*$C$6,0)</f>
        <v>46725</v>
      </c>
      <c r="W12" s="4" t="n">
        <f aca="false">ROUND('Quarterly MW'!W11*$C$6,0)</f>
        <v>46725</v>
      </c>
      <c r="X12" s="4" t="n">
        <f aca="false">ROUND('Quarterly MW'!X11*$C$6,0)</f>
        <v>60075</v>
      </c>
      <c r="Y12" s="4" t="n">
        <f aca="false">ROUND('Quarterly MW'!Y11*$C$6,0)</f>
        <v>60075</v>
      </c>
      <c r="Z12" s="4" t="n">
        <f aca="false">ROUND('Quarterly MW'!Z11*$C$6,0)</f>
        <v>120150</v>
      </c>
      <c r="AA12" s="4" t="n">
        <f aca="false">ROUND('Quarterly MW'!AA11*$C$6,0)</f>
        <v>120150</v>
      </c>
      <c r="AB12" s="4" t="n">
        <f aca="false">ROUND('Quarterly MW'!AB11*$C$6,0)</f>
        <v>173550</v>
      </c>
      <c r="AC12" s="4" t="n">
        <f aca="false">ROUND('Quarterly MW'!AC11*$C$6,0)</f>
        <v>173550</v>
      </c>
      <c r="AD12" s="4" t="n">
        <f aca="false">ROUND('Quarterly MW'!AD11*$C$6,0)</f>
        <v>173550</v>
      </c>
      <c r="AE12" s="4" t="n">
        <f aca="false">ROUND('Quarterly MW'!AE11*$C$6,0)</f>
        <v>173550</v>
      </c>
      <c r="AF12" s="4" t="n">
        <f aca="false">ROUND('Quarterly MW'!AF11*$C$6,0)</f>
        <v>253650</v>
      </c>
    </row>
    <row r="13" customFormat="false" ht="15" hidden="false" customHeight="false" outlineLevel="0" collapsed="false">
      <c r="A13" s="0" t="s">
        <v>190</v>
      </c>
      <c r="B13" s="0" t="s">
        <v>397</v>
      </c>
      <c r="C13" s="0" t="s">
        <v>370</v>
      </c>
      <c r="E13" s="4" t="n">
        <f aca="false">ROUND('Quarterly MW'!E16*$C$6,0)</f>
        <v>0</v>
      </c>
      <c r="F13" s="4" t="n">
        <f aca="false">ROUND('Quarterly MW'!F16*$C$6,0)</f>
        <v>0</v>
      </c>
      <c r="G13" s="4" t="n">
        <f aca="false">ROUND('Quarterly MW'!G16*$C$6,0)</f>
        <v>0</v>
      </c>
      <c r="H13" s="4" t="n">
        <f aca="false">ROUND('Quarterly MW'!H16*$C$6,0)</f>
        <v>0</v>
      </c>
      <c r="I13" s="4" t="n">
        <f aca="false">ROUND('Quarterly MW'!I16*$C$6,0)</f>
        <v>0</v>
      </c>
      <c r="J13" s="4" t="n">
        <f aca="false">ROUND('Quarterly MW'!J16*$C$6,0)</f>
        <v>0</v>
      </c>
      <c r="K13" s="4" t="n">
        <f aca="false">ROUND('Quarterly MW'!K16*$C$6,0)</f>
        <v>0</v>
      </c>
      <c r="L13" s="4" t="n">
        <f aca="false">ROUND('Quarterly MW'!L16*$C$6,0)</f>
        <v>0</v>
      </c>
      <c r="M13" s="4" t="n">
        <f aca="false">ROUND('Quarterly MW'!M16*$C$6,0)</f>
        <v>0</v>
      </c>
      <c r="N13" s="4" t="n">
        <f aca="false">ROUND('Quarterly MW'!N16*$C$6,0)</f>
        <v>0</v>
      </c>
      <c r="O13" s="4" t="n">
        <f aca="false">ROUND('Quarterly MW'!O16*$C$6,0)</f>
        <v>0</v>
      </c>
      <c r="P13" s="4" t="n">
        <f aca="false">ROUND('Quarterly MW'!P16*$C$6,0)</f>
        <v>0</v>
      </c>
      <c r="Q13" s="4" t="n">
        <f aca="false">ROUND('Quarterly MW'!Q16*$C$6,0)</f>
        <v>0</v>
      </c>
      <c r="R13" s="4" t="n">
        <f aca="false">ROUND('Quarterly MW'!R16*$C$6,0)</f>
        <v>0</v>
      </c>
      <c r="S13" s="4" t="n">
        <f aca="false">ROUND('Quarterly MW'!S16*$C$6,0)</f>
        <v>0</v>
      </c>
      <c r="T13" s="4" t="n">
        <f aca="false">ROUND('Quarterly MW'!T16*$C$6,0)</f>
        <v>17355</v>
      </c>
      <c r="U13" s="4" t="n">
        <f aca="false">ROUND('Quarterly MW'!U16*$C$6,0)</f>
        <v>34710</v>
      </c>
      <c r="V13" s="4" t="n">
        <f aca="false">ROUND('Quarterly MW'!V16*$C$6,0)</f>
        <v>34710</v>
      </c>
      <c r="W13" s="4" t="n">
        <f aca="false">ROUND('Quarterly MW'!W16*$C$6,0)</f>
        <v>34710</v>
      </c>
      <c r="X13" s="4" t="n">
        <f aca="false">ROUND('Quarterly MW'!X16*$C$6,0)</f>
        <v>70755</v>
      </c>
      <c r="Y13" s="4" t="n">
        <f aca="false">ROUND('Quarterly MW'!Y16*$C$6,0)</f>
        <v>70755</v>
      </c>
      <c r="Z13" s="4" t="n">
        <f aca="false">ROUND('Quarterly MW'!Z16*$C$6,0)</f>
        <v>122820</v>
      </c>
      <c r="AA13" s="4" t="n">
        <f aca="false">ROUND('Quarterly MW'!AA16*$C$6,0)</f>
        <v>122820</v>
      </c>
      <c r="AB13" s="4" t="n">
        <f aca="false">ROUND('Quarterly MW'!AB16*$C$6,0)</f>
        <v>186900</v>
      </c>
      <c r="AC13" s="4" t="n">
        <f aca="false">ROUND('Quarterly MW'!AC16*$C$6,0)</f>
        <v>186900</v>
      </c>
      <c r="AD13" s="4" t="n">
        <f aca="false">ROUND('Quarterly MW'!AD16*$C$6,0)</f>
        <v>186900</v>
      </c>
      <c r="AE13" s="4" t="n">
        <f aca="false">ROUND('Quarterly MW'!AE16*$C$6,0)</f>
        <v>186900</v>
      </c>
      <c r="AF13" s="4" t="n">
        <f aca="false">ROUND('Quarterly MW'!AF16*$C$6,0)</f>
        <v>248310</v>
      </c>
    </row>
    <row r="14" customFormat="false" ht="15" hidden="false" customHeight="false" outlineLevel="0" collapsed="false">
      <c r="A14" s="0" t="s">
        <v>198</v>
      </c>
      <c r="B14" s="0" t="s">
        <v>397</v>
      </c>
      <c r="C14" s="0" t="s">
        <v>370</v>
      </c>
      <c r="E14" s="4" t="n">
        <f aca="false">ROUND('Quarterly MW'!E21*$C$6,0)</f>
        <v>0</v>
      </c>
      <c r="F14" s="4" t="n">
        <f aca="false">ROUND('Quarterly MW'!F21*$C$6,0)</f>
        <v>0</v>
      </c>
      <c r="G14" s="4" t="n">
        <f aca="false">ROUND('Quarterly MW'!G21*$C$6,0)</f>
        <v>0</v>
      </c>
      <c r="H14" s="4" t="n">
        <f aca="false">ROUND('Quarterly MW'!H21*$C$6,0)</f>
        <v>0</v>
      </c>
      <c r="I14" s="4" t="n">
        <f aca="false">ROUND('Quarterly MW'!I21*$C$6,0)</f>
        <v>0</v>
      </c>
      <c r="J14" s="4" t="n">
        <f aca="false">ROUND('Quarterly MW'!J21*$C$6,0)</f>
        <v>0</v>
      </c>
      <c r="K14" s="4" t="n">
        <f aca="false">ROUND('Quarterly MW'!K21*$C$6,0)</f>
        <v>0</v>
      </c>
      <c r="L14" s="4" t="n">
        <f aca="false">ROUND('Quarterly MW'!L21*$C$6,0)</f>
        <v>0</v>
      </c>
      <c r="M14" s="4" t="n">
        <f aca="false">ROUND('Quarterly MW'!M21*$C$6,0)</f>
        <v>0</v>
      </c>
      <c r="N14" s="4" t="n">
        <f aca="false">ROUND('Quarterly MW'!N21*$C$6,0)</f>
        <v>0</v>
      </c>
      <c r="O14" s="4" t="n">
        <f aca="false">ROUND('Quarterly MW'!O21*$C$6,0)</f>
        <v>0</v>
      </c>
      <c r="P14" s="4" t="n">
        <f aca="false">ROUND('Quarterly MW'!P21*$C$6,0)</f>
        <v>0</v>
      </c>
      <c r="Q14" s="4" t="n">
        <f aca="false">ROUND('Quarterly MW'!Q21*$C$6,0)</f>
        <v>3338</v>
      </c>
      <c r="R14" s="4" t="n">
        <f aca="false">ROUND('Quarterly MW'!R21*$C$6,0)</f>
        <v>6675</v>
      </c>
      <c r="S14" s="4" t="n">
        <f aca="false">ROUND('Quarterly MW'!S21*$C$6,0)</f>
        <v>13350</v>
      </c>
      <c r="T14" s="4" t="n">
        <f aca="false">ROUND('Quarterly MW'!T21*$C$6,0)</f>
        <v>20025</v>
      </c>
      <c r="U14" s="4" t="n">
        <f aca="false">ROUND('Quarterly MW'!U21*$C$6,0)</f>
        <v>20025</v>
      </c>
      <c r="V14" s="4" t="n">
        <f aca="false">ROUND('Quarterly MW'!V21*$C$6,0)</f>
        <v>40050</v>
      </c>
      <c r="W14" s="4" t="n">
        <f aca="false">ROUND('Quarterly MW'!W21*$C$6,0)</f>
        <v>40050</v>
      </c>
      <c r="X14" s="4" t="n">
        <f aca="false">ROUND('Quarterly MW'!X21*$C$6,0)</f>
        <v>66750</v>
      </c>
      <c r="Y14" s="4" t="n">
        <f aca="false">ROUND('Quarterly MW'!Y21*$C$6,0)</f>
        <v>66750</v>
      </c>
      <c r="Z14" s="4" t="n">
        <f aca="false">ROUND('Quarterly MW'!Z21*$C$6,0)</f>
        <v>66750</v>
      </c>
      <c r="AA14" s="4" t="n">
        <f aca="false">ROUND('Quarterly MW'!AA21*$C$6,0)</f>
        <v>66750</v>
      </c>
      <c r="AB14" s="4" t="n">
        <f aca="false">ROUND('Quarterly MW'!AB21*$C$6,0)</f>
        <v>80100</v>
      </c>
      <c r="AC14" s="4" t="n">
        <f aca="false">ROUND('Quarterly MW'!AC21*$C$6,0)</f>
        <v>80100</v>
      </c>
      <c r="AD14" s="4" t="n">
        <f aca="false">ROUND('Quarterly MW'!AD21*$C$6,0)</f>
        <v>80100</v>
      </c>
      <c r="AE14" s="4" t="n">
        <f aca="false">ROUND('Quarterly MW'!AE21*$C$6,0)</f>
        <v>80100</v>
      </c>
      <c r="AF14" s="4" t="n">
        <f aca="false">ROUND('Quarterly MW'!AF21*$C$6,0)</f>
        <v>80100</v>
      </c>
    </row>
    <row r="15" customFormat="false" ht="15" hidden="false" customHeight="false" outlineLevel="0" collapsed="false">
      <c r="A15" s="0" t="s">
        <v>50</v>
      </c>
      <c r="B15" s="0" t="s">
        <v>395</v>
      </c>
      <c r="C15" s="0" t="s">
        <v>370</v>
      </c>
      <c r="E15" s="4" t="n">
        <f aca="false">ROUND('Quarterly MW'!E26*$C$5,0)</f>
        <v>0</v>
      </c>
      <c r="F15" s="4" t="n">
        <f aca="false">ROUND('Quarterly MW'!F26*$C$5,0)</f>
        <v>0</v>
      </c>
      <c r="G15" s="4" t="n">
        <f aca="false">ROUND('Quarterly MW'!G26*$C$5,0)</f>
        <v>0</v>
      </c>
      <c r="H15" s="4" t="n">
        <f aca="false">ROUND('Quarterly MW'!H26*$C$5,0)</f>
        <v>0</v>
      </c>
      <c r="I15" s="4" t="n">
        <f aca="false">ROUND('Quarterly MW'!I26*$C$5,0)</f>
        <v>0</v>
      </c>
      <c r="J15" s="4" t="n">
        <f aca="false">ROUND('Quarterly MW'!J26*$C$5,0)</f>
        <v>0</v>
      </c>
      <c r="K15" s="4" t="n">
        <f aca="false">ROUND('Quarterly MW'!K26*$C$5,0)</f>
        <v>0</v>
      </c>
      <c r="L15" s="4" t="n">
        <f aca="false">ROUND('Quarterly MW'!L26*$C$5,0)</f>
        <v>0</v>
      </c>
      <c r="M15" s="4" t="n">
        <f aca="false">ROUND('Quarterly MW'!M26*$C$5,0)</f>
        <v>0</v>
      </c>
      <c r="N15" s="4" t="n">
        <f aca="false">ROUND('Quarterly MW'!N26*$C$5,0)</f>
        <v>0</v>
      </c>
      <c r="O15" s="4" t="n">
        <f aca="false">ROUND('Quarterly MW'!O26*$C$5,0)</f>
        <v>0</v>
      </c>
      <c r="P15" s="4" t="n">
        <f aca="false">ROUND('Quarterly MW'!P26*$C$5,0)</f>
        <v>12279</v>
      </c>
      <c r="Q15" s="4" t="n">
        <f aca="false">ROUND('Quarterly MW'!Q26*$C$5,0)</f>
        <v>30084</v>
      </c>
      <c r="R15" s="4" t="n">
        <f aca="false">ROUND('Quarterly MW'!R26*$C$5,0)</f>
        <v>49116</v>
      </c>
      <c r="S15" s="4" t="n">
        <f aca="false">ROUND('Quarterly MW'!S26*$C$5,0)</f>
        <v>49116</v>
      </c>
      <c r="T15" s="4" t="n">
        <f aca="false">ROUND('Quarterly MW'!T26*$C$5,0)</f>
        <v>73674</v>
      </c>
      <c r="U15" s="4" t="n">
        <f aca="false">ROUND('Quarterly MW'!U26*$C$5,0)</f>
        <v>73674</v>
      </c>
      <c r="V15" s="4" t="n">
        <f aca="false">ROUND('Quarterly MW'!V26*$C$5,0)</f>
        <v>73674</v>
      </c>
      <c r="W15" s="4" t="n">
        <f aca="false">ROUND('Quarterly MW'!W26*$C$5,0)</f>
        <v>73674</v>
      </c>
      <c r="X15" s="4" t="n">
        <f aca="false">ROUND('Quarterly MW'!X26*$C$5,0)</f>
        <v>98232</v>
      </c>
      <c r="Y15" s="4" t="n">
        <f aca="false">ROUND('Quarterly MW'!Y26*$C$5,0)</f>
        <v>98232</v>
      </c>
      <c r="Z15" s="4" t="n">
        <f aca="false">ROUND('Quarterly MW'!Z26*$C$5,0)</f>
        <v>98232</v>
      </c>
      <c r="AA15" s="4" t="n">
        <f aca="false">ROUND('Quarterly MW'!AA26*$C$5,0)</f>
        <v>98232</v>
      </c>
      <c r="AB15" s="4" t="n">
        <f aca="false">ROUND('Quarterly MW'!AB26*$C$5,0)</f>
        <v>98232</v>
      </c>
      <c r="AC15" s="4" t="n">
        <f aca="false">ROUND('Quarterly MW'!AC26*$C$5,0)</f>
        <v>98232</v>
      </c>
      <c r="AD15" s="4" t="n">
        <f aca="false">ROUND('Quarterly MW'!AD26*$C$5,0)</f>
        <v>98232</v>
      </c>
      <c r="AE15" s="4" t="n">
        <f aca="false">ROUND('Quarterly MW'!AE26*$C$5,0)</f>
        <v>98232</v>
      </c>
      <c r="AF15" s="4" t="n">
        <f aca="false">ROUND('Quarterly MW'!AF26*$C$5,0)</f>
        <v>98232</v>
      </c>
    </row>
    <row r="16" customFormat="false" ht="15" hidden="false" customHeight="false" outlineLevel="0" collapsed="false">
      <c r="A16" s="0" t="s">
        <v>214</v>
      </c>
      <c r="B16" s="0" t="s">
        <v>397</v>
      </c>
      <c r="C16" s="0" t="s">
        <v>370</v>
      </c>
      <c r="E16" s="4" t="n">
        <f aca="false">ROUND('Quarterly MW'!E31*$C$6,0)</f>
        <v>0</v>
      </c>
      <c r="F16" s="4" t="n">
        <f aca="false">ROUND('Quarterly MW'!F31*$C$6,0)</f>
        <v>0</v>
      </c>
      <c r="G16" s="4" t="n">
        <f aca="false">ROUND('Quarterly MW'!G31*$C$6,0)</f>
        <v>0</v>
      </c>
      <c r="H16" s="4" t="n">
        <f aca="false">ROUND('Quarterly MW'!H31*$C$6,0)</f>
        <v>0</v>
      </c>
      <c r="I16" s="4" t="n">
        <f aca="false">ROUND('Quarterly MW'!I31*$C$6,0)</f>
        <v>0</v>
      </c>
      <c r="J16" s="4" t="n">
        <f aca="false">ROUND('Quarterly MW'!J31*$C$6,0)</f>
        <v>0</v>
      </c>
      <c r="K16" s="4" t="n">
        <f aca="false">ROUND('Quarterly MW'!K31*$C$6,0)</f>
        <v>0</v>
      </c>
      <c r="L16" s="4" t="n">
        <f aca="false">ROUND('Quarterly MW'!L31*$C$6,0)</f>
        <v>0</v>
      </c>
      <c r="M16" s="4" t="n">
        <f aca="false">ROUND('Quarterly MW'!M31*$C$6,0)</f>
        <v>0</v>
      </c>
      <c r="N16" s="4" t="n">
        <f aca="false">ROUND('Quarterly MW'!N31*$C$6,0)</f>
        <v>0</v>
      </c>
      <c r="O16" s="4" t="n">
        <f aca="false">ROUND('Quarterly MW'!O31*$C$6,0)</f>
        <v>0</v>
      </c>
      <c r="P16" s="4" t="n">
        <f aca="false">ROUND('Quarterly MW'!P31*$C$6,0)</f>
        <v>0</v>
      </c>
      <c r="Q16" s="4" t="n">
        <f aca="false">ROUND('Quarterly MW'!Q31*$C$6,0)</f>
        <v>0</v>
      </c>
      <c r="R16" s="4" t="n">
        <f aca="false">ROUND('Quarterly MW'!R31*$C$6,0)</f>
        <v>4673</v>
      </c>
      <c r="S16" s="4" t="n">
        <f aca="false">ROUND('Quarterly MW'!S31*$C$6,0)</f>
        <v>9345</v>
      </c>
      <c r="T16" s="4" t="n">
        <f aca="false">ROUND('Quarterly MW'!T31*$C$6,0)</f>
        <v>14018</v>
      </c>
      <c r="U16" s="4" t="n">
        <f aca="false">ROUND('Quarterly MW'!U31*$C$6,0)</f>
        <v>14018</v>
      </c>
      <c r="V16" s="4" t="n">
        <f aca="false">ROUND('Quarterly MW'!V31*$C$6,0)</f>
        <v>28035</v>
      </c>
      <c r="W16" s="4" t="n">
        <f aca="false">ROUND('Quarterly MW'!W31*$C$6,0)</f>
        <v>28035</v>
      </c>
      <c r="X16" s="4" t="n">
        <f aca="false">ROUND('Quarterly MW'!X31*$C$6,0)</f>
        <v>45390</v>
      </c>
      <c r="Y16" s="4" t="n">
        <f aca="false">ROUND('Quarterly MW'!Y31*$C$6,0)</f>
        <v>45390</v>
      </c>
      <c r="Z16" s="4" t="n">
        <f aca="false">ROUND('Quarterly MW'!Z31*$C$6,0)</f>
        <v>45390</v>
      </c>
      <c r="AA16" s="4" t="n">
        <f aca="false">ROUND('Quarterly MW'!AA31*$C$6,0)</f>
        <v>45390</v>
      </c>
      <c r="AB16" s="4" t="n">
        <f aca="false">ROUND('Quarterly MW'!AB31*$C$6,0)</f>
        <v>70755</v>
      </c>
      <c r="AC16" s="4" t="n">
        <f aca="false">ROUND('Quarterly MW'!AC31*$C$6,0)</f>
        <v>70755</v>
      </c>
      <c r="AD16" s="4" t="n">
        <f aca="false">ROUND('Quarterly MW'!AD31*$C$6,0)</f>
        <v>70755</v>
      </c>
      <c r="AE16" s="4" t="n">
        <f aca="false">ROUND('Quarterly MW'!AE31*$C$6,0)</f>
        <v>70755</v>
      </c>
      <c r="AF16" s="4" t="n">
        <f aca="false">ROUND('Quarterly MW'!AF31*$C$6,0)</f>
        <v>82770</v>
      </c>
    </row>
    <row r="17" customFormat="false" ht="15" hidden="false" customHeight="false" outlineLevel="0" collapsed="false">
      <c r="A17" s="0" t="s">
        <v>221</v>
      </c>
      <c r="B17" s="0" t="s">
        <v>401</v>
      </c>
      <c r="C17" s="0" t="s">
        <v>370</v>
      </c>
      <c r="E17" s="4" t="n">
        <f aca="false">ROUND(MIN('Quarterly MW'!E36,25)*$C$2+MAX('Quarterly MW'!E36-25,0)*$C$5,0)</f>
        <v>13713</v>
      </c>
      <c r="F17" s="4" t="n">
        <f aca="false">ROUND(MIN('Quarterly MW'!F36,25)*$C$2+MAX('Quarterly MW'!F36-25,0)*$C$5,0)</f>
        <v>13713</v>
      </c>
      <c r="G17" s="4" t="n">
        <f aca="false">ROUND(MIN('Quarterly MW'!G36,25)*$C$2+MAX('Quarterly MW'!G36-25,0)*$C$5,0)</f>
        <v>13713</v>
      </c>
      <c r="H17" s="4" t="n">
        <f aca="false">ROUND(MIN('Quarterly MW'!H36,25)*$C$2+MAX('Quarterly MW'!H36-25,0)*$C$5,0)</f>
        <v>13713</v>
      </c>
      <c r="I17" s="4" t="n">
        <f aca="false">ROUND(MIN('Quarterly MW'!I36,25)*$C$2+MAX('Quarterly MW'!I36-25,0)*$C$5,0)</f>
        <v>13713</v>
      </c>
      <c r="J17" s="4" t="n">
        <f aca="false">ROUND(MIN('Quarterly MW'!J36,25)*$C$2+MAX('Quarterly MW'!J36-25,0)*$C$5,0)</f>
        <v>13713</v>
      </c>
      <c r="K17" s="4" t="n">
        <f aca="false">ROUND(MIN('Quarterly MW'!K36,25)*$C$2+MAX('Quarterly MW'!K36-25,0)*$C$5,0)</f>
        <v>18829</v>
      </c>
      <c r="L17" s="4" t="n">
        <f aca="false">ROUND(MIN('Quarterly MW'!L36,25)*$C$2+MAX('Quarterly MW'!L36-25,0)*$C$5,0)</f>
        <v>29061</v>
      </c>
      <c r="M17" s="4" t="n">
        <f aca="false">ROUND(MIN('Quarterly MW'!M36,25)*$C$2+MAX('Quarterly MW'!M36-25,0)*$C$5,0)</f>
        <v>34178</v>
      </c>
      <c r="N17" s="4" t="n">
        <f aca="false">ROUND(MIN('Quarterly MW'!N36,25)*$C$2+MAX('Quarterly MW'!N36-25,0)*$C$5,0)</f>
        <v>34178</v>
      </c>
      <c r="O17" s="4" t="n">
        <f aca="false">ROUND(MIN('Quarterly MW'!O36,25)*$C$2+MAX('Quarterly MW'!O36-25,0)*$C$5,0)</f>
        <v>34178</v>
      </c>
      <c r="P17" s="4" t="n">
        <f aca="false">ROUND(MIN('Quarterly MW'!P36,25)*$C$2+MAX('Quarterly MW'!P36-25,0)*$C$5,0)</f>
        <v>34178</v>
      </c>
      <c r="Q17" s="4" t="n">
        <f aca="false">ROUND(MIN('Quarterly MW'!Q36,25)*$C$2+MAX('Quarterly MW'!Q36-25,0)*$C$5,0)</f>
        <v>34178</v>
      </c>
      <c r="R17" s="4" t="n">
        <f aca="false">ROUND(MIN('Quarterly MW'!R36,25)*$C$2+MAX('Quarterly MW'!R36-25,0)*$C$5,0)</f>
        <v>34178</v>
      </c>
      <c r="S17" s="4" t="n">
        <f aca="false">ROUND(MIN('Quarterly MW'!S36,25)*$C$2+MAX('Quarterly MW'!S36-25,0)*$C$5,0)</f>
        <v>34178</v>
      </c>
      <c r="T17" s="4" t="n">
        <f aca="false">ROUND(MIN('Quarterly MW'!T36,25)*$C$2+MAX('Quarterly MW'!T36-25,0)*$C$5,0)</f>
        <v>34178</v>
      </c>
      <c r="U17" s="4" t="n">
        <f aca="false">ROUND(MIN('Quarterly MW'!U36,25)*$C$2+MAX('Quarterly MW'!U36-25,0)*$C$5,0)</f>
        <v>34178</v>
      </c>
      <c r="V17" s="4" t="n">
        <f aca="false">ROUND(MIN('Quarterly MW'!V36,25)*$C$2+MAX('Quarterly MW'!V36-25,0)*$C$5,0)</f>
        <v>34178</v>
      </c>
      <c r="W17" s="4" t="n">
        <f aca="false">ROUND(MIN('Quarterly MW'!W36,25)*$C$2+MAX('Quarterly MW'!W36-25,0)*$C$5,0)</f>
        <v>34178</v>
      </c>
      <c r="X17" s="4" t="n">
        <f aca="false">ROUND(MIN('Quarterly MW'!X36,25)*$C$2+MAX('Quarterly MW'!X36-25,0)*$C$5,0)</f>
        <v>34178</v>
      </c>
      <c r="Y17" s="4" t="n">
        <f aca="false">ROUND(MIN('Quarterly MW'!Y36,25)*$C$2+MAX('Quarterly MW'!Y36-25,0)*$C$5,0)</f>
        <v>34178</v>
      </c>
      <c r="Z17" s="4" t="n">
        <f aca="false">ROUND(MIN('Quarterly MW'!Z36,25)*$C$2+MAX('Quarterly MW'!Z36-25,0)*$C$5,0)</f>
        <v>34178</v>
      </c>
      <c r="AA17" s="4" t="n">
        <f aca="false">ROUND(MIN('Quarterly MW'!AA36,25)*$C$2+MAX('Quarterly MW'!AA36-25,0)*$C$5,0)</f>
        <v>34178</v>
      </c>
      <c r="AB17" s="4" t="n">
        <f aca="false">ROUND(MIN('Quarterly MW'!AB36,25)*$C$2+MAX('Quarterly MW'!AB36-25,0)*$C$5,0)</f>
        <v>34178</v>
      </c>
      <c r="AC17" s="4" t="n">
        <f aca="false">ROUND(MIN('Quarterly MW'!AC36,25)*$C$2+MAX('Quarterly MW'!AC36-25,0)*$C$5,0)</f>
        <v>34178</v>
      </c>
      <c r="AD17" s="4" t="n">
        <f aca="false">ROUND(MIN('Quarterly MW'!AD36,25)*$C$2+MAX('Quarterly MW'!AD36-25,0)*$C$5,0)</f>
        <v>34178</v>
      </c>
      <c r="AE17" s="4" t="n">
        <f aca="false">ROUND(MIN('Quarterly MW'!AE36,25)*$C$2+MAX('Quarterly MW'!AE36-25,0)*$C$5,0)</f>
        <v>34178</v>
      </c>
      <c r="AF17" s="4" t="n">
        <f aca="false">ROUND(MIN('Quarterly MW'!AF36,25)*$C$2+MAX('Quarterly MW'!AF36-25,0)*$C$5,0)</f>
        <v>34178</v>
      </c>
    </row>
    <row r="18" customFormat="false" ht="15" hidden="false" customHeight="false" outlineLevel="0" collapsed="false">
      <c r="A18" s="0" t="s">
        <v>231</v>
      </c>
      <c r="B18" s="0" t="s">
        <v>397</v>
      </c>
      <c r="C18" s="0" t="s">
        <v>370</v>
      </c>
      <c r="E18" s="4" t="n">
        <f aca="false">ROUND('Quarterly MW'!E41*$C$6,0)</f>
        <v>0</v>
      </c>
      <c r="F18" s="4" t="n">
        <f aca="false">ROUND('Quarterly MW'!F41*$C$6,0)</f>
        <v>0</v>
      </c>
      <c r="G18" s="4" t="n">
        <f aca="false">ROUND('Quarterly MW'!G41*$C$6,0)</f>
        <v>0</v>
      </c>
      <c r="H18" s="4" t="n">
        <f aca="false">ROUND('Quarterly MW'!H41*$C$6,0)</f>
        <v>0</v>
      </c>
      <c r="I18" s="4" t="n">
        <f aca="false">ROUND('Quarterly MW'!I41*$C$6,0)</f>
        <v>0</v>
      </c>
      <c r="J18" s="4" t="n">
        <f aca="false">ROUND('Quarterly MW'!J41*$C$6,0)</f>
        <v>0</v>
      </c>
      <c r="K18" s="4" t="n">
        <f aca="false">ROUND('Quarterly MW'!K41*$C$6,0)</f>
        <v>0</v>
      </c>
      <c r="L18" s="4" t="n">
        <f aca="false">ROUND('Quarterly MW'!L41*$C$6,0)</f>
        <v>0</v>
      </c>
      <c r="M18" s="4" t="n">
        <f aca="false">ROUND('Quarterly MW'!M41*$C$6,0)</f>
        <v>0</v>
      </c>
      <c r="N18" s="4" t="n">
        <f aca="false">ROUND('Quarterly MW'!N41*$C$6,0)</f>
        <v>0</v>
      </c>
      <c r="O18" s="4" t="n">
        <f aca="false">ROUND('Quarterly MW'!O41*$C$6,0)</f>
        <v>0</v>
      </c>
      <c r="P18" s="4" t="n">
        <f aca="false">ROUND('Quarterly MW'!P41*$C$6,0)</f>
        <v>0</v>
      </c>
      <c r="Q18" s="4" t="n">
        <f aca="false">ROUND('Quarterly MW'!Q41*$C$6,0)</f>
        <v>0</v>
      </c>
      <c r="R18" s="4" t="n">
        <f aca="false">ROUND('Quarterly MW'!R41*$C$6,0)</f>
        <v>0</v>
      </c>
      <c r="S18" s="4" t="n">
        <f aca="false">ROUND('Quarterly MW'!S41*$C$6,0)</f>
        <v>0</v>
      </c>
      <c r="T18" s="4" t="n">
        <f aca="false">ROUND('Quarterly MW'!T41*$C$6,0)</f>
        <v>4673</v>
      </c>
      <c r="U18" s="4" t="n">
        <f aca="false">ROUND('Quarterly MW'!U41*$C$6,0)</f>
        <v>14018</v>
      </c>
      <c r="V18" s="4" t="n">
        <f aca="false">ROUND('Quarterly MW'!V41*$C$6,0)</f>
        <v>18690</v>
      </c>
      <c r="W18" s="4" t="n">
        <f aca="false">ROUND('Quarterly MW'!W41*$C$6,0)</f>
        <v>18690</v>
      </c>
      <c r="X18" s="4" t="n">
        <f aca="false">ROUND('Quarterly MW'!X41*$C$6,0)</f>
        <v>18690</v>
      </c>
      <c r="Y18" s="4" t="n">
        <f aca="false">ROUND('Quarterly MW'!Y41*$C$6,0)</f>
        <v>18690</v>
      </c>
      <c r="Z18" s="4" t="n">
        <f aca="false">ROUND('Quarterly MW'!Z41*$C$6,0)</f>
        <v>18690</v>
      </c>
      <c r="AA18" s="4" t="n">
        <f aca="false">ROUND('Quarterly MW'!AA41*$C$6,0)</f>
        <v>18690</v>
      </c>
      <c r="AB18" s="4" t="n">
        <f aca="false">ROUND('Quarterly MW'!AB41*$C$6,0)</f>
        <v>18690</v>
      </c>
      <c r="AC18" s="4" t="n">
        <f aca="false">ROUND('Quarterly MW'!AC41*$C$6,0)</f>
        <v>18690</v>
      </c>
      <c r="AD18" s="4" t="n">
        <f aca="false">ROUND('Quarterly MW'!AD41*$C$6,0)</f>
        <v>18690</v>
      </c>
      <c r="AE18" s="4" t="n">
        <f aca="false">ROUND('Quarterly MW'!AE41*$C$6,0)</f>
        <v>18690</v>
      </c>
      <c r="AF18" s="4" t="n">
        <f aca="false">ROUND('Quarterly MW'!AF41*$C$6,0)</f>
        <v>18690</v>
      </c>
    </row>
    <row r="19" customFormat="false" ht="15" hidden="false" customHeight="false" outlineLevel="0" collapsed="false">
      <c r="A19" s="0" t="s">
        <v>52</v>
      </c>
      <c r="B19" s="0" t="s">
        <v>402</v>
      </c>
      <c r="C19" s="0" t="s">
        <v>370</v>
      </c>
      <c r="E19" s="4" t="n">
        <f aca="false">ROUND(MIN('Quarterly MW'!E46,10)*$C$2+MAX('Quarterly MW'!E46-10,0)*$C$3,0)</f>
        <v>0</v>
      </c>
      <c r="F19" s="4" t="n">
        <f aca="false">ROUND(MIN('Quarterly MW'!F46,10)*$C$2+MAX('Quarterly MW'!F46-10,0)*$C$3,0)</f>
        <v>0</v>
      </c>
      <c r="G19" s="4" t="n">
        <f aca="false">ROUND(MIN('Quarterly MW'!G46,10)*$C$2+MAX('Quarterly MW'!G46-10,0)*$C$3,0)</f>
        <v>0</v>
      </c>
      <c r="H19" s="4" t="n">
        <f aca="false">ROUND(MIN('Quarterly MW'!H46,10)*$C$2+MAX('Quarterly MW'!H46-10,0)*$C$3,0)</f>
        <v>0</v>
      </c>
      <c r="I19" s="4" t="n">
        <f aca="false">ROUND(MIN('Quarterly MW'!I46,10)*$C$2+MAX('Quarterly MW'!I46-10,0)*$C$3,0)</f>
        <v>5485</v>
      </c>
      <c r="J19" s="4" t="n">
        <f aca="false">ROUND(MIN('Quarterly MW'!J46,10)*$C$2+MAX('Quarterly MW'!J46-10,0)*$C$3,0)</f>
        <v>5485</v>
      </c>
      <c r="K19" s="4" t="n">
        <f aca="false">ROUND(MIN('Quarterly MW'!K46,10)*$C$2+MAX('Quarterly MW'!K46-10,0)*$C$3,0)</f>
        <v>5485</v>
      </c>
      <c r="L19" s="4" t="n">
        <f aca="false">ROUND(MIN('Quarterly MW'!L46,10)*$C$2+MAX('Quarterly MW'!L46-10,0)*$C$3,0)</f>
        <v>9397</v>
      </c>
      <c r="M19" s="4" t="n">
        <f aca="false">ROUND(MIN('Quarterly MW'!M46,10)*$C$2+MAX('Quarterly MW'!M46-10,0)*$C$3,0)</f>
        <v>9397</v>
      </c>
      <c r="N19" s="4" t="n">
        <f aca="false">ROUND(MIN('Quarterly MW'!N46,10)*$C$2+MAX('Quarterly MW'!N46-10,0)*$C$3,0)</f>
        <v>9397</v>
      </c>
      <c r="O19" s="4" t="n">
        <f aca="false">ROUND(MIN('Quarterly MW'!O46,10)*$C$2+MAX('Quarterly MW'!O46-10,0)*$C$3,0)</f>
        <v>9397</v>
      </c>
      <c r="P19" s="4" t="n">
        <f aca="false">ROUND(MIN('Quarterly MW'!P46,10)*$C$2+MAX('Quarterly MW'!P46-10,0)*$C$3,0)</f>
        <v>9397</v>
      </c>
      <c r="Q19" s="4" t="n">
        <f aca="false">ROUND(MIN('Quarterly MW'!Q46,10)*$C$2+MAX('Quarterly MW'!Q46-10,0)*$C$3,0)</f>
        <v>9397</v>
      </c>
      <c r="R19" s="4" t="n">
        <f aca="false">ROUND(MIN('Quarterly MW'!R46,10)*$C$2+MAX('Quarterly MW'!R46-10,0)*$C$3,0)</f>
        <v>9397</v>
      </c>
      <c r="S19" s="4" t="n">
        <f aca="false">ROUND(MIN('Quarterly MW'!S46,10)*$C$2+MAX('Quarterly MW'!S46-10,0)*$C$3,0)</f>
        <v>9397</v>
      </c>
      <c r="T19" s="4" t="n">
        <f aca="false">ROUND(MIN('Quarterly MW'!T46,10)*$C$2+MAX('Quarterly MW'!T46-10,0)*$C$3,0)</f>
        <v>13309</v>
      </c>
      <c r="U19" s="4" t="n">
        <f aca="false">ROUND(MIN('Quarterly MW'!U46,10)*$C$2+MAX('Quarterly MW'!U46-10,0)*$C$3,0)</f>
        <v>13309</v>
      </c>
      <c r="V19" s="4" t="n">
        <f aca="false">ROUND(MIN('Quarterly MW'!V46,10)*$C$2+MAX('Quarterly MW'!V46-10,0)*$C$3,0)</f>
        <v>13309</v>
      </c>
      <c r="W19" s="4" t="n">
        <f aca="false">ROUND(MIN('Quarterly MW'!W46,10)*$C$2+MAX('Quarterly MW'!W46-10,0)*$C$3,0)</f>
        <v>13309</v>
      </c>
      <c r="X19" s="4" t="n">
        <f aca="false">ROUND(MIN('Quarterly MW'!X46,10)*$C$2+MAX('Quarterly MW'!X46-10,0)*$C$3,0)</f>
        <v>13309</v>
      </c>
      <c r="Y19" s="4" t="n">
        <f aca="false">ROUND(MIN('Quarterly MW'!Y46,10)*$C$2+MAX('Quarterly MW'!Y46-10,0)*$C$3,0)</f>
        <v>13309</v>
      </c>
      <c r="Z19" s="4" t="n">
        <f aca="false">ROUND(MIN('Quarterly MW'!Z46,10)*$C$2+MAX('Quarterly MW'!Z46-10,0)*$C$3,0)</f>
        <v>13309</v>
      </c>
      <c r="AA19" s="4" t="n">
        <f aca="false">ROUND(MIN('Quarterly MW'!AA46,10)*$C$2+MAX('Quarterly MW'!AA46-10,0)*$C$3,0)</f>
        <v>13309</v>
      </c>
      <c r="AB19" s="4" t="n">
        <f aca="false">ROUND(MIN('Quarterly MW'!AB46,10)*$C$2+MAX('Quarterly MW'!AB46-10,0)*$C$3,0)</f>
        <v>13309</v>
      </c>
      <c r="AC19" s="4" t="n">
        <f aca="false">ROUND(MIN('Quarterly MW'!AC46,10)*$C$2+MAX('Quarterly MW'!AC46-10,0)*$C$3,0)</f>
        <v>13309</v>
      </c>
      <c r="AD19" s="4" t="n">
        <f aca="false">ROUND(MIN('Quarterly MW'!AD46,10)*$C$2+MAX('Quarterly MW'!AD46-10,0)*$C$3,0)</f>
        <v>13309</v>
      </c>
      <c r="AE19" s="4" t="n">
        <f aca="false">ROUND(MIN('Quarterly MW'!AE46,10)*$C$2+MAX('Quarterly MW'!AE46-10,0)*$C$3,0)</f>
        <v>13309</v>
      </c>
      <c r="AF19" s="4" t="n">
        <f aca="false">ROUND(MIN('Quarterly MW'!AF46,10)*$C$2+MAX('Quarterly MW'!AF46-10,0)*$C$3,0)</f>
        <v>13309</v>
      </c>
    </row>
    <row r="20" customFormat="false" ht="15" hidden="false" customHeight="false" outlineLevel="0" collapsed="false">
      <c r="A20" s="0" t="s">
        <v>54</v>
      </c>
      <c r="B20" s="0" t="s">
        <v>246</v>
      </c>
      <c r="C20" s="0" t="s">
        <v>370</v>
      </c>
      <c r="E20" s="4" t="n">
        <f aca="false">ROUND('Quarterly MW'!E51*$C$2,0)</f>
        <v>0</v>
      </c>
      <c r="F20" s="4" t="n">
        <f aca="false">ROUND('Quarterly MW'!F51*$C$2,0)</f>
        <v>0</v>
      </c>
      <c r="G20" s="4" t="n">
        <f aca="false">ROUND('Quarterly MW'!G51*$C$2,0)</f>
        <v>0</v>
      </c>
      <c r="H20" s="4" t="n">
        <f aca="false">ROUND('Quarterly MW'!H51*$C$2,0)</f>
        <v>2743</v>
      </c>
      <c r="I20" s="4" t="n">
        <f aca="false">ROUND('Quarterly MW'!I51*$C$2,0)</f>
        <v>2743</v>
      </c>
      <c r="J20" s="4" t="n">
        <f aca="false">ROUND('Quarterly MW'!J51*$C$2,0)</f>
        <v>2743</v>
      </c>
      <c r="K20" s="4" t="n">
        <f aca="false">ROUND('Quarterly MW'!K51*$C$2,0)</f>
        <v>2743</v>
      </c>
      <c r="L20" s="4" t="n">
        <f aca="false">ROUND('Quarterly MW'!L51*$C$2,0)</f>
        <v>2743</v>
      </c>
      <c r="M20" s="4" t="n">
        <f aca="false">ROUND('Quarterly MW'!M51*$C$2,0)</f>
        <v>2743</v>
      </c>
      <c r="N20" s="4" t="n">
        <f aca="false">ROUND('Quarterly MW'!N51*$C$2,0)</f>
        <v>2743</v>
      </c>
      <c r="O20" s="4" t="n">
        <f aca="false">ROUND('Quarterly MW'!O51*$C$2,0)</f>
        <v>2743</v>
      </c>
      <c r="P20" s="4" t="n">
        <f aca="false">ROUND('Quarterly MW'!P51*$C$2,0)</f>
        <v>2743</v>
      </c>
      <c r="Q20" s="4" t="n">
        <f aca="false">ROUND('Quarterly MW'!Q51*$C$2,0)</f>
        <v>2743</v>
      </c>
      <c r="R20" s="4" t="n">
        <f aca="false">ROUND('Quarterly MW'!R51*$C$2,0)</f>
        <v>2743</v>
      </c>
      <c r="S20" s="4" t="n">
        <f aca="false">ROUND('Quarterly MW'!S51*$C$2,0)</f>
        <v>2743</v>
      </c>
      <c r="T20" s="4" t="n">
        <f aca="false">ROUND('Quarterly MW'!T51*$C$2,0)</f>
        <v>2743</v>
      </c>
      <c r="U20" s="4" t="n">
        <f aca="false">ROUND('Quarterly MW'!U51*$C$2,0)</f>
        <v>2743</v>
      </c>
      <c r="V20" s="4" t="n">
        <f aca="false">ROUND('Quarterly MW'!V51*$C$2,0)</f>
        <v>2743</v>
      </c>
      <c r="W20" s="4" t="n">
        <f aca="false">ROUND('Quarterly MW'!W51*$C$2,0)</f>
        <v>2743</v>
      </c>
      <c r="X20" s="4" t="n">
        <f aca="false">ROUND('Quarterly MW'!X51*$C$2,0)</f>
        <v>2743</v>
      </c>
      <c r="Y20" s="4" t="n">
        <f aca="false">ROUND('Quarterly MW'!Y51*$C$2,0)</f>
        <v>2743</v>
      </c>
      <c r="Z20" s="4" t="n">
        <f aca="false">ROUND('Quarterly MW'!Z51*$C$2,0)</f>
        <v>2743</v>
      </c>
      <c r="AA20" s="4" t="n">
        <f aca="false">ROUND('Quarterly MW'!AA51*$C$2,0)</f>
        <v>2743</v>
      </c>
      <c r="AB20" s="4" t="n">
        <f aca="false">ROUND('Quarterly MW'!AB51*$C$2,0)</f>
        <v>2743</v>
      </c>
      <c r="AC20" s="4" t="n">
        <f aca="false">ROUND('Quarterly MW'!AC51*$C$2,0)</f>
        <v>2743</v>
      </c>
      <c r="AD20" s="4" t="n">
        <f aca="false">ROUND('Quarterly MW'!AD51*$C$2,0)</f>
        <v>2743</v>
      </c>
      <c r="AE20" s="4" t="n">
        <f aca="false">ROUND('Quarterly MW'!AE51*$C$2,0)</f>
        <v>2743</v>
      </c>
      <c r="AF20" s="4" t="n">
        <f aca="false">ROUND('Quarterly MW'!AF51*$C$2,0)</f>
        <v>2743</v>
      </c>
    </row>
    <row r="21" customFormat="false" ht="15" hidden="false" customHeight="false" outlineLevel="0" collapsed="false">
      <c r="A21" s="0" t="s">
        <v>56</v>
      </c>
      <c r="B21" s="0" t="s">
        <v>246</v>
      </c>
      <c r="C21" s="0" t="s">
        <v>370</v>
      </c>
      <c r="E21" s="4" t="n">
        <f aca="false">ROUND('Quarterly MW'!E56*$C$2,0)</f>
        <v>0</v>
      </c>
      <c r="F21" s="4" t="n">
        <f aca="false">ROUND('Quarterly MW'!F56*$C$2,0)</f>
        <v>0</v>
      </c>
      <c r="G21" s="4" t="n">
        <f aca="false">ROUND('Quarterly MW'!G56*$C$2,0)</f>
        <v>0</v>
      </c>
      <c r="H21" s="4" t="n">
        <f aca="false">ROUND('Quarterly MW'!H56*$C$2,0)</f>
        <v>0</v>
      </c>
      <c r="I21" s="4" t="n">
        <f aca="false">ROUND('Quarterly MW'!I56*$C$2,0)</f>
        <v>5485</v>
      </c>
      <c r="J21" s="4" t="n">
        <f aca="false">ROUND('Quarterly MW'!J56*$C$2,0)</f>
        <v>5485</v>
      </c>
      <c r="K21" s="4" t="n">
        <f aca="false">ROUND('Quarterly MW'!K56*$C$2,0)</f>
        <v>5485</v>
      </c>
      <c r="L21" s="4" t="n">
        <f aca="false">ROUND('Quarterly MW'!L56*$C$2,0)</f>
        <v>5485</v>
      </c>
      <c r="M21" s="4" t="n">
        <f aca="false">ROUND('Quarterly MW'!M56*$C$2,0)</f>
        <v>5485</v>
      </c>
      <c r="N21" s="4" t="n">
        <f aca="false">ROUND('Quarterly MW'!N56*$C$2,0)</f>
        <v>5485</v>
      </c>
      <c r="O21" s="4" t="n">
        <f aca="false">ROUND('Quarterly MW'!O56*$C$2,0)</f>
        <v>5485</v>
      </c>
      <c r="P21" s="4" t="n">
        <f aca="false">ROUND('Quarterly MW'!P56*$C$2,0)</f>
        <v>5485</v>
      </c>
      <c r="Q21" s="4" t="n">
        <f aca="false">ROUND('Quarterly MW'!Q56*$C$2,0)</f>
        <v>5485</v>
      </c>
      <c r="R21" s="4" t="n">
        <f aca="false">ROUND('Quarterly MW'!R56*$C$2,0)</f>
        <v>5485</v>
      </c>
      <c r="S21" s="4" t="n">
        <f aca="false">ROUND('Quarterly MW'!S56*$C$2,0)</f>
        <v>5485</v>
      </c>
      <c r="T21" s="4" t="n">
        <f aca="false">ROUND('Quarterly MW'!T56*$C$2,0)</f>
        <v>5485</v>
      </c>
      <c r="U21" s="4" t="n">
        <f aca="false">ROUND('Quarterly MW'!U56*$C$2,0)</f>
        <v>5485</v>
      </c>
      <c r="V21" s="4" t="n">
        <f aca="false">ROUND('Quarterly MW'!V56*$C$2,0)</f>
        <v>5485</v>
      </c>
      <c r="W21" s="4" t="n">
        <f aca="false">ROUND('Quarterly MW'!W56*$C$2,0)</f>
        <v>5485</v>
      </c>
      <c r="X21" s="4" t="n">
        <f aca="false">ROUND('Quarterly MW'!X56*$C$2,0)</f>
        <v>5485</v>
      </c>
      <c r="Y21" s="4" t="n">
        <f aca="false">ROUND('Quarterly MW'!Y56*$C$2,0)</f>
        <v>5485</v>
      </c>
      <c r="Z21" s="4" t="n">
        <f aca="false">ROUND('Quarterly MW'!Z56*$C$2,0)</f>
        <v>5485</v>
      </c>
      <c r="AA21" s="4" t="n">
        <f aca="false">ROUND('Quarterly MW'!AA56*$C$2,0)</f>
        <v>5485</v>
      </c>
      <c r="AB21" s="4" t="n">
        <f aca="false">ROUND('Quarterly MW'!AB56*$C$2,0)</f>
        <v>5485</v>
      </c>
      <c r="AC21" s="4" t="n">
        <f aca="false">ROUND('Quarterly MW'!AC56*$C$2,0)</f>
        <v>5485</v>
      </c>
      <c r="AD21" s="4" t="n">
        <f aca="false">ROUND('Quarterly MW'!AD56*$C$2,0)</f>
        <v>5485</v>
      </c>
      <c r="AE21" s="4" t="n">
        <f aca="false">ROUND('Quarterly MW'!AE56*$C$2,0)</f>
        <v>5485</v>
      </c>
      <c r="AF21" s="4" t="n">
        <f aca="false">ROUND('Quarterly MW'!AF56*$C$2,0)</f>
        <v>5485</v>
      </c>
    </row>
    <row r="22" customFormat="false" ht="15" hidden="false" customHeight="false" outlineLevel="0" collapsed="false">
      <c r="A22" s="0" t="s">
        <v>58</v>
      </c>
      <c r="B22" s="0" t="s">
        <v>256</v>
      </c>
      <c r="C22" s="0" t="s">
        <v>370</v>
      </c>
      <c r="E22" s="4" t="n">
        <f aca="false">ROUND('Quarterly MW'!E61*$C$4,0)</f>
        <v>0</v>
      </c>
      <c r="F22" s="4" t="n">
        <f aca="false">ROUND('Quarterly MW'!F61*$C$4,0)</f>
        <v>0</v>
      </c>
      <c r="G22" s="4" t="n">
        <f aca="false">ROUND('Quarterly MW'!G61*$C$4,0)</f>
        <v>0</v>
      </c>
      <c r="H22" s="4" t="n">
        <f aca="false">ROUND('Quarterly MW'!H61*$C$4,0)</f>
        <v>0</v>
      </c>
      <c r="I22" s="4" t="n">
        <f aca="false">ROUND('Quarterly MW'!I61*$C$4,0)</f>
        <v>0</v>
      </c>
      <c r="J22" s="4" t="n">
        <f aca="false">ROUND('Quarterly MW'!J61*$C$4,0)</f>
        <v>0</v>
      </c>
      <c r="K22" s="4" t="n">
        <f aca="false">ROUND('Quarterly MW'!K61*$C$4,0)</f>
        <v>0</v>
      </c>
      <c r="L22" s="4" t="n">
        <f aca="false">ROUND('Quarterly MW'!L61*$C$4,0)</f>
        <v>6173</v>
      </c>
      <c r="M22" s="4" t="n">
        <f aca="false">ROUND('Quarterly MW'!M61*$C$4,0)</f>
        <v>6173</v>
      </c>
      <c r="N22" s="4" t="n">
        <f aca="false">ROUND('Quarterly MW'!N61*$C$4,0)</f>
        <v>6173</v>
      </c>
      <c r="O22" s="4" t="n">
        <f aca="false">ROUND('Quarterly MW'!O61*$C$4,0)</f>
        <v>6173</v>
      </c>
      <c r="P22" s="4" t="n">
        <f aca="false">ROUND('Quarterly MW'!P61*$C$4,0)</f>
        <v>6752</v>
      </c>
      <c r="Q22" s="4" t="n">
        <f aca="false">ROUND('Quarterly MW'!Q61*$C$4,0)</f>
        <v>7330</v>
      </c>
      <c r="R22" s="4" t="n">
        <f aca="false">ROUND('Quarterly MW'!R61*$C$4,0)</f>
        <v>7330</v>
      </c>
      <c r="S22" s="4" t="n">
        <f aca="false">ROUND('Quarterly MW'!S61*$C$4,0)</f>
        <v>7330</v>
      </c>
      <c r="T22" s="4" t="n">
        <f aca="false">ROUND('Quarterly MW'!T61*$C$4,0)</f>
        <v>7330</v>
      </c>
      <c r="U22" s="4" t="n">
        <f aca="false">ROUND('Quarterly MW'!U61*$C$4,0)</f>
        <v>7330</v>
      </c>
      <c r="V22" s="4" t="n">
        <f aca="false">ROUND('Quarterly MW'!V61*$C$4,0)</f>
        <v>7330</v>
      </c>
      <c r="W22" s="4" t="n">
        <f aca="false">ROUND('Quarterly MW'!W61*$C$4,0)</f>
        <v>7330</v>
      </c>
      <c r="X22" s="4" t="n">
        <f aca="false">ROUND('Quarterly MW'!X61*$C$4,0)</f>
        <v>7330</v>
      </c>
      <c r="Y22" s="4" t="n">
        <f aca="false">ROUND('Quarterly MW'!Y61*$C$4,0)</f>
        <v>7330</v>
      </c>
      <c r="Z22" s="4" t="n">
        <f aca="false">ROUND('Quarterly MW'!Z61*$C$4,0)</f>
        <v>7330</v>
      </c>
      <c r="AA22" s="4" t="n">
        <f aca="false">ROUND('Quarterly MW'!AA61*$C$4,0)</f>
        <v>7330</v>
      </c>
      <c r="AB22" s="4" t="n">
        <f aca="false">ROUND('Quarterly MW'!AB61*$C$4,0)</f>
        <v>7330</v>
      </c>
      <c r="AC22" s="4" t="n">
        <f aca="false">ROUND('Quarterly MW'!AC61*$C$4,0)</f>
        <v>7330</v>
      </c>
      <c r="AD22" s="4" t="n">
        <f aca="false">ROUND('Quarterly MW'!AD61*$C$4,0)</f>
        <v>7330</v>
      </c>
      <c r="AE22" s="4" t="n">
        <f aca="false">ROUND('Quarterly MW'!AE61*$C$4,0)</f>
        <v>7330</v>
      </c>
      <c r="AF22" s="4" t="n">
        <f aca="false">ROUND('Quarterly MW'!AF61*$C$4,0)</f>
        <v>7330</v>
      </c>
    </row>
    <row r="23" customFormat="false" ht="15" hidden="false" customHeight="false" outlineLevel="0" collapsed="false">
      <c r="A23" s="0" t="s">
        <v>60</v>
      </c>
      <c r="B23" s="0" t="s">
        <v>256</v>
      </c>
      <c r="C23" s="0" t="s">
        <v>370</v>
      </c>
      <c r="E23" s="4" t="n">
        <f aca="false">ROUND('Quarterly MW'!E66*$C$4,0)</f>
        <v>0</v>
      </c>
      <c r="F23" s="4" t="n">
        <f aca="false">ROUND('Quarterly MW'!F66*$C$4,0)</f>
        <v>0</v>
      </c>
      <c r="G23" s="4" t="n">
        <f aca="false">ROUND('Quarterly MW'!G66*$C$4,0)</f>
        <v>0</v>
      </c>
      <c r="H23" s="4" t="n">
        <f aca="false">ROUND('Quarterly MW'!H66*$C$4,0)</f>
        <v>0</v>
      </c>
      <c r="I23" s="4" t="n">
        <f aca="false">ROUND('Quarterly MW'!I66*$C$4,0)</f>
        <v>0</v>
      </c>
      <c r="J23" s="4" t="n">
        <f aca="false">ROUND('Quarterly MW'!J66*$C$4,0)</f>
        <v>0</v>
      </c>
      <c r="K23" s="4" t="n">
        <f aca="false">ROUND('Quarterly MW'!K66*$C$4,0)</f>
        <v>0</v>
      </c>
      <c r="L23" s="4" t="n">
        <f aca="false">ROUND('Quarterly MW'!L66*$C$4,0)</f>
        <v>0</v>
      </c>
      <c r="M23" s="4" t="n">
        <f aca="false">ROUND('Quarterly MW'!M66*$C$4,0)</f>
        <v>0</v>
      </c>
      <c r="N23" s="4" t="n">
        <f aca="false">ROUND('Quarterly MW'!N66*$C$4,0)</f>
        <v>0</v>
      </c>
      <c r="O23" s="4" t="n">
        <f aca="false">ROUND('Quarterly MW'!O66*$C$4,0)</f>
        <v>0</v>
      </c>
      <c r="P23" s="4" t="n">
        <f aca="false">ROUND('Quarterly MW'!P66*$C$4,0)</f>
        <v>849</v>
      </c>
      <c r="Q23" s="4" t="n">
        <f aca="false">ROUND('Quarterly MW'!Q66*$C$4,0)</f>
        <v>5093</v>
      </c>
      <c r="R23" s="4" t="n">
        <f aca="false">ROUND('Quarterly MW'!R66*$C$4,0)</f>
        <v>5093</v>
      </c>
      <c r="S23" s="4" t="n">
        <f aca="false">ROUND('Quarterly MW'!S66*$C$4,0)</f>
        <v>8488</v>
      </c>
      <c r="T23" s="4" t="n">
        <f aca="false">ROUND('Quarterly MW'!T66*$C$4,0)</f>
        <v>8488</v>
      </c>
      <c r="U23" s="4" t="n">
        <f aca="false">ROUND('Quarterly MW'!U66*$C$4,0)</f>
        <v>8488</v>
      </c>
      <c r="V23" s="4" t="n">
        <f aca="false">ROUND('Quarterly MW'!V66*$C$4,0)</f>
        <v>8488</v>
      </c>
      <c r="W23" s="4" t="n">
        <f aca="false">ROUND('Quarterly MW'!W66*$C$4,0)</f>
        <v>8488</v>
      </c>
      <c r="X23" s="4" t="n">
        <f aca="false">ROUND('Quarterly MW'!X66*$C$4,0)</f>
        <v>8488</v>
      </c>
      <c r="Y23" s="4" t="n">
        <f aca="false">ROUND('Quarterly MW'!Y66*$C$4,0)</f>
        <v>8488</v>
      </c>
      <c r="Z23" s="4" t="n">
        <f aca="false">ROUND('Quarterly MW'!Z66*$C$4,0)</f>
        <v>8488</v>
      </c>
      <c r="AA23" s="4" t="n">
        <f aca="false">ROUND('Quarterly MW'!AA66*$C$4,0)</f>
        <v>8488</v>
      </c>
      <c r="AB23" s="4" t="n">
        <f aca="false">ROUND('Quarterly MW'!AB66*$C$4,0)</f>
        <v>8488</v>
      </c>
      <c r="AC23" s="4" t="n">
        <f aca="false">ROUND('Quarterly MW'!AC66*$C$4,0)</f>
        <v>8488</v>
      </c>
      <c r="AD23" s="4" t="n">
        <f aca="false">ROUND('Quarterly MW'!AD66*$C$4,0)</f>
        <v>8488</v>
      </c>
      <c r="AE23" s="4" t="n">
        <f aca="false">ROUND('Quarterly MW'!AE66*$C$4,0)</f>
        <v>8488</v>
      </c>
      <c r="AF23" s="4" t="n">
        <f aca="false">ROUND('Quarterly MW'!AF66*$C$4,0)</f>
        <v>8488</v>
      </c>
    </row>
    <row r="24" customFormat="false" ht="15" hidden="false" customHeight="false" outlineLevel="0" collapsed="false">
      <c r="A24" s="0" t="s">
        <v>62</v>
      </c>
      <c r="B24" s="0" t="s">
        <v>395</v>
      </c>
      <c r="C24" s="0" t="s">
        <v>370</v>
      </c>
      <c r="E24" s="4" t="n">
        <f aca="false">ROUND('Quarterly MW'!E71*$C$5,0)</f>
        <v>0</v>
      </c>
      <c r="F24" s="4" t="n">
        <f aca="false">ROUND('Quarterly MW'!F71*$C$5,0)</f>
        <v>0</v>
      </c>
      <c r="G24" s="4" t="n">
        <f aca="false">ROUND('Quarterly MW'!G71*$C$5,0)</f>
        <v>0</v>
      </c>
      <c r="H24" s="4" t="n">
        <f aca="false">ROUND('Quarterly MW'!H71*$C$5,0)</f>
        <v>0</v>
      </c>
      <c r="I24" s="4" t="n">
        <f aca="false">ROUND('Quarterly MW'!I71*$C$5,0)</f>
        <v>0</v>
      </c>
      <c r="J24" s="4" t="n">
        <f aca="false">ROUND('Quarterly MW'!J71*$C$5,0)</f>
        <v>0</v>
      </c>
      <c r="K24" s="4" t="n">
        <f aca="false">ROUND('Quarterly MW'!K71*$C$5,0)</f>
        <v>0</v>
      </c>
      <c r="L24" s="4" t="n">
        <f aca="false">ROUND('Quarterly MW'!L71*$C$5,0)</f>
        <v>0</v>
      </c>
      <c r="M24" s="4" t="n">
        <f aca="false">ROUND('Quarterly MW'!M71*$C$5,0)</f>
        <v>0</v>
      </c>
      <c r="N24" s="4" t="n">
        <f aca="false">ROUND('Quarterly MW'!N71*$C$5,0)</f>
        <v>0</v>
      </c>
      <c r="O24" s="4" t="n">
        <f aca="false">ROUND('Quarterly MW'!O71*$C$5,0)</f>
        <v>0</v>
      </c>
      <c r="P24" s="4" t="n">
        <f aca="false">ROUND('Quarterly MW'!P71*$C$5,0)</f>
        <v>2047</v>
      </c>
      <c r="Q24" s="4" t="n">
        <f aca="false">ROUND('Quarterly MW'!Q71*$C$5,0)</f>
        <v>6140</v>
      </c>
      <c r="R24" s="4" t="n">
        <f aca="false">ROUND('Quarterly MW'!R71*$C$5,0)</f>
        <v>9209</v>
      </c>
      <c r="S24" s="4" t="n">
        <f aca="false">ROUND('Quarterly MW'!S71*$C$5,0)</f>
        <v>11870</v>
      </c>
      <c r="T24" s="4" t="n">
        <f aca="false">ROUND('Quarterly MW'!T71*$C$5,0)</f>
        <v>12893</v>
      </c>
      <c r="U24" s="4" t="n">
        <f aca="false">ROUND('Quarterly MW'!U71*$C$5,0)</f>
        <v>12893</v>
      </c>
      <c r="V24" s="4" t="n">
        <f aca="false">ROUND('Quarterly MW'!V71*$C$5,0)</f>
        <v>12893</v>
      </c>
      <c r="W24" s="4" t="n">
        <f aca="false">ROUND('Quarterly MW'!W71*$C$5,0)</f>
        <v>12893</v>
      </c>
      <c r="X24" s="4" t="n">
        <f aca="false">ROUND('Quarterly MW'!X71*$C$5,0)</f>
        <v>12893</v>
      </c>
      <c r="Y24" s="4" t="n">
        <f aca="false">ROUND('Quarterly MW'!Y71*$C$5,0)</f>
        <v>12893</v>
      </c>
      <c r="Z24" s="4" t="n">
        <f aca="false">ROUND('Quarterly MW'!Z71*$C$5,0)</f>
        <v>12893</v>
      </c>
      <c r="AA24" s="4" t="n">
        <f aca="false">ROUND('Quarterly MW'!AA71*$C$5,0)</f>
        <v>12893</v>
      </c>
      <c r="AB24" s="4" t="n">
        <f aca="false">ROUND('Quarterly MW'!AB71*$C$5,0)</f>
        <v>12893</v>
      </c>
      <c r="AC24" s="4" t="n">
        <f aca="false">ROUND('Quarterly MW'!AC71*$C$5,0)</f>
        <v>12893</v>
      </c>
      <c r="AD24" s="4" t="n">
        <f aca="false">ROUND('Quarterly MW'!AD71*$C$5,0)</f>
        <v>12893</v>
      </c>
      <c r="AE24" s="4" t="n">
        <f aca="false">ROUND('Quarterly MW'!AE71*$C$5,0)</f>
        <v>12893</v>
      </c>
      <c r="AF24" s="4" t="n">
        <f aca="false">ROUND('Quarterly MW'!AF71*$C$5,0)</f>
        <v>12893</v>
      </c>
    </row>
    <row r="25" customFormat="false" ht="15" hidden="false" customHeight="false" outlineLevel="0" collapsed="false">
      <c r="A25" s="0" t="s">
        <v>64</v>
      </c>
      <c r="B25" s="0" t="s">
        <v>395</v>
      </c>
      <c r="C25" s="0" t="s">
        <v>370</v>
      </c>
      <c r="E25" s="4" t="n">
        <f aca="false">ROUND('Quarterly MW'!E76*$C$5,0)</f>
        <v>0</v>
      </c>
      <c r="F25" s="4" t="n">
        <f aca="false">ROUND('Quarterly MW'!F76*$C$5,0)</f>
        <v>0</v>
      </c>
      <c r="G25" s="4" t="n">
        <f aca="false">ROUND('Quarterly MW'!G76*$C$5,0)</f>
        <v>0</v>
      </c>
      <c r="H25" s="4" t="n">
        <f aca="false">ROUND('Quarterly MW'!H76*$C$5,0)</f>
        <v>0</v>
      </c>
      <c r="I25" s="4" t="n">
        <f aca="false">ROUND('Quarterly MW'!I76*$C$5,0)</f>
        <v>0</v>
      </c>
      <c r="J25" s="4" t="n">
        <f aca="false">ROUND('Quarterly MW'!J76*$C$5,0)</f>
        <v>0</v>
      </c>
      <c r="K25" s="4" t="n">
        <f aca="false">ROUND('Quarterly MW'!K76*$C$5,0)</f>
        <v>0</v>
      </c>
      <c r="L25" s="4" t="n">
        <f aca="false">ROUND('Quarterly MW'!L76*$C$5,0)</f>
        <v>0</v>
      </c>
      <c r="M25" s="4" t="n">
        <f aca="false">ROUND('Quarterly MW'!M76*$C$5,0)</f>
        <v>0</v>
      </c>
      <c r="N25" s="4" t="n">
        <f aca="false">ROUND('Quarterly MW'!N76*$C$5,0)</f>
        <v>0</v>
      </c>
      <c r="O25" s="4" t="n">
        <f aca="false">ROUND('Quarterly MW'!O76*$C$5,0)</f>
        <v>0</v>
      </c>
      <c r="P25" s="4" t="n">
        <f aca="false">ROUND('Quarterly MW'!P76*$C$5,0)</f>
        <v>0</v>
      </c>
      <c r="Q25" s="4" t="n">
        <f aca="false">ROUND('Quarterly MW'!Q76*$C$5,0)</f>
        <v>0</v>
      </c>
      <c r="R25" s="4" t="n">
        <f aca="false">ROUND('Quarterly MW'!R76*$C$5,0)</f>
        <v>1023</v>
      </c>
      <c r="S25" s="4" t="n">
        <f aca="false">ROUND('Quarterly MW'!S76*$C$5,0)</f>
        <v>2456</v>
      </c>
      <c r="T25" s="4" t="n">
        <f aca="false">ROUND('Quarterly MW'!T76*$C$5,0)</f>
        <v>2865</v>
      </c>
      <c r="U25" s="4" t="n">
        <f aca="false">ROUND('Quarterly MW'!U76*$C$5,0)</f>
        <v>2865</v>
      </c>
      <c r="V25" s="4" t="n">
        <f aca="false">ROUND('Quarterly MW'!V76*$C$5,0)</f>
        <v>2865</v>
      </c>
      <c r="W25" s="4" t="n">
        <f aca="false">ROUND('Quarterly MW'!W76*$C$5,0)</f>
        <v>2865</v>
      </c>
      <c r="X25" s="4" t="n">
        <f aca="false">ROUND('Quarterly MW'!X76*$C$5,0)</f>
        <v>2865</v>
      </c>
      <c r="Y25" s="4" t="n">
        <f aca="false">ROUND('Quarterly MW'!Y76*$C$5,0)</f>
        <v>2865</v>
      </c>
      <c r="Z25" s="4" t="n">
        <f aca="false">ROUND('Quarterly MW'!Z76*$C$5,0)</f>
        <v>2865</v>
      </c>
      <c r="AA25" s="4" t="n">
        <f aca="false">ROUND('Quarterly MW'!AA76*$C$5,0)</f>
        <v>2865</v>
      </c>
      <c r="AB25" s="4" t="n">
        <f aca="false">ROUND('Quarterly MW'!AB76*$C$5,0)</f>
        <v>2865</v>
      </c>
      <c r="AC25" s="4" t="n">
        <f aca="false">ROUND('Quarterly MW'!AC76*$C$5,0)</f>
        <v>2865</v>
      </c>
      <c r="AD25" s="4" t="n">
        <f aca="false">ROUND('Quarterly MW'!AD76*$C$5,0)</f>
        <v>2865</v>
      </c>
      <c r="AE25" s="4" t="n">
        <f aca="false">ROUND('Quarterly MW'!AE76*$C$5,0)</f>
        <v>2865</v>
      </c>
      <c r="AF25" s="4" t="n">
        <f aca="false">ROUND('Quarterly MW'!AF76*$C$5,0)</f>
        <v>2865</v>
      </c>
    </row>
    <row r="26" customFormat="false" ht="15" hidden="false" customHeight="false" outlineLevel="0" collapsed="false">
      <c r="A26" s="0" t="s">
        <v>66</v>
      </c>
      <c r="B26" s="0" t="s">
        <v>277</v>
      </c>
      <c r="C26" s="0" t="s">
        <v>345</v>
      </c>
      <c r="E26" s="4" t="n">
        <f aca="false">ROUND('Quarterly MW'!E81*$B$3,0)</f>
        <v>0</v>
      </c>
      <c r="F26" s="4" t="n">
        <f aca="false">ROUND('Quarterly MW'!F81*$B$3,0)</f>
        <v>0</v>
      </c>
      <c r="G26" s="4" t="n">
        <f aca="false">ROUND('Quarterly MW'!G81*$B$3,0)</f>
        <v>0</v>
      </c>
      <c r="H26" s="4" t="n">
        <f aca="false">ROUND('Quarterly MW'!H81*$B$3,0)</f>
        <v>0</v>
      </c>
      <c r="I26" s="4" t="n">
        <f aca="false">ROUND('Quarterly MW'!I81*$B$3,0)</f>
        <v>0</v>
      </c>
      <c r="J26" s="4" t="n">
        <f aca="false">ROUND('Quarterly MW'!J81*$B$3,0)</f>
        <v>0</v>
      </c>
      <c r="K26" s="4" t="n">
        <f aca="false">ROUND('Quarterly MW'!K81*$B$3,0)</f>
        <v>0</v>
      </c>
      <c r="L26" s="4" t="n">
        <f aca="false">ROUND('Quarterly MW'!L81*$B$3,0)</f>
        <v>4069</v>
      </c>
      <c r="M26" s="4" t="n">
        <f aca="false">ROUND('Quarterly MW'!M81*$B$3,0)</f>
        <v>4069</v>
      </c>
      <c r="N26" s="4" t="n">
        <f aca="false">ROUND('Quarterly MW'!N81*$B$3,0)</f>
        <v>4069</v>
      </c>
      <c r="O26" s="4" t="n">
        <f aca="false">ROUND('Quarterly MW'!O81*$B$3,0)</f>
        <v>4069</v>
      </c>
      <c r="P26" s="4" t="n">
        <f aca="false">ROUND('Quarterly MW'!P81*$B$3,0)</f>
        <v>4069</v>
      </c>
      <c r="Q26" s="4" t="n">
        <f aca="false">ROUND('Quarterly MW'!Q81*$B$3,0)</f>
        <v>4069</v>
      </c>
      <c r="R26" s="4" t="n">
        <f aca="false">ROUND('Quarterly MW'!R81*$B$3,0)</f>
        <v>4069</v>
      </c>
      <c r="S26" s="4" t="n">
        <f aca="false">ROUND('Quarterly MW'!S81*$B$3,0)</f>
        <v>4069</v>
      </c>
      <c r="T26" s="4" t="n">
        <f aca="false">ROUND('Quarterly MW'!T81*$B$3,0)</f>
        <v>4069</v>
      </c>
      <c r="U26" s="4" t="n">
        <f aca="false">ROUND('Quarterly MW'!U81*$B$3,0)</f>
        <v>4069</v>
      </c>
      <c r="V26" s="4" t="n">
        <f aca="false">ROUND('Quarterly MW'!V81*$B$3,0)</f>
        <v>4069</v>
      </c>
      <c r="W26" s="4" t="n">
        <f aca="false">ROUND('Quarterly MW'!W81*$B$3,0)</f>
        <v>4069</v>
      </c>
      <c r="X26" s="4" t="n">
        <f aca="false">ROUND('Quarterly MW'!X81*$B$3,0)</f>
        <v>4069</v>
      </c>
      <c r="Y26" s="4" t="n">
        <f aca="false">ROUND('Quarterly MW'!Y81*$B$3,0)</f>
        <v>4069</v>
      </c>
      <c r="Z26" s="4" t="n">
        <f aca="false">ROUND('Quarterly MW'!Z81*$B$3,0)</f>
        <v>4069</v>
      </c>
      <c r="AA26" s="4" t="n">
        <f aca="false">ROUND('Quarterly MW'!AA81*$B$3,0)</f>
        <v>4069</v>
      </c>
      <c r="AB26" s="4" t="n">
        <f aca="false">ROUND('Quarterly MW'!AB81*$B$3,0)</f>
        <v>4069</v>
      </c>
      <c r="AC26" s="4" t="n">
        <f aca="false">ROUND('Quarterly MW'!AC81*$B$3,0)</f>
        <v>4069</v>
      </c>
      <c r="AD26" s="4" t="n">
        <f aca="false">ROUND('Quarterly MW'!AD81*$B$3,0)</f>
        <v>4069</v>
      </c>
      <c r="AE26" s="4" t="n">
        <f aca="false">ROUND('Quarterly MW'!AE81*$B$3,0)</f>
        <v>4069</v>
      </c>
      <c r="AF26" s="4" t="n">
        <f aca="false">ROUND('Quarterly MW'!AF81*$B$3,0)</f>
        <v>4069</v>
      </c>
    </row>
    <row r="27" customFormat="false" ht="15" hidden="false" customHeight="false" outlineLevel="0" collapsed="false">
      <c r="A27" s="0" t="s">
        <v>68</v>
      </c>
      <c r="B27" s="0" t="s">
        <v>395</v>
      </c>
      <c r="C27" s="0" t="s">
        <v>370</v>
      </c>
      <c r="E27" s="4" t="n">
        <f aca="false">ROUND('Quarterly MW'!E86*$C$5,0)</f>
        <v>0</v>
      </c>
      <c r="F27" s="4" t="n">
        <f aca="false">ROUND('Quarterly MW'!F86*$C$5,0)</f>
        <v>0</v>
      </c>
      <c r="G27" s="4" t="n">
        <f aca="false">ROUND('Quarterly MW'!G86*$C$5,0)</f>
        <v>0</v>
      </c>
      <c r="H27" s="4" t="n">
        <f aca="false">ROUND('Quarterly MW'!H86*$C$5,0)</f>
        <v>0</v>
      </c>
      <c r="I27" s="4" t="n">
        <f aca="false">ROUND('Quarterly MW'!I86*$C$5,0)</f>
        <v>0</v>
      </c>
      <c r="J27" s="4" t="n">
        <f aca="false">ROUND('Quarterly MW'!J86*$C$5,0)</f>
        <v>0</v>
      </c>
      <c r="K27" s="4" t="n">
        <f aca="false">ROUND('Quarterly MW'!K86*$C$5,0)</f>
        <v>0</v>
      </c>
      <c r="L27" s="4" t="n">
        <f aca="false">ROUND('Quarterly MW'!L86*$C$5,0)</f>
        <v>0</v>
      </c>
      <c r="M27" s="4" t="n">
        <f aca="false">ROUND('Quarterly MW'!M86*$C$5,0)</f>
        <v>0</v>
      </c>
      <c r="N27" s="4" t="n">
        <f aca="false">ROUND('Quarterly MW'!N86*$C$5,0)</f>
        <v>0</v>
      </c>
      <c r="O27" s="4" t="n">
        <f aca="false">ROUND('Quarterly MW'!O86*$C$5,0)</f>
        <v>0</v>
      </c>
      <c r="P27" s="4" t="n">
        <f aca="false">ROUND('Quarterly MW'!P86*$C$5,0)</f>
        <v>2251</v>
      </c>
      <c r="Q27" s="4" t="n">
        <f aca="false">ROUND('Quarterly MW'!Q86*$C$5,0)</f>
        <v>4502</v>
      </c>
      <c r="R27" s="4" t="n">
        <f aca="false">ROUND('Quarterly MW'!R86*$C$5,0)</f>
        <v>6753</v>
      </c>
      <c r="S27" s="4" t="n">
        <f aca="false">ROUND('Quarterly MW'!S86*$C$5,0)</f>
        <v>9005</v>
      </c>
      <c r="T27" s="4" t="n">
        <f aca="false">ROUND('Quarterly MW'!T86*$C$5,0)</f>
        <v>9005</v>
      </c>
      <c r="U27" s="4" t="n">
        <f aca="false">ROUND('Quarterly MW'!U86*$C$5,0)</f>
        <v>9005</v>
      </c>
      <c r="V27" s="4" t="n">
        <f aca="false">ROUND('Quarterly MW'!V86*$C$5,0)</f>
        <v>9005</v>
      </c>
      <c r="W27" s="4" t="n">
        <f aca="false">ROUND('Quarterly MW'!W86*$C$5,0)</f>
        <v>9005</v>
      </c>
      <c r="X27" s="4" t="n">
        <f aca="false">ROUND('Quarterly MW'!X86*$C$5,0)</f>
        <v>9005</v>
      </c>
      <c r="Y27" s="4" t="n">
        <f aca="false">ROUND('Quarterly MW'!Y86*$C$5,0)</f>
        <v>9005</v>
      </c>
      <c r="Z27" s="4" t="n">
        <f aca="false">ROUND('Quarterly MW'!Z86*$C$5,0)</f>
        <v>9005</v>
      </c>
      <c r="AA27" s="4" t="n">
        <f aca="false">ROUND('Quarterly MW'!AA86*$C$5,0)</f>
        <v>9005</v>
      </c>
      <c r="AB27" s="4" t="n">
        <f aca="false">ROUND('Quarterly MW'!AB86*$C$5,0)</f>
        <v>9005</v>
      </c>
      <c r="AC27" s="4" t="n">
        <f aca="false">ROUND('Quarterly MW'!AC86*$C$5,0)</f>
        <v>9005</v>
      </c>
      <c r="AD27" s="4" t="n">
        <f aca="false">ROUND('Quarterly MW'!AD86*$C$5,0)</f>
        <v>9005</v>
      </c>
      <c r="AE27" s="4" t="n">
        <f aca="false">ROUND('Quarterly MW'!AE86*$C$5,0)</f>
        <v>9005</v>
      </c>
      <c r="AF27" s="4" t="n">
        <f aca="false">ROUND('Quarterly MW'!AF86*$C$5,0)</f>
        <v>9005</v>
      </c>
    </row>
    <row r="28" customFormat="false" ht="15" hidden="false" customHeight="false" outlineLevel="0" collapsed="false">
      <c r="A28" s="0" t="s">
        <v>69</v>
      </c>
      <c r="B28" s="0" t="s">
        <v>395</v>
      </c>
      <c r="C28" s="0" t="s">
        <v>370</v>
      </c>
      <c r="E28" s="4" t="n">
        <f aca="false">ROUND('Quarterly MW'!E91*$C$5,0)</f>
        <v>0</v>
      </c>
      <c r="F28" s="4" t="n">
        <f aca="false">ROUND('Quarterly MW'!F91*$C$5,0)</f>
        <v>0</v>
      </c>
      <c r="G28" s="4" t="n">
        <f aca="false">ROUND('Quarterly MW'!G91*$C$5,0)</f>
        <v>0</v>
      </c>
      <c r="H28" s="4" t="n">
        <f aca="false">ROUND('Quarterly MW'!H91*$C$5,0)</f>
        <v>0</v>
      </c>
      <c r="I28" s="4" t="n">
        <f aca="false">ROUND('Quarterly MW'!I91*$C$5,0)</f>
        <v>0</v>
      </c>
      <c r="J28" s="4" t="n">
        <f aca="false">ROUND('Quarterly MW'!J91*$C$5,0)</f>
        <v>0</v>
      </c>
      <c r="K28" s="4" t="n">
        <f aca="false">ROUND('Quarterly MW'!K91*$C$5,0)</f>
        <v>0</v>
      </c>
      <c r="L28" s="4" t="n">
        <f aca="false">ROUND('Quarterly MW'!L91*$C$5,0)</f>
        <v>0</v>
      </c>
      <c r="M28" s="4" t="n">
        <f aca="false">ROUND('Quarterly MW'!M91*$C$5,0)</f>
        <v>0</v>
      </c>
      <c r="N28" s="4" t="n">
        <f aca="false">ROUND('Quarterly MW'!N91*$C$5,0)</f>
        <v>0</v>
      </c>
      <c r="O28" s="4" t="n">
        <f aca="false">ROUND('Quarterly MW'!O91*$C$5,0)</f>
        <v>0</v>
      </c>
      <c r="P28" s="4" t="n">
        <f aca="false">ROUND('Quarterly MW'!P91*$C$5,0)</f>
        <v>0</v>
      </c>
      <c r="Q28" s="4" t="n">
        <f aca="false">ROUND('Quarterly MW'!Q91*$C$5,0)</f>
        <v>4093</v>
      </c>
      <c r="R28" s="4" t="n">
        <f aca="false">ROUND('Quarterly MW'!R91*$C$5,0)</f>
        <v>12074</v>
      </c>
      <c r="S28" s="4" t="n">
        <f aca="false">ROUND('Quarterly MW'!S91*$C$5,0)</f>
        <v>19851</v>
      </c>
      <c r="T28" s="4" t="n">
        <f aca="false">ROUND('Quarterly MW'!T91*$C$5,0)</f>
        <v>23739</v>
      </c>
      <c r="U28" s="4" t="n">
        <f aca="false">ROUND('Quarterly MW'!U91*$C$5,0)</f>
        <v>23739</v>
      </c>
      <c r="V28" s="4" t="n">
        <f aca="false">ROUND('Quarterly MW'!V91*$C$5,0)</f>
        <v>23739</v>
      </c>
      <c r="W28" s="4" t="n">
        <f aca="false">ROUND('Quarterly MW'!W91*$C$5,0)</f>
        <v>23739</v>
      </c>
      <c r="X28" s="4" t="n">
        <f aca="false">ROUND('Quarterly MW'!X91*$C$5,0)</f>
        <v>23739</v>
      </c>
      <c r="Y28" s="4" t="n">
        <f aca="false">ROUND('Quarterly MW'!Y91*$C$5,0)</f>
        <v>23739</v>
      </c>
      <c r="Z28" s="4" t="n">
        <f aca="false">ROUND('Quarterly MW'!Z91*$C$5,0)</f>
        <v>23739</v>
      </c>
      <c r="AA28" s="4" t="n">
        <f aca="false">ROUND('Quarterly MW'!AA91*$C$5,0)</f>
        <v>23739</v>
      </c>
      <c r="AB28" s="4" t="n">
        <f aca="false">ROUND('Quarterly MW'!AB91*$C$5,0)</f>
        <v>23739</v>
      </c>
      <c r="AC28" s="4" t="n">
        <f aca="false">ROUND('Quarterly MW'!AC91*$C$5,0)</f>
        <v>23739</v>
      </c>
      <c r="AD28" s="4" t="n">
        <f aca="false">ROUND('Quarterly MW'!AD91*$C$5,0)</f>
        <v>23739</v>
      </c>
      <c r="AE28" s="4" t="n">
        <f aca="false">ROUND('Quarterly MW'!AE91*$C$5,0)</f>
        <v>23739</v>
      </c>
      <c r="AF28" s="4" t="n">
        <f aca="false">ROUND('Quarterly MW'!AF91*$C$5,0)</f>
        <v>23739</v>
      </c>
    </row>
    <row r="29" customFormat="false" ht="15" hidden="false" customHeight="false" outlineLevel="0" collapsed="false">
      <c r="A29" s="0" t="s">
        <v>70</v>
      </c>
      <c r="B29" s="0" t="s">
        <v>256</v>
      </c>
      <c r="C29" s="0" t="s">
        <v>370</v>
      </c>
      <c r="E29" s="4" t="n">
        <f aca="false">ROUND('Quarterly MW'!E96*$C$4,0)</f>
        <v>0</v>
      </c>
      <c r="F29" s="4" t="n">
        <f aca="false">ROUND('Quarterly MW'!F96*$C$4,0)</f>
        <v>0</v>
      </c>
      <c r="G29" s="4" t="n">
        <f aca="false">ROUND('Quarterly MW'!G96*$C$4,0)</f>
        <v>0</v>
      </c>
      <c r="H29" s="4" t="n">
        <f aca="false">ROUND('Quarterly MW'!H96*$C$4,0)</f>
        <v>0</v>
      </c>
      <c r="I29" s="4" t="n">
        <f aca="false">ROUND('Quarterly MW'!I96*$C$4,0)</f>
        <v>0</v>
      </c>
      <c r="J29" s="4" t="n">
        <f aca="false">ROUND('Quarterly MW'!J96*$C$4,0)</f>
        <v>0</v>
      </c>
      <c r="K29" s="4" t="n">
        <f aca="false">ROUND('Quarterly MW'!K96*$C$4,0)</f>
        <v>0</v>
      </c>
      <c r="L29" s="4" t="n">
        <f aca="false">ROUND('Quarterly MW'!L96*$C$4,0)</f>
        <v>0</v>
      </c>
      <c r="M29" s="4" t="n">
        <f aca="false">ROUND('Quarterly MW'!M96*$C$4,0)</f>
        <v>0</v>
      </c>
      <c r="N29" s="4" t="n">
        <f aca="false">ROUND('Quarterly MW'!N96*$C$4,0)</f>
        <v>0</v>
      </c>
      <c r="O29" s="4" t="n">
        <f aca="false">ROUND('Quarterly MW'!O96*$C$4,0)</f>
        <v>2894</v>
      </c>
      <c r="P29" s="4" t="n">
        <f aca="false">ROUND('Quarterly MW'!P96*$C$4,0)</f>
        <v>5208</v>
      </c>
      <c r="Q29" s="4" t="n">
        <f aca="false">ROUND('Quarterly MW'!Q96*$C$4,0)</f>
        <v>6944</v>
      </c>
      <c r="R29" s="4" t="n">
        <f aca="false">ROUND('Quarterly MW'!R96*$C$4,0)</f>
        <v>6944</v>
      </c>
      <c r="S29" s="4" t="n">
        <f aca="false">ROUND('Quarterly MW'!S96*$C$4,0)</f>
        <v>6944</v>
      </c>
      <c r="T29" s="4" t="n">
        <f aca="false">ROUND('Quarterly MW'!T96*$C$4,0)</f>
        <v>6944</v>
      </c>
      <c r="U29" s="4" t="n">
        <f aca="false">ROUND('Quarterly MW'!U96*$C$4,0)</f>
        <v>6944</v>
      </c>
      <c r="V29" s="4" t="n">
        <f aca="false">ROUND('Quarterly MW'!V96*$C$4,0)</f>
        <v>6944</v>
      </c>
      <c r="W29" s="4" t="n">
        <f aca="false">ROUND('Quarterly MW'!W96*$C$4,0)</f>
        <v>6944</v>
      </c>
      <c r="X29" s="4" t="n">
        <f aca="false">ROUND('Quarterly MW'!X96*$C$4,0)</f>
        <v>6944</v>
      </c>
      <c r="Y29" s="4" t="n">
        <f aca="false">ROUND('Quarterly MW'!Y96*$C$4,0)</f>
        <v>6944</v>
      </c>
      <c r="Z29" s="4" t="n">
        <f aca="false">ROUND('Quarterly MW'!Z96*$C$4,0)</f>
        <v>6944</v>
      </c>
      <c r="AA29" s="4" t="n">
        <f aca="false">ROUND('Quarterly MW'!AA96*$C$4,0)</f>
        <v>6944</v>
      </c>
      <c r="AB29" s="4" t="n">
        <f aca="false">ROUND('Quarterly MW'!AB96*$C$4,0)</f>
        <v>6944</v>
      </c>
      <c r="AC29" s="4" t="n">
        <f aca="false">ROUND('Quarterly MW'!AC96*$C$4,0)</f>
        <v>6944</v>
      </c>
      <c r="AD29" s="4" t="n">
        <f aca="false">ROUND('Quarterly MW'!AD96*$C$4,0)</f>
        <v>6944</v>
      </c>
      <c r="AE29" s="4" t="n">
        <f aca="false">ROUND('Quarterly MW'!AE96*$C$4,0)</f>
        <v>6944</v>
      </c>
      <c r="AF29" s="4" t="n">
        <f aca="false">ROUND('Quarterly MW'!AF96*$C$4,0)</f>
        <v>6944</v>
      </c>
    </row>
    <row r="30" customFormat="false" ht="15" hidden="false" customHeight="false" outlineLevel="0" collapsed="false">
      <c r="A30" s="0" t="s">
        <v>72</v>
      </c>
      <c r="B30" s="0" t="s">
        <v>395</v>
      </c>
      <c r="C30" s="0" t="s">
        <v>370</v>
      </c>
      <c r="E30" s="4" t="n">
        <f aca="false">ROUND('Quarterly MW'!E101*$C$5,0)</f>
        <v>0</v>
      </c>
      <c r="F30" s="4" t="n">
        <f aca="false">ROUND('Quarterly MW'!F101*$C$5,0)</f>
        <v>0</v>
      </c>
      <c r="G30" s="4" t="n">
        <f aca="false">ROUND('Quarterly MW'!G101*$C$5,0)</f>
        <v>0</v>
      </c>
      <c r="H30" s="4" t="n">
        <f aca="false">ROUND('Quarterly MW'!H101*$C$5,0)</f>
        <v>0</v>
      </c>
      <c r="I30" s="4" t="n">
        <f aca="false">ROUND('Quarterly MW'!I101*$C$5,0)</f>
        <v>0</v>
      </c>
      <c r="J30" s="4" t="n">
        <f aca="false">ROUND('Quarterly MW'!J101*$C$5,0)</f>
        <v>0</v>
      </c>
      <c r="K30" s="4" t="n">
        <f aca="false">ROUND('Quarterly MW'!K101*$C$5,0)</f>
        <v>0</v>
      </c>
      <c r="L30" s="4" t="n">
        <f aca="false">ROUND('Quarterly MW'!L101*$C$5,0)</f>
        <v>0</v>
      </c>
      <c r="M30" s="4" t="n">
        <f aca="false">ROUND('Quarterly MW'!M101*$C$5,0)</f>
        <v>0</v>
      </c>
      <c r="N30" s="4" t="n">
        <f aca="false">ROUND('Quarterly MW'!N101*$C$5,0)</f>
        <v>0</v>
      </c>
      <c r="O30" s="4" t="n">
        <f aca="false">ROUND('Quarterly MW'!O101*$C$5,0)</f>
        <v>0</v>
      </c>
      <c r="P30" s="4" t="n">
        <f aca="false">ROUND('Quarterly MW'!P101*$C$5,0)</f>
        <v>4502</v>
      </c>
      <c r="Q30" s="4" t="n">
        <f aca="false">ROUND('Quarterly MW'!Q101*$C$5,0)</f>
        <v>6753</v>
      </c>
      <c r="R30" s="4" t="n">
        <f aca="false">ROUND('Quarterly MW'!R101*$C$5,0)</f>
        <v>9005</v>
      </c>
      <c r="S30" s="4" t="n">
        <f aca="false">ROUND('Quarterly MW'!S101*$C$5,0)</f>
        <v>9005</v>
      </c>
      <c r="T30" s="4" t="n">
        <f aca="false">ROUND('Quarterly MW'!T101*$C$5,0)</f>
        <v>9005</v>
      </c>
      <c r="U30" s="4" t="n">
        <f aca="false">ROUND('Quarterly MW'!U101*$C$5,0)</f>
        <v>9005</v>
      </c>
      <c r="V30" s="4" t="n">
        <f aca="false">ROUND('Quarterly MW'!V101*$C$5,0)</f>
        <v>9005</v>
      </c>
      <c r="W30" s="4" t="n">
        <f aca="false">ROUND('Quarterly MW'!W101*$C$5,0)</f>
        <v>9005</v>
      </c>
      <c r="X30" s="4" t="n">
        <f aca="false">ROUND('Quarterly MW'!X101*$C$5,0)</f>
        <v>9005</v>
      </c>
      <c r="Y30" s="4" t="n">
        <f aca="false">ROUND('Quarterly MW'!Y101*$C$5,0)</f>
        <v>9005</v>
      </c>
      <c r="Z30" s="4" t="n">
        <f aca="false">ROUND('Quarterly MW'!Z101*$C$5,0)</f>
        <v>9005</v>
      </c>
      <c r="AA30" s="4" t="n">
        <f aca="false">ROUND('Quarterly MW'!AA101*$C$5,0)</f>
        <v>9005</v>
      </c>
      <c r="AB30" s="4" t="n">
        <f aca="false">ROUND('Quarterly MW'!AB101*$C$5,0)</f>
        <v>9005</v>
      </c>
      <c r="AC30" s="4" t="n">
        <f aca="false">ROUND('Quarterly MW'!AC101*$C$5,0)</f>
        <v>9005</v>
      </c>
      <c r="AD30" s="4" t="n">
        <f aca="false">ROUND('Quarterly MW'!AD101*$C$5,0)</f>
        <v>9005</v>
      </c>
      <c r="AE30" s="4" t="n">
        <f aca="false">ROUND('Quarterly MW'!AE101*$C$5,0)</f>
        <v>9005</v>
      </c>
      <c r="AF30" s="4" t="n">
        <f aca="false">ROUND('Quarterly MW'!AF101*$C$5,0)</f>
        <v>9005</v>
      </c>
    </row>
    <row r="31" customFormat="false" ht="15" hidden="false" customHeight="false" outlineLevel="0" collapsed="false">
      <c r="A31" s="0" t="s">
        <v>74</v>
      </c>
      <c r="B31" s="0" t="s">
        <v>256</v>
      </c>
      <c r="C31" s="0" t="s">
        <v>370</v>
      </c>
      <c r="E31" s="4" t="n">
        <f aca="false">ROUND('Quarterly MW'!E106*$C$4,0)</f>
        <v>0</v>
      </c>
      <c r="F31" s="4" t="n">
        <f aca="false">ROUND('Quarterly MW'!F106*$C$4,0)</f>
        <v>0</v>
      </c>
      <c r="G31" s="4" t="n">
        <f aca="false">ROUND('Quarterly MW'!G106*$C$4,0)</f>
        <v>0</v>
      </c>
      <c r="H31" s="4" t="n">
        <f aca="false">ROUND('Quarterly MW'!H106*$C$4,0)</f>
        <v>0</v>
      </c>
      <c r="I31" s="4" t="n">
        <f aca="false">ROUND('Quarterly MW'!I106*$C$4,0)</f>
        <v>0</v>
      </c>
      <c r="J31" s="4" t="n">
        <f aca="false">ROUND('Quarterly MW'!J106*$C$4,0)</f>
        <v>0</v>
      </c>
      <c r="K31" s="4" t="n">
        <f aca="false">ROUND('Quarterly MW'!K106*$C$4,0)</f>
        <v>0</v>
      </c>
      <c r="L31" s="4" t="n">
        <f aca="false">ROUND('Quarterly MW'!L106*$C$4,0)</f>
        <v>0</v>
      </c>
      <c r="M31" s="4" t="n">
        <f aca="false">ROUND('Quarterly MW'!M106*$C$4,0)</f>
        <v>3858</v>
      </c>
      <c r="N31" s="4" t="n">
        <f aca="false">ROUND('Quarterly MW'!N106*$C$4,0)</f>
        <v>3858</v>
      </c>
      <c r="O31" s="4" t="n">
        <f aca="false">ROUND('Quarterly MW'!O106*$C$4,0)</f>
        <v>3858</v>
      </c>
      <c r="P31" s="4" t="n">
        <f aca="false">ROUND('Quarterly MW'!P106*$C$4,0)</f>
        <v>3858</v>
      </c>
      <c r="Q31" s="4" t="n">
        <f aca="false">ROUND('Quarterly MW'!Q106*$C$4,0)</f>
        <v>3858</v>
      </c>
      <c r="R31" s="4" t="n">
        <f aca="false">ROUND('Quarterly MW'!R106*$C$4,0)</f>
        <v>3858</v>
      </c>
      <c r="S31" s="4" t="n">
        <f aca="false">ROUND('Quarterly MW'!S106*$C$4,0)</f>
        <v>3858</v>
      </c>
      <c r="T31" s="4" t="n">
        <f aca="false">ROUND('Quarterly MW'!T106*$C$4,0)</f>
        <v>3858</v>
      </c>
      <c r="U31" s="4" t="n">
        <f aca="false">ROUND('Quarterly MW'!U106*$C$4,0)</f>
        <v>3858</v>
      </c>
      <c r="V31" s="4" t="n">
        <f aca="false">ROUND('Quarterly MW'!V106*$C$4,0)</f>
        <v>3858</v>
      </c>
      <c r="W31" s="4" t="n">
        <f aca="false">ROUND('Quarterly MW'!W106*$C$4,0)</f>
        <v>3858</v>
      </c>
      <c r="X31" s="4" t="n">
        <f aca="false">ROUND('Quarterly MW'!X106*$C$4,0)</f>
        <v>3858</v>
      </c>
      <c r="Y31" s="4" t="n">
        <f aca="false">ROUND('Quarterly MW'!Y106*$C$4,0)</f>
        <v>3858</v>
      </c>
      <c r="Z31" s="4" t="n">
        <f aca="false">ROUND('Quarterly MW'!Z106*$C$4,0)</f>
        <v>3858</v>
      </c>
      <c r="AA31" s="4" t="n">
        <f aca="false">ROUND('Quarterly MW'!AA106*$C$4,0)</f>
        <v>3858</v>
      </c>
      <c r="AB31" s="4" t="n">
        <f aca="false">ROUND('Quarterly MW'!AB106*$C$4,0)</f>
        <v>3858</v>
      </c>
      <c r="AC31" s="4" t="n">
        <f aca="false">ROUND('Quarterly MW'!AC106*$C$4,0)</f>
        <v>3858</v>
      </c>
      <c r="AD31" s="4" t="n">
        <f aca="false">ROUND('Quarterly MW'!AD106*$C$4,0)</f>
        <v>3858</v>
      </c>
      <c r="AE31" s="4" t="n">
        <f aca="false">ROUND('Quarterly MW'!AE106*$C$4,0)</f>
        <v>3858</v>
      </c>
      <c r="AF31" s="4" t="n">
        <f aca="false">ROUND('Quarterly MW'!AF106*$C$4,0)</f>
        <v>3858</v>
      </c>
    </row>
    <row r="32" customFormat="false" ht="15" hidden="false" customHeight="false" outlineLevel="0" collapsed="false">
      <c r="A32" s="0" t="s">
        <v>76</v>
      </c>
      <c r="B32" s="0" t="s">
        <v>395</v>
      </c>
      <c r="C32" s="0" t="s">
        <v>370</v>
      </c>
      <c r="E32" s="4" t="n">
        <f aca="false">ROUND('Quarterly MW'!E111*$C$5,0)</f>
        <v>0</v>
      </c>
      <c r="F32" s="4" t="n">
        <f aca="false">ROUND('Quarterly MW'!F111*$C$5,0)</f>
        <v>0</v>
      </c>
      <c r="G32" s="4" t="n">
        <f aca="false">ROUND('Quarterly MW'!G111*$C$5,0)</f>
        <v>0</v>
      </c>
      <c r="H32" s="4" t="n">
        <f aca="false">ROUND('Quarterly MW'!H111*$C$5,0)</f>
        <v>0</v>
      </c>
      <c r="I32" s="4" t="n">
        <f aca="false">ROUND('Quarterly MW'!I111*$C$5,0)</f>
        <v>0</v>
      </c>
      <c r="J32" s="4" t="n">
        <f aca="false">ROUND('Quarterly MW'!J111*$C$5,0)</f>
        <v>0</v>
      </c>
      <c r="K32" s="4" t="n">
        <f aca="false">ROUND('Quarterly MW'!K111*$C$5,0)</f>
        <v>0</v>
      </c>
      <c r="L32" s="4" t="n">
        <f aca="false">ROUND('Quarterly MW'!L111*$C$5,0)</f>
        <v>0</v>
      </c>
      <c r="M32" s="4" t="n">
        <f aca="false">ROUND('Quarterly MW'!M111*$C$5,0)</f>
        <v>0</v>
      </c>
      <c r="N32" s="4" t="n">
        <f aca="false">ROUND('Quarterly MW'!N111*$C$5,0)</f>
        <v>4093</v>
      </c>
      <c r="O32" s="4" t="n">
        <f aca="false">ROUND('Quarterly MW'!O111*$C$5,0)</f>
        <v>4093</v>
      </c>
      <c r="P32" s="4" t="n">
        <f aca="false">ROUND('Quarterly MW'!P111*$C$5,0)</f>
        <v>10233</v>
      </c>
      <c r="Q32" s="4" t="n">
        <f aca="false">ROUND('Quarterly MW'!Q111*$C$5,0)</f>
        <v>20465</v>
      </c>
      <c r="R32" s="4" t="n">
        <f aca="false">ROUND('Quarterly MW'!R111*$C$5,0)</f>
        <v>30698</v>
      </c>
      <c r="S32" s="4" t="n">
        <f aca="false">ROUND('Quarterly MW'!S111*$C$5,0)</f>
        <v>40930</v>
      </c>
      <c r="T32" s="4" t="n">
        <f aca="false">ROUND('Quarterly MW'!T111*$C$5,0)</f>
        <v>40930</v>
      </c>
      <c r="U32" s="4" t="n">
        <f aca="false">ROUND('Quarterly MW'!U111*$C$5,0)</f>
        <v>40930</v>
      </c>
      <c r="V32" s="4" t="n">
        <f aca="false">ROUND('Quarterly MW'!V111*$C$5,0)</f>
        <v>40930</v>
      </c>
      <c r="W32" s="4" t="n">
        <f aca="false">ROUND('Quarterly MW'!W111*$C$5,0)</f>
        <v>40930</v>
      </c>
      <c r="X32" s="4" t="n">
        <f aca="false">ROUND('Quarterly MW'!X111*$C$5,0)</f>
        <v>40930</v>
      </c>
      <c r="Y32" s="4" t="n">
        <f aca="false">ROUND('Quarterly MW'!Y111*$C$5,0)</f>
        <v>40930</v>
      </c>
      <c r="Z32" s="4" t="n">
        <f aca="false">ROUND('Quarterly MW'!Z111*$C$5,0)</f>
        <v>40930</v>
      </c>
      <c r="AA32" s="4" t="n">
        <f aca="false">ROUND('Quarterly MW'!AA111*$C$5,0)</f>
        <v>40930</v>
      </c>
      <c r="AB32" s="4" t="n">
        <f aca="false">ROUND('Quarterly MW'!AB111*$C$5,0)</f>
        <v>40930</v>
      </c>
      <c r="AC32" s="4" t="n">
        <f aca="false">ROUND('Quarterly MW'!AC111*$C$5,0)</f>
        <v>40930</v>
      </c>
      <c r="AD32" s="4" t="n">
        <f aca="false">ROUND('Quarterly MW'!AD111*$C$5,0)</f>
        <v>40930</v>
      </c>
      <c r="AE32" s="4" t="n">
        <f aca="false">ROUND('Quarterly MW'!AE111*$C$5,0)</f>
        <v>40930</v>
      </c>
      <c r="AF32" s="4" t="n">
        <f aca="false">ROUND('Quarterly MW'!AF111*$C$5,0)</f>
        <v>40930</v>
      </c>
    </row>
    <row r="33" customFormat="false" ht="15" hidden="false" customHeight="false" outlineLevel="0" collapsed="false">
      <c r="A33" s="0" t="s">
        <v>79</v>
      </c>
      <c r="B33" s="0" t="s">
        <v>397</v>
      </c>
      <c r="C33" s="0" t="s">
        <v>345</v>
      </c>
      <c r="E33" s="4" t="n">
        <f aca="false">ROUND('Quarterly MW'!E121*$B$6,0)</f>
        <v>0</v>
      </c>
      <c r="F33" s="4" t="n">
        <f aca="false">ROUND('Quarterly MW'!F121*$B$6,0)</f>
        <v>0</v>
      </c>
      <c r="G33" s="4" t="n">
        <f aca="false">ROUND('Quarterly MW'!G121*$B$6,0)</f>
        <v>0</v>
      </c>
      <c r="H33" s="4" t="n">
        <f aca="false">ROUND('Quarterly MW'!H121*$B$6,0)</f>
        <v>0</v>
      </c>
      <c r="I33" s="4" t="n">
        <f aca="false">ROUND('Quarterly MW'!I121*$B$6,0)</f>
        <v>0</v>
      </c>
      <c r="J33" s="4" t="n">
        <f aca="false">ROUND('Quarterly MW'!J121*$B$6,0)</f>
        <v>0</v>
      </c>
      <c r="K33" s="4" t="n">
        <f aca="false">ROUND('Quarterly MW'!K121*$B$6,0)</f>
        <v>0</v>
      </c>
      <c r="L33" s="4" t="n">
        <f aca="false">ROUND('Quarterly MW'!L121*$B$6,0)</f>
        <v>0</v>
      </c>
      <c r="M33" s="4" t="n">
        <f aca="false">ROUND('Quarterly MW'!M121*$B$6,0)</f>
        <v>0</v>
      </c>
      <c r="N33" s="4" t="n">
        <f aca="false">ROUND('Quarterly MW'!N121*$B$6,0)</f>
        <v>0</v>
      </c>
      <c r="O33" s="4" t="n">
        <f aca="false">ROUND('Quarterly MW'!O121*$B$6,0)</f>
        <v>0</v>
      </c>
      <c r="P33" s="4" t="n">
        <f aca="false">ROUND('Quarterly MW'!P121*$B$6,0)</f>
        <v>0</v>
      </c>
      <c r="Q33" s="4" t="n">
        <f aca="false">ROUND('Quarterly MW'!Q121*$B$6,0)</f>
        <v>0</v>
      </c>
      <c r="R33" s="4" t="n">
        <f aca="false">ROUND('Quarterly MW'!R121*$B$6,0)</f>
        <v>0</v>
      </c>
      <c r="S33" s="4" t="n">
        <f aca="false">ROUND('Quarterly MW'!S121*$B$6,0)</f>
        <v>4000</v>
      </c>
      <c r="T33" s="4" t="n">
        <f aca="false">ROUND('Quarterly MW'!T121*$B$6,0)</f>
        <v>8000</v>
      </c>
      <c r="U33" s="4" t="n">
        <f aca="false">ROUND('Quarterly MW'!U121*$B$6,0)</f>
        <v>12000</v>
      </c>
      <c r="V33" s="4" t="n">
        <f aca="false">ROUND('Quarterly MW'!V121*$B$6,0)</f>
        <v>12000</v>
      </c>
      <c r="W33" s="4" t="n">
        <f aca="false">ROUND('Quarterly MW'!W121*$B$6,0)</f>
        <v>16000</v>
      </c>
      <c r="X33" s="4" t="n">
        <f aca="false">ROUND('Quarterly MW'!X121*$B$6,0)</f>
        <v>16000</v>
      </c>
      <c r="Y33" s="4" t="n">
        <f aca="false">ROUND('Quarterly MW'!Y121*$B$6,0)</f>
        <v>16000</v>
      </c>
      <c r="Z33" s="4" t="n">
        <f aca="false">ROUND('Quarterly MW'!Z121*$B$6,0)</f>
        <v>16000</v>
      </c>
      <c r="AA33" s="4" t="n">
        <f aca="false">ROUND('Quarterly MW'!AA121*$B$6,0)</f>
        <v>16000</v>
      </c>
      <c r="AB33" s="4" t="n">
        <f aca="false">ROUND('Quarterly MW'!AB121*$B$6,0)</f>
        <v>16000</v>
      </c>
      <c r="AC33" s="4" t="n">
        <f aca="false">ROUND('Quarterly MW'!AC121*$B$6,0)</f>
        <v>16000</v>
      </c>
      <c r="AD33" s="4" t="n">
        <f aca="false">ROUND('Quarterly MW'!AD121*$B$6,0)</f>
        <v>16000</v>
      </c>
      <c r="AE33" s="4" t="n">
        <f aca="false">ROUND('Quarterly MW'!AE121*$B$6,0)</f>
        <v>16000</v>
      </c>
      <c r="AF33" s="4" t="n">
        <f aca="false">ROUND('Quarterly MW'!AF121*$B$6,0)</f>
        <v>16000</v>
      </c>
    </row>
    <row r="34" customFormat="false" ht="15" hidden="false" customHeight="false" outlineLevel="0" collapsed="false">
      <c r="A34" s="0" t="s">
        <v>403</v>
      </c>
      <c r="E34" s="4" t="n">
        <f aca="false">SUM(E11:E33)</f>
        <v>13713</v>
      </c>
      <c r="F34" s="4" t="n">
        <f aca="false">SUM(F11:F33)</f>
        <v>13713</v>
      </c>
      <c r="G34" s="4" t="n">
        <f aca="false">SUM(G11:G33)</f>
        <v>13713</v>
      </c>
      <c r="H34" s="4" t="n">
        <f aca="false">SUM(H11:H33)</f>
        <v>16456</v>
      </c>
      <c r="I34" s="4" t="n">
        <f aca="false">SUM(I11:I33)</f>
        <v>27426</v>
      </c>
      <c r="J34" s="4" t="n">
        <f aca="false">SUM(J11:J33)</f>
        <v>27426</v>
      </c>
      <c r="K34" s="4" t="n">
        <f aca="false">SUM(K11:K33)</f>
        <v>32542</v>
      </c>
      <c r="L34" s="4" t="n">
        <f aca="false">SUM(L11:L33)</f>
        <v>69797</v>
      </c>
      <c r="M34" s="4" t="n">
        <f aca="false">SUM(M11:M33)</f>
        <v>84323</v>
      </c>
      <c r="N34" s="4" t="n">
        <f aca="false">SUM(N11:N33)</f>
        <v>89153</v>
      </c>
      <c r="O34" s="4" t="n">
        <f aca="false">SUM(O11:O33)</f>
        <v>105309</v>
      </c>
      <c r="P34" s="4" t="n">
        <f aca="false">SUM(P11:P33)</f>
        <v>144031</v>
      </c>
      <c r="Q34" s="4" t="n">
        <f aca="false">SUM(Q11:Q33)</f>
        <v>212679</v>
      </c>
      <c r="R34" s="4" t="n">
        <f aca="false">SUM(R11:R33)</f>
        <v>291090</v>
      </c>
      <c r="S34" s="4" t="n">
        <f aca="false">SUM(S11:S33)</f>
        <v>363010</v>
      </c>
      <c r="T34" s="4" t="n">
        <f aca="false">SUM(T11:T33)</f>
        <v>471393</v>
      </c>
      <c r="U34" s="4" t="n">
        <f aca="false">SUM(U11:U33)</f>
        <v>502093</v>
      </c>
      <c r="V34" s="4" t="n">
        <f aca="false">SUM(V11:V33)</f>
        <v>554157</v>
      </c>
      <c r="W34" s="4" t="n">
        <f aca="false">SUM(W11:W33)</f>
        <v>558157</v>
      </c>
      <c r="X34" s="4" t="n">
        <f aca="false">SUM(X11:X33)</f>
        <v>676165</v>
      </c>
      <c r="Y34" s="4" t="n">
        <f aca="false">SUM(Y11:Y33)</f>
        <v>676165</v>
      </c>
      <c r="Z34" s="4" t="n">
        <f aca="false">SUM(Z11:Z33)</f>
        <v>788305</v>
      </c>
      <c r="AA34" s="4" t="n">
        <f aca="false">SUM(AA11:AA33)</f>
        <v>788305</v>
      </c>
      <c r="AB34" s="4" t="n">
        <f aca="false">SUM(AB11:AB33)</f>
        <v>944500</v>
      </c>
      <c r="AC34" s="4" t="n">
        <f aca="false">SUM(AC11:AC33)</f>
        <v>944500</v>
      </c>
      <c r="AD34" s="4" t="n">
        <f aca="false">SUM(AD11:AD33)</f>
        <v>944500</v>
      </c>
      <c r="AE34" s="4" t="n">
        <f aca="false">SUM(AE11:AE33)</f>
        <v>944500</v>
      </c>
      <c r="AF34" s="4" t="n">
        <f aca="false">SUM(AF11:AF33)</f>
        <v>1098025</v>
      </c>
    </row>
    <row r="35" customFormat="false" ht="15" hidden="false" customHeight="false" outlineLevel="0" collapsed="false">
      <c r="A35" s="0" t="s">
        <v>404</v>
      </c>
      <c r="D35" s="0" t="s">
        <v>405</v>
      </c>
      <c r="G35" s="5" t="n">
        <v>10000</v>
      </c>
      <c r="H35" s="5" t="n">
        <v>20000</v>
      </c>
      <c r="I35" s="5" t="n">
        <v>30000</v>
      </c>
    </row>
    <row r="36" customFormat="false" ht="15" hidden="false" customHeight="false" outlineLevel="0" collapsed="false">
      <c r="A36" s="0" t="s">
        <v>406</v>
      </c>
      <c r="D36" s="0" t="s">
        <v>407</v>
      </c>
      <c r="L36" s="4" t="n">
        <f aca="false">4000+4000</f>
        <v>8000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26"/>
  </cols>
  <sheetData>
    <row r="1" customFormat="false" ht="15" hidden="false" customHeight="false" outlineLevel="0" collapsed="false">
      <c r="A1" s="3" t="s">
        <v>38</v>
      </c>
      <c r="B1" s="3" t="s">
        <v>408</v>
      </c>
      <c r="C1" s="3" t="s">
        <v>409</v>
      </c>
      <c r="D1" s="3" t="s">
        <v>46</v>
      </c>
      <c r="E1" s="3" t="s">
        <v>314</v>
      </c>
      <c r="F1" s="3" t="s">
        <v>315</v>
      </c>
      <c r="G1" s="3" t="s">
        <v>316</v>
      </c>
      <c r="H1" s="3" t="s">
        <v>317</v>
      </c>
      <c r="I1" s="3" t="s">
        <v>318</v>
      </c>
      <c r="J1" s="3" t="s">
        <v>319</v>
      </c>
      <c r="K1" s="3" t="s">
        <v>320</v>
      </c>
      <c r="L1" s="3" t="s">
        <v>321</v>
      </c>
      <c r="M1" s="3" t="s">
        <v>322</v>
      </c>
      <c r="N1" s="3" t="s">
        <v>323</v>
      </c>
      <c r="O1" s="3" t="s">
        <v>324</v>
      </c>
      <c r="P1" s="3" t="s">
        <v>325</v>
      </c>
      <c r="Q1" s="3" t="s">
        <v>326</v>
      </c>
      <c r="R1" s="3" t="s">
        <v>327</v>
      </c>
      <c r="S1" s="3" t="s">
        <v>328</v>
      </c>
      <c r="T1" s="3" t="s">
        <v>329</v>
      </c>
      <c r="U1" s="3" t="s">
        <v>330</v>
      </c>
      <c r="V1" s="3" t="s">
        <v>331</v>
      </c>
      <c r="W1" s="3" t="s">
        <v>332</v>
      </c>
      <c r="X1" s="3" t="s">
        <v>333</v>
      </c>
      <c r="Y1" s="3" t="s">
        <v>334</v>
      </c>
      <c r="Z1" s="3" t="s">
        <v>335</v>
      </c>
      <c r="AA1" s="3" t="s">
        <v>336</v>
      </c>
      <c r="AB1" s="3" t="s">
        <v>337</v>
      </c>
      <c r="AC1" s="3" t="s">
        <v>338</v>
      </c>
      <c r="AD1" s="3" t="s">
        <v>339</v>
      </c>
      <c r="AE1" s="3" t="s">
        <v>340</v>
      </c>
      <c r="AF1" s="3" t="s">
        <v>341</v>
      </c>
    </row>
    <row r="2" customFormat="false" ht="15" hidden="false" customHeight="false" outlineLevel="0" collapsed="false">
      <c r="A2" s="0" t="s">
        <v>47</v>
      </c>
      <c r="B2" s="0" t="s">
        <v>410</v>
      </c>
      <c r="C2" s="0" t="s">
        <v>395</v>
      </c>
      <c r="E2" s="4" t="str">
        <f aca="false">IF('Quarterly MW'!E6&gt;0,"GB300 NVL72","")</f>
        <v/>
      </c>
      <c r="F2" s="4" t="str">
        <f aca="false">IF('Quarterly MW'!F6&gt;0,"GB300 NVL72","")</f>
        <v/>
      </c>
      <c r="G2" s="4" t="str">
        <f aca="false">IF('Quarterly MW'!G6&gt;0,"GB300 NVL72","")</f>
        <v/>
      </c>
      <c r="H2" s="4" t="str">
        <f aca="false">IF('Quarterly MW'!H6&gt;0,"GB300 NVL72","")</f>
        <v/>
      </c>
      <c r="I2" s="4" t="str">
        <f aca="false">IF('Quarterly MW'!I6&gt;0,"GB300 NVL72","")</f>
        <v/>
      </c>
      <c r="J2" s="4" t="str">
        <f aca="false">IF('Quarterly MW'!J6&gt;0,"GB300 NVL72","")</f>
        <v/>
      </c>
      <c r="K2" s="4" t="str">
        <f aca="false">IF('Quarterly MW'!K6&gt;0,"GB300 NVL72","")</f>
        <v/>
      </c>
      <c r="L2" s="4" t="str">
        <f aca="false">IF('Quarterly MW'!L6&gt;0,"GB300 NVL72","")</f>
        <v>GB300 NVL72</v>
      </c>
      <c r="M2" s="4" t="str">
        <f aca="false">IF('Quarterly MW'!M6&gt;0,"GB300 NVL72","")</f>
        <v>GB300 NVL72</v>
      </c>
      <c r="N2" s="4" t="str">
        <f aca="false">IF('Quarterly MW'!N6&gt;0,"GB300 NVL72","")</f>
        <v>GB300 NVL72</v>
      </c>
      <c r="O2" s="4" t="str">
        <f aca="false">IF('Quarterly MW'!O6&gt;0,"GB300 NVL72","")</f>
        <v>GB300 NVL72</v>
      </c>
      <c r="P2" s="4" t="str">
        <f aca="false">IF('Quarterly MW'!P6&gt;0,"GB300 NVL72","")</f>
        <v>GB300 NVL72</v>
      </c>
      <c r="Q2" s="4" t="str">
        <f aca="false">IF('Quarterly MW'!Q6&gt;0,"GB300 NVL72","")</f>
        <v>GB300 NVL72</v>
      </c>
      <c r="R2" s="4" t="str">
        <f aca="false">IF('Quarterly MW'!R6&gt;0,"GB300 NVL72","")</f>
        <v>GB300 NVL72</v>
      </c>
      <c r="S2" s="4" t="str">
        <f aca="false">IF('Quarterly MW'!S6&gt;0,"GB300 NVL72","")</f>
        <v>GB300 NVL72</v>
      </c>
      <c r="T2" s="4" t="str">
        <f aca="false">IF('Quarterly MW'!T6&gt;0,"GB300 NVL72","")</f>
        <v>GB300 NVL72</v>
      </c>
      <c r="U2" s="4" t="str">
        <f aca="false">IF('Quarterly MW'!U6&gt;0,"GB300 NVL72","")</f>
        <v>GB300 NVL72</v>
      </c>
      <c r="V2" s="4" t="str">
        <f aca="false">IF('Quarterly MW'!V6&gt;0,"GB300 NVL72","")</f>
        <v>GB300 NVL72</v>
      </c>
      <c r="W2" s="4" t="str">
        <f aca="false">IF('Quarterly MW'!W6&gt;0,"GB300 NVL72","")</f>
        <v>GB300 NVL72</v>
      </c>
      <c r="X2" s="4" t="str">
        <f aca="false">IF('Quarterly MW'!X6&gt;0,"GB300 NVL72","")</f>
        <v>GB300 NVL72</v>
      </c>
      <c r="Y2" s="4" t="str">
        <f aca="false">IF('Quarterly MW'!Y6&gt;0,"GB300 NVL72","")</f>
        <v>GB300 NVL72</v>
      </c>
      <c r="Z2" s="4" t="str">
        <f aca="false">IF('Quarterly MW'!Z6&gt;0,"GB300 NVL72","")</f>
        <v>GB300 NVL72</v>
      </c>
      <c r="AA2" s="4" t="str">
        <f aca="false">IF('Quarterly MW'!AA6&gt;0,"GB300 NVL72","")</f>
        <v>GB300 NVL72</v>
      </c>
      <c r="AB2" s="4" t="str">
        <f aca="false">IF('Quarterly MW'!AB6&gt;0,"GB300 NVL72","")</f>
        <v>GB300 NVL72</v>
      </c>
      <c r="AC2" s="4" t="str">
        <f aca="false">IF('Quarterly MW'!AC6&gt;0,"GB300 NVL72","")</f>
        <v>GB300 NVL72</v>
      </c>
      <c r="AD2" s="4" t="str">
        <f aca="false">IF('Quarterly MW'!AD6&gt;0,"GB300 NVL72","")</f>
        <v>GB300 NVL72</v>
      </c>
      <c r="AE2" s="4" t="str">
        <f aca="false">IF('Quarterly MW'!AE6&gt;0,"GB300 NVL72","")</f>
        <v>GB300 NVL72</v>
      </c>
      <c r="AF2" s="4" t="str">
        <f aca="false">IF('Quarterly MW'!AF6&gt;0,"GB300 NVL72","")</f>
        <v>GB300 NVL72</v>
      </c>
    </row>
    <row r="3" customFormat="false" ht="15" hidden="false" customHeight="false" outlineLevel="0" collapsed="false">
      <c r="A3" s="0" t="s">
        <v>47</v>
      </c>
      <c r="B3" s="0" t="s">
        <v>411</v>
      </c>
      <c r="C3" s="0" t="s">
        <v>395</v>
      </c>
      <c r="E3" s="4" t="n">
        <f aca="false">'Quarterly MW'!E6-0</f>
        <v>0</v>
      </c>
      <c r="F3" s="4" t="n">
        <f aca="false">'Quarterly MW'!F6-'Quarterly MW'!E6</f>
        <v>0</v>
      </c>
      <c r="G3" s="4" t="n">
        <f aca="false">'Quarterly MW'!G6-'Quarterly MW'!F6</f>
        <v>0</v>
      </c>
      <c r="H3" s="4" t="n">
        <f aca="false">'Quarterly MW'!H6-'Quarterly MW'!G6</f>
        <v>0</v>
      </c>
      <c r="I3" s="4" t="n">
        <f aca="false">'Quarterly MW'!I6-'Quarterly MW'!H6</f>
        <v>0</v>
      </c>
      <c r="J3" s="4" t="n">
        <f aca="false">'Quarterly MW'!J6-'Quarterly MW'!I6</f>
        <v>0</v>
      </c>
      <c r="K3" s="4" t="n">
        <f aca="false">'Quarterly MW'!K6-'Quarterly MW'!J6</f>
        <v>0</v>
      </c>
      <c r="L3" s="4" t="n">
        <f aca="false">'Quarterly MW'!L6-'Quarterly MW'!K6</f>
        <v>26.2</v>
      </c>
      <c r="M3" s="4" t="n">
        <f aca="false">'Quarterly MW'!M6-'Quarterly MW'!L6</f>
        <v>11.3</v>
      </c>
      <c r="N3" s="4" t="n">
        <f aca="false">'Quarterly MW'!N6-'Quarterly MW'!M6</f>
        <v>1.5</v>
      </c>
      <c r="O3" s="4" t="n">
        <f aca="false">'Quarterly MW'!O6-'Quarterly MW'!N6</f>
        <v>27</v>
      </c>
      <c r="P3" s="4" t="n">
        <f aca="false">'Quarterly MW'!P6-'Quarterly MW'!O6</f>
        <v>15.8</v>
      </c>
      <c r="Q3" s="4" t="n">
        <f aca="false">'Quarterly MW'!Q6-'Quarterly MW'!P6</f>
        <v>36.7</v>
      </c>
      <c r="R3" s="4" t="n">
        <f aca="false">'Quarterly MW'!R6-'Quarterly MW'!Q6</f>
        <v>50</v>
      </c>
      <c r="S3" s="4" t="n">
        <f aca="false">'Quarterly MW'!S6-'Quarterly MW'!R6</f>
        <v>31.5</v>
      </c>
      <c r="T3" s="4" t="n">
        <f aca="false">'Quarterly MW'!T6-'Quarterly MW'!S6</f>
        <v>35</v>
      </c>
      <c r="U3" s="4" t="n">
        <f aca="false">'Quarterly MW'!U6-'Quarterly MW'!T6</f>
        <v>0</v>
      </c>
      <c r="V3" s="4" t="n">
        <f aca="false">'Quarterly MW'!V6-'Quarterly MW'!U6</f>
        <v>0</v>
      </c>
      <c r="W3" s="4" t="n">
        <f aca="false">'Quarterly MW'!W6-'Quarterly MW'!V6</f>
        <v>0</v>
      </c>
      <c r="X3" s="4" t="n">
        <f aca="false">'Quarterly MW'!X6-'Quarterly MW'!W6</f>
        <v>0</v>
      </c>
      <c r="Y3" s="4" t="n">
        <f aca="false">'Quarterly MW'!Y6-'Quarterly MW'!X6</f>
        <v>0</v>
      </c>
      <c r="Z3" s="4" t="n">
        <f aca="false">'Quarterly MW'!Z6-'Quarterly MW'!Y6</f>
        <v>0</v>
      </c>
      <c r="AA3" s="4" t="n">
        <f aca="false">'Quarterly MW'!AA6-'Quarterly MW'!Z6</f>
        <v>0</v>
      </c>
      <c r="AB3" s="4" t="n">
        <f aca="false">'Quarterly MW'!AB6-'Quarterly MW'!AA6</f>
        <v>0</v>
      </c>
      <c r="AC3" s="4" t="n">
        <f aca="false">'Quarterly MW'!AC6-'Quarterly MW'!AB6</f>
        <v>0</v>
      </c>
      <c r="AD3" s="4" t="n">
        <f aca="false">'Quarterly MW'!AD6-'Quarterly MW'!AC6</f>
        <v>0</v>
      </c>
      <c r="AE3" s="4" t="n">
        <f aca="false">'Quarterly MW'!AE6-'Quarterly MW'!AD6</f>
        <v>0</v>
      </c>
      <c r="AF3" s="4" t="n">
        <f aca="false">'Quarterly MW'!AF6-'Quarterly MW'!AE6</f>
        <v>0</v>
      </c>
    </row>
    <row r="4" customFormat="false" ht="15" hidden="false" customHeight="false" outlineLevel="0" collapsed="false">
      <c r="A4" s="0" t="s">
        <v>179</v>
      </c>
      <c r="B4" s="0" t="s">
        <v>410</v>
      </c>
      <c r="C4" s="0" t="s">
        <v>397</v>
      </c>
      <c r="E4" s="4" t="str">
        <f aca="false">IF('Quarterly MW'!E11&gt;0,"Vera Rubin NVL72","")</f>
        <v/>
      </c>
      <c r="F4" s="4" t="str">
        <f aca="false">IF('Quarterly MW'!F11&gt;0,"Vera Rubin NVL72","")</f>
        <v/>
      </c>
      <c r="G4" s="4" t="str">
        <f aca="false">IF('Quarterly MW'!G11&gt;0,"Vera Rubin NVL72","")</f>
        <v/>
      </c>
      <c r="H4" s="4" t="str">
        <f aca="false">IF('Quarterly MW'!H11&gt;0,"Vera Rubin NVL72","")</f>
        <v/>
      </c>
      <c r="I4" s="4" t="str">
        <f aca="false">IF('Quarterly MW'!I11&gt;0,"Vera Rubin NVL72","")</f>
        <v/>
      </c>
      <c r="J4" s="4" t="str">
        <f aca="false">IF('Quarterly MW'!J11&gt;0,"Vera Rubin NVL72","")</f>
        <v/>
      </c>
      <c r="K4" s="4" t="str">
        <f aca="false">IF('Quarterly MW'!K11&gt;0,"Vera Rubin NVL72","")</f>
        <v/>
      </c>
      <c r="L4" s="4" t="str">
        <f aca="false">IF('Quarterly MW'!L11&gt;0,"Vera Rubin NVL72","")</f>
        <v/>
      </c>
      <c r="M4" s="4" t="str">
        <f aca="false">IF('Quarterly MW'!M11&gt;0,"Vera Rubin NVL72","")</f>
        <v/>
      </c>
      <c r="N4" s="4" t="str">
        <f aca="false">IF('Quarterly MW'!N11&gt;0,"Vera Rubin NVL72","")</f>
        <v/>
      </c>
      <c r="O4" s="4" t="str">
        <f aca="false">IF('Quarterly MW'!O11&gt;0,"Vera Rubin NVL72","")</f>
        <v/>
      </c>
      <c r="P4" s="4" t="str">
        <f aca="false">IF('Quarterly MW'!P11&gt;0,"Vera Rubin NVL72","")</f>
        <v/>
      </c>
      <c r="Q4" s="4" t="str">
        <f aca="false">IF('Quarterly MW'!Q11&gt;0,"Vera Rubin NVL72","")</f>
        <v/>
      </c>
      <c r="R4" s="4" t="str">
        <f aca="false">IF('Quarterly MW'!R11&gt;0,"Vera Rubin NVL72","")</f>
        <v/>
      </c>
      <c r="S4" s="4" t="str">
        <f aca="false">IF('Quarterly MW'!S11&gt;0,"Vera Rubin NVL72","")</f>
        <v>Vera Rubin NVL72</v>
      </c>
      <c r="T4" s="4" t="str">
        <f aca="false">IF('Quarterly MW'!T11&gt;0,"Vera Rubin NVL72","")</f>
        <v>Vera Rubin NVL72</v>
      </c>
      <c r="U4" s="4" t="str">
        <f aca="false">IF('Quarterly MW'!U11&gt;0,"Vera Rubin NVL72","")</f>
        <v>Vera Rubin NVL72</v>
      </c>
      <c r="V4" s="4" t="str">
        <f aca="false">IF('Quarterly MW'!V11&gt;0,"Vera Rubin NVL72","")</f>
        <v>Vera Rubin NVL72</v>
      </c>
      <c r="W4" s="4" t="str">
        <f aca="false">IF('Quarterly MW'!W11&gt;0,"Vera Rubin NVL72","")</f>
        <v>Vera Rubin NVL72</v>
      </c>
      <c r="X4" s="4" t="str">
        <f aca="false">IF('Quarterly MW'!X11&gt;0,"Vera Rubin NVL72","")</f>
        <v>Vera Rubin NVL72</v>
      </c>
      <c r="Y4" s="4" t="str">
        <f aca="false">IF('Quarterly MW'!Y11&gt;0,"Vera Rubin NVL72","")</f>
        <v>Vera Rubin NVL72</v>
      </c>
      <c r="Z4" s="4" t="str">
        <f aca="false">IF('Quarterly MW'!Z11&gt;0,"Vera Rubin NVL72","")</f>
        <v>Vera Rubin NVL72</v>
      </c>
      <c r="AA4" s="4" t="str">
        <f aca="false">IF('Quarterly MW'!AA11&gt;0,"Vera Rubin NVL72","")</f>
        <v>Vera Rubin NVL72</v>
      </c>
      <c r="AB4" s="4" t="str">
        <f aca="false">IF('Quarterly MW'!AB11&gt;0,"Vera Rubin NVL72","")</f>
        <v>Vera Rubin NVL72</v>
      </c>
      <c r="AC4" s="4" t="str">
        <f aca="false">IF('Quarterly MW'!AC11&gt;0,"Vera Rubin NVL72","")</f>
        <v>Vera Rubin NVL72</v>
      </c>
      <c r="AD4" s="4" t="str">
        <f aca="false">IF('Quarterly MW'!AD11&gt;0,"Vera Rubin NVL72","")</f>
        <v>Vera Rubin NVL72</v>
      </c>
      <c r="AE4" s="4" t="str">
        <f aca="false">IF('Quarterly MW'!AE11&gt;0,"Vera Rubin NVL72","")</f>
        <v>Vera Rubin NVL72</v>
      </c>
      <c r="AF4" s="4" t="str">
        <f aca="false">IF('Quarterly MW'!AF11&gt;0,"Vera Rubin NVL72","")</f>
        <v>Vera Rubin NVL72</v>
      </c>
    </row>
    <row r="5" customFormat="false" ht="15" hidden="false" customHeight="false" outlineLevel="0" collapsed="false">
      <c r="A5" s="0" t="s">
        <v>179</v>
      </c>
      <c r="B5" s="0" t="s">
        <v>411</v>
      </c>
      <c r="C5" s="0" t="s">
        <v>397</v>
      </c>
      <c r="E5" s="4" t="n">
        <f aca="false">'Quarterly MW'!E11-0</f>
        <v>0</v>
      </c>
      <c r="F5" s="4" t="n">
        <f aca="false">'Quarterly MW'!F11-'Quarterly MW'!E11</f>
        <v>0</v>
      </c>
      <c r="G5" s="4" t="n">
        <f aca="false">'Quarterly MW'!G11-'Quarterly MW'!F11</f>
        <v>0</v>
      </c>
      <c r="H5" s="4" t="n">
        <f aca="false">'Quarterly MW'!H11-'Quarterly MW'!G11</f>
        <v>0</v>
      </c>
      <c r="I5" s="4" t="n">
        <f aca="false">'Quarterly MW'!I11-'Quarterly MW'!H11</f>
        <v>0</v>
      </c>
      <c r="J5" s="4" t="n">
        <f aca="false">'Quarterly MW'!J11-'Quarterly MW'!I11</f>
        <v>0</v>
      </c>
      <c r="K5" s="4" t="n">
        <f aca="false">'Quarterly MW'!K11-'Quarterly MW'!J11</f>
        <v>0</v>
      </c>
      <c r="L5" s="4" t="n">
        <f aca="false">'Quarterly MW'!L11-'Quarterly MW'!K11</f>
        <v>0</v>
      </c>
      <c r="M5" s="4" t="n">
        <f aca="false">'Quarterly MW'!M11-'Quarterly MW'!L11</f>
        <v>0</v>
      </c>
      <c r="N5" s="4" t="n">
        <f aca="false">'Quarterly MW'!N11-'Quarterly MW'!M11</f>
        <v>0</v>
      </c>
      <c r="O5" s="4" t="n">
        <f aca="false">'Quarterly MW'!O11-'Quarterly MW'!N11</f>
        <v>0</v>
      </c>
      <c r="P5" s="4" t="n">
        <f aca="false">'Quarterly MW'!P11-'Quarterly MW'!O11</f>
        <v>0</v>
      </c>
      <c r="Q5" s="4" t="n">
        <f aca="false">'Quarterly MW'!Q11-'Quarterly MW'!P11</f>
        <v>0</v>
      </c>
      <c r="R5" s="4" t="n">
        <f aca="false">'Quarterly MW'!R11-'Quarterly MW'!Q11</f>
        <v>0</v>
      </c>
      <c r="S5" s="4" t="n">
        <f aca="false">'Quarterly MW'!S11-'Quarterly MW'!R11</f>
        <v>50</v>
      </c>
      <c r="T5" s="4" t="n">
        <f aca="false">'Quarterly MW'!T11-'Quarterly MW'!S11</f>
        <v>75</v>
      </c>
      <c r="U5" s="4" t="n">
        <f aca="false">'Quarterly MW'!U11-'Quarterly MW'!T11</f>
        <v>0</v>
      </c>
      <c r="V5" s="4" t="n">
        <f aca="false">'Quarterly MW'!V11-'Quarterly MW'!U11</f>
        <v>50</v>
      </c>
      <c r="W5" s="4" t="n">
        <f aca="false">'Quarterly MW'!W11-'Quarterly MW'!V11</f>
        <v>0</v>
      </c>
      <c r="X5" s="4" t="n">
        <f aca="false">'Quarterly MW'!X11-'Quarterly MW'!W11</f>
        <v>50</v>
      </c>
      <c r="Y5" s="4" t="n">
        <f aca="false">'Quarterly MW'!Y11-'Quarterly MW'!X11</f>
        <v>0</v>
      </c>
      <c r="Z5" s="4" t="n">
        <f aca="false">'Quarterly MW'!Z11-'Quarterly MW'!Y11</f>
        <v>225</v>
      </c>
      <c r="AA5" s="4" t="n">
        <f aca="false">'Quarterly MW'!AA11-'Quarterly MW'!Z11</f>
        <v>0</v>
      </c>
      <c r="AB5" s="4" t="n">
        <f aca="false">'Quarterly MW'!AB11-'Quarterly MW'!AA11</f>
        <v>200</v>
      </c>
      <c r="AC5" s="4" t="n">
        <f aca="false">'Quarterly MW'!AC11-'Quarterly MW'!AB11</f>
        <v>0</v>
      </c>
      <c r="AD5" s="4" t="n">
        <f aca="false">'Quarterly MW'!AD11-'Quarterly MW'!AC11</f>
        <v>0</v>
      </c>
      <c r="AE5" s="4" t="n">
        <f aca="false">'Quarterly MW'!AE11-'Quarterly MW'!AD11</f>
        <v>0</v>
      </c>
      <c r="AF5" s="4" t="n">
        <f aca="false">'Quarterly MW'!AF11-'Quarterly MW'!AE11</f>
        <v>300</v>
      </c>
    </row>
    <row r="6" customFormat="false" ht="15" hidden="false" customHeight="false" outlineLevel="0" collapsed="false">
      <c r="A6" s="0" t="s">
        <v>190</v>
      </c>
      <c r="B6" s="0" t="s">
        <v>410</v>
      </c>
      <c r="C6" s="0" t="s">
        <v>397</v>
      </c>
      <c r="E6" s="4" t="str">
        <f aca="false">IF('Quarterly MW'!E16&gt;0,"Vera Rubin NVL72","")</f>
        <v/>
      </c>
      <c r="F6" s="4" t="str">
        <f aca="false">IF('Quarterly MW'!F16&gt;0,"Vera Rubin NVL72","")</f>
        <v/>
      </c>
      <c r="G6" s="4" t="str">
        <f aca="false">IF('Quarterly MW'!G16&gt;0,"Vera Rubin NVL72","")</f>
        <v/>
      </c>
      <c r="H6" s="4" t="str">
        <f aca="false">IF('Quarterly MW'!H16&gt;0,"Vera Rubin NVL72","")</f>
        <v/>
      </c>
      <c r="I6" s="4" t="str">
        <f aca="false">IF('Quarterly MW'!I16&gt;0,"Vera Rubin NVL72","")</f>
        <v/>
      </c>
      <c r="J6" s="4" t="str">
        <f aca="false">IF('Quarterly MW'!J16&gt;0,"Vera Rubin NVL72","")</f>
        <v/>
      </c>
      <c r="K6" s="4" t="str">
        <f aca="false">IF('Quarterly MW'!K16&gt;0,"Vera Rubin NVL72","")</f>
        <v/>
      </c>
      <c r="L6" s="4" t="str">
        <f aca="false">IF('Quarterly MW'!L16&gt;0,"Vera Rubin NVL72","")</f>
        <v/>
      </c>
      <c r="M6" s="4" t="str">
        <f aca="false">IF('Quarterly MW'!M16&gt;0,"Vera Rubin NVL72","")</f>
        <v/>
      </c>
      <c r="N6" s="4" t="str">
        <f aca="false">IF('Quarterly MW'!N16&gt;0,"Vera Rubin NVL72","")</f>
        <v/>
      </c>
      <c r="O6" s="4" t="str">
        <f aca="false">IF('Quarterly MW'!O16&gt;0,"Vera Rubin NVL72","")</f>
        <v/>
      </c>
      <c r="P6" s="4" t="str">
        <f aca="false">IF('Quarterly MW'!P16&gt;0,"Vera Rubin NVL72","")</f>
        <v/>
      </c>
      <c r="Q6" s="4" t="str">
        <f aca="false">IF('Quarterly MW'!Q16&gt;0,"Vera Rubin NVL72","")</f>
        <v/>
      </c>
      <c r="R6" s="4" t="str">
        <f aca="false">IF('Quarterly MW'!R16&gt;0,"Vera Rubin NVL72","")</f>
        <v/>
      </c>
      <c r="S6" s="4" t="str">
        <f aca="false">IF('Quarterly MW'!S16&gt;0,"Vera Rubin NVL72","")</f>
        <v/>
      </c>
      <c r="T6" s="4" t="str">
        <f aca="false">IF('Quarterly MW'!T16&gt;0,"Vera Rubin NVL72","")</f>
        <v>Vera Rubin NVL72</v>
      </c>
      <c r="U6" s="4" t="str">
        <f aca="false">IF('Quarterly MW'!U16&gt;0,"Vera Rubin NVL72","")</f>
        <v>Vera Rubin NVL72</v>
      </c>
      <c r="V6" s="4" t="str">
        <f aca="false">IF('Quarterly MW'!V16&gt;0,"Vera Rubin NVL72","")</f>
        <v>Vera Rubin NVL72</v>
      </c>
      <c r="W6" s="4" t="str">
        <f aca="false">IF('Quarterly MW'!W16&gt;0,"Vera Rubin NVL72","")</f>
        <v>Vera Rubin NVL72</v>
      </c>
      <c r="X6" s="4" t="str">
        <f aca="false">IF('Quarterly MW'!X16&gt;0,"Vera Rubin NVL72","")</f>
        <v>Vera Rubin NVL72</v>
      </c>
      <c r="Y6" s="4" t="str">
        <f aca="false">IF('Quarterly MW'!Y16&gt;0,"Vera Rubin NVL72","")</f>
        <v>Vera Rubin NVL72</v>
      </c>
      <c r="Z6" s="4" t="str">
        <f aca="false">IF('Quarterly MW'!Z16&gt;0,"Vera Rubin NVL72","")</f>
        <v>Vera Rubin NVL72</v>
      </c>
      <c r="AA6" s="4" t="str">
        <f aca="false">IF('Quarterly MW'!AA16&gt;0,"Vera Rubin NVL72","")</f>
        <v>Vera Rubin NVL72</v>
      </c>
      <c r="AB6" s="4" t="str">
        <f aca="false">IF('Quarterly MW'!AB16&gt;0,"Vera Rubin NVL72","")</f>
        <v>Vera Rubin NVL72</v>
      </c>
      <c r="AC6" s="4" t="str">
        <f aca="false">IF('Quarterly MW'!AC16&gt;0,"Vera Rubin NVL72","")</f>
        <v>Vera Rubin NVL72</v>
      </c>
      <c r="AD6" s="4" t="str">
        <f aca="false">IF('Quarterly MW'!AD16&gt;0,"Vera Rubin NVL72","")</f>
        <v>Vera Rubin NVL72</v>
      </c>
      <c r="AE6" s="4" t="str">
        <f aca="false">IF('Quarterly MW'!AE16&gt;0,"Vera Rubin NVL72","")</f>
        <v>Vera Rubin NVL72</v>
      </c>
      <c r="AF6" s="4" t="str">
        <f aca="false">IF('Quarterly MW'!AF16&gt;0,"Vera Rubin NVL72","")</f>
        <v>Vera Rubin NVL72</v>
      </c>
    </row>
    <row r="7" customFormat="false" ht="15" hidden="false" customHeight="false" outlineLevel="0" collapsed="false">
      <c r="A7" s="0" t="s">
        <v>190</v>
      </c>
      <c r="B7" s="0" t="s">
        <v>411</v>
      </c>
      <c r="C7" s="0" t="s">
        <v>397</v>
      </c>
      <c r="E7" s="4" t="n">
        <f aca="false">'Quarterly MW'!E16-0</f>
        <v>0</v>
      </c>
      <c r="F7" s="4" t="n">
        <f aca="false">'Quarterly MW'!F16-'Quarterly MW'!E16</f>
        <v>0</v>
      </c>
      <c r="G7" s="4" t="n">
        <f aca="false">'Quarterly MW'!G16-'Quarterly MW'!F16</f>
        <v>0</v>
      </c>
      <c r="H7" s="4" t="n">
        <f aca="false">'Quarterly MW'!H16-'Quarterly MW'!G16</f>
        <v>0</v>
      </c>
      <c r="I7" s="4" t="n">
        <f aca="false">'Quarterly MW'!I16-'Quarterly MW'!H16</f>
        <v>0</v>
      </c>
      <c r="J7" s="4" t="n">
        <f aca="false">'Quarterly MW'!J16-'Quarterly MW'!I16</f>
        <v>0</v>
      </c>
      <c r="K7" s="4" t="n">
        <f aca="false">'Quarterly MW'!K16-'Quarterly MW'!J16</f>
        <v>0</v>
      </c>
      <c r="L7" s="4" t="n">
        <f aca="false">'Quarterly MW'!L16-'Quarterly MW'!K16</f>
        <v>0</v>
      </c>
      <c r="M7" s="4" t="n">
        <f aca="false">'Quarterly MW'!M16-'Quarterly MW'!L16</f>
        <v>0</v>
      </c>
      <c r="N7" s="4" t="n">
        <f aca="false">'Quarterly MW'!N16-'Quarterly MW'!M16</f>
        <v>0</v>
      </c>
      <c r="O7" s="4" t="n">
        <f aca="false">'Quarterly MW'!O16-'Quarterly MW'!N16</f>
        <v>0</v>
      </c>
      <c r="P7" s="4" t="n">
        <f aca="false">'Quarterly MW'!P16-'Quarterly MW'!O16</f>
        <v>0</v>
      </c>
      <c r="Q7" s="4" t="n">
        <f aca="false">'Quarterly MW'!Q16-'Quarterly MW'!P16</f>
        <v>0</v>
      </c>
      <c r="R7" s="4" t="n">
        <f aca="false">'Quarterly MW'!R16-'Quarterly MW'!Q16</f>
        <v>0</v>
      </c>
      <c r="S7" s="4" t="n">
        <f aca="false">'Quarterly MW'!S16-'Quarterly MW'!R16</f>
        <v>0</v>
      </c>
      <c r="T7" s="4" t="n">
        <f aca="false">'Quarterly MW'!T16-'Quarterly MW'!S16</f>
        <v>65</v>
      </c>
      <c r="U7" s="4" t="n">
        <f aca="false">'Quarterly MW'!U16-'Quarterly MW'!T16</f>
        <v>65</v>
      </c>
      <c r="V7" s="4" t="n">
        <f aca="false">'Quarterly MW'!V16-'Quarterly MW'!U16</f>
        <v>0</v>
      </c>
      <c r="W7" s="4" t="n">
        <f aca="false">'Quarterly MW'!W16-'Quarterly MW'!V16</f>
        <v>0</v>
      </c>
      <c r="X7" s="4" t="n">
        <f aca="false">'Quarterly MW'!X16-'Quarterly MW'!W16</f>
        <v>135</v>
      </c>
      <c r="Y7" s="4" t="n">
        <f aca="false">'Quarterly MW'!Y16-'Quarterly MW'!X16</f>
        <v>0</v>
      </c>
      <c r="Z7" s="4" t="n">
        <f aca="false">'Quarterly MW'!Z16-'Quarterly MW'!Y16</f>
        <v>195</v>
      </c>
      <c r="AA7" s="4" t="n">
        <f aca="false">'Quarterly MW'!AA16-'Quarterly MW'!Z16</f>
        <v>0</v>
      </c>
      <c r="AB7" s="4" t="n">
        <f aca="false">'Quarterly MW'!AB16-'Quarterly MW'!AA16</f>
        <v>240</v>
      </c>
      <c r="AC7" s="4" t="n">
        <f aca="false">'Quarterly MW'!AC16-'Quarterly MW'!AB16</f>
        <v>0</v>
      </c>
      <c r="AD7" s="4" t="n">
        <f aca="false">'Quarterly MW'!AD16-'Quarterly MW'!AC16</f>
        <v>0</v>
      </c>
      <c r="AE7" s="4" t="n">
        <f aca="false">'Quarterly MW'!AE16-'Quarterly MW'!AD16</f>
        <v>0</v>
      </c>
      <c r="AF7" s="4" t="n">
        <f aca="false">'Quarterly MW'!AF16-'Quarterly MW'!AE16</f>
        <v>230</v>
      </c>
    </row>
    <row r="8" customFormat="false" ht="15" hidden="false" customHeight="false" outlineLevel="0" collapsed="false">
      <c r="A8" s="0" t="s">
        <v>198</v>
      </c>
      <c r="B8" s="0" t="s">
        <v>410</v>
      </c>
      <c r="C8" s="0" t="s">
        <v>397</v>
      </c>
      <c r="E8" s="4" t="str">
        <f aca="false">IF('Quarterly MW'!E21&gt;0,"Vera Rubin NVL72","")</f>
        <v/>
      </c>
      <c r="F8" s="4" t="str">
        <f aca="false">IF('Quarterly MW'!F21&gt;0,"Vera Rubin NVL72","")</f>
        <v/>
      </c>
      <c r="G8" s="4" t="str">
        <f aca="false">IF('Quarterly MW'!G21&gt;0,"Vera Rubin NVL72","")</f>
        <v/>
      </c>
      <c r="H8" s="4" t="str">
        <f aca="false">IF('Quarterly MW'!H21&gt;0,"Vera Rubin NVL72","")</f>
        <v/>
      </c>
      <c r="I8" s="4" t="str">
        <f aca="false">IF('Quarterly MW'!I21&gt;0,"Vera Rubin NVL72","")</f>
        <v/>
      </c>
      <c r="J8" s="4" t="str">
        <f aca="false">IF('Quarterly MW'!J21&gt;0,"Vera Rubin NVL72","")</f>
        <v/>
      </c>
      <c r="K8" s="4" t="str">
        <f aca="false">IF('Quarterly MW'!K21&gt;0,"Vera Rubin NVL72","")</f>
        <v/>
      </c>
      <c r="L8" s="4" t="str">
        <f aca="false">IF('Quarterly MW'!L21&gt;0,"Vera Rubin NVL72","")</f>
        <v/>
      </c>
      <c r="M8" s="4" t="str">
        <f aca="false">IF('Quarterly MW'!M21&gt;0,"Vera Rubin NVL72","")</f>
        <v/>
      </c>
      <c r="N8" s="4" t="str">
        <f aca="false">IF('Quarterly MW'!N21&gt;0,"Vera Rubin NVL72","")</f>
        <v/>
      </c>
      <c r="O8" s="4" t="str">
        <f aca="false">IF('Quarterly MW'!O21&gt;0,"Vera Rubin NVL72","")</f>
        <v/>
      </c>
      <c r="P8" s="4" t="str">
        <f aca="false">IF('Quarterly MW'!P21&gt;0,"Vera Rubin NVL72","")</f>
        <v/>
      </c>
      <c r="Q8" s="4" t="str">
        <f aca="false">IF('Quarterly MW'!Q21&gt;0,"Vera Rubin NVL72","")</f>
        <v>Vera Rubin NVL72</v>
      </c>
      <c r="R8" s="4" t="str">
        <f aca="false">IF('Quarterly MW'!R21&gt;0,"Vera Rubin NVL72","")</f>
        <v>Vera Rubin NVL72</v>
      </c>
      <c r="S8" s="4" t="str">
        <f aca="false">IF('Quarterly MW'!S21&gt;0,"Vera Rubin NVL72","")</f>
        <v>Vera Rubin NVL72</v>
      </c>
      <c r="T8" s="4" t="str">
        <f aca="false">IF('Quarterly MW'!T21&gt;0,"Vera Rubin NVL72","")</f>
        <v>Vera Rubin NVL72</v>
      </c>
      <c r="U8" s="4" t="str">
        <f aca="false">IF('Quarterly MW'!U21&gt;0,"Vera Rubin NVL72","")</f>
        <v>Vera Rubin NVL72</v>
      </c>
      <c r="V8" s="4" t="str">
        <f aca="false">IF('Quarterly MW'!V21&gt;0,"Vera Rubin NVL72","")</f>
        <v>Vera Rubin NVL72</v>
      </c>
      <c r="W8" s="4" t="str">
        <f aca="false">IF('Quarterly MW'!W21&gt;0,"Vera Rubin NVL72","")</f>
        <v>Vera Rubin NVL72</v>
      </c>
      <c r="X8" s="4" t="str">
        <f aca="false">IF('Quarterly MW'!X21&gt;0,"Vera Rubin NVL72","")</f>
        <v>Vera Rubin NVL72</v>
      </c>
      <c r="Y8" s="4" t="str">
        <f aca="false">IF('Quarterly MW'!Y21&gt;0,"Vera Rubin NVL72","")</f>
        <v>Vera Rubin NVL72</v>
      </c>
      <c r="Z8" s="4" t="str">
        <f aca="false">IF('Quarterly MW'!Z21&gt;0,"Vera Rubin NVL72","")</f>
        <v>Vera Rubin NVL72</v>
      </c>
      <c r="AA8" s="4" t="str">
        <f aca="false">IF('Quarterly MW'!AA21&gt;0,"Vera Rubin NVL72","")</f>
        <v>Vera Rubin NVL72</v>
      </c>
      <c r="AB8" s="4" t="str">
        <f aca="false">IF('Quarterly MW'!AB21&gt;0,"Vera Rubin NVL72","")</f>
        <v>Vera Rubin NVL72</v>
      </c>
      <c r="AC8" s="4" t="str">
        <f aca="false">IF('Quarterly MW'!AC21&gt;0,"Vera Rubin NVL72","")</f>
        <v>Vera Rubin NVL72</v>
      </c>
      <c r="AD8" s="4" t="str">
        <f aca="false">IF('Quarterly MW'!AD21&gt;0,"Vera Rubin NVL72","")</f>
        <v>Vera Rubin NVL72</v>
      </c>
      <c r="AE8" s="4" t="str">
        <f aca="false">IF('Quarterly MW'!AE21&gt;0,"Vera Rubin NVL72","")</f>
        <v>Vera Rubin NVL72</v>
      </c>
      <c r="AF8" s="4" t="str">
        <f aca="false">IF('Quarterly MW'!AF21&gt;0,"Vera Rubin NVL72","")</f>
        <v>Vera Rubin NVL72</v>
      </c>
    </row>
    <row r="9" customFormat="false" ht="15" hidden="false" customHeight="false" outlineLevel="0" collapsed="false">
      <c r="A9" s="0" t="s">
        <v>198</v>
      </c>
      <c r="B9" s="0" t="s">
        <v>411</v>
      </c>
      <c r="C9" s="0" t="s">
        <v>397</v>
      </c>
      <c r="E9" s="4" t="n">
        <f aca="false">'Quarterly MW'!E21-0</f>
        <v>0</v>
      </c>
      <c r="F9" s="4" t="n">
        <f aca="false">'Quarterly MW'!F21-'Quarterly MW'!E21</f>
        <v>0</v>
      </c>
      <c r="G9" s="4" t="n">
        <f aca="false">'Quarterly MW'!G21-'Quarterly MW'!F21</f>
        <v>0</v>
      </c>
      <c r="H9" s="4" t="n">
        <f aca="false">'Quarterly MW'!H21-'Quarterly MW'!G21</f>
        <v>0</v>
      </c>
      <c r="I9" s="4" t="n">
        <f aca="false">'Quarterly MW'!I21-'Quarterly MW'!H21</f>
        <v>0</v>
      </c>
      <c r="J9" s="4" t="n">
        <f aca="false">'Quarterly MW'!J21-'Quarterly MW'!I21</f>
        <v>0</v>
      </c>
      <c r="K9" s="4" t="n">
        <f aca="false">'Quarterly MW'!K21-'Quarterly MW'!J21</f>
        <v>0</v>
      </c>
      <c r="L9" s="4" t="n">
        <f aca="false">'Quarterly MW'!L21-'Quarterly MW'!K21</f>
        <v>0</v>
      </c>
      <c r="M9" s="4" t="n">
        <f aca="false">'Quarterly MW'!M21-'Quarterly MW'!L21</f>
        <v>0</v>
      </c>
      <c r="N9" s="4" t="n">
        <f aca="false">'Quarterly MW'!N21-'Quarterly MW'!M21</f>
        <v>0</v>
      </c>
      <c r="O9" s="4" t="n">
        <f aca="false">'Quarterly MW'!O21-'Quarterly MW'!N21</f>
        <v>0</v>
      </c>
      <c r="P9" s="4" t="n">
        <f aca="false">'Quarterly MW'!P21-'Quarterly MW'!O21</f>
        <v>0</v>
      </c>
      <c r="Q9" s="4" t="n">
        <f aca="false">'Quarterly MW'!Q21-'Quarterly MW'!P21</f>
        <v>12.5</v>
      </c>
      <c r="R9" s="4" t="n">
        <f aca="false">'Quarterly MW'!R21-'Quarterly MW'!Q21</f>
        <v>12.5</v>
      </c>
      <c r="S9" s="4" t="n">
        <f aca="false">'Quarterly MW'!S21-'Quarterly MW'!R21</f>
        <v>25</v>
      </c>
      <c r="T9" s="4" t="n">
        <f aca="false">'Quarterly MW'!T21-'Quarterly MW'!S21</f>
        <v>25</v>
      </c>
      <c r="U9" s="4" t="n">
        <f aca="false">'Quarterly MW'!U21-'Quarterly MW'!T21</f>
        <v>0</v>
      </c>
      <c r="V9" s="4" t="n">
        <f aca="false">'Quarterly MW'!V21-'Quarterly MW'!U21</f>
        <v>75</v>
      </c>
      <c r="W9" s="4" t="n">
        <f aca="false">'Quarterly MW'!W21-'Quarterly MW'!V21</f>
        <v>0</v>
      </c>
      <c r="X9" s="4" t="n">
        <f aca="false">'Quarterly MW'!X21-'Quarterly MW'!W21</f>
        <v>100</v>
      </c>
      <c r="Y9" s="4" t="n">
        <f aca="false">'Quarterly MW'!Y21-'Quarterly MW'!X21</f>
        <v>0</v>
      </c>
      <c r="Z9" s="4" t="n">
        <f aca="false">'Quarterly MW'!Z21-'Quarterly MW'!Y21</f>
        <v>0</v>
      </c>
      <c r="AA9" s="4" t="n">
        <f aca="false">'Quarterly MW'!AA21-'Quarterly MW'!Z21</f>
        <v>0</v>
      </c>
      <c r="AB9" s="4" t="n">
        <f aca="false">'Quarterly MW'!AB21-'Quarterly MW'!AA21</f>
        <v>50</v>
      </c>
      <c r="AC9" s="4" t="n">
        <f aca="false">'Quarterly MW'!AC21-'Quarterly MW'!AB21</f>
        <v>0</v>
      </c>
      <c r="AD9" s="4" t="n">
        <f aca="false">'Quarterly MW'!AD21-'Quarterly MW'!AC21</f>
        <v>0</v>
      </c>
      <c r="AE9" s="4" t="n">
        <f aca="false">'Quarterly MW'!AE21-'Quarterly MW'!AD21</f>
        <v>0</v>
      </c>
      <c r="AF9" s="4" t="n">
        <f aca="false">'Quarterly MW'!AF21-'Quarterly MW'!AE21</f>
        <v>0</v>
      </c>
    </row>
    <row r="10" customFormat="false" ht="15" hidden="false" customHeight="false" outlineLevel="0" collapsed="false">
      <c r="A10" s="0" t="s">
        <v>50</v>
      </c>
      <c r="B10" s="0" t="s">
        <v>410</v>
      </c>
      <c r="C10" s="0" t="s">
        <v>395</v>
      </c>
      <c r="E10" s="4" t="str">
        <f aca="false">IF('Quarterly MW'!E26&gt;0,"GB300 NVL72","")</f>
        <v/>
      </c>
      <c r="F10" s="4" t="str">
        <f aca="false">IF('Quarterly MW'!F26&gt;0,"GB300 NVL72","")</f>
        <v/>
      </c>
      <c r="G10" s="4" t="str">
        <f aca="false">IF('Quarterly MW'!G26&gt;0,"GB300 NVL72","")</f>
        <v/>
      </c>
      <c r="H10" s="4" t="str">
        <f aca="false">IF('Quarterly MW'!H26&gt;0,"GB300 NVL72","")</f>
        <v/>
      </c>
      <c r="I10" s="4" t="str">
        <f aca="false">IF('Quarterly MW'!I26&gt;0,"GB300 NVL72","")</f>
        <v/>
      </c>
      <c r="J10" s="4" t="str">
        <f aca="false">IF('Quarterly MW'!J26&gt;0,"GB300 NVL72","")</f>
        <v/>
      </c>
      <c r="K10" s="4" t="str">
        <f aca="false">IF('Quarterly MW'!K26&gt;0,"GB300 NVL72","")</f>
        <v/>
      </c>
      <c r="L10" s="4" t="str">
        <f aca="false">IF('Quarterly MW'!L26&gt;0,"GB300 NVL72","")</f>
        <v/>
      </c>
      <c r="M10" s="4" t="str">
        <f aca="false">IF('Quarterly MW'!M26&gt;0,"GB300 NVL72","")</f>
        <v/>
      </c>
      <c r="N10" s="4" t="str">
        <f aca="false">IF('Quarterly MW'!N26&gt;0,"GB300 NVL72","")</f>
        <v/>
      </c>
      <c r="O10" s="4" t="str">
        <f aca="false">IF('Quarterly MW'!O26&gt;0,"GB300 NVL72","")</f>
        <v/>
      </c>
      <c r="P10" s="4" t="str">
        <f aca="false">IF('Quarterly MW'!P26&gt;0,"GB300 NVL72","")</f>
        <v>GB300 NVL72</v>
      </c>
      <c r="Q10" s="4" t="str">
        <f aca="false">IF('Quarterly MW'!Q26&gt;0,"GB300 NVL72","")</f>
        <v>GB300 NVL72</v>
      </c>
      <c r="R10" s="4" t="str">
        <f aca="false">IF('Quarterly MW'!R26&gt;0,"GB300 NVL72","")</f>
        <v>GB300 NVL72</v>
      </c>
      <c r="S10" s="4" t="str">
        <f aca="false">IF('Quarterly MW'!S26&gt;0,"GB300 NVL72","")</f>
        <v>GB300 NVL72</v>
      </c>
      <c r="T10" s="4" t="str">
        <f aca="false">IF('Quarterly MW'!T26&gt;0,"GB300 NVL72","")</f>
        <v>GB300 NVL72</v>
      </c>
      <c r="U10" s="4" t="str">
        <f aca="false">IF('Quarterly MW'!U26&gt;0,"GB300 NVL72","")</f>
        <v>GB300 NVL72</v>
      </c>
      <c r="V10" s="4" t="str">
        <f aca="false">IF('Quarterly MW'!V26&gt;0,"GB300 NVL72","")</f>
        <v>GB300 NVL72</v>
      </c>
      <c r="W10" s="4" t="str">
        <f aca="false">IF('Quarterly MW'!W26&gt;0,"GB300 NVL72","")</f>
        <v>GB300 NVL72</v>
      </c>
      <c r="X10" s="4" t="str">
        <f aca="false">IF('Quarterly MW'!X26&gt;0,"GB300 NVL72","")</f>
        <v>GB300 NVL72</v>
      </c>
      <c r="Y10" s="4" t="str">
        <f aca="false">IF('Quarterly MW'!Y26&gt;0,"GB300 NVL72","")</f>
        <v>GB300 NVL72</v>
      </c>
      <c r="Z10" s="4" t="str">
        <f aca="false">IF('Quarterly MW'!Z26&gt;0,"GB300 NVL72","")</f>
        <v>GB300 NVL72</v>
      </c>
      <c r="AA10" s="4" t="str">
        <f aca="false">IF('Quarterly MW'!AA26&gt;0,"GB300 NVL72","")</f>
        <v>GB300 NVL72</v>
      </c>
      <c r="AB10" s="4" t="str">
        <f aca="false">IF('Quarterly MW'!AB26&gt;0,"GB300 NVL72","")</f>
        <v>GB300 NVL72</v>
      </c>
      <c r="AC10" s="4" t="str">
        <f aca="false">IF('Quarterly MW'!AC26&gt;0,"GB300 NVL72","")</f>
        <v>GB300 NVL72</v>
      </c>
      <c r="AD10" s="4" t="str">
        <f aca="false">IF('Quarterly MW'!AD26&gt;0,"GB300 NVL72","")</f>
        <v>GB300 NVL72</v>
      </c>
      <c r="AE10" s="4" t="str">
        <f aca="false">IF('Quarterly MW'!AE26&gt;0,"GB300 NVL72","")</f>
        <v>GB300 NVL72</v>
      </c>
      <c r="AF10" s="4" t="str">
        <f aca="false">IF('Quarterly MW'!AF26&gt;0,"GB300 NVL72","")</f>
        <v>GB300 NVL72</v>
      </c>
    </row>
    <row r="11" customFormat="false" ht="15" hidden="false" customHeight="false" outlineLevel="0" collapsed="false">
      <c r="A11" s="0" t="s">
        <v>50</v>
      </c>
      <c r="B11" s="0" t="s">
        <v>411</v>
      </c>
      <c r="C11" s="0" t="s">
        <v>395</v>
      </c>
      <c r="E11" s="4" t="n">
        <f aca="false">'Quarterly MW'!E26-0</f>
        <v>0</v>
      </c>
      <c r="F11" s="4" t="n">
        <f aca="false">'Quarterly MW'!F26-'Quarterly MW'!E26</f>
        <v>0</v>
      </c>
      <c r="G11" s="4" t="n">
        <f aca="false">'Quarterly MW'!G26-'Quarterly MW'!F26</f>
        <v>0</v>
      </c>
      <c r="H11" s="4" t="n">
        <f aca="false">'Quarterly MW'!H26-'Quarterly MW'!G26</f>
        <v>0</v>
      </c>
      <c r="I11" s="4" t="n">
        <f aca="false">'Quarterly MW'!I26-'Quarterly MW'!H26</f>
        <v>0</v>
      </c>
      <c r="J11" s="4" t="n">
        <f aca="false">'Quarterly MW'!J26-'Quarterly MW'!I26</f>
        <v>0</v>
      </c>
      <c r="K11" s="4" t="n">
        <f aca="false">'Quarterly MW'!K26-'Quarterly MW'!J26</f>
        <v>0</v>
      </c>
      <c r="L11" s="4" t="n">
        <f aca="false">'Quarterly MW'!L26-'Quarterly MW'!K26</f>
        <v>0</v>
      </c>
      <c r="M11" s="4" t="n">
        <f aca="false">'Quarterly MW'!M26-'Quarterly MW'!L26</f>
        <v>0</v>
      </c>
      <c r="N11" s="4" t="n">
        <f aca="false">'Quarterly MW'!N26-'Quarterly MW'!M26</f>
        <v>0</v>
      </c>
      <c r="O11" s="4" t="n">
        <f aca="false">'Quarterly MW'!O26-'Quarterly MW'!N26</f>
        <v>0</v>
      </c>
      <c r="P11" s="4" t="n">
        <f aca="false">'Quarterly MW'!P26-'Quarterly MW'!O26</f>
        <v>30</v>
      </c>
      <c r="Q11" s="4" t="n">
        <f aca="false">'Quarterly MW'!Q26-'Quarterly MW'!P26</f>
        <v>43.5</v>
      </c>
      <c r="R11" s="4" t="n">
        <f aca="false">'Quarterly MW'!R26-'Quarterly MW'!Q26</f>
        <v>46.5</v>
      </c>
      <c r="S11" s="4" t="n">
        <f aca="false">'Quarterly MW'!S26-'Quarterly MW'!R26</f>
        <v>0</v>
      </c>
      <c r="T11" s="4" t="n">
        <f aca="false">'Quarterly MW'!T26-'Quarterly MW'!S26</f>
        <v>60</v>
      </c>
      <c r="U11" s="4" t="n">
        <f aca="false">'Quarterly MW'!U26-'Quarterly MW'!T26</f>
        <v>0</v>
      </c>
      <c r="V11" s="4" t="n">
        <f aca="false">'Quarterly MW'!V26-'Quarterly MW'!U26</f>
        <v>0</v>
      </c>
      <c r="W11" s="4" t="n">
        <f aca="false">'Quarterly MW'!W26-'Quarterly MW'!V26</f>
        <v>0</v>
      </c>
      <c r="X11" s="4" t="n">
        <f aca="false">'Quarterly MW'!X26-'Quarterly MW'!W26</f>
        <v>60</v>
      </c>
      <c r="Y11" s="4" t="n">
        <f aca="false">'Quarterly MW'!Y26-'Quarterly MW'!X26</f>
        <v>0</v>
      </c>
      <c r="Z11" s="4" t="n">
        <f aca="false">'Quarterly MW'!Z26-'Quarterly MW'!Y26</f>
        <v>0</v>
      </c>
      <c r="AA11" s="4" t="n">
        <f aca="false">'Quarterly MW'!AA26-'Quarterly MW'!Z26</f>
        <v>0</v>
      </c>
      <c r="AB11" s="4" t="n">
        <f aca="false">'Quarterly MW'!AB26-'Quarterly MW'!AA26</f>
        <v>0</v>
      </c>
      <c r="AC11" s="4" t="n">
        <f aca="false">'Quarterly MW'!AC26-'Quarterly MW'!AB26</f>
        <v>0</v>
      </c>
      <c r="AD11" s="4" t="n">
        <f aca="false">'Quarterly MW'!AD26-'Quarterly MW'!AC26</f>
        <v>0</v>
      </c>
      <c r="AE11" s="4" t="n">
        <f aca="false">'Quarterly MW'!AE26-'Quarterly MW'!AD26</f>
        <v>0</v>
      </c>
      <c r="AF11" s="4" t="n">
        <f aca="false">'Quarterly MW'!AF26-'Quarterly MW'!AE26</f>
        <v>0</v>
      </c>
    </row>
    <row r="12" customFormat="false" ht="15" hidden="false" customHeight="false" outlineLevel="0" collapsed="false">
      <c r="A12" s="0" t="s">
        <v>214</v>
      </c>
      <c r="B12" s="0" t="s">
        <v>410</v>
      </c>
      <c r="C12" s="0" t="s">
        <v>397</v>
      </c>
      <c r="E12" s="4" t="str">
        <f aca="false">IF('Quarterly MW'!E31&gt;0,"Vera Rubin NVL72","")</f>
        <v/>
      </c>
      <c r="F12" s="4" t="str">
        <f aca="false">IF('Quarterly MW'!F31&gt;0,"Vera Rubin NVL72","")</f>
        <v/>
      </c>
      <c r="G12" s="4" t="str">
        <f aca="false">IF('Quarterly MW'!G31&gt;0,"Vera Rubin NVL72","")</f>
        <v/>
      </c>
      <c r="H12" s="4" t="str">
        <f aca="false">IF('Quarterly MW'!H31&gt;0,"Vera Rubin NVL72","")</f>
        <v/>
      </c>
      <c r="I12" s="4" t="str">
        <f aca="false">IF('Quarterly MW'!I31&gt;0,"Vera Rubin NVL72","")</f>
        <v/>
      </c>
      <c r="J12" s="4" t="str">
        <f aca="false">IF('Quarterly MW'!J31&gt;0,"Vera Rubin NVL72","")</f>
        <v/>
      </c>
      <c r="K12" s="4" t="str">
        <f aca="false">IF('Quarterly MW'!K31&gt;0,"Vera Rubin NVL72","")</f>
        <v/>
      </c>
      <c r="L12" s="4" t="str">
        <f aca="false">IF('Quarterly MW'!L31&gt;0,"Vera Rubin NVL72","")</f>
        <v/>
      </c>
      <c r="M12" s="4" t="str">
        <f aca="false">IF('Quarterly MW'!M31&gt;0,"Vera Rubin NVL72","")</f>
        <v/>
      </c>
      <c r="N12" s="4" t="str">
        <f aca="false">IF('Quarterly MW'!N31&gt;0,"Vera Rubin NVL72","")</f>
        <v/>
      </c>
      <c r="O12" s="4" t="str">
        <f aca="false">IF('Quarterly MW'!O31&gt;0,"Vera Rubin NVL72","")</f>
        <v/>
      </c>
      <c r="P12" s="4" t="str">
        <f aca="false">IF('Quarterly MW'!P31&gt;0,"Vera Rubin NVL72","")</f>
        <v/>
      </c>
      <c r="Q12" s="4" t="str">
        <f aca="false">IF('Quarterly MW'!Q31&gt;0,"Vera Rubin NVL72","")</f>
        <v/>
      </c>
      <c r="R12" s="4" t="str">
        <f aca="false">IF('Quarterly MW'!R31&gt;0,"Vera Rubin NVL72","")</f>
        <v>Vera Rubin NVL72</v>
      </c>
      <c r="S12" s="4" t="str">
        <f aca="false">IF('Quarterly MW'!S31&gt;0,"Vera Rubin NVL72","")</f>
        <v>Vera Rubin NVL72</v>
      </c>
      <c r="T12" s="4" t="str">
        <f aca="false">IF('Quarterly MW'!T31&gt;0,"Vera Rubin NVL72","")</f>
        <v>Vera Rubin NVL72</v>
      </c>
      <c r="U12" s="4" t="str">
        <f aca="false">IF('Quarterly MW'!U31&gt;0,"Vera Rubin NVL72","")</f>
        <v>Vera Rubin NVL72</v>
      </c>
      <c r="V12" s="4" t="str">
        <f aca="false">IF('Quarterly MW'!V31&gt;0,"Vera Rubin NVL72","")</f>
        <v>Vera Rubin NVL72</v>
      </c>
      <c r="W12" s="4" t="str">
        <f aca="false">IF('Quarterly MW'!W31&gt;0,"Vera Rubin NVL72","")</f>
        <v>Vera Rubin NVL72</v>
      </c>
      <c r="X12" s="4" t="str">
        <f aca="false">IF('Quarterly MW'!X31&gt;0,"Vera Rubin NVL72","")</f>
        <v>Vera Rubin NVL72</v>
      </c>
      <c r="Y12" s="4" t="str">
        <f aca="false">IF('Quarterly MW'!Y31&gt;0,"Vera Rubin NVL72","")</f>
        <v>Vera Rubin NVL72</v>
      </c>
      <c r="Z12" s="4" t="str">
        <f aca="false">IF('Quarterly MW'!Z31&gt;0,"Vera Rubin NVL72","")</f>
        <v>Vera Rubin NVL72</v>
      </c>
      <c r="AA12" s="4" t="str">
        <f aca="false">IF('Quarterly MW'!AA31&gt;0,"Vera Rubin NVL72","")</f>
        <v>Vera Rubin NVL72</v>
      </c>
      <c r="AB12" s="4" t="str">
        <f aca="false">IF('Quarterly MW'!AB31&gt;0,"Vera Rubin NVL72","")</f>
        <v>Vera Rubin NVL72</v>
      </c>
      <c r="AC12" s="4" t="str">
        <f aca="false">IF('Quarterly MW'!AC31&gt;0,"Vera Rubin NVL72","")</f>
        <v>Vera Rubin NVL72</v>
      </c>
      <c r="AD12" s="4" t="str">
        <f aca="false">IF('Quarterly MW'!AD31&gt;0,"Vera Rubin NVL72","")</f>
        <v>Vera Rubin NVL72</v>
      </c>
      <c r="AE12" s="4" t="str">
        <f aca="false">IF('Quarterly MW'!AE31&gt;0,"Vera Rubin NVL72","")</f>
        <v>Vera Rubin NVL72</v>
      </c>
      <c r="AF12" s="4" t="str">
        <f aca="false">IF('Quarterly MW'!AF31&gt;0,"Vera Rubin NVL72","")</f>
        <v>Vera Rubin NVL72</v>
      </c>
    </row>
    <row r="13" customFormat="false" ht="15" hidden="false" customHeight="false" outlineLevel="0" collapsed="false">
      <c r="A13" s="0" t="s">
        <v>214</v>
      </c>
      <c r="B13" s="0" t="s">
        <v>411</v>
      </c>
      <c r="C13" s="0" t="s">
        <v>397</v>
      </c>
      <c r="E13" s="4" t="n">
        <f aca="false">'Quarterly MW'!E31-0</f>
        <v>0</v>
      </c>
      <c r="F13" s="4" t="n">
        <f aca="false">'Quarterly MW'!F31-'Quarterly MW'!E31</f>
        <v>0</v>
      </c>
      <c r="G13" s="4" t="n">
        <f aca="false">'Quarterly MW'!G31-'Quarterly MW'!F31</f>
        <v>0</v>
      </c>
      <c r="H13" s="4" t="n">
        <f aca="false">'Quarterly MW'!H31-'Quarterly MW'!G31</f>
        <v>0</v>
      </c>
      <c r="I13" s="4" t="n">
        <f aca="false">'Quarterly MW'!I31-'Quarterly MW'!H31</f>
        <v>0</v>
      </c>
      <c r="J13" s="4" t="n">
        <f aca="false">'Quarterly MW'!J31-'Quarterly MW'!I31</f>
        <v>0</v>
      </c>
      <c r="K13" s="4" t="n">
        <f aca="false">'Quarterly MW'!K31-'Quarterly MW'!J31</f>
        <v>0</v>
      </c>
      <c r="L13" s="4" t="n">
        <f aca="false">'Quarterly MW'!L31-'Quarterly MW'!K31</f>
        <v>0</v>
      </c>
      <c r="M13" s="4" t="n">
        <f aca="false">'Quarterly MW'!M31-'Quarterly MW'!L31</f>
        <v>0</v>
      </c>
      <c r="N13" s="4" t="n">
        <f aca="false">'Quarterly MW'!N31-'Quarterly MW'!M31</f>
        <v>0</v>
      </c>
      <c r="O13" s="4" t="n">
        <f aca="false">'Quarterly MW'!O31-'Quarterly MW'!N31</f>
        <v>0</v>
      </c>
      <c r="P13" s="4" t="n">
        <f aca="false">'Quarterly MW'!P31-'Quarterly MW'!O31</f>
        <v>0</v>
      </c>
      <c r="Q13" s="4" t="n">
        <f aca="false">'Quarterly MW'!Q31-'Quarterly MW'!P31</f>
        <v>0</v>
      </c>
      <c r="R13" s="4" t="n">
        <f aca="false">'Quarterly MW'!R31-'Quarterly MW'!Q31</f>
        <v>17.5</v>
      </c>
      <c r="S13" s="4" t="n">
        <f aca="false">'Quarterly MW'!S31-'Quarterly MW'!R31</f>
        <v>17.5</v>
      </c>
      <c r="T13" s="4" t="n">
        <f aca="false">'Quarterly MW'!T31-'Quarterly MW'!S31</f>
        <v>17.5</v>
      </c>
      <c r="U13" s="4" t="n">
        <f aca="false">'Quarterly MW'!U31-'Quarterly MW'!T31</f>
        <v>0</v>
      </c>
      <c r="V13" s="4" t="n">
        <f aca="false">'Quarterly MW'!V31-'Quarterly MW'!U31</f>
        <v>52.5</v>
      </c>
      <c r="W13" s="4" t="n">
        <f aca="false">'Quarterly MW'!W31-'Quarterly MW'!V31</f>
        <v>0</v>
      </c>
      <c r="X13" s="4" t="n">
        <f aca="false">'Quarterly MW'!X31-'Quarterly MW'!W31</f>
        <v>65</v>
      </c>
      <c r="Y13" s="4" t="n">
        <f aca="false">'Quarterly MW'!Y31-'Quarterly MW'!X31</f>
        <v>0</v>
      </c>
      <c r="Z13" s="4" t="n">
        <f aca="false">'Quarterly MW'!Z31-'Quarterly MW'!Y31</f>
        <v>0</v>
      </c>
      <c r="AA13" s="4" t="n">
        <f aca="false">'Quarterly MW'!AA31-'Quarterly MW'!Z31</f>
        <v>0</v>
      </c>
      <c r="AB13" s="4" t="n">
        <f aca="false">'Quarterly MW'!AB31-'Quarterly MW'!AA31</f>
        <v>95</v>
      </c>
      <c r="AC13" s="4" t="n">
        <f aca="false">'Quarterly MW'!AC31-'Quarterly MW'!AB31</f>
        <v>0</v>
      </c>
      <c r="AD13" s="4" t="n">
        <f aca="false">'Quarterly MW'!AD31-'Quarterly MW'!AC31</f>
        <v>0</v>
      </c>
      <c r="AE13" s="4" t="n">
        <f aca="false">'Quarterly MW'!AE31-'Quarterly MW'!AD31</f>
        <v>0</v>
      </c>
      <c r="AF13" s="4" t="n">
        <f aca="false">'Quarterly MW'!AF31-'Quarterly MW'!AE31</f>
        <v>45</v>
      </c>
    </row>
    <row r="14" customFormat="false" ht="15" hidden="false" customHeight="false" outlineLevel="0" collapsed="false">
      <c r="A14" s="0" t="s">
        <v>221</v>
      </c>
      <c r="B14" s="0" t="s">
        <v>410</v>
      </c>
      <c r="C14" s="0" t="s">
        <v>229</v>
      </c>
      <c r="E14" s="4" t="str">
        <f aca="false">IF('Quarterly MW'!E36&gt;25,"Hopper+GB300",IF('Quarterly MW'!E36&gt;0,"Hopper",""))</f>
        <v>Hopper</v>
      </c>
      <c r="F14" s="4" t="str">
        <f aca="false">IF('Quarterly MW'!F36&gt;25,"Hopper+GB300",IF('Quarterly MW'!F36&gt;0,"Hopper",""))</f>
        <v>Hopper</v>
      </c>
      <c r="G14" s="4" t="str">
        <f aca="false">IF('Quarterly MW'!G36&gt;25,"Hopper+GB300",IF('Quarterly MW'!G36&gt;0,"Hopper",""))</f>
        <v>Hopper</v>
      </c>
      <c r="H14" s="4" t="str">
        <f aca="false">IF('Quarterly MW'!H36&gt;25,"Hopper+GB300",IF('Quarterly MW'!H36&gt;0,"Hopper",""))</f>
        <v>Hopper</v>
      </c>
      <c r="I14" s="4" t="str">
        <f aca="false">IF('Quarterly MW'!I36&gt;25,"Hopper+GB300",IF('Quarterly MW'!I36&gt;0,"Hopper",""))</f>
        <v>Hopper</v>
      </c>
      <c r="J14" s="4" t="str">
        <f aca="false">IF('Quarterly MW'!J36&gt;25,"Hopper+GB300",IF('Quarterly MW'!J36&gt;0,"Hopper",""))</f>
        <v>Hopper</v>
      </c>
      <c r="K14" s="4" t="str">
        <f aca="false">IF('Quarterly MW'!K36&gt;25,"Hopper+GB300",IF('Quarterly MW'!K36&gt;0,"Hopper",""))</f>
        <v>Hopper+GB300</v>
      </c>
      <c r="L14" s="4" t="str">
        <f aca="false">IF('Quarterly MW'!L36&gt;25,"Hopper+GB300",IF('Quarterly MW'!L36&gt;0,"Hopper",""))</f>
        <v>Hopper+GB300</v>
      </c>
      <c r="M14" s="4" t="str">
        <f aca="false">IF('Quarterly MW'!M36&gt;25,"Hopper+GB300",IF('Quarterly MW'!M36&gt;0,"Hopper",""))</f>
        <v>Hopper+GB300</v>
      </c>
      <c r="N14" s="4" t="str">
        <f aca="false">IF('Quarterly MW'!N36&gt;25,"Hopper+GB300",IF('Quarterly MW'!N36&gt;0,"Hopper",""))</f>
        <v>Hopper+GB300</v>
      </c>
      <c r="O14" s="4" t="str">
        <f aca="false">IF('Quarterly MW'!O36&gt;25,"Hopper+GB300",IF('Quarterly MW'!O36&gt;0,"Hopper",""))</f>
        <v>Hopper+GB300</v>
      </c>
      <c r="P14" s="4" t="str">
        <f aca="false">IF('Quarterly MW'!P36&gt;25,"Hopper+GB300",IF('Quarterly MW'!P36&gt;0,"Hopper",""))</f>
        <v>Hopper+GB300</v>
      </c>
      <c r="Q14" s="4" t="str">
        <f aca="false">IF('Quarterly MW'!Q36&gt;25,"Hopper+GB300",IF('Quarterly MW'!Q36&gt;0,"Hopper",""))</f>
        <v>Hopper+GB300</v>
      </c>
      <c r="R14" s="4" t="str">
        <f aca="false">IF('Quarterly MW'!R36&gt;25,"Hopper+GB300",IF('Quarterly MW'!R36&gt;0,"Hopper",""))</f>
        <v>Hopper+GB300</v>
      </c>
      <c r="S14" s="4" t="str">
        <f aca="false">IF('Quarterly MW'!S36&gt;25,"Hopper+GB300",IF('Quarterly MW'!S36&gt;0,"Hopper",""))</f>
        <v>Hopper+GB300</v>
      </c>
      <c r="T14" s="4" t="str">
        <f aca="false">IF('Quarterly MW'!T36&gt;25,"Hopper+GB300",IF('Quarterly MW'!T36&gt;0,"Hopper",""))</f>
        <v>Hopper+GB300</v>
      </c>
      <c r="U14" s="4" t="str">
        <f aca="false">IF('Quarterly MW'!U36&gt;25,"Hopper+GB300",IF('Quarterly MW'!U36&gt;0,"Hopper",""))</f>
        <v>Hopper+GB300</v>
      </c>
      <c r="V14" s="4" t="str">
        <f aca="false">IF('Quarterly MW'!V36&gt;25,"Hopper+GB300",IF('Quarterly MW'!V36&gt;0,"Hopper",""))</f>
        <v>Hopper+GB300</v>
      </c>
      <c r="W14" s="4" t="str">
        <f aca="false">IF('Quarterly MW'!W36&gt;25,"Hopper+GB300",IF('Quarterly MW'!W36&gt;0,"Hopper",""))</f>
        <v>Hopper+GB300</v>
      </c>
      <c r="X14" s="4" t="str">
        <f aca="false">IF('Quarterly MW'!X36&gt;25,"Hopper+GB300",IF('Quarterly MW'!X36&gt;0,"Hopper",""))</f>
        <v>Hopper+GB300</v>
      </c>
      <c r="Y14" s="4" t="str">
        <f aca="false">IF('Quarterly MW'!Y36&gt;25,"Hopper+GB300",IF('Quarterly MW'!Y36&gt;0,"Hopper",""))</f>
        <v>Hopper+GB300</v>
      </c>
      <c r="Z14" s="4" t="str">
        <f aca="false">IF('Quarterly MW'!Z36&gt;25,"Hopper+GB300",IF('Quarterly MW'!Z36&gt;0,"Hopper",""))</f>
        <v>Hopper+GB300</v>
      </c>
      <c r="AA14" s="4" t="str">
        <f aca="false">IF('Quarterly MW'!AA36&gt;25,"Hopper+GB300",IF('Quarterly MW'!AA36&gt;0,"Hopper",""))</f>
        <v>Hopper+GB300</v>
      </c>
      <c r="AB14" s="4" t="str">
        <f aca="false">IF('Quarterly MW'!AB36&gt;25,"Hopper+GB300",IF('Quarterly MW'!AB36&gt;0,"Hopper",""))</f>
        <v>Hopper+GB300</v>
      </c>
      <c r="AC14" s="4" t="str">
        <f aca="false">IF('Quarterly MW'!AC36&gt;25,"Hopper+GB300",IF('Quarterly MW'!AC36&gt;0,"Hopper",""))</f>
        <v>Hopper+GB300</v>
      </c>
      <c r="AD14" s="4" t="str">
        <f aca="false">IF('Quarterly MW'!AD36&gt;25,"Hopper+GB300",IF('Quarterly MW'!AD36&gt;0,"Hopper",""))</f>
        <v>Hopper+GB300</v>
      </c>
      <c r="AE14" s="4" t="str">
        <f aca="false">IF('Quarterly MW'!AE36&gt;25,"Hopper+GB300",IF('Quarterly MW'!AE36&gt;0,"Hopper",""))</f>
        <v>Hopper+GB300</v>
      </c>
      <c r="AF14" s="4" t="str">
        <f aca="false">IF('Quarterly MW'!AF36&gt;25,"Hopper+GB300",IF('Quarterly MW'!AF36&gt;0,"Hopper",""))</f>
        <v>Hopper+GB300</v>
      </c>
    </row>
    <row r="15" customFormat="false" ht="15" hidden="false" customHeight="false" outlineLevel="0" collapsed="false">
      <c r="A15" s="0" t="s">
        <v>221</v>
      </c>
      <c r="B15" s="0" t="s">
        <v>411</v>
      </c>
      <c r="C15" s="0" t="s">
        <v>229</v>
      </c>
      <c r="E15" s="4" t="n">
        <f aca="false">'Quarterly MW'!E36-0</f>
        <v>25</v>
      </c>
      <c r="F15" s="4" t="n">
        <f aca="false">'Quarterly MW'!F36-'Quarterly MW'!E36</f>
        <v>0</v>
      </c>
      <c r="G15" s="4" t="n">
        <f aca="false">'Quarterly MW'!G36-'Quarterly MW'!F36</f>
        <v>0</v>
      </c>
      <c r="H15" s="4" t="n">
        <f aca="false">'Quarterly MW'!H36-'Quarterly MW'!G36</f>
        <v>0</v>
      </c>
      <c r="I15" s="4" t="n">
        <f aca="false">'Quarterly MW'!I36-'Quarterly MW'!H36</f>
        <v>0</v>
      </c>
      <c r="J15" s="4" t="n">
        <f aca="false">'Quarterly MW'!J36-'Quarterly MW'!I36</f>
        <v>0</v>
      </c>
      <c r="K15" s="4" t="n">
        <f aca="false">'Quarterly MW'!K36-'Quarterly MW'!J36</f>
        <v>12.5</v>
      </c>
      <c r="L15" s="4" t="n">
        <f aca="false">'Quarterly MW'!L36-'Quarterly MW'!K36</f>
        <v>25</v>
      </c>
      <c r="M15" s="4" t="n">
        <f aca="false">'Quarterly MW'!M36-'Quarterly MW'!L36</f>
        <v>12.5</v>
      </c>
      <c r="N15" s="4" t="n">
        <f aca="false">'Quarterly MW'!N36-'Quarterly MW'!M36</f>
        <v>0</v>
      </c>
      <c r="O15" s="4" t="n">
        <f aca="false">'Quarterly MW'!O36-'Quarterly MW'!N36</f>
        <v>0</v>
      </c>
      <c r="P15" s="4" t="n">
        <f aca="false">'Quarterly MW'!P36-'Quarterly MW'!O36</f>
        <v>0</v>
      </c>
      <c r="Q15" s="4" t="n">
        <f aca="false">'Quarterly MW'!Q36-'Quarterly MW'!P36</f>
        <v>0</v>
      </c>
      <c r="R15" s="4" t="n">
        <f aca="false">'Quarterly MW'!R36-'Quarterly MW'!Q36</f>
        <v>0</v>
      </c>
      <c r="S15" s="4" t="n">
        <f aca="false">'Quarterly MW'!S36-'Quarterly MW'!R36</f>
        <v>0</v>
      </c>
      <c r="T15" s="4" t="n">
        <f aca="false">'Quarterly MW'!T36-'Quarterly MW'!S36</f>
        <v>0</v>
      </c>
      <c r="U15" s="4" t="n">
        <f aca="false">'Quarterly MW'!U36-'Quarterly MW'!T36</f>
        <v>0</v>
      </c>
      <c r="V15" s="4" t="n">
        <f aca="false">'Quarterly MW'!V36-'Quarterly MW'!U36</f>
        <v>0</v>
      </c>
      <c r="W15" s="4" t="n">
        <f aca="false">'Quarterly MW'!W36-'Quarterly MW'!V36</f>
        <v>0</v>
      </c>
      <c r="X15" s="4" t="n">
        <f aca="false">'Quarterly MW'!X36-'Quarterly MW'!W36</f>
        <v>0</v>
      </c>
      <c r="Y15" s="4" t="n">
        <f aca="false">'Quarterly MW'!Y36-'Quarterly MW'!X36</f>
        <v>0</v>
      </c>
      <c r="Z15" s="4" t="n">
        <f aca="false">'Quarterly MW'!Z36-'Quarterly MW'!Y36</f>
        <v>0</v>
      </c>
      <c r="AA15" s="4" t="n">
        <f aca="false">'Quarterly MW'!AA36-'Quarterly MW'!Z36</f>
        <v>0</v>
      </c>
      <c r="AB15" s="4" t="n">
        <f aca="false">'Quarterly MW'!AB36-'Quarterly MW'!AA36</f>
        <v>0</v>
      </c>
      <c r="AC15" s="4" t="n">
        <f aca="false">'Quarterly MW'!AC36-'Quarterly MW'!AB36</f>
        <v>0</v>
      </c>
      <c r="AD15" s="4" t="n">
        <f aca="false">'Quarterly MW'!AD36-'Quarterly MW'!AC36</f>
        <v>0</v>
      </c>
      <c r="AE15" s="4" t="n">
        <f aca="false">'Quarterly MW'!AE36-'Quarterly MW'!AD36</f>
        <v>0</v>
      </c>
      <c r="AF15" s="4" t="n">
        <f aca="false">'Quarterly MW'!AF36-'Quarterly MW'!AE36</f>
        <v>0</v>
      </c>
    </row>
    <row r="16" customFormat="false" ht="15" hidden="false" customHeight="false" outlineLevel="0" collapsed="false">
      <c r="A16" s="0" t="s">
        <v>231</v>
      </c>
      <c r="B16" s="0" t="s">
        <v>410</v>
      </c>
      <c r="C16" s="0" t="s">
        <v>397</v>
      </c>
      <c r="E16" s="4" t="str">
        <f aca="false">IF('Quarterly MW'!E41&gt;0,"Vera Rubin NVL72","")</f>
        <v/>
      </c>
      <c r="F16" s="4" t="str">
        <f aca="false">IF('Quarterly MW'!F41&gt;0,"Vera Rubin NVL72","")</f>
        <v/>
      </c>
      <c r="G16" s="4" t="str">
        <f aca="false">IF('Quarterly MW'!G41&gt;0,"Vera Rubin NVL72","")</f>
        <v/>
      </c>
      <c r="H16" s="4" t="str">
        <f aca="false">IF('Quarterly MW'!H41&gt;0,"Vera Rubin NVL72","")</f>
        <v/>
      </c>
      <c r="I16" s="4" t="str">
        <f aca="false">IF('Quarterly MW'!I41&gt;0,"Vera Rubin NVL72","")</f>
        <v/>
      </c>
      <c r="J16" s="4" t="str">
        <f aca="false">IF('Quarterly MW'!J41&gt;0,"Vera Rubin NVL72","")</f>
        <v/>
      </c>
      <c r="K16" s="4" t="str">
        <f aca="false">IF('Quarterly MW'!K41&gt;0,"Vera Rubin NVL72","")</f>
        <v/>
      </c>
      <c r="L16" s="4" t="str">
        <f aca="false">IF('Quarterly MW'!L41&gt;0,"Vera Rubin NVL72","")</f>
        <v/>
      </c>
      <c r="M16" s="4" t="str">
        <f aca="false">IF('Quarterly MW'!M41&gt;0,"Vera Rubin NVL72","")</f>
        <v/>
      </c>
      <c r="N16" s="4" t="str">
        <f aca="false">IF('Quarterly MW'!N41&gt;0,"Vera Rubin NVL72","")</f>
        <v/>
      </c>
      <c r="O16" s="4" t="str">
        <f aca="false">IF('Quarterly MW'!O41&gt;0,"Vera Rubin NVL72","")</f>
        <v/>
      </c>
      <c r="P16" s="4" t="str">
        <f aca="false">IF('Quarterly MW'!P41&gt;0,"Vera Rubin NVL72","")</f>
        <v/>
      </c>
      <c r="Q16" s="4" t="str">
        <f aca="false">IF('Quarterly MW'!Q41&gt;0,"Vera Rubin NVL72","")</f>
        <v/>
      </c>
      <c r="R16" s="4" t="str">
        <f aca="false">IF('Quarterly MW'!R41&gt;0,"Vera Rubin NVL72","")</f>
        <v/>
      </c>
      <c r="S16" s="4" t="str">
        <f aca="false">IF('Quarterly MW'!S41&gt;0,"Vera Rubin NVL72","")</f>
        <v/>
      </c>
      <c r="T16" s="4" t="str">
        <f aca="false">IF('Quarterly MW'!T41&gt;0,"Vera Rubin NVL72","")</f>
        <v>Vera Rubin NVL72</v>
      </c>
      <c r="U16" s="4" t="str">
        <f aca="false">IF('Quarterly MW'!U41&gt;0,"Vera Rubin NVL72","")</f>
        <v>Vera Rubin NVL72</v>
      </c>
      <c r="V16" s="4" t="str">
        <f aca="false">IF('Quarterly MW'!V41&gt;0,"Vera Rubin NVL72","")</f>
        <v>Vera Rubin NVL72</v>
      </c>
      <c r="W16" s="4" t="str">
        <f aca="false">IF('Quarterly MW'!W41&gt;0,"Vera Rubin NVL72","")</f>
        <v>Vera Rubin NVL72</v>
      </c>
      <c r="X16" s="4" t="str">
        <f aca="false">IF('Quarterly MW'!X41&gt;0,"Vera Rubin NVL72","")</f>
        <v>Vera Rubin NVL72</v>
      </c>
      <c r="Y16" s="4" t="str">
        <f aca="false">IF('Quarterly MW'!Y41&gt;0,"Vera Rubin NVL72","")</f>
        <v>Vera Rubin NVL72</v>
      </c>
      <c r="Z16" s="4" t="str">
        <f aca="false">IF('Quarterly MW'!Z41&gt;0,"Vera Rubin NVL72","")</f>
        <v>Vera Rubin NVL72</v>
      </c>
      <c r="AA16" s="4" t="str">
        <f aca="false">IF('Quarterly MW'!AA41&gt;0,"Vera Rubin NVL72","")</f>
        <v>Vera Rubin NVL72</v>
      </c>
      <c r="AB16" s="4" t="str">
        <f aca="false">IF('Quarterly MW'!AB41&gt;0,"Vera Rubin NVL72","")</f>
        <v>Vera Rubin NVL72</v>
      </c>
      <c r="AC16" s="4" t="str">
        <f aca="false">IF('Quarterly MW'!AC41&gt;0,"Vera Rubin NVL72","")</f>
        <v>Vera Rubin NVL72</v>
      </c>
      <c r="AD16" s="4" t="str">
        <f aca="false">IF('Quarterly MW'!AD41&gt;0,"Vera Rubin NVL72","")</f>
        <v>Vera Rubin NVL72</v>
      </c>
      <c r="AE16" s="4" t="str">
        <f aca="false">IF('Quarterly MW'!AE41&gt;0,"Vera Rubin NVL72","")</f>
        <v>Vera Rubin NVL72</v>
      </c>
      <c r="AF16" s="4" t="str">
        <f aca="false">IF('Quarterly MW'!AF41&gt;0,"Vera Rubin NVL72","")</f>
        <v>Vera Rubin NVL72</v>
      </c>
    </row>
    <row r="17" customFormat="false" ht="15" hidden="false" customHeight="false" outlineLevel="0" collapsed="false">
      <c r="A17" s="0" t="s">
        <v>231</v>
      </c>
      <c r="B17" s="0" t="s">
        <v>411</v>
      </c>
      <c r="C17" s="0" t="s">
        <v>397</v>
      </c>
      <c r="E17" s="4" t="n">
        <f aca="false">'Quarterly MW'!E41-0</f>
        <v>0</v>
      </c>
      <c r="F17" s="4" t="n">
        <f aca="false">'Quarterly MW'!F41-'Quarterly MW'!E41</f>
        <v>0</v>
      </c>
      <c r="G17" s="4" t="n">
        <f aca="false">'Quarterly MW'!G41-'Quarterly MW'!F41</f>
        <v>0</v>
      </c>
      <c r="H17" s="4" t="n">
        <f aca="false">'Quarterly MW'!H41-'Quarterly MW'!G41</f>
        <v>0</v>
      </c>
      <c r="I17" s="4" t="n">
        <f aca="false">'Quarterly MW'!I41-'Quarterly MW'!H41</f>
        <v>0</v>
      </c>
      <c r="J17" s="4" t="n">
        <f aca="false">'Quarterly MW'!J41-'Quarterly MW'!I41</f>
        <v>0</v>
      </c>
      <c r="K17" s="4" t="n">
        <f aca="false">'Quarterly MW'!K41-'Quarterly MW'!J41</f>
        <v>0</v>
      </c>
      <c r="L17" s="4" t="n">
        <f aca="false">'Quarterly MW'!L41-'Quarterly MW'!K41</f>
        <v>0</v>
      </c>
      <c r="M17" s="4" t="n">
        <f aca="false">'Quarterly MW'!M41-'Quarterly MW'!L41</f>
        <v>0</v>
      </c>
      <c r="N17" s="4" t="n">
        <f aca="false">'Quarterly MW'!N41-'Quarterly MW'!M41</f>
        <v>0</v>
      </c>
      <c r="O17" s="4" t="n">
        <f aca="false">'Quarterly MW'!O41-'Quarterly MW'!N41</f>
        <v>0</v>
      </c>
      <c r="P17" s="4" t="n">
        <f aca="false">'Quarterly MW'!P41-'Quarterly MW'!O41</f>
        <v>0</v>
      </c>
      <c r="Q17" s="4" t="n">
        <f aca="false">'Quarterly MW'!Q41-'Quarterly MW'!P41</f>
        <v>0</v>
      </c>
      <c r="R17" s="4" t="n">
        <f aca="false">'Quarterly MW'!R41-'Quarterly MW'!Q41</f>
        <v>0</v>
      </c>
      <c r="S17" s="4" t="n">
        <f aca="false">'Quarterly MW'!S41-'Quarterly MW'!R41</f>
        <v>0</v>
      </c>
      <c r="T17" s="4" t="n">
        <f aca="false">'Quarterly MW'!T41-'Quarterly MW'!S41</f>
        <v>17.5</v>
      </c>
      <c r="U17" s="4" t="n">
        <f aca="false">'Quarterly MW'!U41-'Quarterly MW'!T41</f>
        <v>35</v>
      </c>
      <c r="V17" s="4" t="n">
        <f aca="false">'Quarterly MW'!V41-'Quarterly MW'!U41</f>
        <v>17.5</v>
      </c>
      <c r="W17" s="4" t="n">
        <f aca="false">'Quarterly MW'!W41-'Quarterly MW'!V41</f>
        <v>0</v>
      </c>
      <c r="X17" s="4" t="n">
        <f aca="false">'Quarterly MW'!X41-'Quarterly MW'!W41</f>
        <v>0</v>
      </c>
      <c r="Y17" s="4" t="n">
        <f aca="false">'Quarterly MW'!Y41-'Quarterly MW'!X41</f>
        <v>0</v>
      </c>
      <c r="Z17" s="4" t="n">
        <f aca="false">'Quarterly MW'!Z41-'Quarterly MW'!Y41</f>
        <v>0</v>
      </c>
      <c r="AA17" s="4" t="n">
        <f aca="false">'Quarterly MW'!AA41-'Quarterly MW'!Z41</f>
        <v>0</v>
      </c>
      <c r="AB17" s="4" t="n">
        <f aca="false">'Quarterly MW'!AB41-'Quarterly MW'!AA41</f>
        <v>0</v>
      </c>
      <c r="AC17" s="4" t="n">
        <f aca="false">'Quarterly MW'!AC41-'Quarterly MW'!AB41</f>
        <v>0</v>
      </c>
      <c r="AD17" s="4" t="n">
        <f aca="false">'Quarterly MW'!AD41-'Quarterly MW'!AC41</f>
        <v>0</v>
      </c>
      <c r="AE17" s="4" t="n">
        <f aca="false">'Quarterly MW'!AE41-'Quarterly MW'!AD41</f>
        <v>0</v>
      </c>
      <c r="AF17" s="4" t="n">
        <f aca="false">'Quarterly MW'!AF41-'Quarterly MW'!AE41</f>
        <v>0</v>
      </c>
    </row>
    <row r="18" customFormat="false" ht="15" hidden="false" customHeight="false" outlineLevel="0" collapsed="false">
      <c r="A18" s="0" t="s">
        <v>52</v>
      </c>
      <c r="B18" s="0" t="s">
        <v>410</v>
      </c>
      <c r="C18" s="0" t="s">
        <v>241</v>
      </c>
      <c r="E18" s="4" t="str">
        <f aca="false">IF('Quarterly MW'!E46&gt;10,"H200+B200",IF('Quarterly MW'!E46&gt;0,"H200",""))</f>
        <v/>
      </c>
      <c r="F18" s="4" t="str">
        <f aca="false">IF('Quarterly MW'!F46&gt;10,"H200+B200",IF('Quarterly MW'!F46&gt;0,"H200",""))</f>
        <v/>
      </c>
      <c r="G18" s="4" t="str">
        <f aca="false">IF('Quarterly MW'!G46&gt;10,"H200+B200",IF('Quarterly MW'!G46&gt;0,"H200",""))</f>
        <v/>
      </c>
      <c r="H18" s="4" t="str">
        <f aca="false">IF('Quarterly MW'!H46&gt;10,"H200+B200",IF('Quarterly MW'!H46&gt;0,"H200",""))</f>
        <v/>
      </c>
      <c r="I18" s="4" t="str">
        <f aca="false">IF('Quarterly MW'!I46&gt;10,"H200+B200",IF('Quarterly MW'!I46&gt;0,"H200",""))</f>
        <v>H200</v>
      </c>
      <c r="J18" s="4" t="str">
        <f aca="false">IF('Quarterly MW'!J46&gt;10,"H200+B200",IF('Quarterly MW'!J46&gt;0,"H200",""))</f>
        <v>H200</v>
      </c>
      <c r="K18" s="4" t="str">
        <f aca="false">IF('Quarterly MW'!K46&gt;10,"H200+B200",IF('Quarterly MW'!K46&gt;0,"H200",""))</f>
        <v>H200</v>
      </c>
      <c r="L18" s="4" t="str">
        <f aca="false">IF('Quarterly MW'!L46&gt;10,"H200+B200",IF('Quarterly MW'!L46&gt;0,"H200",""))</f>
        <v>H200+B200</v>
      </c>
      <c r="M18" s="4" t="str">
        <f aca="false">IF('Quarterly MW'!M46&gt;10,"H200+B200",IF('Quarterly MW'!M46&gt;0,"H200",""))</f>
        <v>H200+B200</v>
      </c>
      <c r="N18" s="4" t="str">
        <f aca="false">IF('Quarterly MW'!N46&gt;10,"H200+B200",IF('Quarterly MW'!N46&gt;0,"H200",""))</f>
        <v>H200+B200</v>
      </c>
      <c r="O18" s="4" t="str">
        <f aca="false">IF('Quarterly MW'!O46&gt;10,"H200+B200",IF('Quarterly MW'!O46&gt;0,"H200",""))</f>
        <v>H200+B200</v>
      </c>
      <c r="P18" s="4" t="str">
        <f aca="false">IF('Quarterly MW'!P46&gt;10,"H200+B200",IF('Quarterly MW'!P46&gt;0,"H200",""))</f>
        <v>H200+B200</v>
      </c>
      <c r="Q18" s="4" t="str">
        <f aca="false">IF('Quarterly MW'!Q46&gt;10,"H200+B200",IF('Quarterly MW'!Q46&gt;0,"H200",""))</f>
        <v>H200+B200</v>
      </c>
      <c r="R18" s="4" t="str">
        <f aca="false">IF('Quarterly MW'!R46&gt;10,"H200+B200",IF('Quarterly MW'!R46&gt;0,"H200",""))</f>
        <v>H200+B200</v>
      </c>
      <c r="S18" s="4" t="str">
        <f aca="false">IF('Quarterly MW'!S46&gt;10,"H200+B200",IF('Quarterly MW'!S46&gt;0,"H200",""))</f>
        <v>H200+B200</v>
      </c>
      <c r="T18" s="4" t="str">
        <f aca="false">IF('Quarterly MW'!T46&gt;10,"H200+B200",IF('Quarterly MW'!T46&gt;0,"H200",""))</f>
        <v>H200+B200</v>
      </c>
      <c r="U18" s="4" t="str">
        <f aca="false">IF('Quarterly MW'!U46&gt;10,"H200+B200",IF('Quarterly MW'!U46&gt;0,"H200",""))</f>
        <v>H200+B200</v>
      </c>
      <c r="V18" s="4" t="str">
        <f aca="false">IF('Quarterly MW'!V46&gt;10,"H200+B200",IF('Quarterly MW'!V46&gt;0,"H200",""))</f>
        <v>H200+B200</v>
      </c>
      <c r="W18" s="4" t="str">
        <f aca="false">IF('Quarterly MW'!W46&gt;10,"H200+B200",IF('Quarterly MW'!W46&gt;0,"H200",""))</f>
        <v>H200+B200</v>
      </c>
      <c r="X18" s="4" t="str">
        <f aca="false">IF('Quarterly MW'!X46&gt;10,"H200+B200",IF('Quarterly MW'!X46&gt;0,"H200",""))</f>
        <v>H200+B200</v>
      </c>
      <c r="Y18" s="4" t="str">
        <f aca="false">IF('Quarterly MW'!Y46&gt;10,"H200+B200",IF('Quarterly MW'!Y46&gt;0,"H200",""))</f>
        <v>H200+B200</v>
      </c>
      <c r="Z18" s="4" t="str">
        <f aca="false">IF('Quarterly MW'!Z46&gt;10,"H200+B200",IF('Quarterly MW'!Z46&gt;0,"H200",""))</f>
        <v>H200+B200</v>
      </c>
      <c r="AA18" s="4" t="str">
        <f aca="false">IF('Quarterly MW'!AA46&gt;10,"H200+B200",IF('Quarterly MW'!AA46&gt;0,"H200",""))</f>
        <v>H200+B200</v>
      </c>
      <c r="AB18" s="4" t="str">
        <f aca="false">IF('Quarterly MW'!AB46&gt;10,"H200+B200",IF('Quarterly MW'!AB46&gt;0,"H200",""))</f>
        <v>H200+B200</v>
      </c>
      <c r="AC18" s="4" t="str">
        <f aca="false">IF('Quarterly MW'!AC46&gt;10,"H200+B200",IF('Quarterly MW'!AC46&gt;0,"H200",""))</f>
        <v>H200+B200</v>
      </c>
      <c r="AD18" s="4" t="str">
        <f aca="false">IF('Quarterly MW'!AD46&gt;10,"H200+B200",IF('Quarterly MW'!AD46&gt;0,"H200",""))</f>
        <v>H200+B200</v>
      </c>
      <c r="AE18" s="4" t="str">
        <f aca="false">IF('Quarterly MW'!AE46&gt;10,"H200+B200",IF('Quarterly MW'!AE46&gt;0,"H200",""))</f>
        <v>H200+B200</v>
      </c>
      <c r="AF18" s="4" t="str">
        <f aca="false">IF('Quarterly MW'!AF46&gt;10,"H200+B200",IF('Quarterly MW'!AF46&gt;0,"H200",""))</f>
        <v>H200+B200</v>
      </c>
    </row>
    <row r="19" customFormat="false" ht="15" hidden="false" customHeight="false" outlineLevel="0" collapsed="false">
      <c r="A19" s="0" t="s">
        <v>52</v>
      </c>
      <c r="B19" s="0" t="s">
        <v>411</v>
      </c>
      <c r="C19" s="0" t="s">
        <v>241</v>
      </c>
      <c r="E19" s="4" t="n">
        <f aca="false">'Quarterly MW'!E46-0</f>
        <v>0</v>
      </c>
      <c r="F19" s="4" t="n">
        <f aca="false">'Quarterly MW'!F46-'Quarterly MW'!E46</f>
        <v>0</v>
      </c>
      <c r="G19" s="4" t="n">
        <f aca="false">'Quarterly MW'!G46-'Quarterly MW'!F46</f>
        <v>0</v>
      </c>
      <c r="H19" s="4" t="n">
        <f aca="false">'Quarterly MW'!H46-'Quarterly MW'!G46</f>
        <v>0</v>
      </c>
      <c r="I19" s="4" t="n">
        <f aca="false">'Quarterly MW'!I46-'Quarterly MW'!H46</f>
        <v>10</v>
      </c>
      <c r="J19" s="4" t="n">
        <f aca="false">'Quarterly MW'!J46-'Quarterly MW'!I46</f>
        <v>0</v>
      </c>
      <c r="K19" s="4" t="n">
        <f aca="false">'Quarterly MW'!K46-'Quarterly MW'!J46</f>
        <v>0</v>
      </c>
      <c r="L19" s="4" t="n">
        <f aca="false">'Quarterly MW'!L46-'Quarterly MW'!K46</f>
        <v>10</v>
      </c>
      <c r="M19" s="4" t="n">
        <f aca="false">'Quarterly MW'!M46-'Quarterly MW'!L46</f>
        <v>0</v>
      </c>
      <c r="N19" s="4" t="n">
        <f aca="false">'Quarterly MW'!N46-'Quarterly MW'!M46</f>
        <v>0</v>
      </c>
      <c r="O19" s="4" t="n">
        <f aca="false">'Quarterly MW'!O46-'Quarterly MW'!N46</f>
        <v>0</v>
      </c>
      <c r="P19" s="4" t="n">
        <f aca="false">'Quarterly MW'!P46-'Quarterly MW'!O46</f>
        <v>0</v>
      </c>
      <c r="Q19" s="4" t="n">
        <f aca="false">'Quarterly MW'!Q46-'Quarterly MW'!P46</f>
        <v>0</v>
      </c>
      <c r="R19" s="4" t="n">
        <f aca="false">'Quarterly MW'!R46-'Quarterly MW'!Q46</f>
        <v>0</v>
      </c>
      <c r="S19" s="4" t="n">
        <f aca="false">'Quarterly MW'!S46-'Quarterly MW'!R46</f>
        <v>0</v>
      </c>
      <c r="T19" s="4" t="n">
        <f aca="false">'Quarterly MW'!T46-'Quarterly MW'!S46</f>
        <v>10</v>
      </c>
      <c r="U19" s="4" t="n">
        <f aca="false">'Quarterly MW'!U46-'Quarterly MW'!T46</f>
        <v>0</v>
      </c>
      <c r="V19" s="4" t="n">
        <f aca="false">'Quarterly MW'!V46-'Quarterly MW'!U46</f>
        <v>0</v>
      </c>
      <c r="W19" s="4" t="n">
        <f aca="false">'Quarterly MW'!W46-'Quarterly MW'!V46</f>
        <v>0</v>
      </c>
      <c r="X19" s="4" t="n">
        <f aca="false">'Quarterly MW'!X46-'Quarterly MW'!W46</f>
        <v>0</v>
      </c>
      <c r="Y19" s="4" t="n">
        <f aca="false">'Quarterly MW'!Y46-'Quarterly MW'!X46</f>
        <v>0</v>
      </c>
      <c r="Z19" s="4" t="n">
        <f aca="false">'Quarterly MW'!Z46-'Quarterly MW'!Y46</f>
        <v>0</v>
      </c>
      <c r="AA19" s="4" t="n">
        <f aca="false">'Quarterly MW'!AA46-'Quarterly MW'!Z46</f>
        <v>0</v>
      </c>
      <c r="AB19" s="4" t="n">
        <f aca="false">'Quarterly MW'!AB46-'Quarterly MW'!AA46</f>
        <v>0</v>
      </c>
      <c r="AC19" s="4" t="n">
        <f aca="false">'Quarterly MW'!AC46-'Quarterly MW'!AB46</f>
        <v>0</v>
      </c>
      <c r="AD19" s="4" t="n">
        <f aca="false">'Quarterly MW'!AD46-'Quarterly MW'!AC46</f>
        <v>0</v>
      </c>
      <c r="AE19" s="4" t="n">
        <f aca="false">'Quarterly MW'!AE46-'Quarterly MW'!AD46</f>
        <v>0</v>
      </c>
      <c r="AF19" s="4" t="n">
        <f aca="false">'Quarterly MW'!AF46-'Quarterly MW'!AE46</f>
        <v>0</v>
      </c>
    </row>
    <row r="20" customFormat="false" ht="15" hidden="false" customHeight="false" outlineLevel="0" collapsed="false">
      <c r="A20" s="0" t="s">
        <v>54</v>
      </c>
      <c r="B20" s="0" t="s">
        <v>410</v>
      </c>
      <c r="C20" s="0" t="s">
        <v>246</v>
      </c>
      <c r="E20" s="4" t="str">
        <f aca="false">IF('Quarterly MW'!E51&gt;0,"Hopper H100/H200","")</f>
        <v/>
      </c>
      <c r="F20" s="4" t="str">
        <f aca="false">IF('Quarterly MW'!F51&gt;0,"Hopper H100/H200","")</f>
        <v/>
      </c>
      <c r="G20" s="4" t="str">
        <f aca="false">IF('Quarterly MW'!G51&gt;0,"Hopper H100/H200","")</f>
        <v/>
      </c>
      <c r="H20" s="4" t="str">
        <f aca="false">IF('Quarterly MW'!H51&gt;0,"Hopper H100/H200","")</f>
        <v>Hopper H100/H200</v>
      </c>
      <c r="I20" s="4" t="str">
        <f aca="false">IF('Quarterly MW'!I51&gt;0,"Hopper H100/H200","")</f>
        <v>Hopper H100/H200</v>
      </c>
      <c r="J20" s="4" t="str">
        <f aca="false">IF('Quarterly MW'!J51&gt;0,"Hopper H100/H200","")</f>
        <v>Hopper H100/H200</v>
      </c>
      <c r="K20" s="4" t="str">
        <f aca="false">IF('Quarterly MW'!K51&gt;0,"Hopper H100/H200","")</f>
        <v>Hopper H100/H200</v>
      </c>
      <c r="L20" s="4" t="str">
        <f aca="false">IF('Quarterly MW'!L51&gt;0,"Hopper H100/H200","")</f>
        <v>Hopper H100/H200</v>
      </c>
      <c r="M20" s="4" t="str">
        <f aca="false">IF('Quarterly MW'!M51&gt;0,"Hopper H100/H200","")</f>
        <v>Hopper H100/H200</v>
      </c>
      <c r="N20" s="4" t="str">
        <f aca="false">IF('Quarterly MW'!N51&gt;0,"Hopper H100/H200","")</f>
        <v>Hopper H100/H200</v>
      </c>
      <c r="O20" s="4" t="str">
        <f aca="false">IF('Quarterly MW'!O51&gt;0,"Hopper H100/H200","")</f>
        <v>Hopper H100/H200</v>
      </c>
      <c r="P20" s="4" t="str">
        <f aca="false">IF('Quarterly MW'!P51&gt;0,"Hopper H100/H200","")</f>
        <v>Hopper H100/H200</v>
      </c>
      <c r="Q20" s="4" t="str">
        <f aca="false">IF('Quarterly MW'!Q51&gt;0,"Hopper H100/H200","")</f>
        <v>Hopper H100/H200</v>
      </c>
      <c r="R20" s="4" t="str">
        <f aca="false">IF('Quarterly MW'!R51&gt;0,"Hopper H100/H200","")</f>
        <v>Hopper H100/H200</v>
      </c>
      <c r="S20" s="4" t="str">
        <f aca="false">IF('Quarterly MW'!S51&gt;0,"Hopper H100/H200","")</f>
        <v>Hopper H100/H200</v>
      </c>
      <c r="T20" s="4" t="str">
        <f aca="false">IF('Quarterly MW'!T51&gt;0,"Hopper H100/H200","")</f>
        <v>Hopper H100/H200</v>
      </c>
      <c r="U20" s="4" t="str">
        <f aca="false">IF('Quarterly MW'!U51&gt;0,"Hopper H100/H200","")</f>
        <v>Hopper H100/H200</v>
      </c>
      <c r="V20" s="4" t="str">
        <f aca="false">IF('Quarterly MW'!V51&gt;0,"Hopper H100/H200","")</f>
        <v>Hopper H100/H200</v>
      </c>
      <c r="W20" s="4" t="str">
        <f aca="false">IF('Quarterly MW'!W51&gt;0,"Hopper H100/H200","")</f>
        <v>Hopper H100/H200</v>
      </c>
      <c r="X20" s="4" t="str">
        <f aca="false">IF('Quarterly MW'!X51&gt;0,"Hopper H100/H200","")</f>
        <v>Hopper H100/H200</v>
      </c>
      <c r="Y20" s="4" t="str">
        <f aca="false">IF('Quarterly MW'!Y51&gt;0,"Hopper H100/H200","")</f>
        <v>Hopper H100/H200</v>
      </c>
      <c r="Z20" s="4" t="str">
        <f aca="false">IF('Quarterly MW'!Z51&gt;0,"Hopper H100/H200","")</f>
        <v>Hopper H100/H200</v>
      </c>
      <c r="AA20" s="4" t="str">
        <f aca="false">IF('Quarterly MW'!AA51&gt;0,"Hopper H100/H200","")</f>
        <v>Hopper H100/H200</v>
      </c>
      <c r="AB20" s="4" t="str">
        <f aca="false">IF('Quarterly MW'!AB51&gt;0,"Hopper H100/H200","")</f>
        <v>Hopper H100/H200</v>
      </c>
      <c r="AC20" s="4" t="str">
        <f aca="false">IF('Quarterly MW'!AC51&gt;0,"Hopper H100/H200","")</f>
        <v>Hopper H100/H200</v>
      </c>
      <c r="AD20" s="4" t="str">
        <f aca="false">IF('Quarterly MW'!AD51&gt;0,"Hopper H100/H200","")</f>
        <v>Hopper H100/H200</v>
      </c>
      <c r="AE20" s="4" t="str">
        <f aca="false">IF('Quarterly MW'!AE51&gt;0,"Hopper H100/H200","")</f>
        <v>Hopper H100/H200</v>
      </c>
      <c r="AF20" s="4" t="str">
        <f aca="false">IF('Quarterly MW'!AF51&gt;0,"Hopper H100/H200","")</f>
        <v>Hopper H100/H200</v>
      </c>
    </row>
    <row r="21" customFormat="false" ht="15" hidden="false" customHeight="false" outlineLevel="0" collapsed="false">
      <c r="A21" s="0" t="s">
        <v>54</v>
      </c>
      <c r="B21" s="0" t="s">
        <v>411</v>
      </c>
      <c r="C21" s="0" t="s">
        <v>246</v>
      </c>
      <c r="E21" s="4" t="n">
        <f aca="false">'Quarterly MW'!E51-0</f>
        <v>0</v>
      </c>
      <c r="F21" s="4" t="n">
        <f aca="false">'Quarterly MW'!F51-'Quarterly MW'!E51</f>
        <v>0</v>
      </c>
      <c r="G21" s="4" t="n">
        <f aca="false">'Quarterly MW'!G51-'Quarterly MW'!F51</f>
        <v>0</v>
      </c>
      <c r="H21" s="4" t="n">
        <f aca="false">'Quarterly MW'!H51-'Quarterly MW'!G51</f>
        <v>5</v>
      </c>
      <c r="I21" s="4" t="n">
        <f aca="false">'Quarterly MW'!I51-'Quarterly MW'!H51</f>
        <v>0</v>
      </c>
      <c r="J21" s="4" t="n">
        <f aca="false">'Quarterly MW'!J51-'Quarterly MW'!I51</f>
        <v>0</v>
      </c>
      <c r="K21" s="4" t="n">
        <f aca="false">'Quarterly MW'!K51-'Quarterly MW'!J51</f>
        <v>0</v>
      </c>
      <c r="L21" s="4" t="n">
        <f aca="false">'Quarterly MW'!L51-'Quarterly MW'!K51</f>
        <v>0</v>
      </c>
      <c r="M21" s="4" t="n">
        <f aca="false">'Quarterly MW'!M51-'Quarterly MW'!L51</f>
        <v>0</v>
      </c>
      <c r="N21" s="4" t="n">
        <f aca="false">'Quarterly MW'!N51-'Quarterly MW'!M51</f>
        <v>0</v>
      </c>
      <c r="O21" s="4" t="n">
        <f aca="false">'Quarterly MW'!O51-'Quarterly MW'!N51</f>
        <v>0</v>
      </c>
      <c r="P21" s="4" t="n">
        <f aca="false">'Quarterly MW'!P51-'Quarterly MW'!O51</f>
        <v>0</v>
      </c>
      <c r="Q21" s="4" t="n">
        <f aca="false">'Quarterly MW'!Q51-'Quarterly MW'!P51</f>
        <v>0</v>
      </c>
      <c r="R21" s="4" t="n">
        <f aca="false">'Quarterly MW'!R51-'Quarterly MW'!Q51</f>
        <v>0</v>
      </c>
      <c r="S21" s="4" t="n">
        <f aca="false">'Quarterly MW'!S51-'Quarterly MW'!R51</f>
        <v>0</v>
      </c>
      <c r="T21" s="4" t="n">
        <f aca="false">'Quarterly MW'!T51-'Quarterly MW'!S51</f>
        <v>0</v>
      </c>
      <c r="U21" s="4" t="n">
        <f aca="false">'Quarterly MW'!U51-'Quarterly MW'!T51</f>
        <v>0</v>
      </c>
      <c r="V21" s="4" t="n">
        <f aca="false">'Quarterly MW'!V51-'Quarterly MW'!U51</f>
        <v>0</v>
      </c>
      <c r="W21" s="4" t="n">
        <f aca="false">'Quarterly MW'!W51-'Quarterly MW'!V51</f>
        <v>0</v>
      </c>
      <c r="X21" s="4" t="n">
        <f aca="false">'Quarterly MW'!X51-'Quarterly MW'!W51</f>
        <v>0</v>
      </c>
      <c r="Y21" s="4" t="n">
        <f aca="false">'Quarterly MW'!Y51-'Quarterly MW'!X51</f>
        <v>0</v>
      </c>
      <c r="Z21" s="4" t="n">
        <f aca="false">'Quarterly MW'!Z51-'Quarterly MW'!Y51</f>
        <v>0</v>
      </c>
      <c r="AA21" s="4" t="n">
        <f aca="false">'Quarterly MW'!AA51-'Quarterly MW'!Z51</f>
        <v>0</v>
      </c>
      <c r="AB21" s="4" t="n">
        <f aca="false">'Quarterly MW'!AB51-'Quarterly MW'!AA51</f>
        <v>0</v>
      </c>
      <c r="AC21" s="4" t="n">
        <f aca="false">'Quarterly MW'!AC51-'Quarterly MW'!AB51</f>
        <v>0</v>
      </c>
      <c r="AD21" s="4" t="n">
        <f aca="false">'Quarterly MW'!AD51-'Quarterly MW'!AC51</f>
        <v>0</v>
      </c>
      <c r="AE21" s="4" t="n">
        <f aca="false">'Quarterly MW'!AE51-'Quarterly MW'!AD51</f>
        <v>0</v>
      </c>
      <c r="AF21" s="4" t="n">
        <f aca="false">'Quarterly MW'!AF51-'Quarterly MW'!AE51</f>
        <v>0</v>
      </c>
    </row>
    <row r="22" customFormat="false" ht="15" hidden="false" customHeight="false" outlineLevel="0" collapsed="false">
      <c r="A22" s="0" t="s">
        <v>56</v>
      </c>
      <c r="B22" s="0" t="s">
        <v>410</v>
      </c>
      <c r="C22" s="0" t="s">
        <v>246</v>
      </c>
      <c r="E22" s="4" t="str">
        <f aca="false">IF('Quarterly MW'!E56&gt;0,"Hopper H100/H200","")</f>
        <v/>
      </c>
      <c r="F22" s="4" t="str">
        <f aca="false">IF('Quarterly MW'!F56&gt;0,"Hopper H100/H200","")</f>
        <v/>
      </c>
      <c r="G22" s="4" t="str">
        <f aca="false">IF('Quarterly MW'!G56&gt;0,"Hopper H100/H200","")</f>
        <v/>
      </c>
      <c r="H22" s="4" t="str">
        <f aca="false">IF('Quarterly MW'!H56&gt;0,"Hopper H100/H200","")</f>
        <v/>
      </c>
      <c r="I22" s="4" t="str">
        <f aca="false">IF('Quarterly MW'!I56&gt;0,"Hopper H100/H200","")</f>
        <v>Hopper H100/H200</v>
      </c>
      <c r="J22" s="4" t="str">
        <f aca="false">IF('Quarterly MW'!J56&gt;0,"Hopper H100/H200","")</f>
        <v>Hopper H100/H200</v>
      </c>
      <c r="K22" s="4" t="str">
        <f aca="false">IF('Quarterly MW'!K56&gt;0,"Hopper H100/H200","")</f>
        <v>Hopper H100/H200</v>
      </c>
      <c r="L22" s="4" t="str">
        <f aca="false">IF('Quarterly MW'!L56&gt;0,"Hopper H100/H200","")</f>
        <v>Hopper H100/H200</v>
      </c>
      <c r="M22" s="4" t="str">
        <f aca="false">IF('Quarterly MW'!M56&gt;0,"Hopper H100/H200","")</f>
        <v>Hopper H100/H200</v>
      </c>
      <c r="N22" s="4" t="str">
        <f aca="false">IF('Quarterly MW'!N56&gt;0,"Hopper H100/H200","")</f>
        <v>Hopper H100/H200</v>
      </c>
      <c r="O22" s="4" t="str">
        <f aca="false">IF('Quarterly MW'!O56&gt;0,"Hopper H100/H200","")</f>
        <v>Hopper H100/H200</v>
      </c>
      <c r="P22" s="4" t="str">
        <f aca="false">IF('Quarterly MW'!P56&gt;0,"Hopper H100/H200","")</f>
        <v>Hopper H100/H200</v>
      </c>
      <c r="Q22" s="4" t="str">
        <f aca="false">IF('Quarterly MW'!Q56&gt;0,"Hopper H100/H200","")</f>
        <v>Hopper H100/H200</v>
      </c>
      <c r="R22" s="4" t="str">
        <f aca="false">IF('Quarterly MW'!R56&gt;0,"Hopper H100/H200","")</f>
        <v>Hopper H100/H200</v>
      </c>
      <c r="S22" s="4" t="str">
        <f aca="false">IF('Quarterly MW'!S56&gt;0,"Hopper H100/H200","")</f>
        <v>Hopper H100/H200</v>
      </c>
      <c r="T22" s="4" t="str">
        <f aca="false">IF('Quarterly MW'!T56&gt;0,"Hopper H100/H200","")</f>
        <v>Hopper H100/H200</v>
      </c>
      <c r="U22" s="4" t="str">
        <f aca="false">IF('Quarterly MW'!U56&gt;0,"Hopper H100/H200","")</f>
        <v>Hopper H100/H200</v>
      </c>
      <c r="V22" s="4" t="str">
        <f aca="false">IF('Quarterly MW'!V56&gt;0,"Hopper H100/H200","")</f>
        <v>Hopper H100/H200</v>
      </c>
      <c r="W22" s="4" t="str">
        <f aca="false">IF('Quarterly MW'!W56&gt;0,"Hopper H100/H200","")</f>
        <v>Hopper H100/H200</v>
      </c>
      <c r="X22" s="4" t="str">
        <f aca="false">IF('Quarterly MW'!X56&gt;0,"Hopper H100/H200","")</f>
        <v>Hopper H100/H200</v>
      </c>
      <c r="Y22" s="4" t="str">
        <f aca="false">IF('Quarterly MW'!Y56&gt;0,"Hopper H100/H200","")</f>
        <v>Hopper H100/H200</v>
      </c>
      <c r="Z22" s="4" t="str">
        <f aca="false">IF('Quarterly MW'!Z56&gt;0,"Hopper H100/H200","")</f>
        <v>Hopper H100/H200</v>
      </c>
      <c r="AA22" s="4" t="str">
        <f aca="false">IF('Quarterly MW'!AA56&gt;0,"Hopper H100/H200","")</f>
        <v>Hopper H100/H200</v>
      </c>
      <c r="AB22" s="4" t="str">
        <f aca="false">IF('Quarterly MW'!AB56&gt;0,"Hopper H100/H200","")</f>
        <v>Hopper H100/H200</v>
      </c>
      <c r="AC22" s="4" t="str">
        <f aca="false">IF('Quarterly MW'!AC56&gt;0,"Hopper H100/H200","")</f>
        <v>Hopper H100/H200</v>
      </c>
      <c r="AD22" s="4" t="str">
        <f aca="false">IF('Quarterly MW'!AD56&gt;0,"Hopper H100/H200","")</f>
        <v>Hopper H100/H200</v>
      </c>
      <c r="AE22" s="4" t="str">
        <f aca="false">IF('Quarterly MW'!AE56&gt;0,"Hopper H100/H200","")</f>
        <v>Hopper H100/H200</v>
      </c>
      <c r="AF22" s="4" t="str">
        <f aca="false">IF('Quarterly MW'!AF56&gt;0,"Hopper H100/H200","")</f>
        <v>Hopper H100/H200</v>
      </c>
    </row>
    <row r="23" customFormat="false" ht="15" hidden="false" customHeight="false" outlineLevel="0" collapsed="false">
      <c r="A23" s="0" t="s">
        <v>56</v>
      </c>
      <c r="B23" s="0" t="s">
        <v>411</v>
      </c>
      <c r="C23" s="0" t="s">
        <v>246</v>
      </c>
      <c r="E23" s="4" t="n">
        <f aca="false">'Quarterly MW'!E56-0</f>
        <v>0</v>
      </c>
      <c r="F23" s="4" t="n">
        <f aca="false">'Quarterly MW'!F56-'Quarterly MW'!E56</f>
        <v>0</v>
      </c>
      <c r="G23" s="4" t="n">
        <f aca="false">'Quarterly MW'!G56-'Quarterly MW'!F56</f>
        <v>0</v>
      </c>
      <c r="H23" s="4" t="n">
        <f aca="false">'Quarterly MW'!H56-'Quarterly MW'!G56</f>
        <v>0</v>
      </c>
      <c r="I23" s="4" t="n">
        <f aca="false">'Quarterly MW'!I56-'Quarterly MW'!H56</f>
        <v>10</v>
      </c>
      <c r="J23" s="4" t="n">
        <f aca="false">'Quarterly MW'!J56-'Quarterly MW'!I56</f>
        <v>0</v>
      </c>
      <c r="K23" s="4" t="n">
        <f aca="false">'Quarterly MW'!K56-'Quarterly MW'!J56</f>
        <v>0</v>
      </c>
      <c r="L23" s="4" t="n">
        <f aca="false">'Quarterly MW'!L56-'Quarterly MW'!K56</f>
        <v>0</v>
      </c>
      <c r="M23" s="4" t="n">
        <f aca="false">'Quarterly MW'!M56-'Quarterly MW'!L56</f>
        <v>0</v>
      </c>
      <c r="N23" s="4" t="n">
        <f aca="false">'Quarterly MW'!N56-'Quarterly MW'!M56</f>
        <v>0</v>
      </c>
      <c r="O23" s="4" t="n">
        <f aca="false">'Quarterly MW'!O56-'Quarterly MW'!N56</f>
        <v>0</v>
      </c>
      <c r="P23" s="4" t="n">
        <f aca="false">'Quarterly MW'!P56-'Quarterly MW'!O56</f>
        <v>0</v>
      </c>
      <c r="Q23" s="4" t="n">
        <f aca="false">'Quarterly MW'!Q56-'Quarterly MW'!P56</f>
        <v>0</v>
      </c>
      <c r="R23" s="4" t="n">
        <f aca="false">'Quarterly MW'!R56-'Quarterly MW'!Q56</f>
        <v>0</v>
      </c>
      <c r="S23" s="4" t="n">
        <f aca="false">'Quarterly MW'!S56-'Quarterly MW'!R56</f>
        <v>0</v>
      </c>
      <c r="T23" s="4" t="n">
        <f aca="false">'Quarterly MW'!T56-'Quarterly MW'!S56</f>
        <v>0</v>
      </c>
      <c r="U23" s="4" t="n">
        <f aca="false">'Quarterly MW'!U56-'Quarterly MW'!T56</f>
        <v>0</v>
      </c>
      <c r="V23" s="4" t="n">
        <f aca="false">'Quarterly MW'!V56-'Quarterly MW'!U56</f>
        <v>0</v>
      </c>
      <c r="W23" s="4" t="n">
        <f aca="false">'Quarterly MW'!W56-'Quarterly MW'!V56</f>
        <v>0</v>
      </c>
      <c r="X23" s="4" t="n">
        <f aca="false">'Quarterly MW'!X56-'Quarterly MW'!W56</f>
        <v>0</v>
      </c>
      <c r="Y23" s="4" t="n">
        <f aca="false">'Quarterly MW'!Y56-'Quarterly MW'!X56</f>
        <v>0</v>
      </c>
      <c r="Z23" s="4" t="n">
        <f aca="false">'Quarterly MW'!Z56-'Quarterly MW'!Y56</f>
        <v>0</v>
      </c>
      <c r="AA23" s="4" t="n">
        <f aca="false">'Quarterly MW'!AA56-'Quarterly MW'!Z56</f>
        <v>0</v>
      </c>
      <c r="AB23" s="4" t="n">
        <f aca="false">'Quarterly MW'!AB56-'Quarterly MW'!AA56</f>
        <v>0</v>
      </c>
      <c r="AC23" s="4" t="n">
        <f aca="false">'Quarterly MW'!AC56-'Quarterly MW'!AB56</f>
        <v>0</v>
      </c>
      <c r="AD23" s="4" t="n">
        <f aca="false">'Quarterly MW'!AD56-'Quarterly MW'!AC56</f>
        <v>0</v>
      </c>
      <c r="AE23" s="4" t="n">
        <f aca="false">'Quarterly MW'!AE56-'Quarterly MW'!AD56</f>
        <v>0</v>
      </c>
      <c r="AF23" s="4" t="n">
        <f aca="false">'Quarterly MW'!AF56-'Quarterly MW'!AE56</f>
        <v>0</v>
      </c>
    </row>
    <row r="24" customFormat="false" ht="15" hidden="false" customHeight="false" outlineLevel="0" collapsed="false">
      <c r="A24" s="0" t="s">
        <v>58</v>
      </c>
      <c r="B24" s="0" t="s">
        <v>410</v>
      </c>
      <c r="C24" s="0" t="s">
        <v>256</v>
      </c>
      <c r="E24" s="4" t="str">
        <f aca="false">IF('Quarterly MW'!E61&gt;0,"B300 (HGX)","")</f>
        <v/>
      </c>
      <c r="F24" s="4" t="str">
        <f aca="false">IF('Quarterly MW'!F61&gt;0,"B300 (HGX)","")</f>
        <v/>
      </c>
      <c r="G24" s="4" t="str">
        <f aca="false">IF('Quarterly MW'!G61&gt;0,"B300 (HGX)","")</f>
        <v/>
      </c>
      <c r="H24" s="4" t="str">
        <f aca="false">IF('Quarterly MW'!H61&gt;0,"B300 (HGX)","")</f>
        <v/>
      </c>
      <c r="I24" s="4" t="str">
        <f aca="false">IF('Quarterly MW'!I61&gt;0,"B300 (HGX)","")</f>
        <v/>
      </c>
      <c r="J24" s="4" t="str">
        <f aca="false">IF('Quarterly MW'!J61&gt;0,"B300 (HGX)","")</f>
        <v/>
      </c>
      <c r="K24" s="4" t="str">
        <f aca="false">IF('Quarterly MW'!K61&gt;0,"B300 (HGX)","")</f>
        <v/>
      </c>
      <c r="L24" s="4" t="str">
        <f aca="false">IF('Quarterly MW'!L61&gt;0,"B300 (HGX)","")</f>
        <v>B300 (HGX)</v>
      </c>
      <c r="M24" s="4" t="str">
        <f aca="false">IF('Quarterly MW'!M61&gt;0,"B300 (HGX)","")</f>
        <v>B300 (HGX)</v>
      </c>
      <c r="N24" s="4" t="str">
        <f aca="false">IF('Quarterly MW'!N61&gt;0,"B300 (HGX)","")</f>
        <v>B300 (HGX)</v>
      </c>
      <c r="O24" s="4" t="str">
        <f aca="false">IF('Quarterly MW'!O61&gt;0,"B300 (HGX)","")</f>
        <v>B300 (HGX)</v>
      </c>
      <c r="P24" s="4" t="str">
        <f aca="false">IF('Quarterly MW'!P61&gt;0,"B300 (HGX)","")</f>
        <v>B300 (HGX)</v>
      </c>
      <c r="Q24" s="4" t="str">
        <f aca="false">IF('Quarterly MW'!Q61&gt;0,"B300 (HGX)","")</f>
        <v>B300 (HGX)</v>
      </c>
      <c r="R24" s="4" t="str">
        <f aca="false">IF('Quarterly MW'!R61&gt;0,"B300 (HGX)","")</f>
        <v>B300 (HGX)</v>
      </c>
      <c r="S24" s="4" t="str">
        <f aca="false">IF('Quarterly MW'!S61&gt;0,"B300 (HGX)","")</f>
        <v>B300 (HGX)</v>
      </c>
      <c r="T24" s="4" t="str">
        <f aca="false">IF('Quarterly MW'!T61&gt;0,"B300 (HGX)","")</f>
        <v>B300 (HGX)</v>
      </c>
      <c r="U24" s="4" t="str">
        <f aca="false">IF('Quarterly MW'!U61&gt;0,"B300 (HGX)","")</f>
        <v>B300 (HGX)</v>
      </c>
      <c r="V24" s="4" t="str">
        <f aca="false">IF('Quarterly MW'!V61&gt;0,"B300 (HGX)","")</f>
        <v>B300 (HGX)</v>
      </c>
      <c r="W24" s="4" t="str">
        <f aca="false">IF('Quarterly MW'!W61&gt;0,"B300 (HGX)","")</f>
        <v>B300 (HGX)</v>
      </c>
      <c r="X24" s="4" t="str">
        <f aca="false">IF('Quarterly MW'!X61&gt;0,"B300 (HGX)","")</f>
        <v>B300 (HGX)</v>
      </c>
      <c r="Y24" s="4" t="str">
        <f aca="false">IF('Quarterly MW'!Y61&gt;0,"B300 (HGX)","")</f>
        <v>B300 (HGX)</v>
      </c>
      <c r="Z24" s="4" t="str">
        <f aca="false">IF('Quarterly MW'!Z61&gt;0,"B300 (HGX)","")</f>
        <v>B300 (HGX)</v>
      </c>
      <c r="AA24" s="4" t="str">
        <f aca="false">IF('Quarterly MW'!AA61&gt;0,"B300 (HGX)","")</f>
        <v>B300 (HGX)</v>
      </c>
      <c r="AB24" s="4" t="str">
        <f aca="false">IF('Quarterly MW'!AB61&gt;0,"B300 (HGX)","")</f>
        <v>B300 (HGX)</v>
      </c>
      <c r="AC24" s="4" t="str">
        <f aca="false">IF('Quarterly MW'!AC61&gt;0,"B300 (HGX)","")</f>
        <v>B300 (HGX)</v>
      </c>
      <c r="AD24" s="4" t="str">
        <f aca="false">IF('Quarterly MW'!AD61&gt;0,"B300 (HGX)","")</f>
        <v>B300 (HGX)</v>
      </c>
      <c r="AE24" s="4" t="str">
        <f aca="false">IF('Quarterly MW'!AE61&gt;0,"B300 (HGX)","")</f>
        <v>B300 (HGX)</v>
      </c>
      <c r="AF24" s="4" t="str">
        <f aca="false">IF('Quarterly MW'!AF61&gt;0,"B300 (HGX)","")</f>
        <v>B300 (HGX)</v>
      </c>
    </row>
    <row r="25" customFormat="false" ht="15" hidden="false" customHeight="false" outlineLevel="0" collapsed="false">
      <c r="A25" s="0" t="s">
        <v>58</v>
      </c>
      <c r="B25" s="0" t="s">
        <v>411</v>
      </c>
      <c r="C25" s="0" t="s">
        <v>256</v>
      </c>
      <c r="E25" s="4" t="n">
        <f aca="false">'Quarterly MW'!E61-0</f>
        <v>0</v>
      </c>
      <c r="F25" s="4" t="n">
        <f aca="false">'Quarterly MW'!F61-'Quarterly MW'!E61</f>
        <v>0</v>
      </c>
      <c r="G25" s="4" t="n">
        <f aca="false">'Quarterly MW'!G61-'Quarterly MW'!F61</f>
        <v>0</v>
      </c>
      <c r="H25" s="4" t="n">
        <f aca="false">'Quarterly MW'!H61-'Quarterly MW'!G61</f>
        <v>0</v>
      </c>
      <c r="I25" s="4" t="n">
        <f aca="false">'Quarterly MW'!I61-'Quarterly MW'!H61</f>
        <v>0</v>
      </c>
      <c r="J25" s="4" t="n">
        <f aca="false">'Quarterly MW'!J61-'Quarterly MW'!I61</f>
        <v>0</v>
      </c>
      <c r="K25" s="4" t="n">
        <f aca="false">'Quarterly MW'!K61-'Quarterly MW'!J61</f>
        <v>0</v>
      </c>
      <c r="L25" s="4" t="n">
        <f aca="false">'Quarterly MW'!L61-'Quarterly MW'!K61</f>
        <v>16</v>
      </c>
      <c r="M25" s="4" t="n">
        <f aca="false">'Quarterly MW'!M61-'Quarterly MW'!L61</f>
        <v>0</v>
      </c>
      <c r="N25" s="4" t="n">
        <f aca="false">'Quarterly MW'!N61-'Quarterly MW'!M61</f>
        <v>0</v>
      </c>
      <c r="O25" s="4" t="n">
        <f aca="false">'Quarterly MW'!O61-'Quarterly MW'!N61</f>
        <v>0</v>
      </c>
      <c r="P25" s="4" t="n">
        <f aca="false">'Quarterly MW'!P61-'Quarterly MW'!O61</f>
        <v>1.5</v>
      </c>
      <c r="Q25" s="4" t="n">
        <f aca="false">'Quarterly MW'!Q61-'Quarterly MW'!P61</f>
        <v>1.5</v>
      </c>
      <c r="R25" s="4" t="n">
        <f aca="false">'Quarterly MW'!R61-'Quarterly MW'!Q61</f>
        <v>0</v>
      </c>
      <c r="S25" s="4" t="n">
        <f aca="false">'Quarterly MW'!S61-'Quarterly MW'!R61</f>
        <v>0</v>
      </c>
      <c r="T25" s="4" t="n">
        <f aca="false">'Quarterly MW'!T61-'Quarterly MW'!S61</f>
        <v>0</v>
      </c>
      <c r="U25" s="4" t="n">
        <f aca="false">'Quarterly MW'!U61-'Quarterly MW'!T61</f>
        <v>0</v>
      </c>
      <c r="V25" s="4" t="n">
        <f aca="false">'Quarterly MW'!V61-'Quarterly MW'!U61</f>
        <v>0</v>
      </c>
      <c r="W25" s="4" t="n">
        <f aca="false">'Quarterly MW'!W61-'Quarterly MW'!V61</f>
        <v>0</v>
      </c>
      <c r="X25" s="4" t="n">
        <f aca="false">'Quarterly MW'!X61-'Quarterly MW'!W61</f>
        <v>0</v>
      </c>
      <c r="Y25" s="4" t="n">
        <f aca="false">'Quarterly MW'!Y61-'Quarterly MW'!X61</f>
        <v>0</v>
      </c>
      <c r="Z25" s="4" t="n">
        <f aca="false">'Quarterly MW'!Z61-'Quarterly MW'!Y61</f>
        <v>0</v>
      </c>
      <c r="AA25" s="4" t="n">
        <f aca="false">'Quarterly MW'!AA61-'Quarterly MW'!Z61</f>
        <v>0</v>
      </c>
      <c r="AB25" s="4" t="n">
        <f aca="false">'Quarterly MW'!AB61-'Quarterly MW'!AA61</f>
        <v>0</v>
      </c>
      <c r="AC25" s="4" t="n">
        <f aca="false">'Quarterly MW'!AC61-'Quarterly MW'!AB61</f>
        <v>0</v>
      </c>
      <c r="AD25" s="4" t="n">
        <f aca="false">'Quarterly MW'!AD61-'Quarterly MW'!AC61</f>
        <v>0</v>
      </c>
      <c r="AE25" s="4" t="n">
        <f aca="false">'Quarterly MW'!AE61-'Quarterly MW'!AD61</f>
        <v>0</v>
      </c>
      <c r="AF25" s="4" t="n">
        <f aca="false">'Quarterly MW'!AF61-'Quarterly MW'!AE61</f>
        <v>0</v>
      </c>
    </row>
    <row r="26" customFormat="false" ht="15" hidden="false" customHeight="false" outlineLevel="0" collapsed="false">
      <c r="A26" s="0" t="s">
        <v>60</v>
      </c>
      <c r="B26" s="0" t="s">
        <v>410</v>
      </c>
      <c r="C26" s="0" t="s">
        <v>256</v>
      </c>
      <c r="E26" s="4" t="str">
        <f aca="false">IF('Quarterly MW'!E66&gt;0,"B300 (HGX)","")</f>
        <v/>
      </c>
      <c r="F26" s="4" t="str">
        <f aca="false">IF('Quarterly MW'!F66&gt;0,"B300 (HGX)","")</f>
        <v/>
      </c>
      <c r="G26" s="4" t="str">
        <f aca="false">IF('Quarterly MW'!G66&gt;0,"B300 (HGX)","")</f>
        <v/>
      </c>
      <c r="H26" s="4" t="str">
        <f aca="false">IF('Quarterly MW'!H66&gt;0,"B300 (HGX)","")</f>
        <v/>
      </c>
      <c r="I26" s="4" t="str">
        <f aca="false">IF('Quarterly MW'!I66&gt;0,"B300 (HGX)","")</f>
        <v/>
      </c>
      <c r="J26" s="4" t="str">
        <f aca="false">IF('Quarterly MW'!J66&gt;0,"B300 (HGX)","")</f>
        <v/>
      </c>
      <c r="K26" s="4" t="str">
        <f aca="false">IF('Quarterly MW'!K66&gt;0,"B300 (HGX)","")</f>
        <v/>
      </c>
      <c r="L26" s="4" t="str">
        <f aca="false">IF('Quarterly MW'!L66&gt;0,"B300 (HGX)","")</f>
        <v/>
      </c>
      <c r="M26" s="4" t="str">
        <f aca="false">IF('Quarterly MW'!M66&gt;0,"B300 (HGX)","")</f>
        <v/>
      </c>
      <c r="N26" s="4" t="str">
        <f aca="false">IF('Quarterly MW'!N66&gt;0,"B300 (HGX)","")</f>
        <v/>
      </c>
      <c r="O26" s="4" t="str">
        <f aca="false">IF('Quarterly MW'!O66&gt;0,"B300 (HGX)","")</f>
        <v/>
      </c>
      <c r="P26" s="4" t="str">
        <f aca="false">IF('Quarterly MW'!P66&gt;0,"B300 (HGX)","")</f>
        <v>B300 (HGX)</v>
      </c>
      <c r="Q26" s="4" t="str">
        <f aca="false">IF('Quarterly MW'!Q66&gt;0,"B300 (HGX)","")</f>
        <v>B300 (HGX)</v>
      </c>
      <c r="R26" s="4" t="str">
        <f aca="false">IF('Quarterly MW'!R66&gt;0,"B300 (HGX)","")</f>
        <v>B300 (HGX)</v>
      </c>
      <c r="S26" s="4" t="str">
        <f aca="false">IF('Quarterly MW'!S66&gt;0,"B300 (HGX)","")</f>
        <v>B300 (HGX)</v>
      </c>
      <c r="T26" s="4" t="str">
        <f aca="false">IF('Quarterly MW'!T66&gt;0,"B300 (HGX)","")</f>
        <v>B300 (HGX)</v>
      </c>
      <c r="U26" s="4" t="str">
        <f aca="false">IF('Quarterly MW'!U66&gt;0,"B300 (HGX)","")</f>
        <v>B300 (HGX)</v>
      </c>
      <c r="V26" s="4" t="str">
        <f aca="false">IF('Quarterly MW'!V66&gt;0,"B300 (HGX)","")</f>
        <v>B300 (HGX)</v>
      </c>
      <c r="W26" s="4" t="str">
        <f aca="false">IF('Quarterly MW'!W66&gt;0,"B300 (HGX)","")</f>
        <v>B300 (HGX)</v>
      </c>
      <c r="X26" s="4" t="str">
        <f aca="false">IF('Quarterly MW'!X66&gt;0,"B300 (HGX)","")</f>
        <v>B300 (HGX)</v>
      </c>
      <c r="Y26" s="4" t="str">
        <f aca="false">IF('Quarterly MW'!Y66&gt;0,"B300 (HGX)","")</f>
        <v>B300 (HGX)</v>
      </c>
      <c r="Z26" s="4" t="str">
        <f aca="false">IF('Quarterly MW'!Z66&gt;0,"B300 (HGX)","")</f>
        <v>B300 (HGX)</v>
      </c>
      <c r="AA26" s="4" t="str">
        <f aca="false">IF('Quarterly MW'!AA66&gt;0,"B300 (HGX)","")</f>
        <v>B300 (HGX)</v>
      </c>
      <c r="AB26" s="4" t="str">
        <f aca="false">IF('Quarterly MW'!AB66&gt;0,"B300 (HGX)","")</f>
        <v>B300 (HGX)</v>
      </c>
      <c r="AC26" s="4" t="str">
        <f aca="false">IF('Quarterly MW'!AC66&gt;0,"B300 (HGX)","")</f>
        <v>B300 (HGX)</v>
      </c>
      <c r="AD26" s="4" t="str">
        <f aca="false">IF('Quarterly MW'!AD66&gt;0,"B300 (HGX)","")</f>
        <v>B300 (HGX)</v>
      </c>
      <c r="AE26" s="4" t="str">
        <f aca="false">IF('Quarterly MW'!AE66&gt;0,"B300 (HGX)","")</f>
        <v>B300 (HGX)</v>
      </c>
      <c r="AF26" s="4" t="str">
        <f aca="false">IF('Quarterly MW'!AF66&gt;0,"B300 (HGX)","")</f>
        <v>B300 (HGX)</v>
      </c>
    </row>
    <row r="27" customFormat="false" ht="15" hidden="false" customHeight="false" outlineLevel="0" collapsed="false">
      <c r="A27" s="0" t="s">
        <v>60</v>
      </c>
      <c r="B27" s="0" t="s">
        <v>411</v>
      </c>
      <c r="C27" s="0" t="s">
        <v>256</v>
      </c>
      <c r="E27" s="4" t="n">
        <f aca="false">'Quarterly MW'!E66-0</f>
        <v>0</v>
      </c>
      <c r="F27" s="4" t="n">
        <f aca="false">'Quarterly MW'!F66-'Quarterly MW'!E66</f>
        <v>0</v>
      </c>
      <c r="G27" s="4" t="n">
        <f aca="false">'Quarterly MW'!G66-'Quarterly MW'!F66</f>
        <v>0</v>
      </c>
      <c r="H27" s="4" t="n">
        <f aca="false">'Quarterly MW'!H66-'Quarterly MW'!G66</f>
        <v>0</v>
      </c>
      <c r="I27" s="4" t="n">
        <f aca="false">'Quarterly MW'!I66-'Quarterly MW'!H66</f>
        <v>0</v>
      </c>
      <c r="J27" s="4" t="n">
        <f aca="false">'Quarterly MW'!J66-'Quarterly MW'!I66</f>
        <v>0</v>
      </c>
      <c r="K27" s="4" t="n">
        <f aca="false">'Quarterly MW'!K66-'Quarterly MW'!J66</f>
        <v>0</v>
      </c>
      <c r="L27" s="4" t="n">
        <f aca="false">'Quarterly MW'!L66-'Quarterly MW'!K66</f>
        <v>0</v>
      </c>
      <c r="M27" s="4" t="n">
        <f aca="false">'Quarterly MW'!M66-'Quarterly MW'!L66</f>
        <v>0</v>
      </c>
      <c r="N27" s="4" t="n">
        <f aca="false">'Quarterly MW'!N66-'Quarterly MW'!M66</f>
        <v>0</v>
      </c>
      <c r="O27" s="4" t="n">
        <f aca="false">'Quarterly MW'!O66-'Quarterly MW'!N66</f>
        <v>0</v>
      </c>
      <c r="P27" s="4" t="n">
        <f aca="false">'Quarterly MW'!P66-'Quarterly MW'!O66</f>
        <v>2.2</v>
      </c>
      <c r="Q27" s="4" t="n">
        <f aca="false">'Quarterly MW'!Q66-'Quarterly MW'!P66</f>
        <v>11</v>
      </c>
      <c r="R27" s="4" t="n">
        <f aca="false">'Quarterly MW'!R66-'Quarterly MW'!Q66</f>
        <v>0</v>
      </c>
      <c r="S27" s="4" t="n">
        <f aca="false">'Quarterly MW'!S66-'Quarterly MW'!R66</f>
        <v>8.8</v>
      </c>
      <c r="T27" s="4" t="n">
        <f aca="false">'Quarterly MW'!T66-'Quarterly MW'!S66</f>
        <v>0</v>
      </c>
      <c r="U27" s="4" t="n">
        <f aca="false">'Quarterly MW'!U66-'Quarterly MW'!T66</f>
        <v>0</v>
      </c>
      <c r="V27" s="4" t="n">
        <f aca="false">'Quarterly MW'!V66-'Quarterly MW'!U66</f>
        <v>0</v>
      </c>
      <c r="W27" s="4" t="n">
        <f aca="false">'Quarterly MW'!W66-'Quarterly MW'!V66</f>
        <v>0</v>
      </c>
      <c r="X27" s="4" t="n">
        <f aca="false">'Quarterly MW'!X66-'Quarterly MW'!W66</f>
        <v>0</v>
      </c>
      <c r="Y27" s="4" t="n">
        <f aca="false">'Quarterly MW'!Y66-'Quarterly MW'!X66</f>
        <v>0</v>
      </c>
      <c r="Z27" s="4" t="n">
        <f aca="false">'Quarterly MW'!Z66-'Quarterly MW'!Y66</f>
        <v>0</v>
      </c>
      <c r="AA27" s="4" t="n">
        <f aca="false">'Quarterly MW'!AA66-'Quarterly MW'!Z66</f>
        <v>0</v>
      </c>
      <c r="AB27" s="4" t="n">
        <f aca="false">'Quarterly MW'!AB66-'Quarterly MW'!AA66</f>
        <v>0</v>
      </c>
      <c r="AC27" s="4" t="n">
        <f aca="false">'Quarterly MW'!AC66-'Quarterly MW'!AB66</f>
        <v>0</v>
      </c>
      <c r="AD27" s="4" t="n">
        <f aca="false">'Quarterly MW'!AD66-'Quarterly MW'!AC66</f>
        <v>0</v>
      </c>
      <c r="AE27" s="4" t="n">
        <f aca="false">'Quarterly MW'!AE66-'Quarterly MW'!AD66</f>
        <v>0</v>
      </c>
      <c r="AF27" s="4" t="n">
        <f aca="false">'Quarterly MW'!AF66-'Quarterly MW'!AE66</f>
        <v>0</v>
      </c>
    </row>
    <row r="28" customFormat="false" ht="15" hidden="false" customHeight="false" outlineLevel="0" collapsed="false">
      <c r="A28" s="0" t="s">
        <v>62</v>
      </c>
      <c r="B28" s="0" t="s">
        <v>410</v>
      </c>
      <c r="C28" s="0" t="s">
        <v>395</v>
      </c>
      <c r="E28" s="4" t="str">
        <f aca="false">IF('Quarterly MW'!E71&gt;0,"GB300 NVL72","")</f>
        <v/>
      </c>
      <c r="F28" s="4" t="str">
        <f aca="false">IF('Quarterly MW'!F71&gt;0,"GB300 NVL72","")</f>
        <v/>
      </c>
      <c r="G28" s="4" t="str">
        <f aca="false">IF('Quarterly MW'!G71&gt;0,"GB300 NVL72","")</f>
        <v/>
      </c>
      <c r="H28" s="4" t="str">
        <f aca="false">IF('Quarterly MW'!H71&gt;0,"GB300 NVL72","")</f>
        <v/>
      </c>
      <c r="I28" s="4" t="str">
        <f aca="false">IF('Quarterly MW'!I71&gt;0,"GB300 NVL72","")</f>
        <v/>
      </c>
      <c r="J28" s="4" t="str">
        <f aca="false">IF('Quarterly MW'!J71&gt;0,"GB300 NVL72","")</f>
        <v/>
      </c>
      <c r="K28" s="4" t="str">
        <f aca="false">IF('Quarterly MW'!K71&gt;0,"GB300 NVL72","")</f>
        <v/>
      </c>
      <c r="L28" s="4" t="str">
        <f aca="false">IF('Quarterly MW'!L71&gt;0,"GB300 NVL72","")</f>
        <v/>
      </c>
      <c r="M28" s="4" t="str">
        <f aca="false">IF('Quarterly MW'!M71&gt;0,"GB300 NVL72","")</f>
        <v/>
      </c>
      <c r="N28" s="4" t="str">
        <f aca="false">IF('Quarterly MW'!N71&gt;0,"GB300 NVL72","")</f>
        <v/>
      </c>
      <c r="O28" s="4" t="str">
        <f aca="false">IF('Quarterly MW'!O71&gt;0,"GB300 NVL72","")</f>
        <v/>
      </c>
      <c r="P28" s="4" t="str">
        <f aca="false">IF('Quarterly MW'!P71&gt;0,"GB300 NVL72","")</f>
        <v>GB300 NVL72</v>
      </c>
      <c r="Q28" s="4" t="str">
        <f aca="false">IF('Quarterly MW'!Q71&gt;0,"GB300 NVL72","")</f>
        <v>GB300 NVL72</v>
      </c>
      <c r="R28" s="4" t="str">
        <f aca="false">IF('Quarterly MW'!R71&gt;0,"GB300 NVL72","")</f>
        <v>GB300 NVL72</v>
      </c>
      <c r="S28" s="4" t="str">
        <f aca="false">IF('Quarterly MW'!S71&gt;0,"GB300 NVL72","")</f>
        <v>GB300 NVL72</v>
      </c>
      <c r="T28" s="4" t="str">
        <f aca="false">IF('Quarterly MW'!T71&gt;0,"GB300 NVL72","")</f>
        <v>GB300 NVL72</v>
      </c>
      <c r="U28" s="4" t="str">
        <f aca="false">IF('Quarterly MW'!U71&gt;0,"GB300 NVL72","")</f>
        <v>GB300 NVL72</v>
      </c>
      <c r="V28" s="4" t="str">
        <f aca="false">IF('Quarterly MW'!V71&gt;0,"GB300 NVL72","")</f>
        <v>GB300 NVL72</v>
      </c>
      <c r="W28" s="4" t="str">
        <f aca="false">IF('Quarterly MW'!W71&gt;0,"GB300 NVL72","")</f>
        <v>GB300 NVL72</v>
      </c>
      <c r="X28" s="4" t="str">
        <f aca="false">IF('Quarterly MW'!X71&gt;0,"GB300 NVL72","")</f>
        <v>GB300 NVL72</v>
      </c>
      <c r="Y28" s="4" t="str">
        <f aca="false">IF('Quarterly MW'!Y71&gt;0,"GB300 NVL72","")</f>
        <v>GB300 NVL72</v>
      </c>
      <c r="Z28" s="4" t="str">
        <f aca="false">IF('Quarterly MW'!Z71&gt;0,"GB300 NVL72","")</f>
        <v>GB300 NVL72</v>
      </c>
      <c r="AA28" s="4" t="str">
        <f aca="false">IF('Quarterly MW'!AA71&gt;0,"GB300 NVL72","")</f>
        <v>GB300 NVL72</v>
      </c>
      <c r="AB28" s="4" t="str">
        <f aca="false">IF('Quarterly MW'!AB71&gt;0,"GB300 NVL72","")</f>
        <v>GB300 NVL72</v>
      </c>
      <c r="AC28" s="4" t="str">
        <f aca="false">IF('Quarterly MW'!AC71&gt;0,"GB300 NVL72","")</f>
        <v>GB300 NVL72</v>
      </c>
      <c r="AD28" s="4" t="str">
        <f aca="false">IF('Quarterly MW'!AD71&gt;0,"GB300 NVL72","")</f>
        <v>GB300 NVL72</v>
      </c>
      <c r="AE28" s="4" t="str">
        <f aca="false">IF('Quarterly MW'!AE71&gt;0,"GB300 NVL72","")</f>
        <v>GB300 NVL72</v>
      </c>
      <c r="AF28" s="4" t="str">
        <f aca="false">IF('Quarterly MW'!AF71&gt;0,"GB300 NVL72","")</f>
        <v>GB300 NVL72</v>
      </c>
    </row>
    <row r="29" customFormat="false" ht="15" hidden="false" customHeight="false" outlineLevel="0" collapsed="false">
      <c r="A29" s="0" t="s">
        <v>62</v>
      </c>
      <c r="B29" s="0" t="s">
        <v>411</v>
      </c>
      <c r="C29" s="0" t="s">
        <v>395</v>
      </c>
      <c r="E29" s="4" t="n">
        <f aca="false">'Quarterly MW'!E71-0</f>
        <v>0</v>
      </c>
      <c r="F29" s="4" t="n">
        <f aca="false">'Quarterly MW'!F71-'Quarterly MW'!E71</f>
        <v>0</v>
      </c>
      <c r="G29" s="4" t="n">
        <f aca="false">'Quarterly MW'!G71-'Quarterly MW'!F71</f>
        <v>0</v>
      </c>
      <c r="H29" s="4" t="n">
        <f aca="false">'Quarterly MW'!H71-'Quarterly MW'!G71</f>
        <v>0</v>
      </c>
      <c r="I29" s="4" t="n">
        <f aca="false">'Quarterly MW'!I71-'Quarterly MW'!H71</f>
        <v>0</v>
      </c>
      <c r="J29" s="4" t="n">
        <f aca="false">'Quarterly MW'!J71-'Quarterly MW'!I71</f>
        <v>0</v>
      </c>
      <c r="K29" s="4" t="n">
        <f aca="false">'Quarterly MW'!K71-'Quarterly MW'!J71</f>
        <v>0</v>
      </c>
      <c r="L29" s="4" t="n">
        <f aca="false">'Quarterly MW'!L71-'Quarterly MW'!K71</f>
        <v>0</v>
      </c>
      <c r="M29" s="4" t="n">
        <f aca="false">'Quarterly MW'!M71-'Quarterly MW'!L71</f>
        <v>0</v>
      </c>
      <c r="N29" s="4" t="n">
        <f aca="false">'Quarterly MW'!N71-'Quarterly MW'!M71</f>
        <v>0</v>
      </c>
      <c r="O29" s="4" t="n">
        <f aca="false">'Quarterly MW'!O71-'Quarterly MW'!N71</f>
        <v>0</v>
      </c>
      <c r="P29" s="4" t="n">
        <f aca="false">'Quarterly MW'!P71-'Quarterly MW'!O71</f>
        <v>5</v>
      </c>
      <c r="Q29" s="4" t="n">
        <f aca="false">'Quarterly MW'!Q71-'Quarterly MW'!P71</f>
        <v>10</v>
      </c>
      <c r="R29" s="4" t="n">
        <f aca="false">'Quarterly MW'!R71-'Quarterly MW'!Q71</f>
        <v>7.5</v>
      </c>
      <c r="S29" s="4" t="n">
        <f aca="false">'Quarterly MW'!S71-'Quarterly MW'!R71</f>
        <v>6.5</v>
      </c>
      <c r="T29" s="4" t="n">
        <f aca="false">'Quarterly MW'!T71-'Quarterly MW'!S71</f>
        <v>2.5</v>
      </c>
      <c r="U29" s="4" t="n">
        <f aca="false">'Quarterly MW'!U71-'Quarterly MW'!T71</f>
        <v>0</v>
      </c>
      <c r="V29" s="4" t="n">
        <f aca="false">'Quarterly MW'!V71-'Quarterly MW'!U71</f>
        <v>0</v>
      </c>
      <c r="W29" s="4" t="n">
        <f aca="false">'Quarterly MW'!W71-'Quarterly MW'!V71</f>
        <v>0</v>
      </c>
      <c r="X29" s="4" t="n">
        <f aca="false">'Quarterly MW'!X71-'Quarterly MW'!W71</f>
        <v>0</v>
      </c>
      <c r="Y29" s="4" t="n">
        <f aca="false">'Quarterly MW'!Y71-'Quarterly MW'!X71</f>
        <v>0</v>
      </c>
      <c r="Z29" s="4" t="n">
        <f aca="false">'Quarterly MW'!Z71-'Quarterly MW'!Y71</f>
        <v>0</v>
      </c>
      <c r="AA29" s="4" t="n">
        <f aca="false">'Quarterly MW'!AA71-'Quarterly MW'!Z71</f>
        <v>0</v>
      </c>
      <c r="AB29" s="4" t="n">
        <f aca="false">'Quarterly MW'!AB71-'Quarterly MW'!AA71</f>
        <v>0</v>
      </c>
      <c r="AC29" s="4" t="n">
        <f aca="false">'Quarterly MW'!AC71-'Quarterly MW'!AB71</f>
        <v>0</v>
      </c>
      <c r="AD29" s="4" t="n">
        <f aca="false">'Quarterly MW'!AD71-'Quarterly MW'!AC71</f>
        <v>0</v>
      </c>
      <c r="AE29" s="4" t="n">
        <f aca="false">'Quarterly MW'!AE71-'Quarterly MW'!AD71</f>
        <v>0</v>
      </c>
      <c r="AF29" s="4" t="n">
        <f aca="false">'Quarterly MW'!AF71-'Quarterly MW'!AE71</f>
        <v>0</v>
      </c>
    </row>
    <row r="30" customFormat="false" ht="15" hidden="false" customHeight="false" outlineLevel="0" collapsed="false">
      <c r="A30" s="0" t="s">
        <v>64</v>
      </c>
      <c r="B30" s="0" t="s">
        <v>410</v>
      </c>
      <c r="C30" s="0" t="s">
        <v>395</v>
      </c>
      <c r="E30" s="4" t="str">
        <f aca="false">IF('Quarterly MW'!E76&gt;0,"GB300 NVL72","")</f>
        <v/>
      </c>
      <c r="F30" s="4" t="str">
        <f aca="false">IF('Quarterly MW'!F76&gt;0,"GB300 NVL72","")</f>
        <v/>
      </c>
      <c r="G30" s="4" t="str">
        <f aca="false">IF('Quarterly MW'!G76&gt;0,"GB300 NVL72","")</f>
        <v/>
      </c>
      <c r="H30" s="4" t="str">
        <f aca="false">IF('Quarterly MW'!H76&gt;0,"GB300 NVL72","")</f>
        <v/>
      </c>
      <c r="I30" s="4" t="str">
        <f aca="false">IF('Quarterly MW'!I76&gt;0,"GB300 NVL72","")</f>
        <v/>
      </c>
      <c r="J30" s="4" t="str">
        <f aca="false">IF('Quarterly MW'!J76&gt;0,"GB300 NVL72","")</f>
        <v/>
      </c>
      <c r="K30" s="4" t="str">
        <f aca="false">IF('Quarterly MW'!K76&gt;0,"GB300 NVL72","")</f>
        <v/>
      </c>
      <c r="L30" s="4" t="str">
        <f aca="false">IF('Quarterly MW'!L76&gt;0,"GB300 NVL72","")</f>
        <v/>
      </c>
      <c r="M30" s="4" t="str">
        <f aca="false">IF('Quarterly MW'!M76&gt;0,"GB300 NVL72","")</f>
        <v/>
      </c>
      <c r="N30" s="4" t="str">
        <f aca="false">IF('Quarterly MW'!N76&gt;0,"GB300 NVL72","")</f>
        <v/>
      </c>
      <c r="O30" s="4" t="str">
        <f aca="false">IF('Quarterly MW'!O76&gt;0,"GB300 NVL72","")</f>
        <v/>
      </c>
      <c r="P30" s="4" t="str">
        <f aca="false">IF('Quarterly MW'!P76&gt;0,"GB300 NVL72","")</f>
        <v/>
      </c>
      <c r="Q30" s="4" t="str">
        <f aca="false">IF('Quarterly MW'!Q76&gt;0,"GB300 NVL72","")</f>
        <v/>
      </c>
      <c r="R30" s="4" t="str">
        <f aca="false">IF('Quarterly MW'!R76&gt;0,"GB300 NVL72","")</f>
        <v>GB300 NVL72</v>
      </c>
      <c r="S30" s="4" t="str">
        <f aca="false">IF('Quarterly MW'!S76&gt;0,"GB300 NVL72","")</f>
        <v>GB300 NVL72</v>
      </c>
      <c r="T30" s="4" t="str">
        <f aca="false">IF('Quarterly MW'!T76&gt;0,"GB300 NVL72","")</f>
        <v>GB300 NVL72</v>
      </c>
      <c r="U30" s="4" t="str">
        <f aca="false">IF('Quarterly MW'!U76&gt;0,"GB300 NVL72","")</f>
        <v>GB300 NVL72</v>
      </c>
      <c r="V30" s="4" t="str">
        <f aca="false">IF('Quarterly MW'!V76&gt;0,"GB300 NVL72","")</f>
        <v>GB300 NVL72</v>
      </c>
      <c r="W30" s="4" t="str">
        <f aca="false">IF('Quarterly MW'!W76&gt;0,"GB300 NVL72","")</f>
        <v>GB300 NVL72</v>
      </c>
      <c r="X30" s="4" t="str">
        <f aca="false">IF('Quarterly MW'!X76&gt;0,"GB300 NVL72","")</f>
        <v>GB300 NVL72</v>
      </c>
      <c r="Y30" s="4" t="str">
        <f aca="false">IF('Quarterly MW'!Y76&gt;0,"GB300 NVL72","")</f>
        <v>GB300 NVL72</v>
      </c>
      <c r="Z30" s="4" t="str">
        <f aca="false">IF('Quarterly MW'!Z76&gt;0,"GB300 NVL72","")</f>
        <v>GB300 NVL72</v>
      </c>
      <c r="AA30" s="4" t="str">
        <f aca="false">IF('Quarterly MW'!AA76&gt;0,"GB300 NVL72","")</f>
        <v>GB300 NVL72</v>
      </c>
      <c r="AB30" s="4" t="str">
        <f aca="false">IF('Quarterly MW'!AB76&gt;0,"GB300 NVL72","")</f>
        <v>GB300 NVL72</v>
      </c>
      <c r="AC30" s="4" t="str">
        <f aca="false">IF('Quarterly MW'!AC76&gt;0,"GB300 NVL72","")</f>
        <v>GB300 NVL72</v>
      </c>
      <c r="AD30" s="4" t="str">
        <f aca="false">IF('Quarterly MW'!AD76&gt;0,"GB300 NVL72","")</f>
        <v>GB300 NVL72</v>
      </c>
      <c r="AE30" s="4" t="str">
        <f aca="false">IF('Quarterly MW'!AE76&gt;0,"GB300 NVL72","")</f>
        <v>GB300 NVL72</v>
      </c>
      <c r="AF30" s="4" t="str">
        <f aca="false">IF('Quarterly MW'!AF76&gt;0,"GB300 NVL72","")</f>
        <v>GB300 NVL72</v>
      </c>
    </row>
    <row r="31" customFormat="false" ht="15" hidden="false" customHeight="false" outlineLevel="0" collapsed="false">
      <c r="A31" s="0" t="s">
        <v>64</v>
      </c>
      <c r="B31" s="0" t="s">
        <v>411</v>
      </c>
      <c r="C31" s="0" t="s">
        <v>395</v>
      </c>
      <c r="E31" s="4" t="n">
        <f aca="false">'Quarterly MW'!E76-0</f>
        <v>0</v>
      </c>
      <c r="F31" s="4" t="n">
        <f aca="false">'Quarterly MW'!F76-'Quarterly MW'!E76</f>
        <v>0</v>
      </c>
      <c r="G31" s="4" t="n">
        <f aca="false">'Quarterly MW'!G76-'Quarterly MW'!F76</f>
        <v>0</v>
      </c>
      <c r="H31" s="4" t="n">
        <f aca="false">'Quarterly MW'!H76-'Quarterly MW'!G76</f>
        <v>0</v>
      </c>
      <c r="I31" s="4" t="n">
        <f aca="false">'Quarterly MW'!I76-'Quarterly MW'!H76</f>
        <v>0</v>
      </c>
      <c r="J31" s="4" t="n">
        <f aca="false">'Quarterly MW'!J76-'Quarterly MW'!I76</f>
        <v>0</v>
      </c>
      <c r="K31" s="4" t="n">
        <f aca="false">'Quarterly MW'!K76-'Quarterly MW'!J76</f>
        <v>0</v>
      </c>
      <c r="L31" s="4" t="n">
        <f aca="false">'Quarterly MW'!L76-'Quarterly MW'!K76</f>
        <v>0</v>
      </c>
      <c r="M31" s="4" t="n">
        <f aca="false">'Quarterly MW'!M76-'Quarterly MW'!L76</f>
        <v>0</v>
      </c>
      <c r="N31" s="4" t="n">
        <f aca="false">'Quarterly MW'!N76-'Quarterly MW'!M76</f>
        <v>0</v>
      </c>
      <c r="O31" s="4" t="n">
        <f aca="false">'Quarterly MW'!O76-'Quarterly MW'!N76</f>
        <v>0</v>
      </c>
      <c r="P31" s="4" t="n">
        <f aca="false">'Quarterly MW'!P76-'Quarterly MW'!O76</f>
        <v>0</v>
      </c>
      <c r="Q31" s="4" t="n">
        <f aca="false">'Quarterly MW'!Q76-'Quarterly MW'!P76</f>
        <v>0</v>
      </c>
      <c r="R31" s="4" t="n">
        <f aca="false">'Quarterly MW'!R76-'Quarterly MW'!Q76</f>
        <v>2.5</v>
      </c>
      <c r="S31" s="4" t="n">
        <f aca="false">'Quarterly MW'!S76-'Quarterly MW'!R76</f>
        <v>3.5</v>
      </c>
      <c r="T31" s="4" t="n">
        <f aca="false">'Quarterly MW'!T76-'Quarterly MW'!S76</f>
        <v>1</v>
      </c>
      <c r="U31" s="4" t="n">
        <f aca="false">'Quarterly MW'!U76-'Quarterly MW'!T76</f>
        <v>0</v>
      </c>
      <c r="V31" s="4" t="n">
        <f aca="false">'Quarterly MW'!V76-'Quarterly MW'!U76</f>
        <v>0</v>
      </c>
      <c r="W31" s="4" t="n">
        <f aca="false">'Quarterly MW'!W76-'Quarterly MW'!V76</f>
        <v>0</v>
      </c>
      <c r="X31" s="4" t="n">
        <f aca="false">'Quarterly MW'!X76-'Quarterly MW'!W76</f>
        <v>0</v>
      </c>
      <c r="Y31" s="4" t="n">
        <f aca="false">'Quarterly MW'!Y76-'Quarterly MW'!X76</f>
        <v>0</v>
      </c>
      <c r="Z31" s="4" t="n">
        <f aca="false">'Quarterly MW'!Z76-'Quarterly MW'!Y76</f>
        <v>0</v>
      </c>
      <c r="AA31" s="4" t="n">
        <f aca="false">'Quarterly MW'!AA76-'Quarterly MW'!Z76</f>
        <v>0</v>
      </c>
      <c r="AB31" s="4" t="n">
        <f aca="false">'Quarterly MW'!AB76-'Quarterly MW'!AA76</f>
        <v>0</v>
      </c>
      <c r="AC31" s="4" t="n">
        <f aca="false">'Quarterly MW'!AC76-'Quarterly MW'!AB76</f>
        <v>0</v>
      </c>
      <c r="AD31" s="4" t="n">
        <f aca="false">'Quarterly MW'!AD76-'Quarterly MW'!AC76</f>
        <v>0</v>
      </c>
      <c r="AE31" s="4" t="n">
        <f aca="false">'Quarterly MW'!AE76-'Quarterly MW'!AD76</f>
        <v>0</v>
      </c>
      <c r="AF31" s="4" t="n">
        <f aca="false">'Quarterly MW'!AF76-'Quarterly MW'!AE76</f>
        <v>0</v>
      </c>
    </row>
    <row r="32" customFormat="false" ht="15" hidden="false" customHeight="false" outlineLevel="0" collapsed="false">
      <c r="A32" s="0" t="s">
        <v>66</v>
      </c>
      <c r="B32" s="0" t="s">
        <v>410</v>
      </c>
      <c r="C32" s="0" t="s">
        <v>277</v>
      </c>
      <c r="E32" s="4" t="str">
        <f aca="false">IF('Quarterly MW'!E81&gt;0,"B200 (HGX)","")</f>
        <v/>
      </c>
      <c r="F32" s="4" t="str">
        <f aca="false">IF('Quarterly MW'!F81&gt;0,"B200 (HGX)","")</f>
        <v/>
      </c>
      <c r="G32" s="4" t="str">
        <f aca="false">IF('Quarterly MW'!G81&gt;0,"B200 (HGX)","")</f>
        <v/>
      </c>
      <c r="H32" s="4" t="str">
        <f aca="false">IF('Quarterly MW'!H81&gt;0,"B200 (HGX)","")</f>
        <v/>
      </c>
      <c r="I32" s="4" t="str">
        <f aca="false">IF('Quarterly MW'!I81&gt;0,"B200 (HGX)","")</f>
        <v/>
      </c>
      <c r="J32" s="4" t="str">
        <f aca="false">IF('Quarterly MW'!J81&gt;0,"B200 (HGX)","")</f>
        <v/>
      </c>
      <c r="K32" s="4" t="str">
        <f aca="false">IF('Quarterly MW'!K81&gt;0,"B200 (HGX)","")</f>
        <v/>
      </c>
      <c r="L32" s="4" t="str">
        <f aca="false">IF('Quarterly MW'!L81&gt;0,"B200 (HGX)","")</f>
        <v>B200 (HGX)</v>
      </c>
      <c r="M32" s="4" t="str">
        <f aca="false">IF('Quarterly MW'!M81&gt;0,"B200 (HGX)","")</f>
        <v>B200 (HGX)</v>
      </c>
      <c r="N32" s="4" t="str">
        <f aca="false">IF('Quarterly MW'!N81&gt;0,"B200 (HGX)","")</f>
        <v>B200 (HGX)</v>
      </c>
      <c r="O32" s="4" t="str">
        <f aca="false">IF('Quarterly MW'!O81&gt;0,"B200 (HGX)","")</f>
        <v>B200 (HGX)</v>
      </c>
      <c r="P32" s="4" t="str">
        <f aca="false">IF('Quarterly MW'!P81&gt;0,"B200 (HGX)","")</f>
        <v>B200 (HGX)</v>
      </c>
      <c r="Q32" s="4" t="str">
        <f aca="false">IF('Quarterly MW'!Q81&gt;0,"B200 (HGX)","")</f>
        <v>B200 (HGX)</v>
      </c>
      <c r="R32" s="4" t="str">
        <f aca="false">IF('Quarterly MW'!R81&gt;0,"B200 (HGX)","")</f>
        <v>B200 (HGX)</v>
      </c>
      <c r="S32" s="4" t="str">
        <f aca="false">IF('Quarterly MW'!S81&gt;0,"B200 (HGX)","")</f>
        <v>B200 (HGX)</v>
      </c>
      <c r="T32" s="4" t="str">
        <f aca="false">IF('Quarterly MW'!T81&gt;0,"B200 (HGX)","")</f>
        <v>B200 (HGX)</v>
      </c>
      <c r="U32" s="4" t="str">
        <f aca="false">IF('Quarterly MW'!U81&gt;0,"B200 (HGX)","")</f>
        <v>B200 (HGX)</v>
      </c>
      <c r="V32" s="4" t="str">
        <f aca="false">IF('Quarterly MW'!V81&gt;0,"B200 (HGX)","")</f>
        <v>B200 (HGX)</v>
      </c>
      <c r="W32" s="4" t="str">
        <f aca="false">IF('Quarterly MW'!W81&gt;0,"B200 (HGX)","")</f>
        <v>B200 (HGX)</v>
      </c>
      <c r="X32" s="4" t="str">
        <f aca="false">IF('Quarterly MW'!X81&gt;0,"B200 (HGX)","")</f>
        <v>B200 (HGX)</v>
      </c>
      <c r="Y32" s="4" t="str">
        <f aca="false">IF('Quarterly MW'!Y81&gt;0,"B200 (HGX)","")</f>
        <v>B200 (HGX)</v>
      </c>
      <c r="Z32" s="4" t="str">
        <f aca="false">IF('Quarterly MW'!Z81&gt;0,"B200 (HGX)","")</f>
        <v>B200 (HGX)</v>
      </c>
      <c r="AA32" s="4" t="str">
        <f aca="false">IF('Quarterly MW'!AA81&gt;0,"B200 (HGX)","")</f>
        <v>B200 (HGX)</v>
      </c>
      <c r="AB32" s="4" t="str">
        <f aca="false">IF('Quarterly MW'!AB81&gt;0,"B200 (HGX)","")</f>
        <v>B200 (HGX)</v>
      </c>
      <c r="AC32" s="4" t="str">
        <f aca="false">IF('Quarterly MW'!AC81&gt;0,"B200 (HGX)","")</f>
        <v>B200 (HGX)</v>
      </c>
      <c r="AD32" s="4" t="str">
        <f aca="false">IF('Quarterly MW'!AD81&gt;0,"B200 (HGX)","")</f>
        <v>B200 (HGX)</v>
      </c>
      <c r="AE32" s="4" t="str">
        <f aca="false">IF('Quarterly MW'!AE81&gt;0,"B200 (HGX)","")</f>
        <v>B200 (HGX)</v>
      </c>
      <c r="AF32" s="4" t="str">
        <f aca="false">IF('Quarterly MW'!AF81&gt;0,"B200 (HGX)","")</f>
        <v>B200 (HGX)</v>
      </c>
    </row>
    <row r="33" customFormat="false" ht="15" hidden="false" customHeight="false" outlineLevel="0" collapsed="false">
      <c r="A33" s="0" t="s">
        <v>66</v>
      </c>
      <c r="B33" s="0" t="s">
        <v>411</v>
      </c>
      <c r="C33" s="0" t="s">
        <v>277</v>
      </c>
      <c r="E33" s="4" t="n">
        <f aca="false">'Quarterly MW'!E81-0</f>
        <v>0</v>
      </c>
      <c r="F33" s="4" t="n">
        <f aca="false">'Quarterly MW'!F81-'Quarterly MW'!E81</f>
        <v>0</v>
      </c>
      <c r="G33" s="4" t="n">
        <f aca="false">'Quarterly MW'!G81-'Quarterly MW'!F81</f>
        <v>0</v>
      </c>
      <c r="H33" s="4" t="n">
        <f aca="false">'Quarterly MW'!H81-'Quarterly MW'!G81</f>
        <v>0</v>
      </c>
      <c r="I33" s="4" t="n">
        <f aca="false">'Quarterly MW'!I81-'Quarterly MW'!H81</f>
        <v>0</v>
      </c>
      <c r="J33" s="4" t="n">
        <f aca="false">'Quarterly MW'!J81-'Quarterly MW'!I81</f>
        <v>0</v>
      </c>
      <c r="K33" s="4" t="n">
        <f aca="false">'Quarterly MW'!K81-'Quarterly MW'!J81</f>
        <v>0</v>
      </c>
      <c r="L33" s="4" t="n">
        <f aca="false">'Quarterly MW'!L81-'Quarterly MW'!K81</f>
        <v>8</v>
      </c>
      <c r="M33" s="4" t="n">
        <f aca="false">'Quarterly MW'!M81-'Quarterly MW'!L81</f>
        <v>0</v>
      </c>
      <c r="N33" s="4" t="n">
        <f aca="false">'Quarterly MW'!N81-'Quarterly MW'!M81</f>
        <v>0</v>
      </c>
      <c r="O33" s="4" t="n">
        <f aca="false">'Quarterly MW'!O81-'Quarterly MW'!N81</f>
        <v>0</v>
      </c>
      <c r="P33" s="4" t="n">
        <f aca="false">'Quarterly MW'!P81-'Quarterly MW'!O81</f>
        <v>0</v>
      </c>
      <c r="Q33" s="4" t="n">
        <f aca="false">'Quarterly MW'!Q81-'Quarterly MW'!P81</f>
        <v>0</v>
      </c>
      <c r="R33" s="4" t="n">
        <f aca="false">'Quarterly MW'!R81-'Quarterly MW'!Q81</f>
        <v>0</v>
      </c>
      <c r="S33" s="4" t="n">
        <f aca="false">'Quarterly MW'!S81-'Quarterly MW'!R81</f>
        <v>0</v>
      </c>
      <c r="T33" s="4" t="n">
        <f aca="false">'Quarterly MW'!T81-'Quarterly MW'!S81</f>
        <v>0</v>
      </c>
      <c r="U33" s="4" t="n">
        <f aca="false">'Quarterly MW'!U81-'Quarterly MW'!T81</f>
        <v>0</v>
      </c>
      <c r="V33" s="4" t="n">
        <f aca="false">'Quarterly MW'!V81-'Quarterly MW'!U81</f>
        <v>0</v>
      </c>
      <c r="W33" s="4" t="n">
        <f aca="false">'Quarterly MW'!W81-'Quarterly MW'!V81</f>
        <v>0</v>
      </c>
      <c r="X33" s="4" t="n">
        <f aca="false">'Quarterly MW'!X81-'Quarterly MW'!W81</f>
        <v>0</v>
      </c>
      <c r="Y33" s="4" t="n">
        <f aca="false">'Quarterly MW'!Y81-'Quarterly MW'!X81</f>
        <v>0</v>
      </c>
      <c r="Z33" s="4" t="n">
        <f aca="false">'Quarterly MW'!Z81-'Quarterly MW'!Y81</f>
        <v>0</v>
      </c>
      <c r="AA33" s="4" t="n">
        <f aca="false">'Quarterly MW'!AA81-'Quarterly MW'!Z81</f>
        <v>0</v>
      </c>
      <c r="AB33" s="4" t="n">
        <f aca="false">'Quarterly MW'!AB81-'Quarterly MW'!AA81</f>
        <v>0</v>
      </c>
      <c r="AC33" s="4" t="n">
        <f aca="false">'Quarterly MW'!AC81-'Quarterly MW'!AB81</f>
        <v>0</v>
      </c>
      <c r="AD33" s="4" t="n">
        <f aca="false">'Quarterly MW'!AD81-'Quarterly MW'!AC81</f>
        <v>0</v>
      </c>
      <c r="AE33" s="4" t="n">
        <f aca="false">'Quarterly MW'!AE81-'Quarterly MW'!AD81</f>
        <v>0</v>
      </c>
      <c r="AF33" s="4" t="n">
        <f aca="false">'Quarterly MW'!AF81-'Quarterly MW'!AE81</f>
        <v>0</v>
      </c>
    </row>
    <row r="34" customFormat="false" ht="15" hidden="false" customHeight="false" outlineLevel="0" collapsed="false">
      <c r="A34" s="0" t="s">
        <v>68</v>
      </c>
      <c r="B34" s="0" t="s">
        <v>410</v>
      </c>
      <c r="C34" s="0" t="s">
        <v>395</v>
      </c>
      <c r="E34" s="4" t="str">
        <f aca="false">IF('Quarterly MW'!E86&gt;0,"GB300 NVL72","")</f>
        <v/>
      </c>
      <c r="F34" s="4" t="str">
        <f aca="false">IF('Quarterly MW'!F86&gt;0,"GB300 NVL72","")</f>
        <v/>
      </c>
      <c r="G34" s="4" t="str">
        <f aca="false">IF('Quarterly MW'!G86&gt;0,"GB300 NVL72","")</f>
        <v/>
      </c>
      <c r="H34" s="4" t="str">
        <f aca="false">IF('Quarterly MW'!H86&gt;0,"GB300 NVL72","")</f>
        <v/>
      </c>
      <c r="I34" s="4" t="str">
        <f aca="false">IF('Quarterly MW'!I86&gt;0,"GB300 NVL72","")</f>
        <v/>
      </c>
      <c r="J34" s="4" t="str">
        <f aca="false">IF('Quarterly MW'!J86&gt;0,"GB300 NVL72","")</f>
        <v/>
      </c>
      <c r="K34" s="4" t="str">
        <f aca="false">IF('Quarterly MW'!K86&gt;0,"GB300 NVL72","")</f>
        <v/>
      </c>
      <c r="L34" s="4" t="str">
        <f aca="false">IF('Quarterly MW'!L86&gt;0,"GB300 NVL72","")</f>
        <v/>
      </c>
      <c r="M34" s="4" t="str">
        <f aca="false">IF('Quarterly MW'!M86&gt;0,"GB300 NVL72","")</f>
        <v/>
      </c>
      <c r="N34" s="4" t="str">
        <f aca="false">IF('Quarterly MW'!N86&gt;0,"GB300 NVL72","")</f>
        <v/>
      </c>
      <c r="O34" s="4" t="str">
        <f aca="false">IF('Quarterly MW'!O86&gt;0,"GB300 NVL72","")</f>
        <v/>
      </c>
      <c r="P34" s="4" t="str">
        <f aca="false">IF('Quarterly MW'!P86&gt;0,"GB300 NVL72","")</f>
        <v>GB300 NVL72</v>
      </c>
      <c r="Q34" s="4" t="str">
        <f aca="false">IF('Quarterly MW'!Q86&gt;0,"GB300 NVL72","")</f>
        <v>GB300 NVL72</v>
      </c>
      <c r="R34" s="4" t="str">
        <f aca="false">IF('Quarterly MW'!R86&gt;0,"GB300 NVL72","")</f>
        <v>GB300 NVL72</v>
      </c>
      <c r="S34" s="4" t="str">
        <f aca="false">IF('Quarterly MW'!S86&gt;0,"GB300 NVL72","")</f>
        <v>GB300 NVL72</v>
      </c>
      <c r="T34" s="4" t="str">
        <f aca="false">IF('Quarterly MW'!T86&gt;0,"GB300 NVL72","")</f>
        <v>GB300 NVL72</v>
      </c>
      <c r="U34" s="4" t="str">
        <f aca="false">IF('Quarterly MW'!U86&gt;0,"GB300 NVL72","")</f>
        <v>GB300 NVL72</v>
      </c>
      <c r="V34" s="4" t="str">
        <f aca="false">IF('Quarterly MW'!V86&gt;0,"GB300 NVL72","")</f>
        <v>GB300 NVL72</v>
      </c>
      <c r="W34" s="4" t="str">
        <f aca="false">IF('Quarterly MW'!W86&gt;0,"GB300 NVL72","")</f>
        <v>GB300 NVL72</v>
      </c>
      <c r="X34" s="4" t="str">
        <f aca="false">IF('Quarterly MW'!X86&gt;0,"GB300 NVL72","")</f>
        <v>GB300 NVL72</v>
      </c>
      <c r="Y34" s="4" t="str">
        <f aca="false">IF('Quarterly MW'!Y86&gt;0,"GB300 NVL72","")</f>
        <v>GB300 NVL72</v>
      </c>
      <c r="Z34" s="4" t="str">
        <f aca="false">IF('Quarterly MW'!Z86&gt;0,"GB300 NVL72","")</f>
        <v>GB300 NVL72</v>
      </c>
      <c r="AA34" s="4" t="str">
        <f aca="false">IF('Quarterly MW'!AA86&gt;0,"GB300 NVL72","")</f>
        <v>GB300 NVL72</v>
      </c>
      <c r="AB34" s="4" t="str">
        <f aca="false">IF('Quarterly MW'!AB86&gt;0,"GB300 NVL72","")</f>
        <v>GB300 NVL72</v>
      </c>
      <c r="AC34" s="4" t="str">
        <f aca="false">IF('Quarterly MW'!AC86&gt;0,"GB300 NVL72","")</f>
        <v>GB300 NVL72</v>
      </c>
      <c r="AD34" s="4" t="str">
        <f aca="false">IF('Quarterly MW'!AD86&gt;0,"GB300 NVL72","")</f>
        <v>GB300 NVL72</v>
      </c>
      <c r="AE34" s="4" t="str">
        <f aca="false">IF('Quarterly MW'!AE86&gt;0,"GB300 NVL72","")</f>
        <v>GB300 NVL72</v>
      </c>
      <c r="AF34" s="4" t="str">
        <f aca="false">IF('Quarterly MW'!AF86&gt;0,"GB300 NVL72","")</f>
        <v>GB300 NVL72</v>
      </c>
    </row>
    <row r="35" customFormat="false" ht="15" hidden="false" customHeight="false" outlineLevel="0" collapsed="false">
      <c r="A35" s="0" t="s">
        <v>68</v>
      </c>
      <c r="B35" s="0" t="s">
        <v>411</v>
      </c>
      <c r="C35" s="0" t="s">
        <v>395</v>
      </c>
      <c r="E35" s="4" t="n">
        <f aca="false">'Quarterly MW'!E86-0</f>
        <v>0</v>
      </c>
      <c r="F35" s="4" t="n">
        <f aca="false">'Quarterly MW'!F86-'Quarterly MW'!E86</f>
        <v>0</v>
      </c>
      <c r="G35" s="4" t="n">
        <f aca="false">'Quarterly MW'!G86-'Quarterly MW'!F86</f>
        <v>0</v>
      </c>
      <c r="H35" s="4" t="n">
        <f aca="false">'Quarterly MW'!H86-'Quarterly MW'!G86</f>
        <v>0</v>
      </c>
      <c r="I35" s="4" t="n">
        <f aca="false">'Quarterly MW'!I86-'Quarterly MW'!H86</f>
        <v>0</v>
      </c>
      <c r="J35" s="4" t="n">
        <f aca="false">'Quarterly MW'!J86-'Quarterly MW'!I86</f>
        <v>0</v>
      </c>
      <c r="K35" s="4" t="n">
        <f aca="false">'Quarterly MW'!K86-'Quarterly MW'!J86</f>
        <v>0</v>
      </c>
      <c r="L35" s="4" t="n">
        <f aca="false">'Quarterly MW'!L86-'Quarterly MW'!K86</f>
        <v>0</v>
      </c>
      <c r="M35" s="4" t="n">
        <f aca="false">'Quarterly MW'!M86-'Quarterly MW'!L86</f>
        <v>0</v>
      </c>
      <c r="N35" s="4" t="n">
        <f aca="false">'Quarterly MW'!N86-'Quarterly MW'!M86</f>
        <v>0</v>
      </c>
      <c r="O35" s="4" t="n">
        <f aca="false">'Quarterly MW'!O86-'Quarterly MW'!N86</f>
        <v>0</v>
      </c>
      <c r="P35" s="4" t="n">
        <f aca="false">'Quarterly MW'!P86-'Quarterly MW'!O86</f>
        <v>5.5</v>
      </c>
      <c r="Q35" s="4" t="n">
        <f aca="false">'Quarterly MW'!Q86-'Quarterly MW'!P86</f>
        <v>5.5</v>
      </c>
      <c r="R35" s="4" t="n">
        <f aca="false">'Quarterly MW'!R86-'Quarterly MW'!Q86</f>
        <v>5.5</v>
      </c>
      <c r="S35" s="4" t="n">
        <f aca="false">'Quarterly MW'!S86-'Quarterly MW'!R86</f>
        <v>5.5</v>
      </c>
      <c r="T35" s="4" t="n">
        <f aca="false">'Quarterly MW'!T86-'Quarterly MW'!S86</f>
        <v>0</v>
      </c>
      <c r="U35" s="4" t="n">
        <f aca="false">'Quarterly MW'!U86-'Quarterly MW'!T86</f>
        <v>0</v>
      </c>
      <c r="V35" s="4" t="n">
        <f aca="false">'Quarterly MW'!V86-'Quarterly MW'!U86</f>
        <v>0</v>
      </c>
      <c r="W35" s="4" t="n">
        <f aca="false">'Quarterly MW'!W86-'Quarterly MW'!V86</f>
        <v>0</v>
      </c>
      <c r="X35" s="4" t="n">
        <f aca="false">'Quarterly MW'!X86-'Quarterly MW'!W86</f>
        <v>0</v>
      </c>
      <c r="Y35" s="4" t="n">
        <f aca="false">'Quarterly MW'!Y86-'Quarterly MW'!X86</f>
        <v>0</v>
      </c>
      <c r="Z35" s="4" t="n">
        <f aca="false">'Quarterly MW'!Z86-'Quarterly MW'!Y86</f>
        <v>0</v>
      </c>
      <c r="AA35" s="4" t="n">
        <f aca="false">'Quarterly MW'!AA86-'Quarterly MW'!Z86</f>
        <v>0</v>
      </c>
      <c r="AB35" s="4" t="n">
        <f aca="false">'Quarterly MW'!AB86-'Quarterly MW'!AA86</f>
        <v>0</v>
      </c>
      <c r="AC35" s="4" t="n">
        <f aca="false">'Quarterly MW'!AC86-'Quarterly MW'!AB86</f>
        <v>0</v>
      </c>
      <c r="AD35" s="4" t="n">
        <f aca="false">'Quarterly MW'!AD86-'Quarterly MW'!AC86</f>
        <v>0</v>
      </c>
      <c r="AE35" s="4" t="n">
        <f aca="false">'Quarterly MW'!AE86-'Quarterly MW'!AD86</f>
        <v>0</v>
      </c>
      <c r="AF35" s="4" t="n">
        <f aca="false">'Quarterly MW'!AF86-'Quarterly MW'!AE86</f>
        <v>0</v>
      </c>
    </row>
    <row r="36" customFormat="false" ht="15" hidden="false" customHeight="false" outlineLevel="0" collapsed="false">
      <c r="A36" s="0" t="s">
        <v>69</v>
      </c>
      <c r="B36" s="0" t="s">
        <v>410</v>
      </c>
      <c r="C36" s="0" t="s">
        <v>395</v>
      </c>
      <c r="E36" s="4" t="str">
        <f aca="false">IF('Quarterly MW'!E91&gt;0,"GB300 NVL72","")</f>
        <v/>
      </c>
      <c r="F36" s="4" t="str">
        <f aca="false">IF('Quarterly MW'!F91&gt;0,"GB300 NVL72","")</f>
        <v/>
      </c>
      <c r="G36" s="4" t="str">
        <f aca="false">IF('Quarterly MW'!G91&gt;0,"GB300 NVL72","")</f>
        <v/>
      </c>
      <c r="H36" s="4" t="str">
        <f aca="false">IF('Quarterly MW'!H91&gt;0,"GB300 NVL72","")</f>
        <v/>
      </c>
      <c r="I36" s="4" t="str">
        <f aca="false">IF('Quarterly MW'!I91&gt;0,"GB300 NVL72","")</f>
        <v/>
      </c>
      <c r="J36" s="4" t="str">
        <f aca="false">IF('Quarterly MW'!J91&gt;0,"GB300 NVL72","")</f>
        <v/>
      </c>
      <c r="K36" s="4" t="str">
        <f aca="false">IF('Quarterly MW'!K91&gt;0,"GB300 NVL72","")</f>
        <v/>
      </c>
      <c r="L36" s="4" t="str">
        <f aca="false">IF('Quarterly MW'!L91&gt;0,"GB300 NVL72","")</f>
        <v/>
      </c>
      <c r="M36" s="4" t="str">
        <f aca="false">IF('Quarterly MW'!M91&gt;0,"GB300 NVL72","")</f>
        <v/>
      </c>
      <c r="N36" s="4" t="str">
        <f aca="false">IF('Quarterly MW'!N91&gt;0,"GB300 NVL72","")</f>
        <v/>
      </c>
      <c r="O36" s="4" t="str">
        <f aca="false">IF('Quarterly MW'!O91&gt;0,"GB300 NVL72","")</f>
        <v/>
      </c>
      <c r="P36" s="4" t="str">
        <f aca="false">IF('Quarterly MW'!P91&gt;0,"GB300 NVL72","")</f>
        <v/>
      </c>
      <c r="Q36" s="4" t="str">
        <f aca="false">IF('Quarterly MW'!Q91&gt;0,"GB300 NVL72","")</f>
        <v>GB300 NVL72</v>
      </c>
      <c r="R36" s="4" t="str">
        <f aca="false">IF('Quarterly MW'!R91&gt;0,"GB300 NVL72","")</f>
        <v>GB300 NVL72</v>
      </c>
      <c r="S36" s="4" t="str">
        <f aca="false">IF('Quarterly MW'!S91&gt;0,"GB300 NVL72","")</f>
        <v>GB300 NVL72</v>
      </c>
      <c r="T36" s="4" t="str">
        <f aca="false">IF('Quarterly MW'!T91&gt;0,"GB300 NVL72","")</f>
        <v>GB300 NVL72</v>
      </c>
      <c r="U36" s="4" t="str">
        <f aca="false">IF('Quarterly MW'!U91&gt;0,"GB300 NVL72","")</f>
        <v>GB300 NVL72</v>
      </c>
      <c r="V36" s="4" t="str">
        <f aca="false">IF('Quarterly MW'!V91&gt;0,"GB300 NVL72","")</f>
        <v>GB300 NVL72</v>
      </c>
      <c r="W36" s="4" t="str">
        <f aca="false">IF('Quarterly MW'!W91&gt;0,"GB300 NVL72","")</f>
        <v>GB300 NVL72</v>
      </c>
      <c r="X36" s="4" t="str">
        <f aca="false">IF('Quarterly MW'!X91&gt;0,"GB300 NVL72","")</f>
        <v>GB300 NVL72</v>
      </c>
      <c r="Y36" s="4" t="str">
        <f aca="false">IF('Quarterly MW'!Y91&gt;0,"GB300 NVL72","")</f>
        <v>GB300 NVL72</v>
      </c>
      <c r="Z36" s="4" t="str">
        <f aca="false">IF('Quarterly MW'!Z91&gt;0,"GB300 NVL72","")</f>
        <v>GB300 NVL72</v>
      </c>
      <c r="AA36" s="4" t="str">
        <f aca="false">IF('Quarterly MW'!AA91&gt;0,"GB300 NVL72","")</f>
        <v>GB300 NVL72</v>
      </c>
      <c r="AB36" s="4" t="str">
        <f aca="false">IF('Quarterly MW'!AB91&gt;0,"GB300 NVL72","")</f>
        <v>GB300 NVL72</v>
      </c>
      <c r="AC36" s="4" t="str">
        <f aca="false">IF('Quarterly MW'!AC91&gt;0,"GB300 NVL72","")</f>
        <v>GB300 NVL72</v>
      </c>
      <c r="AD36" s="4" t="str">
        <f aca="false">IF('Quarterly MW'!AD91&gt;0,"GB300 NVL72","")</f>
        <v>GB300 NVL72</v>
      </c>
      <c r="AE36" s="4" t="str">
        <f aca="false">IF('Quarterly MW'!AE91&gt;0,"GB300 NVL72","")</f>
        <v>GB300 NVL72</v>
      </c>
      <c r="AF36" s="4" t="str">
        <f aca="false">IF('Quarterly MW'!AF91&gt;0,"GB300 NVL72","")</f>
        <v>GB300 NVL72</v>
      </c>
    </row>
    <row r="37" customFormat="false" ht="15" hidden="false" customHeight="false" outlineLevel="0" collapsed="false">
      <c r="A37" s="0" t="s">
        <v>69</v>
      </c>
      <c r="B37" s="0" t="s">
        <v>411</v>
      </c>
      <c r="C37" s="0" t="s">
        <v>395</v>
      </c>
      <c r="E37" s="4" t="n">
        <f aca="false">'Quarterly MW'!E91-0</f>
        <v>0</v>
      </c>
      <c r="F37" s="4" t="n">
        <f aca="false">'Quarterly MW'!F91-'Quarterly MW'!E91</f>
        <v>0</v>
      </c>
      <c r="G37" s="4" t="n">
        <f aca="false">'Quarterly MW'!G91-'Quarterly MW'!F91</f>
        <v>0</v>
      </c>
      <c r="H37" s="4" t="n">
        <f aca="false">'Quarterly MW'!H91-'Quarterly MW'!G91</f>
        <v>0</v>
      </c>
      <c r="I37" s="4" t="n">
        <f aca="false">'Quarterly MW'!I91-'Quarterly MW'!H91</f>
        <v>0</v>
      </c>
      <c r="J37" s="4" t="n">
        <f aca="false">'Quarterly MW'!J91-'Quarterly MW'!I91</f>
        <v>0</v>
      </c>
      <c r="K37" s="4" t="n">
        <f aca="false">'Quarterly MW'!K91-'Quarterly MW'!J91</f>
        <v>0</v>
      </c>
      <c r="L37" s="4" t="n">
        <f aca="false">'Quarterly MW'!L91-'Quarterly MW'!K91</f>
        <v>0</v>
      </c>
      <c r="M37" s="4" t="n">
        <f aca="false">'Quarterly MW'!M91-'Quarterly MW'!L91</f>
        <v>0</v>
      </c>
      <c r="N37" s="4" t="n">
        <f aca="false">'Quarterly MW'!N91-'Quarterly MW'!M91</f>
        <v>0</v>
      </c>
      <c r="O37" s="4" t="n">
        <f aca="false">'Quarterly MW'!O91-'Quarterly MW'!N91</f>
        <v>0</v>
      </c>
      <c r="P37" s="4" t="n">
        <f aca="false">'Quarterly MW'!P91-'Quarterly MW'!O91</f>
        <v>0</v>
      </c>
      <c r="Q37" s="4" t="n">
        <f aca="false">'Quarterly MW'!Q91-'Quarterly MW'!P91</f>
        <v>10</v>
      </c>
      <c r="R37" s="4" t="n">
        <f aca="false">'Quarterly MW'!R91-'Quarterly MW'!Q91</f>
        <v>19.5</v>
      </c>
      <c r="S37" s="4" t="n">
        <f aca="false">'Quarterly MW'!S91-'Quarterly MW'!R91</f>
        <v>19</v>
      </c>
      <c r="T37" s="4" t="n">
        <f aca="false">'Quarterly MW'!T91-'Quarterly MW'!S91</f>
        <v>9.5</v>
      </c>
      <c r="U37" s="4" t="n">
        <f aca="false">'Quarterly MW'!U91-'Quarterly MW'!T91</f>
        <v>0</v>
      </c>
      <c r="V37" s="4" t="n">
        <f aca="false">'Quarterly MW'!V91-'Quarterly MW'!U91</f>
        <v>0</v>
      </c>
      <c r="W37" s="4" t="n">
        <f aca="false">'Quarterly MW'!W91-'Quarterly MW'!V91</f>
        <v>0</v>
      </c>
      <c r="X37" s="4" t="n">
        <f aca="false">'Quarterly MW'!X91-'Quarterly MW'!W91</f>
        <v>0</v>
      </c>
      <c r="Y37" s="4" t="n">
        <f aca="false">'Quarterly MW'!Y91-'Quarterly MW'!X91</f>
        <v>0</v>
      </c>
      <c r="Z37" s="4" t="n">
        <f aca="false">'Quarterly MW'!Z91-'Quarterly MW'!Y91</f>
        <v>0</v>
      </c>
      <c r="AA37" s="4" t="n">
        <f aca="false">'Quarterly MW'!AA91-'Quarterly MW'!Z91</f>
        <v>0</v>
      </c>
      <c r="AB37" s="4" t="n">
        <f aca="false">'Quarterly MW'!AB91-'Quarterly MW'!AA91</f>
        <v>0</v>
      </c>
      <c r="AC37" s="4" t="n">
        <f aca="false">'Quarterly MW'!AC91-'Quarterly MW'!AB91</f>
        <v>0</v>
      </c>
      <c r="AD37" s="4" t="n">
        <f aca="false">'Quarterly MW'!AD91-'Quarterly MW'!AC91</f>
        <v>0</v>
      </c>
      <c r="AE37" s="4" t="n">
        <f aca="false">'Quarterly MW'!AE91-'Quarterly MW'!AD91</f>
        <v>0</v>
      </c>
      <c r="AF37" s="4" t="n">
        <f aca="false">'Quarterly MW'!AF91-'Quarterly MW'!AE91</f>
        <v>0</v>
      </c>
    </row>
    <row r="38" customFormat="false" ht="15" hidden="false" customHeight="false" outlineLevel="0" collapsed="false">
      <c r="A38" s="0" t="s">
        <v>70</v>
      </c>
      <c r="B38" s="0" t="s">
        <v>410</v>
      </c>
      <c r="C38" s="0" t="s">
        <v>256</v>
      </c>
      <c r="E38" s="4" t="str">
        <f aca="false">IF('Quarterly MW'!E96&gt;0,"B300 (HGX)","")</f>
        <v/>
      </c>
      <c r="F38" s="4" t="str">
        <f aca="false">IF('Quarterly MW'!F96&gt;0,"B300 (HGX)","")</f>
        <v/>
      </c>
      <c r="G38" s="4" t="str">
        <f aca="false">IF('Quarterly MW'!G96&gt;0,"B300 (HGX)","")</f>
        <v/>
      </c>
      <c r="H38" s="4" t="str">
        <f aca="false">IF('Quarterly MW'!H96&gt;0,"B300 (HGX)","")</f>
        <v/>
      </c>
      <c r="I38" s="4" t="str">
        <f aca="false">IF('Quarterly MW'!I96&gt;0,"B300 (HGX)","")</f>
        <v/>
      </c>
      <c r="J38" s="4" t="str">
        <f aca="false">IF('Quarterly MW'!J96&gt;0,"B300 (HGX)","")</f>
        <v/>
      </c>
      <c r="K38" s="4" t="str">
        <f aca="false">IF('Quarterly MW'!K96&gt;0,"B300 (HGX)","")</f>
        <v/>
      </c>
      <c r="L38" s="4" t="str">
        <f aca="false">IF('Quarterly MW'!L96&gt;0,"B300 (HGX)","")</f>
        <v/>
      </c>
      <c r="M38" s="4" t="str">
        <f aca="false">IF('Quarterly MW'!M96&gt;0,"B300 (HGX)","")</f>
        <v/>
      </c>
      <c r="N38" s="4" t="str">
        <f aca="false">IF('Quarterly MW'!N96&gt;0,"B300 (HGX)","")</f>
        <v/>
      </c>
      <c r="O38" s="4" t="str">
        <f aca="false">IF('Quarterly MW'!O96&gt;0,"B300 (HGX)","")</f>
        <v>B300 (HGX)</v>
      </c>
      <c r="P38" s="4" t="str">
        <f aca="false">IF('Quarterly MW'!P96&gt;0,"B300 (HGX)","")</f>
        <v>B300 (HGX)</v>
      </c>
      <c r="Q38" s="4" t="str">
        <f aca="false">IF('Quarterly MW'!Q96&gt;0,"B300 (HGX)","")</f>
        <v>B300 (HGX)</v>
      </c>
      <c r="R38" s="4" t="str">
        <f aca="false">IF('Quarterly MW'!R96&gt;0,"B300 (HGX)","")</f>
        <v>B300 (HGX)</v>
      </c>
      <c r="S38" s="4" t="str">
        <f aca="false">IF('Quarterly MW'!S96&gt;0,"B300 (HGX)","")</f>
        <v>B300 (HGX)</v>
      </c>
      <c r="T38" s="4" t="str">
        <f aca="false">IF('Quarterly MW'!T96&gt;0,"B300 (HGX)","")</f>
        <v>B300 (HGX)</v>
      </c>
      <c r="U38" s="4" t="str">
        <f aca="false">IF('Quarterly MW'!U96&gt;0,"B300 (HGX)","")</f>
        <v>B300 (HGX)</v>
      </c>
      <c r="V38" s="4" t="str">
        <f aca="false">IF('Quarterly MW'!V96&gt;0,"B300 (HGX)","")</f>
        <v>B300 (HGX)</v>
      </c>
      <c r="W38" s="4" t="str">
        <f aca="false">IF('Quarterly MW'!W96&gt;0,"B300 (HGX)","")</f>
        <v>B300 (HGX)</v>
      </c>
      <c r="X38" s="4" t="str">
        <f aca="false">IF('Quarterly MW'!X96&gt;0,"B300 (HGX)","")</f>
        <v>B300 (HGX)</v>
      </c>
      <c r="Y38" s="4" t="str">
        <f aca="false">IF('Quarterly MW'!Y96&gt;0,"B300 (HGX)","")</f>
        <v>B300 (HGX)</v>
      </c>
      <c r="Z38" s="4" t="str">
        <f aca="false">IF('Quarterly MW'!Z96&gt;0,"B300 (HGX)","")</f>
        <v>B300 (HGX)</v>
      </c>
      <c r="AA38" s="4" t="str">
        <f aca="false">IF('Quarterly MW'!AA96&gt;0,"B300 (HGX)","")</f>
        <v>B300 (HGX)</v>
      </c>
      <c r="AB38" s="4" t="str">
        <f aca="false">IF('Quarterly MW'!AB96&gt;0,"B300 (HGX)","")</f>
        <v>B300 (HGX)</v>
      </c>
      <c r="AC38" s="4" t="str">
        <f aca="false">IF('Quarterly MW'!AC96&gt;0,"B300 (HGX)","")</f>
        <v>B300 (HGX)</v>
      </c>
      <c r="AD38" s="4" t="str">
        <f aca="false">IF('Quarterly MW'!AD96&gt;0,"B300 (HGX)","")</f>
        <v>B300 (HGX)</v>
      </c>
      <c r="AE38" s="4" t="str">
        <f aca="false">IF('Quarterly MW'!AE96&gt;0,"B300 (HGX)","")</f>
        <v>B300 (HGX)</v>
      </c>
      <c r="AF38" s="4" t="str">
        <f aca="false">IF('Quarterly MW'!AF96&gt;0,"B300 (HGX)","")</f>
        <v>B300 (HGX)</v>
      </c>
    </row>
    <row r="39" customFormat="false" ht="15" hidden="false" customHeight="false" outlineLevel="0" collapsed="false">
      <c r="A39" s="0" t="s">
        <v>70</v>
      </c>
      <c r="B39" s="0" t="s">
        <v>411</v>
      </c>
      <c r="C39" s="0" t="s">
        <v>256</v>
      </c>
      <c r="E39" s="4" t="n">
        <f aca="false">'Quarterly MW'!E96-0</f>
        <v>0</v>
      </c>
      <c r="F39" s="4" t="n">
        <f aca="false">'Quarterly MW'!F96-'Quarterly MW'!E96</f>
        <v>0</v>
      </c>
      <c r="G39" s="4" t="n">
        <f aca="false">'Quarterly MW'!G96-'Quarterly MW'!F96</f>
        <v>0</v>
      </c>
      <c r="H39" s="4" t="n">
        <f aca="false">'Quarterly MW'!H96-'Quarterly MW'!G96</f>
        <v>0</v>
      </c>
      <c r="I39" s="4" t="n">
        <f aca="false">'Quarterly MW'!I96-'Quarterly MW'!H96</f>
        <v>0</v>
      </c>
      <c r="J39" s="4" t="n">
        <f aca="false">'Quarterly MW'!J96-'Quarterly MW'!I96</f>
        <v>0</v>
      </c>
      <c r="K39" s="4" t="n">
        <f aca="false">'Quarterly MW'!K96-'Quarterly MW'!J96</f>
        <v>0</v>
      </c>
      <c r="L39" s="4" t="n">
        <f aca="false">'Quarterly MW'!L96-'Quarterly MW'!K96</f>
        <v>0</v>
      </c>
      <c r="M39" s="4" t="n">
        <f aca="false">'Quarterly MW'!M96-'Quarterly MW'!L96</f>
        <v>0</v>
      </c>
      <c r="N39" s="4" t="n">
        <f aca="false">'Quarterly MW'!N96-'Quarterly MW'!M96</f>
        <v>0</v>
      </c>
      <c r="O39" s="4" t="n">
        <f aca="false">'Quarterly MW'!O96-'Quarterly MW'!N96</f>
        <v>7.5</v>
      </c>
      <c r="P39" s="4" t="n">
        <f aca="false">'Quarterly MW'!P96-'Quarterly MW'!O96</f>
        <v>6</v>
      </c>
      <c r="Q39" s="4" t="n">
        <f aca="false">'Quarterly MW'!Q96-'Quarterly MW'!P96</f>
        <v>4.5</v>
      </c>
      <c r="R39" s="4" t="n">
        <f aca="false">'Quarterly MW'!R96-'Quarterly MW'!Q96</f>
        <v>0</v>
      </c>
      <c r="S39" s="4" t="n">
        <f aca="false">'Quarterly MW'!S96-'Quarterly MW'!R96</f>
        <v>0</v>
      </c>
      <c r="T39" s="4" t="n">
        <f aca="false">'Quarterly MW'!T96-'Quarterly MW'!S96</f>
        <v>0</v>
      </c>
      <c r="U39" s="4" t="n">
        <f aca="false">'Quarterly MW'!U96-'Quarterly MW'!T96</f>
        <v>0</v>
      </c>
      <c r="V39" s="4" t="n">
        <f aca="false">'Quarterly MW'!V96-'Quarterly MW'!U96</f>
        <v>0</v>
      </c>
      <c r="W39" s="4" t="n">
        <f aca="false">'Quarterly MW'!W96-'Quarterly MW'!V96</f>
        <v>0</v>
      </c>
      <c r="X39" s="4" t="n">
        <f aca="false">'Quarterly MW'!X96-'Quarterly MW'!W96</f>
        <v>0</v>
      </c>
      <c r="Y39" s="4" t="n">
        <f aca="false">'Quarterly MW'!Y96-'Quarterly MW'!X96</f>
        <v>0</v>
      </c>
      <c r="Z39" s="4" t="n">
        <f aca="false">'Quarterly MW'!Z96-'Quarterly MW'!Y96</f>
        <v>0</v>
      </c>
      <c r="AA39" s="4" t="n">
        <f aca="false">'Quarterly MW'!AA96-'Quarterly MW'!Z96</f>
        <v>0</v>
      </c>
      <c r="AB39" s="4" t="n">
        <f aca="false">'Quarterly MW'!AB96-'Quarterly MW'!AA96</f>
        <v>0</v>
      </c>
      <c r="AC39" s="4" t="n">
        <f aca="false">'Quarterly MW'!AC96-'Quarterly MW'!AB96</f>
        <v>0</v>
      </c>
      <c r="AD39" s="4" t="n">
        <f aca="false">'Quarterly MW'!AD96-'Quarterly MW'!AC96</f>
        <v>0</v>
      </c>
      <c r="AE39" s="4" t="n">
        <f aca="false">'Quarterly MW'!AE96-'Quarterly MW'!AD96</f>
        <v>0</v>
      </c>
      <c r="AF39" s="4" t="n">
        <f aca="false">'Quarterly MW'!AF96-'Quarterly MW'!AE96</f>
        <v>0</v>
      </c>
    </row>
    <row r="40" customFormat="false" ht="15" hidden="false" customHeight="false" outlineLevel="0" collapsed="false">
      <c r="A40" s="0" t="s">
        <v>72</v>
      </c>
      <c r="B40" s="0" t="s">
        <v>410</v>
      </c>
      <c r="C40" s="0" t="s">
        <v>395</v>
      </c>
      <c r="E40" s="4" t="str">
        <f aca="false">IF('Quarterly MW'!E101&gt;0,"GB300 NVL72","")</f>
        <v/>
      </c>
      <c r="F40" s="4" t="str">
        <f aca="false">IF('Quarterly MW'!F101&gt;0,"GB300 NVL72","")</f>
        <v/>
      </c>
      <c r="G40" s="4" t="str">
        <f aca="false">IF('Quarterly MW'!G101&gt;0,"GB300 NVL72","")</f>
        <v/>
      </c>
      <c r="H40" s="4" t="str">
        <f aca="false">IF('Quarterly MW'!H101&gt;0,"GB300 NVL72","")</f>
        <v/>
      </c>
      <c r="I40" s="4" t="str">
        <f aca="false">IF('Quarterly MW'!I101&gt;0,"GB300 NVL72","")</f>
        <v/>
      </c>
      <c r="J40" s="4" t="str">
        <f aca="false">IF('Quarterly MW'!J101&gt;0,"GB300 NVL72","")</f>
        <v/>
      </c>
      <c r="K40" s="4" t="str">
        <f aca="false">IF('Quarterly MW'!K101&gt;0,"GB300 NVL72","")</f>
        <v/>
      </c>
      <c r="L40" s="4" t="str">
        <f aca="false">IF('Quarterly MW'!L101&gt;0,"GB300 NVL72","")</f>
        <v/>
      </c>
      <c r="M40" s="4" t="str">
        <f aca="false">IF('Quarterly MW'!M101&gt;0,"GB300 NVL72","")</f>
        <v/>
      </c>
      <c r="N40" s="4" t="str">
        <f aca="false">IF('Quarterly MW'!N101&gt;0,"GB300 NVL72","")</f>
        <v/>
      </c>
      <c r="O40" s="4" t="str">
        <f aca="false">IF('Quarterly MW'!O101&gt;0,"GB300 NVL72","")</f>
        <v/>
      </c>
      <c r="P40" s="4" t="str">
        <f aca="false">IF('Quarterly MW'!P101&gt;0,"GB300 NVL72","")</f>
        <v>GB300 NVL72</v>
      </c>
      <c r="Q40" s="4" t="str">
        <f aca="false">IF('Quarterly MW'!Q101&gt;0,"GB300 NVL72","")</f>
        <v>GB300 NVL72</v>
      </c>
      <c r="R40" s="4" t="str">
        <f aca="false">IF('Quarterly MW'!R101&gt;0,"GB300 NVL72","")</f>
        <v>GB300 NVL72</v>
      </c>
      <c r="S40" s="4" t="str">
        <f aca="false">IF('Quarterly MW'!S101&gt;0,"GB300 NVL72","")</f>
        <v>GB300 NVL72</v>
      </c>
      <c r="T40" s="4" t="str">
        <f aca="false">IF('Quarterly MW'!T101&gt;0,"GB300 NVL72","")</f>
        <v>GB300 NVL72</v>
      </c>
      <c r="U40" s="4" t="str">
        <f aca="false">IF('Quarterly MW'!U101&gt;0,"GB300 NVL72","")</f>
        <v>GB300 NVL72</v>
      </c>
      <c r="V40" s="4" t="str">
        <f aca="false">IF('Quarterly MW'!V101&gt;0,"GB300 NVL72","")</f>
        <v>GB300 NVL72</v>
      </c>
      <c r="W40" s="4" t="str">
        <f aca="false">IF('Quarterly MW'!W101&gt;0,"GB300 NVL72","")</f>
        <v>GB300 NVL72</v>
      </c>
      <c r="X40" s="4" t="str">
        <f aca="false">IF('Quarterly MW'!X101&gt;0,"GB300 NVL72","")</f>
        <v>GB300 NVL72</v>
      </c>
      <c r="Y40" s="4" t="str">
        <f aca="false">IF('Quarterly MW'!Y101&gt;0,"GB300 NVL72","")</f>
        <v>GB300 NVL72</v>
      </c>
      <c r="Z40" s="4" t="str">
        <f aca="false">IF('Quarterly MW'!Z101&gt;0,"GB300 NVL72","")</f>
        <v>GB300 NVL72</v>
      </c>
      <c r="AA40" s="4" t="str">
        <f aca="false">IF('Quarterly MW'!AA101&gt;0,"GB300 NVL72","")</f>
        <v>GB300 NVL72</v>
      </c>
      <c r="AB40" s="4" t="str">
        <f aca="false">IF('Quarterly MW'!AB101&gt;0,"GB300 NVL72","")</f>
        <v>GB300 NVL72</v>
      </c>
      <c r="AC40" s="4" t="str">
        <f aca="false">IF('Quarterly MW'!AC101&gt;0,"GB300 NVL72","")</f>
        <v>GB300 NVL72</v>
      </c>
      <c r="AD40" s="4" t="str">
        <f aca="false">IF('Quarterly MW'!AD101&gt;0,"GB300 NVL72","")</f>
        <v>GB300 NVL72</v>
      </c>
      <c r="AE40" s="4" t="str">
        <f aca="false">IF('Quarterly MW'!AE101&gt;0,"GB300 NVL72","")</f>
        <v>GB300 NVL72</v>
      </c>
      <c r="AF40" s="4" t="str">
        <f aca="false">IF('Quarterly MW'!AF101&gt;0,"GB300 NVL72","")</f>
        <v>GB300 NVL72</v>
      </c>
    </row>
    <row r="41" customFormat="false" ht="15" hidden="false" customHeight="false" outlineLevel="0" collapsed="false">
      <c r="A41" s="0" t="s">
        <v>72</v>
      </c>
      <c r="B41" s="0" t="s">
        <v>411</v>
      </c>
      <c r="C41" s="0" t="s">
        <v>395</v>
      </c>
      <c r="E41" s="4" t="n">
        <f aca="false">'Quarterly MW'!E101-0</f>
        <v>0</v>
      </c>
      <c r="F41" s="4" t="n">
        <f aca="false">'Quarterly MW'!F101-'Quarterly MW'!E101</f>
        <v>0</v>
      </c>
      <c r="G41" s="4" t="n">
        <f aca="false">'Quarterly MW'!G101-'Quarterly MW'!F101</f>
        <v>0</v>
      </c>
      <c r="H41" s="4" t="n">
        <f aca="false">'Quarterly MW'!H101-'Quarterly MW'!G101</f>
        <v>0</v>
      </c>
      <c r="I41" s="4" t="n">
        <f aca="false">'Quarterly MW'!I101-'Quarterly MW'!H101</f>
        <v>0</v>
      </c>
      <c r="J41" s="4" t="n">
        <f aca="false">'Quarterly MW'!J101-'Quarterly MW'!I101</f>
        <v>0</v>
      </c>
      <c r="K41" s="4" t="n">
        <f aca="false">'Quarterly MW'!K101-'Quarterly MW'!J101</f>
        <v>0</v>
      </c>
      <c r="L41" s="4" t="n">
        <f aca="false">'Quarterly MW'!L101-'Quarterly MW'!K101</f>
        <v>0</v>
      </c>
      <c r="M41" s="4" t="n">
        <f aca="false">'Quarterly MW'!M101-'Quarterly MW'!L101</f>
        <v>0</v>
      </c>
      <c r="N41" s="4" t="n">
        <f aca="false">'Quarterly MW'!N101-'Quarterly MW'!M101</f>
        <v>0</v>
      </c>
      <c r="O41" s="4" t="n">
        <f aca="false">'Quarterly MW'!O101-'Quarterly MW'!N101</f>
        <v>0</v>
      </c>
      <c r="P41" s="4" t="n">
        <f aca="false">'Quarterly MW'!P101-'Quarterly MW'!O101</f>
        <v>11</v>
      </c>
      <c r="Q41" s="4" t="n">
        <f aca="false">'Quarterly MW'!Q101-'Quarterly MW'!P101</f>
        <v>5.5</v>
      </c>
      <c r="R41" s="4" t="n">
        <f aca="false">'Quarterly MW'!R101-'Quarterly MW'!Q101</f>
        <v>5.5</v>
      </c>
      <c r="S41" s="4" t="n">
        <f aca="false">'Quarterly MW'!S101-'Quarterly MW'!R101</f>
        <v>0</v>
      </c>
      <c r="T41" s="4" t="n">
        <f aca="false">'Quarterly MW'!T101-'Quarterly MW'!S101</f>
        <v>0</v>
      </c>
      <c r="U41" s="4" t="n">
        <f aca="false">'Quarterly MW'!U101-'Quarterly MW'!T101</f>
        <v>0</v>
      </c>
      <c r="V41" s="4" t="n">
        <f aca="false">'Quarterly MW'!V101-'Quarterly MW'!U101</f>
        <v>0</v>
      </c>
      <c r="W41" s="4" t="n">
        <f aca="false">'Quarterly MW'!W101-'Quarterly MW'!V101</f>
        <v>0</v>
      </c>
      <c r="X41" s="4" t="n">
        <f aca="false">'Quarterly MW'!X101-'Quarterly MW'!W101</f>
        <v>0</v>
      </c>
      <c r="Y41" s="4" t="n">
        <f aca="false">'Quarterly MW'!Y101-'Quarterly MW'!X101</f>
        <v>0</v>
      </c>
      <c r="Z41" s="4" t="n">
        <f aca="false">'Quarterly MW'!Z101-'Quarterly MW'!Y101</f>
        <v>0</v>
      </c>
      <c r="AA41" s="4" t="n">
        <f aca="false">'Quarterly MW'!AA101-'Quarterly MW'!Z101</f>
        <v>0</v>
      </c>
      <c r="AB41" s="4" t="n">
        <f aca="false">'Quarterly MW'!AB101-'Quarterly MW'!AA101</f>
        <v>0</v>
      </c>
      <c r="AC41" s="4" t="n">
        <f aca="false">'Quarterly MW'!AC101-'Quarterly MW'!AB101</f>
        <v>0</v>
      </c>
      <c r="AD41" s="4" t="n">
        <f aca="false">'Quarterly MW'!AD101-'Quarterly MW'!AC101</f>
        <v>0</v>
      </c>
      <c r="AE41" s="4" t="n">
        <f aca="false">'Quarterly MW'!AE101-'Quarterly MW'!AD101</f>
        <v>0</v>
      </c>
      <c r="AF41" s="4" t="n">
        <f aca="false">'Quarterly MW'!AF101-'Quarterly MW'!AE101</f>
        <v>0</v>
      </c>
    </row>
    <row r="42" customFormat="false" ht="15" hidden="false" customHeight="false" outlineLevel="0" collapsed="false">
      <c r="A42" s="0" t="s">
        <v>74</v>
      </c>
      <c r="B42" s="0" t="s">
        <v>410</v>
      </c>
      <c r="C42" s="0" t="s">
        <v>256</v>
      </c>
      <c r="E42" s="4" t="str">
        <f aca="false">IF('Quarterly MW'!E106&gt;0,"B300 (HGX)","")</f>
        <v/>
      </c>
      <c r="F42" s="4" t="str">
        <f aca="false">IF('Quarterly MW'!F106&gt;0,"B300 (HGX)","")</f>
        <v/>
      </c>
      <c r="G42" s="4" t="str">
        <f aca="false">IF('Quarterly MW'!G106&gt;0,"B300 (HGX)","")</f>
        <v/>
      </c>
      <c r="H42" s="4" t="str">
        <f aca="false">IF('Quarterly MW'!H106&gt;0,"B300 (HGX)","")</f>
        <v/>
      </c>
      <c r="I42" s="4" t="str">
        <f aca="false">IF('Quarterly MW'!I106&gt;0,"B300 (HGX)","")</f>
        <v/>
      </c>
      <c r="J42" s="4" t="str">
        <f aca="false">IF('Quarterly MW'!J106&gt;0,"B300 (HGX)","")</f>
        <v/>
      </c>
      <c r="K42" s="4" t="str">
        <f aca="false">IF('Quarterly MW'!K106&gt;0,"B300 (HGX)","")</f>
        <v/>
      </c>
      <c r="L42" s="4" t="str">
        <f aca="false">IF('Quarterly MW'!L106&gt;0,"B300 (HGX)","")</f>
        <v/>
      </c>
      <c r="M42" s="4" t="str">
        <f aca="false">IF('Quarterly MW'!M106&gt;0,"B300 (HGX)","")</f>
        <v>B300 (HGX)</v>
      </c>
      <c r="N42" s="4" t="str">
        <f aca="false">IF('Quarterly MW'!N106&gt;0,"B300 (HGX)","")</f>
        <v>B300 (HGX)</v>
      </c>
      <c r="O42" s="4" t="str">
        <f aca="false">IF('Quarterly MW'!O106&gt;0,"B300 (HGX)","")</f>
        <v>B300 (HGX)</v>
      </c>
      <c r="P42" s="4" t="str">
        <f aca="false">IF('Quarterly MW'!P106&gt;0,"B300 (HGX)","")</f>
        <v>B300 (HGX)</v>
      </c>
      <c r="Q42" s="4" t="str">
        <f aca="false">IF('Quarterly MW'!Q106&gt;0,"B300 (HGX)","")</f>
        <v>B300 (HGX)</v>
      </c>
      <c r="R42" s="4" t="str">
        <f aca="false">IF('Quarterly MW'!R106&gt;0,"B300 (HGX)","")</f>
        <v>B300 (HGX)</v>
      </c>
      <c r="S42" s="4" t="str">
        <f aca="false">IF('Quarterly MW'!S106&gt;0,"B300 (HGX)","")</f>
        <v>B300 (HGX)</v>
      </c>
      <c r="T42" s="4" t="str">
        <f aca="false">IF('Quarterly MW'!T106&gt;0,"B300 (HGX)","")</f>
        <v>B300 (HGX)</v>
      </c>
      <c r="U42" s="4" t="str">
        <f aca="false">IF('Quarterly MW'!U106&gt;0,"B300 (HGX)","")</f>
        <v>B300 (HGX)</v>
      </c>
      <c r="V42" s="4" t="str">
        <f aca="false">IF('Quarterly MW'!V106&gt;0,"B300 (HGX)","")</f>
        <v>B300 (HGX)</v>
      </c>
      <c r="W42" s="4" t="str">
        <f aca="false">IF('Quarterly MW'!W106&gt;0,"B300 (HGX)","")</f>
        <v>B300 (HGX)</v>
      </c>
      <c r="X42" s="4" t="str">
        <f aca="false">IF('Quarterly MW'!X106&gt;0,"B300 (HGX)","")</f>
        <v>B300 (HGX)</v>
      </c>
      <c r="Y42" s="4" t="str">
        <f aca="false">IF('Quarterly MW'!Y106&gt;0,"B300 (HGX)","")</f>
        <v>B300 (HGX)</v>
      </c>
      <c r="Z42" s="4" t="str">
        <f aca="false">IF('Quarterly MW'!Z106&gt;0,"B300 (HGX)","")</f>
        <v>B300 (HGX)</v>
      </c>
      <c r="AA42" s="4" t="str">
        <f aca="false">IF('Quarterly MW'!AA106&gt;0,"B300 (HGX)","")</f>
        <v>B300 (HGX)</v>
      </c>
      <c r="AB42" s="4" t="str">
        <f aca="false">IF('Quarterly MW'!AB106&gt;0,"B300 (HGX)","")</f>
        <v>B300 (HGX)</v>
      </c>
      <c r="AC42" s="4" t="str">
        <f aca="false">IF('Quarterly MW'!AC106&gt;0,"B300 (HGX)","")</f>
        <v>B300 (HGX)</v>
      </c>
      <c r="AD42" s="4" t="str">
        <f aca="false">IF('Quarterly MW'!AD106&gt;0,"B300 (HGX)","")</f>
        <v>B300 (HGX)</v>
      </c>
      <c r="AE42" s="4" t="str">
        <f aca="false">IF('Quarterly MW'!AE106&gt;0,"B300 (HGX)","")</f>
        <v>B300 (HGX)</v>
      </c>
      <c r="AF42" s="4" t="str">
        <f aca="false">IF('Quarterly MW'!AF106&gt;0,"B300 (HGX)","")</f>
        <v>B300 (HGX)</v>
      </c>
    </row>
    <row r="43" customFormat="false" ht="15" hidden="false" customHeight="false" outlineLevel="0" collapsed="false">
      <c r="A43" s="0" t="s">
        <v>74</v>
      </c>
      <c r="B43" s="0" t="s">
        <v>411</v>
      </c>
      <c r="C43" s="0" t="s">
        <v>256</v>
      </c>
      <c r="E43" s="4" t="n">
        <f aca="false">'Quarterly MW'!E106-0</f>
        <v>0</v>
      </c>
      <c r="F43" s="4" t="n">
        <f aca="false">'Quarterly MW'!F106-'Quarterly MW'!E106</f>
        <v>0</v>
      </c>
      <c r="G43" s="4" t="n">
        <f aca="false">'Quarterly MW'!G106-'Quarterly MW'!F106</f>
        <v>0</v>
      </c>
      <c r="H43" s="4" t="n">
        <f aca="false">'Quarterly MW'!H106-'Quarterly MW'!G106</f>
        <v>0</v>
      </c>
      <c r="I43" s="4" t="n">
        <f aca="false">'Quarterly MW'!I106-'Quarterly MW'!H106</f>
        <v>0</v>
      </c>
      <c r="J43" s="4" t="n">
        <f aca="false">'Quarterly MW'!J106-'Quarterly MW'!I106</f>
        <v>0</v>
      </c>
      <c r="K43" s="4" t="n">
        <f aca="false">'Quarterly MW'!K106-'Quarterly MW'!J106</f>
        <v>0</v>
      </c>
      <c r="L43" s="4" t="n">
        <f aca="false">'Quarterly MW'!L106-'Quarterly MW'!K106</f>
        <v>0</v>
      </c>
      <c r="M43" s="4" t="n">
        <f aca="false">'Quarterly MW'!M106-'Quarterly MW'!L106</f>
        <v>10</v>
      </c>
      <c r="N43" s="4" t="n">
        <f aca="false">'Quarterly MW'!N106-'Quarterly MW'!M106</f>
        <v>0</v>
      </c>
      <c r="O43" s="4" t="n">
        <f aca="false">'Quarterly MW'!O106-'Quarterly MW'!N106</f>
        <v>0</v>
      </c>
      <c r="P43" s="4" t="n">
        <f aca="false">'Quarterly MW'!P106-'Quarterly MW'!O106</f>
        <v>0</v>
      </c>
      <c r="Q43" s="4" t="n">
        <f aca="false">'Quarterly MW'!Q106-'Quarterly MW'!P106</f>
        <v>0</v>
      </c>
      <c r="R43" s="4" t="n">
        <f aca="false">'Quarterly MW'!R106-'Quarterly MW'!Q106</f>
        <v>0</v>
      </c>
      <c r="S43" s="4" t="n">
        <f aca="false">'Quarterly MW'!S106-'Quarterly MW'!R106</f>
        <v>0</v>
      </c>
      <c r="T43" s="4" t="n">
        <f aca="false">'Quarterly MW'!T106-'Quarterly MW'!S106</f>
        <v>0</v>
      </c>
      <c r="U43" s="4" t="n">
        <f aca="false">'Quarterly MW'!U106-'Quarterly MW'!T106</f>
        <v>0</v>
      </c>
      <c r="V43" s="4" t="n">
        <f aca="false">'Quarterly MW'!V106-'Quarterly MW'!U106</f>
        <v>0</v>
      </c>
      <c r="W43" s="4" t="n">
        <f aca="false">'Quarterly MW'!W106-'Quarterly MW'!V106</f>
        <v>0</v>
      </c>
      <c r="X43" s="4" t="n">
        <f aca="false">'Quarterly MW'!X106-'Quarterly MW'!W106</f>
        <v>0</v>
      </c>
      <c r="Y43" s="4" t="n">
        <f aca="false">'Quarterly MW'!Y106-'Quarterly MW'!X106</f>
        <v>0</v>
      </c>
      <c r="Z43" s="4" t="n">
        <f aca="false">'Quarterly MW'!Z106-'Quarterly MW'!Y106</f>
        <v>0</v>
      </c>
      <c r="AA43" s="4" t="n">
        <f aca="false">'Quarterly MW'!AA106-'Quarterly MW'!Z106</f>
        <v>0</v>
      </c>
      <c r="AB43" s="4" t="n">
        <f aca="false">'Quarterly MW'!AB106-'Quarterly MW'!AA106</f>
        <v>0</v>
      </c>
      <c r="AC43" s="4" t="n">
        <f aca="false">'Quarterly MW'!AC106-'Quarterly MW'!AB106</f>
        <v>0</v>
      </c>
      <c r="AD43" s="4" t="n">
        <f aca="false">'Quarterly MW'!AD106-'Quarterly MW'!AC106</f>
        <v>0</v>
      </c>
      <c r="AE43" s="4" t="n">
        <f aca="false">'Quarterly MW'!AE106-'Quarterly MW'!AD106</f>
        <v>0</v>
      </c>
      <c r="AF43" s="4" t="n">
        <f aca="false">'Quarterly MW'!AF106-'Quarterly MW'!AE106</f>
        <v>0</v>
      </c>
    </row>
    <row r="44" customFormat="false" ht="15" hidden="false" customHeight="false" outlineLevel="0" collapsed="false">
      <c r="A44" s="0" t="s">
        <v>76</v>
      </c>
      <c r="B44" s="0" t="s">
        <v>410</v>
      </c>
      <c r="C44" s="0" t="s">
        <v>395</v>
      </c>
      <c r="E44" s="4" t="str">
        <f aca="false">IF('Quarterly MW'!E111&gt;0,"GB300 NVL72","")</f>
        <v/>
      </c>
      <c r="F44" s="4" t="str">
        <f aca="false">IF('Quarterly MW'!F111&gt;0,"GB300 NVL72","")</f>
        <v/>
      </c>
      <c r="G44" s="4" t="str">
        <f aca="false">IF('Quarterly MW'!G111&gt;0,"GB300 NVL72","")</f>
        <v/>
      </c>
      <c r="H44" s="4" t="str">
        <f aca="false">IF('Quarterly MW'!H111&gt;0,"GB300 NVL72","")</f>
        <v/>
      </c>
      <c r="I44" s="4" t="str">
        <f aca="false">IF('Quarterly MW'!I111&gt;0,"GB300 NVL72","")</f>
        <v/>
      </c>
      <c r="J44" s="4" t="str">
        <f aca="false">IF('Quarterly MW'!J111&gt;0,"GB300 NVL72","")</f>
        <v/>
      </c>
      <c r="K44" s="4" t="str">
        <f aca="false">IF('Quarterly MW'!K111&gt;0,"GB300 NVL72","")</f>
        <v/>
      </c>
      <c r="L44" s="4" t="str">
        <f aca="false">IF('Quarterly MW'!L111&gt;0,"GB300 NVL72","")</f>
        <v/>
      </c>
      <c r="M44" s="4" t="str">
        <f aca="false">IF('Quarterly MW'!M111&gt;0,"GB300 NVL72","")</f>
        <v/>
      </c>
      <c r="N44" s="4" t="str">
        <f aca="false">IF('Quarterly MW'!N111&gt;0,"GB300 NVL72","")</f>
        <v>GB300 NVL72</v>
      </c>
      <c r="O44" s="4" t="str">
        <f aca="false">IF('Quarterly MW'!O111&gt;0,"GB300 NVL72","")</f>
        <v>GB300 NVL72</v>
      </c>
      <c r="P44" s="4" t="str">
        <f aca="false">IF('Quarterly MW'!P111&gt;0,"GB300 NVL72","")</f>
        <v>GB300 NVL72</v>
      </c>
      <c r="Q44" s="4" t="str">
        <f aca="false">IF('Quarterly MW'!Q111&gt;0,"GB300 NVL72","")</f>
        <v>GB300 NVL72</v>
      </c>
      <c r="R44" s="4" t="str">
        <f aca="false">IF('Quarterly MW'!R111&gt;0,"GB300 NVL72","")</f>
        <v>GB300 NVL72</v>
      </c>
      <c r="S44" s="4" t="str">
        <f aca="false">IF('Quarterly MW'!S111&gt;0,"GB300 NVL72","")</f>
        <v>GB300 NVL72</v>
      </c>
      <c r="T44" s="4" t="str">
        <f aca="false">IF('Quarterly MW'!T111&gt;0,"GB300 NVL72","")</f>
        <v>GB300 NVL72</v>
      </c>
      <c r="U44" s="4" t="str">
        <f aca="false">IF('Quarterly MW'!U111&gt;0,"GB300 NVL72","")</f>
        <v>GB300 NVL72</v>
      </c>
      <c r="V44" s="4" t="str">
        <f aca="false">IF('Quarterly MW'!V111&gt;0,"GB300 NVL72","")</f>
        <v>GB300 NVL72</v>
      </c>
      <c r="W44" s="4" t="str">
        <f aca="false">IF('Quarterly MW'!W111&gt;0,"GB300 NVL72","")</f>
        <v>GB300 NVL72</v>
      </c>
      <c r="X44" s="4" t="str">
        <f aca="false">IF('Quarterly MW'!X111&gt;0,"GB300 NVL72","")</f>
        <v>GB300 NVL72</v>
      </c>
      <c r="Y44" s="4" t="str">
        <f aca="false">IF('Quarterly MW'!Y111&gt;0,"GB300 NVL72","")</f>
        <v>GB300 NVL72</v>
      </c>
      <c r="Z44" s="4" t="str">
        <f aca="false">IF('Quarterly MW'!Z111&gt;0,"GB300 NVL72","")</f>
        <v>GB300 NVL72</v>
      </c>
      <c r="AA44" s="4" t="str">
        <f aca="false">IF('Quarterly MW'!AA111&gt;0,"GB300 NVL72","")</f>
        <v>GB300 NVL72</v>
      </c>
      <c r="AB44" s="4" t="str">
        <f aca="false">IF('Quarterly MW'!AB111&gt;0,"GB300 NVL72","")</f>
        <v>GB300 NVL72</v>
      </c>
      <c r="AC44" s="4" t="str">
        <f aca="false">IF('Quarterly MW'!AC111&gt;0,"GB300 NVL72","")</f>
        <v>GB300 NVL72</v>
      </c>
      <c r="AD44" s="4" t="str">
        <f aca="false">IF('Quarterly MW'!AD111&gt;0,"GB300 NVL72","")</f>
        <v>GB300 NVL72</v>
      </c>
      <c r="AE44" s="4" t="str">
        <f aca="false">IF('Quarterly MW'!AE111&gt;0,"GB300 NVL72","")</f>
        <v>GB300 NVL72</v>
      </c>
      <c r="AF44" s="4" t="str">
        <f aca="false">IF('Quarterly MW'!AF111&gt;0,"GB300 NVL72","")</f>
        <v>GB300 NVL72</v>
      </c>
    </row>
    <row r="45" customFormat="false" ht="15" hidden="false" customHeight="false" outlineLevel="0" collapsed="false">
      <c r="A45" s="0" t="s">
        <v>76</v>
      </c>
      <c r="B45" s="0" t="s">
        <v>411</v>
      </c>
      <c r="C45" s="0" t="s">
        <v>395</v>
      </c>
      <c r="E45" s="4" t="n">
        <f aca="false">'Quarterly MW'!E111-0</f>
        <v>0</v>
      </c>
      <c r="F45" s="4" t="n">
        <f aca="false">'Quarterly MW'!F111-'Quarterly MW'!E111</f>
        <v>0</v>
      </c>
      <c r="G45" s="4" t="n">
        <f aca="false">'Quarterly MW'!G111-'Quarterly MW'!F111</f>
        <v>0</v>
      </c>
      <c r="H45" s="4" t="n">
        <f aca="false">'Quarterly MW'!H111-'Quarterly MW'!G111</f>
        <v>0</v>
      </c>
      <c r="I45" s="4" t="n">
        <f aca="false">'Quarterly MW'!I111-'Quarterly MW'!H111</f>
        <v>0</v>
      </c>
      <c r="J45" s="4" t="n">
        <f aca="false">'Quarterly MW'!J111-'Quarterly MW'!I111</f>
        <v>0</v>
      </c>
      <c r="K45" s="4" t="n">
        <f aca="false">'Quarterly MW'!K111-'Quarterly MW'!J111</f>
        <v>0</v>
      </c>
      <c r="L45" s="4" t="n">
        <f aca="false">'Quarterly MW'!L111-'Quarterly MW'!K111</f>
        <v>0</v>
      </c>
      <c r="M45" s="4" t="n">
        <f aca="false">'Quarterly MW'!M111-'Quarterly MW'!L111</f>
        <v>0</v>
      </c>
      <c r="N45" s="4" t="n">
        <f aca="false">'Quarterly MW'!N111-'Quarterly MW'!M111</f>
        <v>10</v>
      </c>
      <c r="O45" s="4" t="n">
        <f aca="false">'Quarterly MW'!O111-'Quarterly MW'!N111</f>
        <v>0</v>
      </c>
      <c r="P45" s="4" t="n">
        <f aca="false">'Quarterly MW'!P111-'Quarterly MW'!O111</f>
        <v>15</v>
      </c>
      <c r="Q45" s="4" t="n">
        <f aca="false">'Quarterly MW'!Q111-'Quarterly MW'!P111</f>
        <v>25</v>
      </c>
      <c r="R45" s="4" t="n">
        <f aca="false">'Quarterly MW'!R111-'Quarterly MW'!Q111</f>
        <v>25</v>
      </c>
      <c r="S45" s="4" t="n">
        <f aca="false">'Quarterly MW'!S111-'Quarterly MW'!R111</f>
        <v>25</v>
      </c>
      <c r="T45" s="4" t="n">
        <f aca="false">'Quarterly MW'!T111-'Quarterly MW'!S111</f>
        <v>0</v>
      </c>
      <c r="U45" s="4" t="n">
        <f aca="false">'Quarterly MW'!U111-'Quarterly MW'!T111</f>
        <v>0</v>
      </c>
      <c r="V45" s="4" t="n">
        <f aca="false">'Quarterly MW'!V111-'Quarterly MW'!U111</f>
        <v>0</v>
      </c>
      <c r="W45" s="4" t="n">
        <f aca="false">'Quarterly MW'!W111-'Quarterly MW'!V111</f>
        <v>0</v>
      </c>
      <c r="X45" s="4" t="n">
        <f aca="false">'Quarterly MW'!X111-'Quarterly MW'!W111</f>
        <v>0</v>
      </c>
      <c r="Y45" s="4" t="n">
        <f aca="false">'Quarterly MW'!Y111-'Quarterly MW'!X111</f>
        <v>0</v>
      </c>
      <c r="Z45" s="4" t="n">
        <f aca="false">'Quarterly MW'!Z111-'Quarterly MW'!Y111</f>
        <v>0</v>
      </c>
      <c r="AA45" s="4" t="n">
        <f aca="false">'Quarterly MW'!AA111-'Quarterly MW'!Z111</f>
        <v>0</v>
      </c>
      <c r="AB45" s="4" t="n">
        <f aca="false">'Quarterly MW'!AB111-'Quarterly MW'!AA111</f>
        <v>0</v>
      </c>
      <c r="AC45" s="4" t="n">
        <f aca="false">'Quarterly MW'!AC111-'Quarterly MW'!AB111</f>
        <v>0</v>
      </c>
      <c r="AD45" s="4" t="n">
        <f aca="false">'Quarterly MW'!AD111-'Quarterly MW'!AC111</f>
        <v>0</v>
      </c>
      <c r="AE45" s="4" t="n">
        <f aca="false">'Quarterly MW'!AE111-'Quarterly MW'!AD111</f>
        <v>0</v>
      </c>
      <c r="AF45" s="4" t="n">
        <f aca="false">'Quarterly MW'!AF111-'Quarterly MW'!AE111</f>
        <v>0</v>
      </c>
    </row>
    <row r="46" customFormat="false" ht="15" hidden="false" customHeight="false" outlineLevel="0" collapsed="false">
      <c r="A46" s="0" t="s">
        <v>79</v>
      </c>
      <c r="B46" s="0" t="s">
        <v>410</v>
      </c>
      <c r="C46" s="0" t="s">
        <v>397</v>
      </c>
      <c r="E46" s="4" t="str">
        <f aca="false">IF('Quarterly MW'!E121&gt;0,"Vera Rubin NVL72","")</f>
        <v/>
      </c>
      <c r="F46" s="4" t="str">
        <f aca="false">IF('Quarterly MW'!F121&gt;0,"Vera Rubin NVL72","")</f>
        <v/>
      </c>
      <c r="G46" s="4" t="str">
        <f aca="false">IF('Quarterly MW'!G121&gt;0,"Vera Rubin NVL72","")</f>
        <v/>
      </c>
      <c r="H46" s="4" t="str">
        <f aca="false">IF('Quarterly MW'!H121&gt;0,"Vera Rubin NVL72","")</f>
        <v/>
      </c>
      <c r="I46" s="4" t="str">
        <f aca="false">IF('Quarterly MW'!I121&gt;0,"Vera Rubin NVL72","")</f>
        <v/>
      </c>
      <c r="J46" s="4" t="str">
        <f aca="false">IF('Quarterly MW'!J121&gt;0,"Vera Rubin NVL72","")</f>
        <v/>
      </c>
      <c r="K46" s="4" t="str">
        <f aca="false">IF('Quarterly MW'!K121&gt;0,"Vera Rubin NVL72","")</f>
        <v/>
      </c>
      <c r="L46" s="4" t="str">
        <f aca="false">IF('Quarterly MW'!L121&gt;0,"Vera Rubin NVL72","")</f>
        <v/>
      </c>
      <c r="M46" s="4" t="str">
        <f aca="false">IF('Quarterly MW'!M121&gt;0,"Vera Rubin NVL72","")</f>
        <v/>
      </c>
      <c r="N46" s="4" t="str">
        <f aca="false">IF('Quarterly MW'!N121&gt;0,"Vera Rubin NVL72","")</f>
        <v/>
      </c>
      <c r="O46" s="4" t="str">
        <f aca="false">IF('Quarterly MW'!O121&gt;0,"Vera Rubin NVL72","")</f>
        <v/>
      </c>
      <c r="P46" s="4" t="str">
        <f aca="false">IF('Quarterly MW'!P121&gt;0,"Vera Rubin NVL72","")</f>
        <v/>
      </c>
      <c r="Q46" s="4" t="str">
        <f aca="false">IF('Quarterly MW'!Q121&gt;0,"Vera Rubin NVL72","")</f>
        <v/>
      </c>
      <c r="R46" s="4" t="str">
        <f aca="false">IF('Quarterly MW'!R121&gt;0,"Vera Rubin NVL72","")</f>
        <v/>
      </c>
      <c r="S46" s="4" t="str">
        <f aca="false">IF('Quarterly MW'!S121&gt;0,"Vera Rubin NVL72","")</f>
        <v>Vera Rubin NVL72</v>
      </c>
      <c r="T46" s="4" t="str">
        <f aca="false">IF('Quarterly MW'!T121&gt;0,"Vera Rubin NVL72","")</f>
        <v>Vera Rubin NVL72</v>
      </c>
      <c r="U46" s="4" t="str">
        <f aca="false">IF('Quarterly MW'!U121&gt;0,"Vera Rubin NVL72","")</f>
        <v>Vera Rubin NVL72</v>
      </c>
      <c r="V46" s="4" t="str">
        <f aca="false">IF('Quarterly MW'!V121&gt;0,"Vera Rubin NVL72","")</f>
        <v>Vera Rubin NVL72</v>
      </c>
      <c r="W46" s="4" t="str">
        <f aca="false">IF('Quarterly MW'!W121&gt;0,"Vera Rubin NVL72","")</f>
        <v>Vera Rubin NVL72</v>
      </c>
      <c r="X46" s="4" t="str">
        <f aca="false">IF('Quarterly MW'!X121&gt;0,"Vera Rubin NVL72","")</f>
        <v>Vera Rubin NVL72</v>
      </c>
      <c r="Y46" s="4" t="str">
        <f aca="false">IF('Quarterly MW'!Y121&gt;0,"Vera Rubin NVL72","")</f>
        <v>Vera Rubin NVL72</v>
      </c>
      <c r="Z46" s="4" t="str">
        <f aca="false">IF('Quarterly MW'!Z121&gt;0,"Vera Rubin NVL72","")</f>
        <v>Vera Rubin NVL72</v>
      </c>
      <c r="AA46" s="4" t="str">
        <f aca="false">IF('Quarterly MW'!AA121&gt;0,"Vera Rubin NVL72","")</f>
        <v>Vera Rubin NVL72</v>
      </c>
      <c r="AB46" s="4" t="str">
        <f aca="false">IF('Quarterly MW'!AB121&gt;0,"Vera Rubin NVL72","")</f>
        <v>Vera Rubin NVL72</v>
      </c>
      <c r="AC46" s="4" t="str">
        <f aca="false">IF('Quarterly MW'!AC121&gt;0,"Vera Rubin NVL72","")</f>
        <v>Vera Rubin NVL72</v>
      </c>
      <c r="AD46" s="4" t="str">
        <f aca="false">IF('Quarterly MW'!AD121&gt;0,"Vera Rubin NVL72","")</f>
        <v>Vera Rubin NVL72</v>
      </c>
      <c r="AE46" s="4" t="str">
        <f aca="false">IF('Quarterly MW'!AE121&gt;0,"Vera Rubin NVL72","")</f>
        <v>Vera Rubin NVL72</v>
      </c>
      <c r="AF46" s="4" t="str">
        <f aca="false">IF('Quarterly MW'!AF121&gt;0,"Vera Rubin NVL72","")</f>
        <v>Vera Rubin NVL72</v>
      </c>
    </row>
    <row r="47" customFormat="false" ht="15" hidden="false" customHeight="false" outlineLevel="0" collapsed="false">
      <c r="A47" s="0" t="s">
        <v>79</v>
      </c>
      <c r="B47" s="0" t="s">
        <v>411</v>
      </c>
      <c r="C47" s="0" t="s">
        <v>397</v>
      </c>
      <c r="E47" s="4" t="n">
        <f aca="false">'Quarterly MW'!E121-0</f>
        <v>0</v>
      </c>
      <c r="F47" s="4" t="n">
        <f aca="false">'Quarterly MW'!F121-'Quarterly MW'!E121</f>
        <v>0</v>
      </c>
      <c r="G47" s="4" t="n">
        <f aca="false">'Quarterly MW'!G121-'Quarterly MW'!F121</f>
        <v>0</v>
      </c>
      <c r="H47" s="4" t="n">
        <f aca="false">'Quarterly MW'!H121-'Quarterly MW'!G121</f>
        <v>0</v>
      </c>
      <c r="I47" s="4" t="n">
        <f aca="false">'Quarterly MW'!I121-'Quarterly MW'!H121</f>
        <v>0</v>
      </c>
      <c r="J47" s="4" t="n">
        <f aca="false">'Quarterly MW'!J121-'Quarterly MW'!I121</f>
        <v>0</v>
      </c>
      <c r="K47" s="4" t="n">
        <f aca="false">'Quarterly MW'!K121-'Quarterly MW'!J121</f>
        <v>0</v>
      </c>
      <c r="L47" s="4" t="n">
        <f aca="false">'Quarterly MW'!L121-'Quarterly MW'!K121</f>
        <v>0</v>
      </c>
      <c r="M47" s="4" t="n">
        <f aca="false">'Quarterly MW'!M121-'Quarterly MW'!L121</f>
        <v>0</v>
      </c>
      <c r="N47" s="4" t="n">
        <f aca="false">'Quarterly MW'!N121-'Quarterly MW'!M121</f>
        <v>0</v>
      </c>
      <c r="O47" s="4" t="n">
        <f aca="false">'Quarterly MW'!O121-'Quarterly MW'!N121</f>
        <v>0</v>
      </c>
      <c r="P47" s="4" t="n">
        <f aca="false">'Quarterly MW'!P121-'Quarterly MW'!O121</f>
        <v>0</v>
      </c>
      <c r="Q47" s="4" t="n">
        <f aca="false">'Quarterly MW'!Q121-'Quarterly MW'!P121</f>
        <v>0</v>
      </c>
      <c r="R47" s="4" t="n">
        <f aca="false">'Quarterly MW'!R121-'Quarterly MW'!Q121</f>
        <v>0</v>
      </c>
      <c r="S47" s="4" t="n">
        <f aca="false">'Quarterly MW'!S121-'Quarterly MW'!R121</f>
        <v>12.5</v>
      </c>
      <c r="T47" s="4" t="n">
        <f aca="false">'Quarterly MW'!T121-'Quarterly MW'!S121</f>
        <v>12.5</v>
      </c>
      <c r="U47" s="4" t="n">
        <f aca="false">'Quarterly MW'!U121-'Quarterly MW'!T121</f>
        <v>12.5</v>
      </c>
      <c r="V47" s="4" t="n">
        <f aca="false">'Quarterly MW'!V121-'Quarterly MW'!U121</f>
        <v>0</v>
      </c>
      <c r="W47" s="4" t="n">
        <f aca="false">'Quarterly MW'!W121-'Quarterly MW'!V121</f>
        <v>12.5</v>
      </c>
      <c r="X47" s="4" t="n">
        <f aca="false">'Quarterly MW'!X121-'Quarterly MW'!W121</f>
        <v>0</v>
      </c>
      <c r="Y47" s="4" t="n">
        <f aca="false">'Quarterly MW'!Y121-'Quarterly MW'!X121</f>
        <v>0</v>
      </c>
      <c r="Z47" s="4" t="n">
        <f aca="false">'Quarterly MW'!Z121-'Quarterly MW'!Y121</f>
        <v>0</v>
      </c>
      <c r="AA47" s="4" t="n">
        <f aca="false">'Quarterly MW'!AA121-'Quarterly MW'!Z121</f>
        <v>0</v>
      </c>
      <c r="AB47" s="4" t="n">
        <f aca="false">'Quarterly MW'!AB121-'Quarterly MW'!AA121</f>
        <v>0</v>
      </c>
      <c r="AC47" s="4" t="n">
        <f aca="false">'Quarterly MW'!AC121-'Quarterly MW'!AB121</f>
        <v>0</v>
      </c>
      <c r="AD47" s="4" t="n">
        <f aca="false">'Quarterly MW'!AD121-'Quarterly MW'!AC121</f>
        <v>0</v>
      </c>
      <c r="AE47" s="4" t="n">
        <f aca="false">'Quarterly MW'!AE121-'Quarterly MW'!AD121</f>
        <v>0</v>
      </c>
      <c r="AF47" s="4" t="n">
        <f aca="false">'Quarterly MW'!AF121-'Quarterly MW'!AE121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60"/>
    <col collapsed="false" customWidth="true" hidden="false" outlineLevel="0" max="24" min="4" style="0" width="16"/>
  </cols>
  <sheetData>
    <row r="1" customFormat="false" ht="15" hidden="false" customHeight="false" outlineLevel="0" collapsed="false">
      <c r="A1" s="1" t="s">
        <v>412</v>
      </c>
    </row>
    <row r="3" customFormat="false" ht="15" hidden="false" customHeight="false" outlineLevel="0" collapsed="false">
      <c r="A3" s="0" t="s">
        <v>413</v>
      </c>
      <c r="B3" s="5" t="n">
        <v>9</v>
      </c>
    </row>
    <row r="4" customFormat="false" ht="15" hidden="false" customHeight="false" outlineLevel="0" collapsed="false">
      <c r="A4" s="0" t="s">
        <v>414</v>
      </c>
      <c r="B4" s="5" t="n">
        <v>17392.9</v>
      </c>
    </row>
    <row r="5" customFormat="false" ht="15" hidden="false" customHeight="false" outlineLevel="0" collapsed="false">
      <c r="A5" s="0" t="s">
        <v>415</v>
      </c>
      <c r="B5" s="5" t="n">
        <v>6958.1</v>
      </c>
    </row>
    <row r="6" customFormat="false" ht="15" hidden="false" customHeight="false" outlineLevel="0" collapsed="false">
      <c r="A6" s="0" t="s">
        <v>416</v>
      </c>
      <c r="B6" s="5" t="n">
        <v>300</v>
      </c>
    </row>
    <row r="7" customFormat="false" ht="15" hidden="false" customHeight="false" outlineLevel="0" collapsed="false">
      <c r="A7" s="0" t="s">
        <v>417</v>
      </c>
      <c r="B7" s="5" t="n">
        <v>240</v>
      </c>
    </row>
    <row r="8" customFormat="false" ht="15" hidden="false" customHeight="false" outlineLevel="0" collapsed="false">
      <c r="A8" s="0" t="s">
        <v>418</v>
      </c>
      <c r="B8" s="5" t="n">
        <v>62</v>
      </c>
    </row>
    <row r="9" customFormat="false" ht="15" hidden="false" customHeight="false" outlineLevel="0" collapsed="false">
      <c r="A9" s="0" t="s">
        <v>419</v>
      </c>
      <c r="B9" s="5" t="n">
        <v>1.982</v>
      </c>
    </row>
    <row r="10" customFormat="false" ht="15" hidden="false" customHeight="false" outlineLevel="0" collapsed="false">
      <c r="A10" s="0" t="s">
        <v>420</v>
      </c>
      <c r="B10" s="5" t="n">
        <v>5</v>
      </c>
    </row>
    <row r="11" customFormat="false" ht="15" hidden="false" customHeight="false" outlineLevel="0" collapsed="false">
      <c r="A11" s="0" t="s">
        <v>421</v>
      </c>
      <c r="B11" s="5" t="n">
        <v>1.2</v>
      </c>
    </row>
    <row r="12" customFormat="false" ht="15" hidden="false" customHeight="false" outlineLevel="0" collapsed="false">
      <c r="A12" s="0" t="s">
        <v>422</v>
      </c>
      <c r="B12" s="5" t="n">
        <v>582.3</v>
      </c>
    </row>
    <row r="13" customFormat="false" ht="15" hidden="false" customHeight="false" outlineLevel="0" collapsed="false">
      <c r="A13" s="0" t="s">
        <v>423</v>
      </c>
      <c r="B13" s="5" t="n">
        <v>0.24</v>
      </c>
    </row>
    <row r="15" customFormat="false" ht="15" hidden="false" customHeight="false" outlineLevel="0" collapsed="false">
      <c r="A15" s="0" t="s">
        <v>424</v>
      </c>
      <c r="B15" s="4" t="n">
        <f aca="false">$B$6/$B$3</f>
        <v>33.3333333333333</v>
      </c>
    </row>
    <row r="16" customFormat="false" ht="15" hidden="false" customHeight="false" outlineLevel="0" collapsed="false">
      <c r="A16" s="0" t="s">
        <v>425</v>
      </c>
      <c r="B16" s="4" t="n">
        <f aca="false">$B$7/$B$3</f>
        <v>26.6666666666667</v>
      </c>
    </row>
    <row r="17" customFormat="false" ht="15" hidden="false" customHeight="false" outlineLevel="0" collapsed="false">
      <c r="A17" s="0" t="s">
        <v>426</v>
      </c>
      <c r="B17" s="4" t="n">
        <f aca="false">$B$8*$B$9+$B$10</f>
        <v>127.884</v>
      </c>
    </row>
    <row r="18" customFormat="false" ht="15" hidden="false" customHeight="false" outlineLevel="0" collapsed="false">
      <c r="A18" s="0" t="s">
        <v>427</v>
      </c>
      <c r="B18" s="4" t="n">
        <f aca="false">ROUND(($B$8*$B$9+$B$10)/$B$11,1)</f>
        <v>106.6</v>
      </c>
    </row>
    <row r="19" customFormat="false" ht="15" hidden="false" customHeight="false" outlineLevel="0" collapsed="false">
      <c r="A19" s="0" t="s">
        <v>428</v>
      </c>
      <c r="B19" s="4" t="n">
        <f aca="false">ROUNDDOWN(B18/B16,1)</f>
        <v>3.9</v>
      </c>
    </row>
    <row r="20" customFormat="false" ht="15" hidden="false" customHeight="false" outlineLevel="0" collapsed="false">
      <c r="A20" s="0" t="s">
        <v>429</v>
      </c>
      <c r="B20" s="4" t="n">
        <f aca="false">$B$4/$B$3</f>
        <v>1932.54444444444</v>
      </c>
    </row>
    <row r="21" customFormat="false" ht="15" hidden="false" customHeight="false" outlineLevel="0" collapsed="false">
      <c r="A21" s="0" t="s">
        <v>430</v>
      </c>
      <c r="B21" s="4" t="n">
        <f aca="false">B20/20</f>
        <v>96.6272222222222</v>
      </c>
    </row>
    <row r="22" customFormat="false" ht="15" hidden="false" customHeight="false" outlineLevel="0" collapsed="false">
      <c r="A22" s="0" t="s">
        <v>431</v>
      </c>
      <c r="B22" s="4" t="n">
        <f aca="false">$B$4/20</f>
        <v>869.645</v>
      </c>
    </row>
    <row r="23" customFormat="false" ht="15" hidden="false" customHeight="false" outlineLevel="0" collapsed="false">
      <c r="A23" s="0" t="s">
        <v>432</v>
      </c>
      <c r="B23" s="4" t="n">
        <f aca="false">$B$12*$B$13</f>
        <v>139.752</v>
      </c>
    </row>
    <row r="24" customFormat="false" ht="15" hidden="false" customHeight="false" outlineLevel="0" collapsed="false">
      <c r="A24" s="0" t="s">
        <v>433</v>
      </c>
      <c r="B24" s="4" t="n">
        <f aca="false">2*B21</f>
        <v>193.254444444444</v>
      </c>
    </row>
    <row r="25" customFormat="false" ht="15" hidden="false" customHeight="false" outlineLevel="0" collapsed="false">
      <c r="A25" s="0" t="s">
        <v>434</v>
      </c>
      <c r="B25" s="4" t="n">
        <f aca="false">B23/B22</f>
        <v>0.160700055769883</v>
      </c>
    </row>
    <row r="28" customFormat="false" ht="41.75" hidden="false" customHeight="false" outlineLevel="0" collapsed="false">
      <c r="A28" s="3" t="s">
        <v>435</v>
      </c>
      <c r="B28" s="3" t="s">
        <v>436</v>
      </c>
      <c r="C28" s="3" t="s">
        <v>437</v>
      </c>
      <c r="D28" s="3" t="s">
        <v>438</v>
      </c>
      <c r="E28" s="3" t="s">
        <v>439</v>
      </c>
      <c r="F28" s="3" t="s">
        <v>440</v>
      </c>
      <c r="G28" s="3" t="s">
        <v>441</v>
      </c>
      <c r="H28" s="3" t="s">
        <v>442</v>
      </c>
      <c r="I28" s="3" t="s">
        <v>443</v>
      </c>
      <c r="J28" s="3" t="s">
        <v>444</v>
      </c>
      <c r="K28" s="3" t="s">
        <v>445</v>
      </c>
      <c r="L28" s="3" t="s">
        <v>446</v>
      </c>
      <c r="M28" s="3" t="s">
        <v>23</v>
      </c>
      <c r="N28" s="3" t="s">
        <v>447</v>
      </c>
      <c r="O28" s="11" t="s">
        <v>39</v>
      </c>
      <c r="P28" s="11" t="s">
        <v>163</v>
      </c>
      <c r="Q28" s="11" t="s">
        <v>448</v>
      </c>
      <c r="R28" s="11" t="s">
        <v>449</v>
      </c>
      <c r="S28" s="11" t="s">
        <v>450</v>
      </c>
      <c r="T28" s="11" t="s">
        <v>451</v>
      </c>
      <c r="U28" s="11" t="s">
        <v>452</v>
      </c>
      <c r="V28" s="11" t="s">
        <v>453</v>
      </c>
      <c r="W28" s="11" t="s">
        <v>454</v>
      </c>
      <c r="X28" s="11" t="s">
        <v>455</v>
      </c>
    </row>
    <row r="29" customFormat="false" ht="15" hidden="false" customHeight="false" outlineLevel="0" collapsed="false">
      <c r="A29" s="0" t="s">
        <v>456</v>
      </c>
      <c r="B29" s="5" t="s">
        <v>457</v>
      </c>
      <c r="C29" s="5" t="s">
        <v>458</v>
      </c>
      <c r="D29" s="5" t="s">
        <v>459</v>
      </c>
      <c r="E29" s="4" t="n">
        <f aca="false">$B$15</f>
        <v>33.3333333333333</v>
      </c>
      <c r="F29" s="4" t="n">
        <f aca="false">$B$16</f>
        <v>26.6666666666667</v>
      </c>
      <c r="G29" s="4" t="n">
        <f aca="false">SUM($F$29:F29)</f>
        <v>26.6666666666667</v>
      </c>
      <c r="H29" s="4" t="str">
        <f aca="false">IF(G29&lt;=$B$18+0.5,"yes","NO - needs Bloom")</f>
        <v>yes</v>
      </c>
      <c r="I29" s="5" t="s">
        <v>321</v>
      </c>
      <c r="J29" s="5" t="s">
        <v>321</v>
      </c>
      <c r="K29" s="5" t="s">
        <v>321</v>
      </c>
      <c r="L29" s="0" t="s">
        <v>460</v>
      </c>
      <c r="M29" s="0" t="s">
        <v>461</v>
      </c>
      <c r="N29" s="0" t="s">
        <v>462</v>
      </c>
      <c r="O29" s="5" t="s">
        <v>463</v>
      </c>
      <c r="P29" s="5" t="s">
        <v>464</v>
      </c>
      <c r="Q29" s="5" t="s">
        <v>170</v>
      </c>
      <c r="R29" s="5" t="s">
        <v>465</v>
      </c>
      <c r="S29" s="5" t="s">
        <v>321</v>
      </c>
      <c r="T29" s="5" t="s">
        <v>321</v>
      </c>
      <c r="U29" s="5" t="s">
        <v>321</v>
      </c>
      <c r="V29" s="0" t="s">
        <v>86</v>
      </c>
      <c r="W29" s="5" t="s">
        <v>321</v>
      </c>
      <c r="X29" s="4" t="n">
        <f aca="false">F29</f>
        <v>26.6666666666667</v>
      </c>
    </row>
    <row r="30" customFormat="false" ht="15" hidden="false" customHeight="false" outlineLevel="0" collapsed="false">
      <c r="A30" s="0" t="s">
        <v>466</v>
      </c>
      <c r="B30" s="5" t="s">
        <v>467</v>
      </c>
      <c r="C30" s="5" t="s">
        <v>468</v>
      </c>
      <c r="D30" s="5" t="s">
        <v>469</v>
      </c>
      <c r="E30" s="4" t="n">
        <f aca="false">$B$15</f>
        <v>33.3333333333333</v>
      </c>
      <c r="F30" s="4" t="n">
        <f aca="false">$B$16</f>
        <v>26.6666666666667</v>
      </c>
      <c r="G30" s="4" t="n">
        <f aca="false">SUM($F$29:F30)</f>
        <v>53.3333333333333</v>
      </c>
      <c r="H30" s="4" t="str">
        <f aca="false">IF(G30&lt;=$B$18+0.5,"yes","NO - needs Bloom")</f>
        <v>yes</v>
      </c>
      <c r="I30" s="5" t="s">
        <v>322</v>
      </c>
      <c r="J30" s="5" t="s">
        <v>322</v>
      </c>
      <c r="K30" s="5" t="s">
        <v>322</v>
      </c>
      <c r="L30" s="0" t="s">
        <v>470</v>
      </c>
      <c r="M30" s="0" t="s">
        <v>461</v>
      </c>
      <c r="N30" s="0" t="s">
        <v>462</v>
      </c>
      <c r="O30" s="5" t="s">
        <v>463</v>
      </c>
      <c r="P30" s="5" t="s">
        <v>464</v>
      </c>
      <c r="Q30" s="5" t="s">
        <v>170</v>
      </c>
      <c r="R30" s="5" t="s">
        <v>465</v>
      </c>
      <c r="S30" s="5" t="s">
        <v>322</v>
      </c>
      <c r="T30" s="5" t="s">
        <v>322</v>
      </c>
      <c r="U30" s="5" t="s">
        <v>322</v>
      </c>
      <c r="V30" s="0" t="s">
        <v>86</v>
      </c>
      <c r="W30" s="5" t="s">
        <v>322</v>
      </c>
      <c r="X30" s="4" t="n">
        <f aca="false">F30</f>
        <v>26.6666666666667</v>
      </c>
    </row>
    <row r="31" customFormat="false" ht="15" hidden="false" customHeight="false" outlineLevel="0" collapsed="false">
      <c r="A31" s="0" t="s">
        <v>471</v>
      </c>
      <c r="B31" s="5" t="s">
        <v>472</v>
      </c>
      <c r="C31" s="5" t="s">
        <v>473</v>
      </c>
      <c r="D31" s="5" t="s">
        <v>469</v>
      </c>
      <c r="E31" s="4" t="n">
        <f aca="false">$B$15</f>
        <v>33.3333333333333</v>
      </c>
      <c r="F31" s="4" t="n">
        <f aca="false">$B$16</f>
        <v>26.6666666666667</v>
      </c>
      <c r="G31" s="4" t="n">
        <f aca="false">SUM($F$29:F31)</f>
        <v>80</v>
      </c>
      <c r="H31" s="4" t="str">
        <f aca="false">IF(G31&lt;=$B$18+0.5,"yes","NO - needs Bloom")</f>
        <v>yes</v>
      </c>
      <c r="I31" s="5" t="s">
        <v>324</v>
      </c>
      <c r="J31" s="5" t="s">
        <v>324</v>
      </c>
      <c r="K31" s="5" t="s">
        <v>324</v>
      </c>
      <c r="L31" s="0" t="s">
        <v>470</v>
      </c>
      <c r="M31" s="0" t="s">
        <v>474</v>
      </c>
      <c r="N31" s="0" t="s">
        <v>475</v>
      </c>
      <c r="O31" s="5" t="s">
        <v>463</v>
      </c>
      <c r="P31" s="5" t="s">
        <v>464</v>
      </c>
      <c r="Q31" s="5" t="s">
        <v>170</v>
      </c>
      <c r="R31" s="5" t="s">
        <v>465</v>
      </c>
      <c r="S31" s="5" t="s">
        <v>324</v>
      </c>
      <c r="T31" s="5" t="s">
        <v>324</v>
      </c>
      <c r="U31" s="5" t="s">
        <v>324</v>
      </c>
      <c r="V31" s="0" t="s">
        <v>86</v>
      </c>
      <c r="W31" s="5" t="s">
        <v>324</v>
      </c>
      <c r="X31" s="4" t="n">
        <f aca="false">F31</f>
        <v>26.6666666666667</v>
      </c>
    </row>
    <row r="32" customFormat="false" ht="15" hidden="false" customHeight="false" outlineLevel="0" collapsed="false">
      <c r="A32" s="0" t="s">
        <v>476</v>
      </c>
      <c r="B32" s="5" t="s">
        <v>477</v>
      </c>
      <c r="C32" s="5" t="s">
        <v>478</v>
      </c>
      <c r="D32" s="5" t="s">
        <v>469</v>
      </c>
      <c r="E32" s="4" t="n">
        <f aca="false">$B$15</f>
        <v>33.3333333333333</v>
      </c>
      <c r="F32" s="4" t="n">
        <f aca="false">$B$16</f>
        <v>26.6666666666667</v>
      </c>
      <c r="G32" s="4" t="n">
        <f aca="false">SUM($F$29:F32)</f>
        <v>106.666666666667</v>
      </c>
      <c r="H32" s="4" t="str">
        <f aca="false">IF(G32&lt;=$B$18+0.5,"yes","NO - needs Bloom")</f>
        <v>yes</v>
      </c>
      <c r="I32" s="5" t="s">
        <v>324</v>
      </c>
      <c r="J32" s="5" t="s">
        <v>324</v>
      </c>
      <c r="K32" s="5" t="s">
        <v>324</v>
      </c>
      <c r="L32" s="0" t="s">
        <v>479</v>
      </c>
      <c r="M32" s="0" t="s">
        <v>461</v>
      </c>
      <c r="N32" s="0" t="s">
        <v>480</v>
      </c>
      <c r="O32" s="5" t="s">
        <v>463</v>
      </c>
      <c r="P32" s="5" t="s">
        <v>464</v>
      </c>
      <c r="Q32" s="5" t="s">
        <v>170</v>
      </c>
      <c r="R32" s="5" t="s">
        <v>465</v>
      </c>
      <c r="S32" s="5" t="s">
        <v>324</v>
      </c>
      <c r="T32" s="5" t="s">
        <v>324</v>
      </c>
      <c r="U32" s="5" t="s">
        <v>324</v>
      </c>
      <c r="V32" s="0" t="s">
        <v>86</v>
      </c>
      <c r="W32" s="5" t="s">
        <v>324</v>
      </c>
      <c r="X32" s="4" t="n">
        <f aca="false">F32</f>
        <v>26.6666666666667</v>
      </c>
    </row>
    <row r="33" customFormat="false" ht="15" hidden="false" customHeight="false" outlineLevel="0" collapsed="false">
      <c r="A33" s="0" t="s">
        <v>481</v>
      </c>
      <c r="B33" s="5" t="s">
        <v>482</v>
      </c>
      <c r="C33" s="5" t="s">
        <v>483</v>
      </c>
      <c r="D33" s="5" t="s">
        <v>484</v>
      </c>
      <c r="E33" s="4" t="n">
        <f aca="false">$B$15</f>
        <v>33.3333333333333</v>
      </c>
      <c r="F33" s="4" t="n">
        <f aca="false">$B$16</f>
        <v>26.6666666666667</v>
      </c>
      <c r="G33" s="4" t="n">
        <f aca="false">SUM($F$29:F33)</f>
        <v>133.333333333333</v>
      </c>
      <c r="H33" s="4" t="str">
        <f aca="false">IF(G33&lt;=$B$18+0.5,"yes","NO - needs Bloom")</f>
        <v>NO - needs Bloom</v>
      </c>
      <c r="I33" s="5" t="s">
        <v>328</v>
      </c>
      <c r="J33" s="5" t="s">
        <v>327</v>
      </c>
      <c r="K33" s="5" t="s">
        <v>326</v>
      </c>
      <c r="L33" s="0" t="s">
        <v>485</v>
      </c>
      <c r="M33" s="0" t="s">
        <v>93</v>
      </c>
      <c r="N33" s="0" t="s">
        <v>486</v>
      </c>
      <c r="O33" s="5" t="s">
        <v>463</v>
      </c>
      <c r="P33" s="5" t="s">
        <v>464</v>
      </c>
      <c r="Q33" s="5" t="s">
        <v>170</v>
      </c>
      <c r="R33" s="5" t="s">
        <v>465</v>
      </c>
      <c r="S33" s="5" t="s">
        <v>327</v>
      </c>
      <c r="T33" s="5" t="s">
        <v>326</v>
      </c>
      <c r="U33" s="5" t="s">
        <v>325</v>
      </c>
      <c r="V33" s="0" t="s">
        <v>93</v>
      </c>
      <c r="W33" s="5" t="s">
        <v>329</v>
      </c>
      <c r="X33" s="4" t="n">
        <f aca="false">F33</f>
        <v>26.6666666666667</v>
      </c>
    </row>
    <row r="34" customFormat="false" ht="15" hidden="false" customHeight="false" outlineLevel="0" collapsed="false">
      <c r="A34" s="0" t="s">
        <v>487</v>
      </c>
      <c r="B34" s="5" t="s">
        <v>488</v>
      </c>
      <c r="C34" s="5" t="s">
        <v>489</v>
      </c>
      <c r="D34" s="5" t="s">
        <v>490</v>
      </c>
      <c r="E34" s="4" t="n">
        <f aca="false">$B$15</f>
        <v>33.3333333333333</v>
      </c>
      <c r="F34" s="4" t="n">
        <f aca="false">$B$16</f>
        <v>26.6666666666667</v>
      </c>
      <c r="G34" s="4" t="n">
        <f aca="false">SUM($F$29:F34)</f>
        <v>160</v>
      </c>
      <c r="H34" s="4" t="str">
        <f aca="false">IF(G34&lt;=$B$18+0.5,"yes","NO - needs Bloom")</f>
        <v>NO - needs Bloom</v>
      </c>
      <c r="I34" s="5" t="s">
        <v>328</v>
      </c>
      <c r="J34" s="5" t="s">
        <v>327</v>
      </c>
      <c r="K34" s="5" t="s">
        <v>326</v>
      </c>
      <c r="L34" s="0" t="s">
        <v>491</v>
      </c>
      <c r="M34" s="0" t="s">
        <v>93</v>
      </c>
      <c r="N34" s="0" t="s">
        <v>492</v>
      </c>
      <c r="O34" s="5" t="s">
        <v>463</v>
      </c>
      <c r="P34" s="5" t="s">
        <v>464</v>
      </c>
      <c r="Q34" s="5" t="s">
        <v>170</v>
      </c>
      <c r="R34" s="5" t="s">
        <v>465</v>
      </c>
      <c r="S34" s="5" t="s">
        <v>327</v>
      </c>
      <c r="T34" s="5" t="s">
        <v>326</v>
      </c>
      <c r="U34" s="5" t="s">
        <v>325</v>
      </c>
      <c r="V34" s="0" t="s">
        <v>93</v>
      </c>
      <c r="W34" s="5" t="s">
        <v>329</v>
      </c>
      <c r="X34" s="4" t="n">
        <f aca="false">F34</f>
        <v>26.6666666666667</v>
      </c>
    </row>
    <row r="35" customFormat="false" ht="15" hidden="false" customHeight="false" outlineLevel="0" collapsed="false">
      <c r="A35" s="0" t="s">
        <v>493</v>
      </c>
      <c r="B35" s="5" t="s">
        <v>488</v>
      </c>
      <c r="C35" s="5" t="s">
        <v>489</v>
      </c>
      <c r="D35" s="5" t="s">
        <v>490</v>
      </c>
      <c r="E35" s="4" t="n">
        <f aca="false">$B$15</f>
        <v>33.3333333333333</v>
      </c>
      <c r="F35" s="4" t="n">
        <f aca="false">$B$16</f>
        <v>26.6666666666667</v>
      </c>
      <c r="G35" s="4" t="n">
        <f aca="false">SUM($F$29:F35)</f>
        <v>186.666666666667</v>
      </c>
      <c r="H35" s="4" t="str">
        <f aca="false">IF(G35&lt;=$B$18+0.5,"yes","NO - needs Bloom")</f>
        <v>NO - needs Bloom</v>
      </c>
      <c r="I35" s="5" t="s">
        <v>329</v>
      </c>
      <c r="J35" s="5" t="s">
        <v>328</v>
      </c>
      <c r="K35" s="5" t="s">
        <v>327</v>
      </c>
      <c r="L35" s="0" t="s">
        <v>491</v>
      </c>
      <c r="M35" s="0" t="s">
        <v>93</v>
      </c>
      <c r="N35" s="0" t="s">
        <v>492</v>
      </c>
      <c r="O35" s="5" t="s">
        <v>463</v>
      </c>
      <c r="P35" s="5" t="s">
        <v>464</v>
      </c>
      <c r="Q35" s="5" t="s">
        <v>170</v>
      </c>
      <c r="R35" s="5" t="s">
        <v>465</v>
      </c>
      <c r="S35" s="5" t="s">
        <v>328</v>
      </c>
      <c r="T35" s="5" t="s">
        <v>327</v>
      </c>
      <c r="U35" s="5" t="s">
        <v>326</v>
      </c>
      <c r="V35" s="0" t="s">
        <v>93</v>
      </c>
      <c r="W35" s="5" t="s">
        <v>330</v>
      </c>
      <c r="X35" s="4" t="n">
        <f aca="false">F35</f>
        <v>26.6666666666667</v>
      </c>
    </row>
    <row r="36" customFormat="false" ht="15" hidden="false" customHeight="false" outlineLevel="0" collapsed="false">
      <c r="A36" s="0" t="s">
        <v>494</v>
      </c>
      <c r="B36" s="5" t="s">
        <v>488</v>
      </c>
      <c r="C36" s="5" t="s">
        <v>489</v>
      </c>
      <c r="D36" s="5" t="s">
        <v>490</v>
      </c>
      <c r="E36" s="4" t="n">
        <f aca="false">$B$15</f>
        <v>33.3333333333333</v>
      </c>
      <c r="F36" s="4" t="n">
        <f aca="false">$B$16</f>
        <v>26.6666666666667</v>
      </c>
      <c r="G36" s="4" t="n">
        <f aca="false">SUM($F$29:F36)</f>
        <v>213.333333333333</v>
      </c>
      <c r="H36" s="4" t="str">
        <f aca="false">IF(G36&lt;=$B$18+0.5,"yes","NO - needs Bloom")</f>
        <v>NO - needs Bloom</v>
      </c>
      <c r="I36" s="5" t="s">
        <v>329</v>
      </c>
      <c r="J36" s="5" t="s">
        <v>328</v>
      </c>
      <c r="K36" s="5" t="s">
        <v>327</v>
      </c>
      <c r="L36" s="0" t="s">
        <v>491</v>
      </c>
      <c r="M36" s="0" t="s">
        <v>93</v>
      </c>
      <c r="N36" s="0" t="s">
        <v>492</v>
      </c>
      <c r="O36" s="5" t="s">
        <v>463</v>
      </c>
      <c r="P36" s="5" t="s">
        <v>464</v>
      </c>
      <c r="Q36" s="5" t="s">
        <v>170</v>
      </c>
      <c r="R36" s="5" t="s">
        <v>465</v>
      </c>
      <c r="S36" s="5" t="s">
        <v>328</v>
      </c>
      <c r="T36" s="5" t="s">
        <v>327</v>
      </c>
      <c r="U36" s="5" t="s">
        <v>326</v>
      </c>
      <c r="V36" s="0" t="s">
        <v>93</v>
      </c>
      <c r="W36" s="5" t="s">
        <v>330</v>
      </c>
      <c r="X36" s="4" t="n">
        <f aca="false">F36</f>
        <v>26.6666666666667</v>
      </c>
    </row>
    <row r="37" customFormat="false" ht="15" hidden="false" customHeight="false" outlineLevel="0" collapsed="false">
      <c r="A37" s="0" t="s">
        <v>495</v>
      </c>
      <c r="B37" s="5" t="s">
        <v>488</v>
      </c>
      <c r="C37" s="5" t="s">
        <v>489</v>
      </c>
      <c r="D37" s="5" t="s">
        <v>490</v>
      </c>
      <c r="E37" s="4" t="n">
        <f aca="false">$B$15</f>
        <v>33.3333333333333</v>
      </c>
      <c r="F37" s="4" t="n">
        <f aca="false">$B$16</f>
        <v>26.6666666666667</v>
      </c>
      <c r="G37" s="4" t="n">
        <f aca="false">SUM($F$29:F37)</f>
        <v>240</v>
      </c>
      <c r="H37" s="4" t="str">
        <f aca="false">IF(G37&lt;=$B$18+0.5,"yes","NO - needs Bloom")</f>
        <v>NO - needs Bloom</v>
      </c>
      <c r="I37" s="5" t="s">
        <v>330</v>
      </c>
      <c r="J37" s="5" t="s">
        <v>328</v>
      </c>
      <c r="K37" s="5" t="s">
        <v>327</v>
      </c>
      <c r="L37" s="0" t="s">
        <v>491</v>
      </c>
      <c r="M37" s="0" t="s">
        <v>93</v>
      </c>
      <c r="N37" s="0" t="s">
        <v>492</v>
      </c>
      <c r="O37" s="5" t="s">
        <v>463</v>
      </c>
      <c r="P37" s="5" t="s">
        <v>464</v>
      </c>
      <c r="Q37" s="5" t="s">
        <v>170</v>
      </c>
      <c r="R37" s="5" t="s">
        <v>465</v>
      </c>
      <c r="S37" s="5" t="s">
        <v>329</v>
      </c>
      <c r="T37" s="5" t="s">
        <v>327</v>
      </c>
      <c r="U37" s="5" t="s">
        <v>326</v>
      </c>
      <c r="V37" s="0" t="s">
        <v>93</v>
      </c>
      <c r="W37" s="5" t="s">
        <v>330</v>
      </c>
      <c r="X37" s="4" t="n">
        <f aca="false">F37</f>
        <v>26.6666666666667</v>
      </c>
    </row>
    <row r="40" customFormat="false" ht="15" hidden="false" customHeight="false" outlineLevel="0" collapsed="false">
      <c r="A40" s="12" t="s">
        <v>496</v>
      </c>
    </row>
    <row r="41" customFormat="false" ht="15" hidden="false" customHeight="false" outlineLevel="0" collapsed="false">
      <c r="A41" s="12" t="s">
        <v>497</v>
      </c>
    </row>
    <row r="42" customFormat="false" ht="15" hidden="false" customHeight="false" outlineLevel="0" collapsed="false">
      <c r="A42" s="12" t="s">
        <v>498</v>
      </c>
    </row>
    <row r="43" customFormat="false" ht="15" hidden="false" customHeight="false" outlineLevel="0" collapsed="false">
      <c r="A43" s="12" t="s">
        <v>499</v>
      </c>
    </row>
    <row r="44" customFormat="false" ht="15" hidden="false" customHeight="false" outlineLevel="0" collapsed="false">
      <c r="A44" s="12" t="s">
        <v>500</v>
      </c>
    </row>
    <row r="45" customFormat="false" ht="15" hidden="false" customHeight="false" outlineLevel="0" collapsed="false">
      <c r="A45" s="12" t="s">
        <v>501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3" min="3" style="0" width="40"/>
    <col collapsed="false" customWidth="true" hidden="false" outlineLevel="0" max="5" min="5" style="0" width="100"/>
  </cols>
  <sheetData>
    <row r="1" customFormat="false" ht="15" hidden="false" customHeight="false" outlineLevel="0" collapsed="false">
      <c r="A1" s="3" t="s">
        <v>502</v>
      </c>
      <c r="B1" s="3" t="s">
        <v>503</v>
      </c>
      <c r="C1" s="3" t="s">
        <v>504</v>
      </c>
      <c r="D1" s="3" t="s">
        <v>23</v>
      </c>
      <c r="E1" s="3" t="s">
        <v>447</v>
      </c>
      <c r="F1" s="3" t="s">
        <v>46</v>
      </c>
    </row>
    <row r="2" customFormat="false" ht="15" hidden="false" customHeight="false" outlineLevel="0" collapsed="false">
      <c r="A2" s="0" t="s">
        <v>505</v>
      </c>
      <c r="B2" s="0" t="s">
        <v>506</v>
      </c>
      <c r="C2" s="0" t="s">
        <v>169</v>
      </c>
      <c r="D2" s="0" t="s">
        <v>86</v>
      </c>
      <c r="E2" s="0" t="s">
        <v>178</v>
      </c>
    </row>
    <row r="3" customFormat="false" ht="15" hidden="false" customHeight="false" outlineLevel="0" collapsed="false">
      <c r="A3" s="0" t="s">
        <v>505</v>
      </c>
      <c r="B3" s="0" t="s">
        <v>507</v>
      </c>
      <c r="C3" s="0" t="s">
        <v>170</v>
      </c>
      <c r="D3" s="0" t="s">
        <v>86</v>
      </c>
      <c r="E3" s="0" t="s">
        <v>171</v>
      </c>
    </row>
    <row r="4" customFormat="false" ht="15" hidden="false" customHeight="false" outlineLevel="0" collapsed="false">
      <c r="A4" s="0" t="s">
        <v>505</v>
      </c>
      <c r="B4" s="0" t="s">
        <v>508</v>
      </c>
      <c r="C4" s="0" t="s">
        <v>509</v>
      </c>
      <c r="D4" s="0" t="s">
        <v>86</v>
      </c>
      <c r="E4" s="0" t="s">
        <v>178</v>
      </c>
    </row>
    <row r="5" customFormat="false" ht="15" hidden="false" customHeight="false" outlineLevel="0" collapsed="false">
      <c r="A5" s="0" t="s">
        <v>505</v>
      </c>
      <c r="B5" s="0" t="s">
        <v>510</v>
      </c>
      <c r="C5" s="0" t="s">
        <v>172</v>
      </c>
      <c r="D5" s="0" t="s">
        <v>93</v>
      </c>
      <c r="E5" s="0" t="s">
        <v>511</v>
      </c>
    </row>
    <row r="6" customFormat="false" ht="15" hidden="false" customHeight="false" outlineLevel="0" collapsed="false">
      <c r="A6" s="0" t="s">
        <v>505</v>
      </c>
      <c r="B6" s="0" t="s">
        <v>512</v>
      </c>
      <c r="C6" s="0" t="s">
        <v>173</v>
      </c>
      <c r="D6" s="0" t="s">
        <v>86</v>
      </c>
      <c r="E6" s="0" t="s">
        <v>178</v>
      </c>
    </row>
    <row r="7" customFormat="false" ht="15" hidden="false" customHeight="false" outlineLevel="0" collapsed="false">
      <c r="A7" s="0" t="s">
        <v>505</v>
      </c>
      <c r="B7" s="0" t="s">
        <v>513</v>
      </c>
      <c r="C7" s="0" t="s">
        <v>174</v>
      </c>
      <c r="D7" s="0" t="s">
        <v>86</v>
      </c>
      <c r="E7" s="0" t="s">
        <v>178</v>
      </c>
    </row>
    <row r="8" customFormat="false" ht="15" hidden="false" customHeight="false" outlineLevel="0" collapsed="false">
      <c r="A8" s="0" t="s">
        <v>505</v>
      </c>
      <c r="B8" s="0" t="s">
        <v>514</v>
      </c>
      <c r="C8" s="0" t="s">
        <v>175</v>
      </c>
      <c r="D8" s="0" t="s">
        <v>93</v>
      </c>
      <c r="E8" s="0" t="s">
        <v>178</v>
      </c>
    </row>
    <row r="9" customFormat="false" ht="15" hidden="false" customHeight="false" outlineLevel="0" collapsed="false">
      <c r="A9" s="0" t="s">
        <v>505</v>
      </c>
      <c r="B9" s="0" t="s">
        <v>515</v>
      </c>
      <c r="C9" s="0" t="s">
        <v>176</v>
      </c>
      <c r="D9" s="0" t="s">
        <v>93</v>
      </c>
      <c r="E9" s="0" t="s">
        <v>516</v>
      </c>
    </row>
    <row r="10" customFormat="false" ht="15" hidden="false" customHeight="false" outlineLevel="0" collapsed="false">
      <c r="A10" s="0" t="s">
        <v>505</v>
      </c>
      <c r="B10" s="0" t="s">
        <v>517</v>
      </c>
      <c r="C10" s="0" t="s">
        <v>177</v>
      </c>
      <c r="D10" s="0" t="s">
        <v>93</v>
      </c>
      <c r="E10" s="0" t="s">
        <v>178</v>
      </c>
    </row>
    <row r="11" customFormat="false" ht="15" hidden="false" customHeight="false" outlineLevel="0" collapsed="false">
      <c r="A11" s="0" t="s">
        <v>505</v>
      </c>
      <c r="B11" s="0" t="s">
        <v>518</v>
      </c>
      <c r="C11" s="0" t="s">
        <v>180</v>
      </c>
      <c r="D11" s="0" t="s">
        <v>86</v>
      </c>
      <c r="E11" s="0" t="s">
        <v>189</v>
      </c>
    </row>
    <row r="12" customFormat="false" ht="15" hidden="false" customHeight="false" outlineLevel="0" collapsed="false">
      <c r="A12" s="0" t="s">
        <v>505</v>
      </c>
      <c r="B12" s="0" t="s">
        <v>519</v>
      </c>
      <c r="C12" s="0" t="s">
        <v>181</v>
      </c>
      <c r="D12" s="0" t="s">
        <v>93</v>
      </c>
      <c r="E12" s="0" t="s">
        <v>182</v>
      </c>
    </row>
    <row r="13" customFormat="false" ht="15" hidden="false" customHeight="false" outlineLevel="0" collapsed="false">
      <c r="A13" s="0" t="s">
        <v>505</v>
      </c>
      <c r="B13" s="0" t="s">
        <v>520</v>
      </c>
      <c r="C13" s="0" t="s">
        <v>521</v>
      </c>
      <c r="D13" s="0" t="s">
        <v>86</v>
      </c>
      <c r="E13" s="0" t="s">
        <v>189</v>
      </c>
    </row>
    <row r="14" customFormat="false" ht="15" hidden="false" customHeight="false" outlineLevel="0" collapsed="false">
      <c r="A14" s="0" t="s">
        <v>505</v>
      </c>
      <c r="B14" s="0" t="s">
        <v>522</v>
      </c>
      <c r="C14" s="0" t="s">
        <v>183</v>
      </c>
      <c r="D14" s="0" t="s">
        <v>93</v>
      </c>
      <c r="E14" s="0" t="s">
        <v>511</v>
      </c>
    </row>
    <row r="15" customFormat="false" ht="15" hidden="false" customHeight="false" outlineLevel="0" collapsed="false">
      <c r="A15" s="0" t="s">
        <v>505</v>
      </c>
      <c r="B15" s="0" t="s">
        <v>523</v>
      </c>
      <c r="C15" s="0" t="s">
        <v>184</v>
      </c>
      <c r="D15" s="0" t="s">
        <v>86</v>
      </c>
      <c r="E15" s="0" t="s">
        <v>189</v>
      </c>
    </row>
    <row r="16" customFormat="false" ht="15" hidden="false" customHeight="false" outlineLevel="0" collapsed="false">
      <c r="A16" s="0" t="s">
        <v>505</v>
      </c>
      <c r="B16" s="0" t="s">
        <v>524</v>
      </c>
      <c r="C16" s="0" t="s">
        <v>185</v>
      </c>
      <c r="D16" s="0" t="s">
        <v>86</v>
      </c>
      <c r="E16" s="0" t="s">
        <v>189</v>
      </c>
    </row>
    <row r="17" customFormat="false" ht="15" hidden="false" customHeight="false" outlineLevel="0" collapsed="false">
      <c r="A17" s="0" t="s">
        <v>505</v>
      </c>
      <c r="B17" s="0" t="s">
        <v>525</v>
      </c>
      <c r="C17" s="0" t="s">
        <v>186</v>
      </c>
      <c r="D17" s="0" t="s">
        <v>93</v>
      </c>
      <c r="E17" s="0" t="s">
        <v>189</v>
      </c>
    </row>
    <row r="18" customFormat="false" ht="15" hidden="false" customHeight="false" outlineLevel="0" collapsed="false">
      <c r="A18" s="0" t="s">
        <v>505</v>
      </c>
      <c r="B18" s="0" t="s">
        <v>526</v>
      </c>
      <c r="C18" s="0" t="s">
        <v>187</v>
      </c>
      <c r="D18" s="0" t="s">
        <v>93</v>
      </c>
      <c r="E18" s="0" t="s">
        <v>516</v>
      </c>
    </row>
    <row r="19" customFormat="false" ht="15" hidden="false" customHeight="false" outlineLevel="0" collapsed="false">
      <c r="A19" s="0" t="s">
        <v>505</v>
      </c>
      <c r="B19" s="0" t="s">
        <v>527</v>
      </c>
      <c r="C19" s="0" t="s">
        <v>188</v>
      </c>
      <c r="D19" s="0" t="s">
        <v>93</v>
      </c>
      <c r="E19" s="0" t="s">
        <v>189</v>
      </c>
    </row>
    <row r="20" customFormat="false" ht="15" hidden="false" customHeight="false" outlineLevel="0" collapsed="false">
      <c r="A20" s="0" t="s">
        <v>505</v>
      </c>
      <c r="B20" s="0" t="s">
        <v>528</v>
      </c>
      <c r="C20" s="0" t="s">
        <v>180</v>
      </c>
      <c r="D20" s="0" t="s">
        <v>86</v>
      </c>
      <c r="E20" s="0" t="s">
        <v>197</v>
      </c>
    </row>
    <row r="21" customFormat="false" ht="15" hidden="false" customHeight="false" outlineLevel="0" collapsed="false">
      <c r="A21" s="0" t="s">
        <v>505</v>
      </c>
      <c r="B21" s="0" t="s">
        <v>529</v>
      </c>
      <c r="C21" s="0" t="s">
        <v>191</v>
      </c>
      <c r="D21" s="0" t="s">
        <v>93</v>
      </c>
      <c r="E21" s="0" t="s">
        <v>184</v>
      </c>
    </row>
    <row r="22" customFormat="false" ht="15" hidden="false" customHeight="false" outlineLevel="0" collapsed="false">
      <c r="A22" s="0" t="s">
        <v>505</v>
      </c>
      <c r="B22" s="0" t="s">
        <v>530</v>
      </c>
      <c r="C22" s="0" t="s">
        <v>521</v>
      </c>
      <c r="D22" s="0" t="s">
        <v>86</v>
      </c>
      <c r="E22" s="0" t="s">
        <v>197</v>
      </c>
    </row>
    <row r="23" customFormat="false" ht="15" hidden="false" customHeight="false" outlineLevel="0" collapsed="false">
      <c r="A23" s="0" t="s">
        <v>505</v>
      </c>
      <c r="B23" s="0" t="s">
        <v>531</v>
      </c>
      <c r="C23" s="0" t="s">
        <v>192</v>
      </c>
      <c r="D23" s="0" t="s">
        <v>93</v>
      </c>
      <c r="E23" s="0" t="s">
        <v>511</v>
      </c>
    </row>
    <row r="24" customFormat="false" ht="15" hidden="false" customHeight="false" outlineLevel="0" collapsed="false">
      <c r="A24" s="0" t="s">
        <v>505</v>
      </c>
      <c r="B24" s="0" t="s">
        <v>532</v>
      </c>
      <c r="C24" s="0" t="s">
        <v>184</v>
      </c>
      <c r="D24" s="0" t="s">
        <v>86</v>
      </c>
      <c r="E24" s="0" t="s">
        <v>197</v>
      </c>
    </row>
    <row r="25" customFormat="false" ht="15" hidden="false" customHeight="false" outlineLevel="0" collapsed="false">
      <c r="A25" s="0" t="s">
        <v>505</v>
      </c>
      <c r="B25" s="0" t="s">
        <v>533</v>
      </c>
      <c r="C25" s="0" t="s">
        <v>193</v>
      </c>
      <c r="D25" s="0" t="s">
        <v>86</v>
      </c>
      <c r="E25" s="0" t="s">
        <v>197</v>
      </c>
    </row>
    <row r="26" customFormat="false" ht="15" hidden="false" customHeight="false" outlineLevel="0" collapsed="false">
      <c r="A26" s="0" t="s">
        <v>505</v>
      </c>
      <c r="B26" s="0" t="s">
        <v>534</v>
      </c>
      <c r="C26" s="0" t="s">
        <v>194</v>
      </c>
      <c r="D26" s="0" t="s">
        <v>93</v>
      </c>
      <c r="E26" s="0" t="s">
        <v>197</v>
      </c>
    </row>
    <row r="27" customFormat="false" ht="15" hidden="false" customHeight="false" outlineLevel="0" collapsed="false">
      <c r="A27" s="0" t="s">
        <v>505</v>
      </c>
      <c r="B27" s="0" t="s">
        <v>535</v>
      </c>
      <c r="C27" s="0" t="s">
        <v>195</v>
      </c>
      <c r="D27" s="0" t="s">
        <v>93</v>
      </c>
      <c r="E27" s="0" t="s">
        <v>516</v>
      </c>
    </row>
    <row r="28" customFormat="false" ht="15" hidden="false" customHeight="false" outlineLevel="0" collapsed="false">
      <c r="A28" s="0" t="s">
        <v>505</v>
      </c>
      <c r="B28" s="0" t="s">
        <v>536</v>
      </c>
      <c r="C28" s="0" t="s">
        <v>196</v>
      </c>
      <c r="D28" s="0" t="s">
        <v>93</v>
      </c>
      <c r="E28" s="0" t="s">
        <v>197</v>
      </c>
    </row>
    <row r="29" customFormat="false" ht="15" hidden="false" customHeight="false" outlineLevel="0" collapsed="false">
      <c r="A29" s="0" t="s">
        <v>505</v>
      </c>
      <c r="B29" s="0" t="s">
        <v>537</v>
      </c>
      <c r="C29" s="0" t="s">
        <v>199</v>
      </c>
      <c r="D29" s="0" t="s">
        <v>86</v>
      </c>
      <c r="E29" s="0" t="s">
        <v>204</v>
      </c>
    </row>
    <row r="30" customFormat="false" ht="15" hidden="false" customHeight="false" outlineLevel="0" collapsed="false">
      <c r="A30" s="0" t="s">
        <v>505</v>
      </c>
      <c r="B30" s="0" t="s">
        <v>538</v>
      </c>
      <c r="C30" s="0" t="s">
        <v>191</v>
      </c>
      <c r="D30" s="0" t="s">
        <v>93</v>
      </c>
      <c r="E30" s="0" t="s">
        <v>184</v>
      </c>
    </row>
    <row r="31" customFormat="false" ht="15" hidden="false" customHeight="false" outlineLevel="0" collapsed="false">
      <c r="A31" s="0" t="s">
        <v>505</v>
      </c>
      <c r="B31" s="0" t="s">
        <v>539</v>
      </c>
      <c r="C31" s="0" t="s">
        <v>509</v>
      </c>
      <c r="D31" s="0" t="s">
        <v>540</v>
      </c>
      <c r="E31" s="0" t="s">
        <v>204</v>
      </c>
    </row>
    <row r="32" customFormat="false" ht="15" hidden="false" customHeight="false" outlineLevel="0" collapsed="false">
      <c r="A32" s="0" t="s">
        <v>505</v>
      </c>
      <c r="B32" s="0" t="s">
        <v>541</v>
      </c>
      <c r="C32" s="0" t="s">
        <v>200</v>
      </c>
      <c r="D32" s="0" t="s">
        <v>93</v>
      </c>
      <c r="E32" s="0" t="s">
        <v>511</v>
      </c>
    </row>
    <row r="33" customFormat="false" ht="15" hidden="false" customHeight="false" outlineLevel="0" collapsed="false">
      <c r="A33" s="0" t="s">
        <v>505</v>
      </c>
      <c r="B33" s="0" t="s">
        <v>542</v>
      </c>
      <c r="C33" s="0" t="s">
        <v>184</v>
      </c>
      <c r="D33" s="0" t="s">
        <v>86</v>
      </c>
      <c r="E33" s="0" t="s">
        <v>204</v>
      </c>
    </row>
    <row r="34" customFormat="false" ht="15" hidden="false" customHeight="false" outlineLevel="0" collapsed="false">
      <c r="A34" s="0" t="s">
        <v>505</v>
      </c>
      <c r="B34" s="0" t="s">
        <v>543</v>
      </c>
      <c r="C34" s="0" t="s">
        <v>201</v>
      </c>
      <c r="D34" s="0" t="s">
        <v>86</v>
      </c>
      <c r="E34" s="0" t="s">
        <v>204</v>
      </c>
    </row>
    <row r="35" customFormat="false" ht="15" hidden="false" customHeight="false" outlineLevel="0" collapsed="false">
      <c r="A35" s="0" t="s">
        <v>505</v>
      </c>
      <c r="B35" s="0" t="s">
        <v>544</v>
      </c>
      <c r="C35" s="0" t="s">
        <v>202</v>
      </c>
      <c r="D35" s="0" t="s">
        <v>93</v>
      </c>
      <c r="E35" s="0" t="s">
        <v>204</v>
      </c>
    </row>
    <row r="36" customFormat="false" ht="15" hidden="false" customHeight="false" outlineLevel="0" collapsed="false">
      <c r="A36" s="0" t="s">
        <v>505</v>
      </c>
      <c r="B36" s="0" t="s">
        <v>545</v>
      </c>
      <c r="C36" s="0" t="s">
        <v>203</v>
      </c>
      <c r="D36" s="0" t="s">
        <v>93</v>
      </c>
      <c r="E36" s="0" t="s">
        <v>516</v>
      </c>
    </row>
    <row r="37" customFormat="false" ht="15" hidden="false" customHeight="false" outlineLevel="0" collapsed="false">
      <c r="A37" s="0" t="s">
        <v>505</v>
      </c>
      <c r="B37" s="0" t="s">
        <v>546</v>
      </c>
      <c r="C37" s="0" t="s">
        <v>196</v>
      </c>
      <c r="D37" s="0" t="s">
        <v>93</v>
      </c>
      <c r="E37" s="0" t="s">
        <v>204</v>
      </c>
    </row>
    <row r="38" customFormat="false" ht="15" hidden="false" customHeight="false" outlineLevel="0" collapsed="false">
      <c r="A38" s="0" t="s">
        <v>505</v>
      </c>
      <c r="B38" s="0" t="s">
        <v>547</v>
      </c>
      <c r="C38" s="0" t="s">
        <v>206</v>
      </c>
      <c r="D38" s="0" t="s">
        <v>86</v>
      </c>
      <c r="E38" s="0" t="s">
        <v>213</v>
      </c>
    </row>
    <row r="39" customFormat="false" ht="15" hidden="false" customHeight="false" outlineLevel="0" collapsed="false">
      <c r="A39" s="0" t="s">
        <v>505</v>
      </c>
      <c r="B39" s="0" t="s">
        <v>548</v>
      </c>
      <c r="C39" s="0" t="s">
        <v>207</v>
      </c>
      <c r="D39" s="0" t="s">
        <v>93</v>
      </c>
      <c r="E39" s="0" t="s">
        <v>208</v>
      </c>
    </row>
    <row r="40" customFormat="false" ht="15" hidden="false" customHeight="false" outlineLevel="0" collapsed="false">
      <c r="A40" s="0" t="s">
        <v>505</v>
      </c>
      <c r="B40" s="0" t="s">
        <v>549</v>
      </c>
      <c r="C40" s="0" t="s">
        <v>550</v>
      </c>
      <c r="D40" s="0" t="s">
        <v>86</v>
      </c>
      <c r="E40" s="0" t="s">
        <v>213</v>
      </c>
    </row>
    <row r="41" customFormat="false" ht="15" hidden="false" customHeight="false" outlineLevel="0" collapsed="false">
      <c r="A41" s="0" t="s">
        <v>505</v>
      </c>
      <c r="B41" s="0" t="s">
        <v>551</v>
      </c>
      <c r="C41" s="0" t="s">
        <v>209</v>
      </c>
      <c r="D41" s="0" t="s">
        <v>93</v>
      </c>
      <c r="E41" s="0" t="s">
        <v>511</v>
      </c>
    </row>
    <row r="42" customFormat="false" ht="15" hidden="false" customHeight="false" outlineLevel="0" collapsed="false">
      <c r="A42" s="0" t="s">
        <v>505</v>
      </c>
      <c r="B42" s="0" t="s">
        <v>552</v>
      </c>
      <c r="C42" s="0" t="s">
        <v>184</v>
      </c>
      <c r="D42" s="0" t="s">
        <v>86</v>
      </c>
      <c r="E42" s="0" t="s">
        <v>213</v>
      </c>
    </row>
    <row r="43" customFormat="false" ht="15" hidden="false" customHeight="false" outlineLevel="0" collapsed="false">
      <c r="A43" s="0" t="s">
        <v>505</v>
      </c>
      <c r="B43" s="0" t="s">
        <v>553</v>
      </c>
      <c r="C43" s="0" t="s">
        <v>210</v>
      </c>
      <c r="D43" s="0" t="s">
        <v>86</v>
      </c>
      <c r="E43" s="0" t="s">
        <v>213</v>
      </c>
    </row>
    <row r="44" customFormat="false" ht="15" hidden="false" customHeight="false" outlineLevel="0" collapsed="false">
      <c r="A44" s="0" t="s">
        <v>505</v>
      </c>
      <c r="B44" s="0" t="s">
        <v>554</v>
      </c>
      <c r="C44" s="0" t="s">
        <v>211</v>
      </c>
      <c r="D44" s="0" t="s">
        <v>93</v>
      </c>
      <c r="E44" s="0" t="s">
        <v>213</v>
      </c>
    </row>
    <row r="45" customFormat="false" ht="15" hidden="false" customHeight="false" outlineLevel="0" collapsed="false">
      <c r="A45" s="0" t="s">
        <v>505</v>
      </c>
      <c r="B45" s="0" t="s">
        <v>555</v>
      </c>
      <c r="C45" s="0" t="s">
        <v>203</v>
      </c>
      <c r="D45" s="0" t="s">
        <v>93</v>
      </c>
      <c r="E45" s="0" t="s">
        <v>516</v>
      </c>
    </row>
    <row r="46" customFormat="false" ht="15" hidden="false" customHeight="false" outlineLevel="0" collapsed="false">
      <c r="A46" s="0" t="s">
        <v>505</v>
      </c>
      <c r="B46" s="0" t="s">
        <v>556</v>
      </c>
      <c r="C46" s="0" t="s">
        <v>212</v>
      </c>
      <c r="D46" s="0" t="s">
        <v>93</v>
      </c>
      <c r="E46" s="0" t="s">
        <v>213</v>
      </c>
    </row>
    <row r="47" customFormat="false" ht="15" hidden="false" customHeight="false" outlineLevel="0" collapsed="false">
      <c r="A47" s="0" t="s">
        <v>505</v>
      </c>
      <c r="B47" s="0" t="s">
        <v>557</v>
      </c>
      <c r="C47" s="0" t="s">
        <v>216</v>
      </c>
      <c r="D47" s="0" t="s">
        <v>86</v>
      </c>
      <c r="E47" s="0" t="s">
        <v>220</v>
      </c>
    </row>
    <row r="48" customFormat="false" ht="15" hidden="false" customHeight="false" outlineLevel="0" collapsed="false">
      <c r="A48" s="0" t="s">
        <v>505</v>
      </c>
      <c r="B48" s="0" t="s">
        <v>558</v>
      </c>
      <c r="C48" s="0" t="s">
        <v>191</v>
      </c>
      <c r="D48" s="0" t="s">
        <v>93</v>
      </c>
      <c r="E48" s="0" t="s">
        <v>184</v>
      </c>
    </row>
    <row r="49" customFormat="false" ht="15" hidden="false" customHeight="false" outlineLevel="0" collapsed="false">
      <c r="A49" s="0" t="s">
        <v>505</v>
      </c>
      <c r="B49" s="0" t="s">
        <v>559</v>
      </c>
      <c r="C49" s="0" t="s">
        <v>560</v>
      </c>
      <c r="D49" s="0" t="s">
        <v>86</v>
      </c>
      <c r="E49" s="0" t="s">
        <v>220</v>
      </c>
    </row>
    <row r="50" customFormat="false" ht="15" hidden="false" customHeight="false" outlineLevel="0" collapsed="false">
      <c r="A50" s="0" t="s">
        <v>505</v>
      </c>
      <c r="B50" s="0" t="s">
        <v>561</v>
      </c>
      <c r="C50" s="0" t="s">
        <v>209</v>
      </c>
      <c r="D50" s="0" t="s">
        <v>93</v>
      </c>
      <c r="E50" s="0" t="s">
        <v>511</v>
      </c>
    </row>
    <row r="51" customFormat="false" ht="15" hidden="false" customHeight="false" outlineLevel="0" collapsed="false">
      <c r="A51" s="0" t="s">
        <v>505</v>
      </c>
      <c r="B51" s="0" t="s">
        <v>562</v>
      </c>
      <c r="C51" s="0" t="s">
        <v>184</v>
      </c>
      <c r="D51" s="0" t="s">
        <v>86</v>
      </c>
      <c r="E51" s="0" t="s">
        <v>220</v>
      </c>
    </row>
    <row r="52" customFormat="false" ht="15" hidden="false" customHeight="false" outlineLevel="0" collapsed="false">
      <c r="A52" s="0" t="s">
        <v>505</v>
      </c>
      <c r="B52" s="0" t="s">
        <v>563</v>
      </c>
      <c r="C52" s="0" t="s">
        <v>217</v>
      </c>
      <c r="D52" s="0" t="s">
        <v>86</v>
      </c>
      <c r="E52" s="0" t="s">
        <v>220</v>
      </c>
    </row>
    <row r="53" customFormat="false" ht="15" hidden="false" customHeight="false" outlineLevel="0" collapsed="false">
      <c r="A53" s="0" t="s">
        <v>505</v>
      </c>
      <c r="B53" s="0" t="s">
        <v>564</v>
      </c>
      <c r="C53" s="0" t="s">
        <v>218</v>
      </c>
      <c r="D53" s="0" t="s">
        <v>93</v>
      </c>
      <c r="E53" s="0" t="s">
        <v>220</v>
      </c>
    </row>
    <row r="54" customFormat="false" ht="15" hidden="false" customHeight="false" outlineLevel="0" collapsed="false">
      <c r="A54" s="0" t="s">
        <v>505</v>
      </c>
      <c r="B54" s="0" t="s">
        <v>565</v>
      </c>
      <c r="C54" s="0" t="s">
        <v>187</v>
      </c>
      <c r="D54" s="0" t="s">
        <v>93</v>
      </c>
      <c r="E54" s="0" t="s">
        <v>516</v>
      </c>
    </row>
    <row r="55" customFormat="false" ht="15" hidden="false" customHeight="false" outlineLevel="0" collapsed="false">
      <c r="A55" s="0" t="s">
        <v>505</v>
      </c>
      <c r="B55" s="0" t="s">
        <v>566</v>
      </c>
      <c r="C55" s="0" t="s">
        <v>219</v>
      </c>
      <c r="D55" s="0" t="s">
        <v>93</v>
      </c>
      <c r="E55" s="0" t="s">
        <v>220</v>
      </c>
    </row>
    <row r="56" customFormat="false" ht="15" hidden="false" customHeight="false" outlineLevel="0" collapsed="false">
      <c r="A56" s="0" t="s">
        <v>505</v>
      </c>
      <c r="B56" s="0" t="s">
        <v>567</v>
      </c>
      <c r="C56" s="0" t="s">
        <v>222</v>
      </c>
      <c r="D56" s="0" t="s">
        <v>86</v>
      </c>
      <c r="E56" s="0" t="s">
        <v>230</v>
      </c>
    </row>
    <row r="57" customFormat="false" ht="15" hidden="false" customHeight="false" outlineLevel="0" collapsed="false">
      <c r="A57" s="0" t="s">
        <v>505</v>
      </c>
      <c r="B57" s="0" t="s">
        <v>568</v>
      </c>
      <c r="C57" s="0" t="s">
        <v>223</v>
      </c>
      <c r="D57" s="0" t="s">
        <v>93</v>
      </c>
      <c r="E57" s="0" t="s">
        <v>224</v>
      </c>
    </row>
    <row r="58" customFormat="false" ht="15" hidden="false" customHeight="false" outlineLevel="0" collapsed="false">
      <c r="A58" s="0" t="s">
        <v>505</v>
      </c>
      <c r="B58" s="0" t="s">
        <v>569</v>
      </c>
      <c r="C58" s="0" t="s">
        <v>570</v>
      </c>
      <c r="D58" s="0" t="s">
        <v>86</v>
      </c>
      <c r="E58" s="0" t="s">
        <v>230</v>
      </c>
    </row>
    <row r="59" customFormat="false" ht="15" hidden="false" customHeight="false" outlineLevel="0" collapsed="false">
      <c r="A59" s="0" t="s">
        <v>505</v>
      </c>
      <c r="B59" s="0" t="s">
        <v>571</v>
      </c>
      <c r="C59" s="0" t="s">
        <v>225</v>
      </c>
      <c r="D59" s="0" t="s">
        <v>93</v>
      </c>
      <c r="E59" s="0" t="s">
        <v>511</v>
      </c>
    </row>
    <row r="60" customFormat="false" ht="15" hidden="false" customHeight="false" outlineLevel="0" collapsed="false">
      <c r="A60" s="0" t="s">
        <v>505</v>
      </c>
      <c r="B60" s="0" t="s">
        <v>572</v>
      </c>
      <c r="C60" s="0" t="s">
        <v>226</v>
      </c>
      <c r="D60" s="0" t="s">
        <v>86</v>
      </c>
      <c r="E60" s="0" t="s">
        <v>230</v>
      </c>
    </row>
    <row r="61" customFormat="false" ht="15" hidden="false" customHeight="false" outlineLevel="0" collapsed="false">
      <c r="A61" s="0" t="s">
        <v>505</v>
      </c>
      <c r="B61" s="0" t="s">
        <v>573</v>
      </c>
      <c r="C61" s="0" t="s">
        <v>227</v>
      </c>
      <c r="D61" s="0" t="s">
        <v>86</v>
      </c>
      <c r="E61" s="0" t="s">
        <v>230</v>
      </c>
    </row>
    <row r="62" customFormat="false" ht="15" hidden="false" customHeight="false" outlineLevel="0" collapsed="false">
      <c r="A62" s="0" t="s">
        <v>505</v>
      </c>
      <c r="B62" s="0" t="s">
        <v>574</v>
      </c>
      <c r="C62" s="0" t="s">
        <v>228</v>
      </c>
      <c r="D62" s="0" t="s">
        <v>93</v>
      </c>
      <c r="E62" s="0" t="s">
        <v>230</v>
      </c>
    </row>
    <row r="63" customFormat="false" ht="15" hidden="false" customHeight="false" outlineLevel="0" collapsed="false">
      <c r="A63" s="0" t="s">
        <v>505</v>
      </c>
      <c r="B63" s="0" t="s">
        <v>575</v>
      </c>
      <c r="C63" s="0" t="s">
        <v>187</v>
      </c>
      <c r="D63" s="0" t="s">
        <v>93</v>
      </c>
      <c r="E63" s="0" t="s">
        <v>516</v>
      </c>
    </row>
    <row r="64" customFormat="false" ht="15" hidden="false" customHeight="false" outlineLevel="0" collapsed="false">
      <c r="A64" s="0" t="s">
        <v>505</v>
      </c>
      <c r="B64" s="0" t="s">
        <v>576</v>
      </c>
      <c r="C64" s="0" t="s">
        <v>229</v>
      </c>
      <c r="D64" s="0" t="s">
        <v>93</v>
      </c>
      <c r="E64" s="0" t="s">
        <v>230</v>
      </c>
    </row>
    <row r="65" customFormat="false" ht="15" hidden="false" customHeight="false" outlineLevel="0" collapsed="false">
      <c r="A65" s="0" t="s">
        <v>505</v>
      </c>
      <c r="B65" s="0" t="s">
        <v>577</v>
      </c>
      <c r="C65" s="0" t="s">
        <v>232</v>
      </c>
      <c r="D65" s="0" t="s">
        <v>86</v>
      </c>
      <c r="E65" s="0" t="s">
        <v>236</v>
      </c>
    </row>
    <row r="66" customFormat="false" ht="15" hidden="false" customHeight="false" outlineLevel="0" collapsed="false">
      <c r="A66" s="0" t="s">
        <v>505</v>
      </c>
      <c r="B66" s="0" t="s">
        <v>578</v>
      </c>
      <c r="C66" s="0" t="s">
        <v>191</v>
      </c>
      <c r="D66" s="0" t="s">
        <v>93</v>
      </c>
      <c r="E66" s="0" t="s">
        <v>184</v>
      </c>
    </row>
    <row r="67" customFormat="false" ht="15" hidden="false" customHeight="false" outlineLevel="0" collapsed="false">
      <c r="A67" s="0" t="s">
        <v>505</v>
      </c>
      <c r="B67" s="0" t="s">
        <v>579</v>
      </c>
      <c r="C67" s="0" t="s">
        <v>580</v>
      </c>
      <c r="D67" s="0" t="s">
        <v>86</v>
      </c>
      <c r="E67" s="0" t="s">
        <v>236</v>
      </c>
    </row>
    <row r="68" customFormat="false" ht="15" hidden="false" customHeight="false" outlineLevel="0" collapsed="false">
      <c r="A68" s="0" t="s">
        <v>505</v>
      </c>
      <c r="B68" s="0" t="s">
        <v>581</v>
      </c>
      <c r="C68" s="0" t="s">
        <v>233</v>
      </c>
      <c r="D68" s="0" t="s">
        <v>93</v>
      </c>
      <c r="E68" s="0" t="s">
        <v>511</v>
      </c>
    </row>
    <row r="69" customFormat="false" ht="15" hidden="false" customHeight="false" outlineLevel="0" collapsed="false">
      <c r="A69" s="0" t="s">
        <v>505</v>
      </c>
      <c r="B69" s="0" t="s">
        <v>582</v>
      </c>
      <c r="C69" s="0" t="s">
        <v>184</v>
      </c>
      <c r="D69" s="0" t="s">
        <v>86</v>
      </c>
      <c r="E69" s="0" t="s">
        <v>236</v>
      </c>
    </row>
    <row r="70" customFormat="false" ht="15" hidden="false" customHeight="false" outlineLevel="0" collapsed="false">
      <c r="A70" s="0" t="s">
        <v>505</v>
      </c>
      <c r="B70" s="0" t="s">
        <v>583</v>
      </c>
      <c r="C70" s="0" t="s">
        <v>234</v>
      </c>
      <c r="D70" s="0" t="s">
        <v>86</v>
      </c>
      <c r="E70" s="0" t="s">
        <v>236</v>
      </c>
    </row>
    <row r="71" customFormat="false" ht="15" hidden="false" customHeight="false" outlineLevel="0" collapsed="false">
      <c r="A71" s="0" t="s">
        <v>505</v>
      </c>
      <c r="B71" s="0" t="s">
        <v>584</v>
      </c>
      <c r="C71" s="0" t="s">
        <v>235</v>
      </c>
      <c r="D71" s="0" t="s">
        <v>93</v>
      </c>
      <c r="E71" s="0" t="s">
        <v>236</v>
      </c>
    </row>
    <row r="72" customFormat="false" ht="15" hidden="false" customHeight="false" outlineLevel="0" collapsed="false">
      <c r="A72" s="0" t="s">
        <v>505</v>
      </c>
      <c r="B72" s="0" t="s">
        <v>585</v>
      </c>
      <c r="C72" s="0" t="s">
        <v>203</v>
      </c>
      <c r="D72" s="0" t="s">
        <v>93</v>
      </c>
      <c r="E72" s="0" t="s">
        <v>516</v>
      </c>
    </row>
    <row r="73" customFormat="false" ht="15" hidden="false" customHeight="false" outlineLevel="0" collapsed="false">
      <c r="A73" s="0" t="s">
        <v>505</v>
      </c>
      <c r="B73" s="0" t="s">
        <v>586</v>
      </c>
      <c r="C73" s="0" t="s">
        <v>196</v>
      </c>
      <c r="D73" s="0" t="s">
        <v>93</v>
      </c>
      <c r="E73" s="0" t="s">
        <v>236</v>
      </c>
    </row>
    <row r="74" customFormat="false" ht="15" hidden="false" customHeight="false" outlineLevel="0" collapsed="false">
      <c r="A74" s="0" t="s">
        <v>505</v>
      </c>
      <c r="B74" s="0" t="s">
        <v>587</v>
      </c>
      <c r="C74" s="0" t="s">
        <v>237</v>
      </c>
      <c r="D74" s="0" t="s">
        <v>86</v>
      </c>
      <c r="E74" s="0" t="s">
        <v>242</v>
      </c>
    </row>
    <row r="75" customFormat="false" ht="15" hidden="false" customHeight="false" outlineLevel="0" collapsed="false">
      <c r="A75" s="0" t="s">
        <v>505</v>
      </c>
      <c r="B75" s="0" t="s">
        <v>588</v>
      </c>
      <c r="C75" s="0" t="s">
        <v>238</v>
      </c>
      <c r="D75" s="0" t="s">
        <v>93</v>
      </c>
      <c r="E75" s="0" t="s">
        <v>224</v>
      </c>
    </row>
    <row r="76" customFormat="false" ht="15" hidden="false" customHeight="false" outlineLevel="0" collapsed="false">
      <c r="A76" s="0" t="s">
        <v>505</v>
      </c>
      <c r="B76" s="0" t="s">
        <v>589</v>
      </c>
      <c r="C76" s="0" t="s">
        <v>590</v>
      </c>
      <c r="D76" s="0" t="s">
        <v>86</v>
      </c>
      <c r="E76" s="0" t="s">
        <v>242</v>
      </c>
    </row>
    <row r="77" customFormat="false" ht="15" hidden="false" customHeight="false" outlineLevel="0" collapsed="false">
      <c r="A77" s="0" t="s">
        <v>505</v>
      </c>
      <c r="B77" s="0" t="s">
        <v>591</v>
      </c>
      <c r="C77" s="0" t="s">
        <v>209</v>
      </c>
      <c r="D77" s="0" t="s">
        <v>93</v>
      </c>
      <c r="E77" s="0" t="s">
        <v>511</v>
      </c>
    </row>
    <row r="78" customFormat="false" ht="15" hidden="false" customHeight="false" outlineLevel="0" collapsed="false">
      <c r="A78" s="0" t="s">
        <v>505</v>
      </c>
      <c r="B78" s="0" t="s">
        <v>592</v>
      </c>
      <c r="C78" s="0" t="s">
        <v>184</v>
      </c>
      <c r="D78" s="0" t="s">
        <v>86</v>
      </c>
      <c r="E78" s="0" t="s">
        <v>242</v>
      </c>
    </row>
    <row r="79" customFormat="false" ht="15" hidden="false" customHeight="false" outlineLevel="0" collapsed="false">
      <c r="A79" s="0" t="s">
        <v>505</v>
      </c>
      <c r="B79" s="0" t="s">
        <v>593</v>
      </c>
      <c r="C79" s="0" t="s">
        <v>239</v>
      </c>
      <c r="D79" s="0" t="s">
        <v>86</v>
      </c>
      <c r="E79" s="0" t="s">
        <v>242</v>
      </c>
    </row>
    <row r="80" customFormat="false" ht="15" hidden="false" customHeight="false" outlineLevel="0" collapsed="false">
      <c r="A80" s="0" t="s">
        <v>505</v>
      </c>
      <c r="B80" s="0" t="s">
        <v>594</v>
      </c>
      <c r="C80" s="0" t="s">
        <v>240</v>
      </c>
      <c r="D80" s="0" t="s">
        <v>93</v>
      </c>
      <c r="E80" s="0" t="s">
        <v>242</v>
      </c>
    </row>
    <row r="81" customFormat="false" ht="15" hidden="false" customHeight="false" outlineLevel="0" collapsed="false">
      <c r="A81" s="0" t="s">
        <v>505</v>
      </c>
      <c r="B81" s="0" t="s">
        <v>595</v>
      </c>
      <c r="C81" s="0" t="s">
        <v>187</v>
      </c>
      <c r="D81" s="0" t="s">
        <v>93</v>
      </c>
      <c r="E81" s="0" t="s">
        <v>516</v>
      </c>
    </row>
    <row r="82" customFormat="false" ht="15" hidden="false" customHeight="false" outlineLevel="0" collapsed="false">
      <c r="A82" s="0" t="s">
        <v>505</v>
      </c>
      <c r="B82" s="0" t="s">
        <v>596</v>
      </c>
      <c r="C82" s="0" t="s">
        <v>241</v>
      </c>
      <c r="D82" s="0" t="s">
        <v>86</v>
      </c>
      <c r="E82" s="0" t="s">
        <v>242</v>
      </c>
    </row>
    <row r="83" customFormat="false" ht="15" hidden="false" customHeight="false" outlineLevel="0" collapsed="false">
      <c r="A83" s="0" t="s">
        <v>505</v>
      </c>
      <c r="B83" s="0" t="s">
        <v>597</v>
      </c>
      <c r="C83" s="0" t="s">
        <v>237</v>
      </c>
      <c r="D83" s="0" t="s">
        <v>86</v>
      </c>
      <c r="E83" s="0" t="s">
        <v>247</v>
      </c>
    </row>
    <row r="84" customFormat="false" ht="15" hidden="false" customHeight="false" outlineLevel="0" collapsed="false">
      <c r="A84" s="0" t="s">
        <v>505</v>
      </c>
      <c r="B84" s="0" t="s">
        <v>598</v>
      </c>
      <c r="C84" s="0" t="s">
        <v>238</v>
      </c>
      <c r="D84" s="0" t="s">
        <v>93</v>
      </c>
      <c r="E84" s="0" t="s">
        <v>224</v>
      </c>
    </row>
    <row r="85" customFormat="false" ht="15" hidden="false" customHeight="false" outlineLevel="0" collapsed="false">
      <c r="A85" s="0" t="s">
        <v>505</v>
      </c>
      <c r="B85" s="0" t="s">
        <v>599</v>
      </c>
      <c r="C85" s="0" t="s">
        <v>600</v>
      </c>
      <c r="D85" s="0" t="s">
        <v>86</v>
      </c>
      <c r="E85" s="0" t="s">
        <v>247</v>
      </c>
    </row>
    <row r="86" customFormat="false" ht="15" hidden="false" customHeight="false" outlineLevel="0" collapsed="false">
      <c r="A86" s="0" t="s">
        <v>505</v>
      </c>
      <c r="B86" s="0" t="s">
        <v>601</v>
      </c>
      <c r="C86" s="0" t="s">
        <v>243</v>
      </c>
      <c r="D86" s="0" t="s">
        <v>93</v>
      </c>
      <c r="E86" s="0" t="s">
        <v>511</v>
      </c>
    </row>
    <row r="87" customFormat="false" ht="15" hidden="false" customHeight="false" outlineLevel="0" collapsed="false">
      <c r="A87" s="0" t="s">
        <v>505</v>
      </c>
      <c r="B87" s="0" t="s">
        <v>602</v>
      </c>
      <c r="C87" s="0" t="s">
        <v>184</v>
      </c>
      <c r="D87" s="0" t="s">
        <v>86</v>
      </c>
      <c r="E87" s="0" t="s">
        <v>247</v>
      </c>
    </row>
    <row r="88" customFormat="false" ht="15" hidden="false" customHeight="false" outlineLevel="0" collapsed="false">
      <c r="A88" s="0" t="s">
        <v>505</v>
      </c>
      <c r="B88" s="0" t="s">
        <v>603</v>
      </c>
      <c r="C88" s="0" t="s">
        <v>244</v>
      </c>
      <c r="D88" s="0" t="s">
        <v>86</v>
      </c>
      <c r="E88" s="0" t="s">
        <v>247</v>
      </c>
    </row>
    <row r="89" customFormat="false" ht="15" hidden="false" customHeight="false" outlineLevel="0" collapsed="false">
      <c r="A89" s="0" t="s">
        <v>505</v>
      </c>
      <c r="B89" s="0" t="s">
        <v>604</v>
      </c>
      <c r="C89" s="0" t="s">
        <v>245</v>
      </c>
      <c r="D89" s="0" t="s">
        <v>93</v>
      </c>
      <c r="E89" s="0" t="s">
        <v>247</v>
      </c>
    </row>
    <row r="90" customFormat="false" ht="15" hidden="false" customHeight="false" outlineLevel="0" collapsed="false">
      <c r="A90" s="0" t="s">
        <v>505</v>
      </c>
      <c r="B90" s="0" t="s">
        <v>605</v>
      </c>
      <c r="C90" s="0" t="s">
        <v>187</v>
      </c>
      <c r="D90" s="0" t="s">
        <v>93</v>
      </c>
      <c r="E90" s="0" t="s">
        <v>516</v>
      </c>
    </row>
    <row r="91" customFormat="false" ht="15" hidden="false" customHeight="false" outlineLevel="0" collapsed="false">
      <c r="A91" s="0" t="s">
        <v>505</v>
      </c>
      <c r="B91" s="0" t="s">
        <v>606</v>
      </c>
      <c r="C91" s="0" t="s">
        <v>246</v>
      </c>
      <c r="D91" s="0" t="s">
        <v>86</v>
      </c>
      <c r="E91" s="0" t="s">
        <v>247</v>
      </c>
    </row>
    <row r="92" customFormat="false" ht="15" hidden="false" customHeight="false" outlineLevel="0" collapsed="false">
      <c r="A92" s="0" t="s">
        <v>505</v>
      </c>
      <c r="B92" s="0" t="s">
        <v>607</v>
      </c>
      <c r="C92" s="0" t="s">
        <v>237</v>
      </c>
      <c r="D92" s="0" t="s">
        <v>86</v>
      </c>
      <c r="E92" s="0" t="s">
        <v>251</v>
      </c>
    </row>
    <row r="93" customFormat="false" ht="15" hidden="false" customHeight="false" outlineLevel="0" collapsed="false">
      <c r="A93" s="0" t="s">
        <v>505</v>
      </c>
      <c r="B93" s="0" t="s">
        <v>608</v>
      </c>
      <c r="C93" s="0" t="s">
        <v>238</v>
      </c>
      <c r="D93" s="0" t="s">
        <v>93</v>
      </c>
      <c r="E93" s="0" t="s">
        <v>224</v>
      </c>
    </row>
    <row r="94" customFormat="false" ht="15" hidden="false" customHeight="false" outlineLevel="0" collapsed="false">
      <c r="A94" s="0" t="s">
        <v>505</v>
      </c>
      <c r="B94" s="0" t="s">
        <v>609</v>
      </c>
      <c r="C94" s="0" t="s">
        <v>610</v>
      </c>
      <c r="D94" s="0" t="s">
        <v>86</v>
      </c>
      <c r="E94" s="0" t="s">
        <v>251</v>
      </c>
    </row>
    <row r="95" customFormat="false" ht="15" hidden="false" customHeight="false" outlineLevel="0" collapsed="false">
      <c r="A95" s="0" t="s">
        <v>505</v>
      </c>
      <c r="B95" s="0" t="s">
        <v>611</v>
      </c>
      <c r="C95" s="0" t="s">
        <v>209</v>
      </c>
      <c r="D95" s="0" t="s">
        <v>93</v>
      </c>
      <c r="E95" s="0" t="s">
        <v>511</v>
      </c>
    </row>
    <row r="96" customFormat="false" ht="15" hidden="false" customHeight="false" outlineLevel="0" collapsed="false">
      <c r="A96" s="0" t="s">
        <v>505</v>
      </c>
      <c r="B96" s="0" t="s">
        <v>612</v>
      </c>
      <c r="C96" s="0" t="s">
        <v>184</v>
      </c>
      <c r="D96" s="0" t="s">
        <v>86</v>
      </c>
      <c r="E96" s="0" t="s">
        <v>251</v>
      </c>
    </row>
    <row r="97" customFormat="false" ht="15" hidden="false" customHeight="false" outlineLevel="0" collapsed="false">
      <c r="A97" s="0" t="s">
        <v>505</v>
      </c>
      <c r="B97" s="0" t="s">
        <v>613</v>
      </c>
      <c r="C97" s="0" t="s">
        <v>249</v>
      </c>
      <c r="D97" s="0" t="s">
        <v>86</v>
      </c>
      <c r="E97" s="0" t="s">
        <v>251</v>
      </c>
    </row>
    <row r="98" customFormat="false" ht="15" hidden="false" customHeight="false" outlineLevel="0" collapsed="false">
      <c r="A98" s="0" t="s">
        <v>505</v>
      </c>
      <c r="B98" s="0" t="s">
        <v>614</v>
      </c>
      <c r="C98" s="0" t="s">
        <v>250</v>
      </c>
      <c r="D98" s="0" t="s">
        <v>93</v>
      </c>
      <c r="E98" s="0" t="s">
        <v>251</v>
      </c>
    </row>
    <row r="99" customFormat="false" ht="15" hidden="false" customHeight="false" outlineLevel="0" collapsed="false">
      <c r="A99" s="0" t="s">
        <v>505</v>
      </c>
      <c r="B99" s="0" t="s">
        <v>615</v>
      </c>
      <c r="C99" s="0" t="s">
        <v>187</v>
      </c>
      <c r="D99" s="0" t="s">
        <v>93</v>
      </c>
      <c r="E99" s="0" t="s">
        <v>516</v>
      </c>
    </row>
    <row r="100" customFormat="false" ht="15" hidden="false" customHeight="false" outlineLevel="0" collapsed="false">
      <c r="A100" s="0" t="s">
        <v>505</v>
      </c>
      <c r="B100" s="0" t="s">
        <v>616</v>
      </c>
      <c r="C100" s="0" t="s">
        <v>246</v>
      </c>
      <c r="D100" s="0" t="s">
        <v>86</v>
      </c>
      <c r="E100" s="0" t="s">
        <v>251</v>
      </c>
    </row>
    <row r="101" customFormat="false" ht="15" hidden="false" customHeight="false" outlineLevel="0" collapsed="false">
      <c r="A101" s="0" t="s">
        <v>505</v>
      </c>
      <c r="B101" s="0" t="s">
        <v>617</v>
      </c>
      <c r="C101" s="0" t="s">
        <v>237</v>
      </c>
      <c r="D101" s="0" t="s">
        <v>86</v>
      </c>
      <c r="E101" s="0" t="s">
        <v>257</v>
      </c>
    </row>
    <row r="102" customFormat="false" ht="15" hidden="false" customHeight="false" outlineLevel="0" collapsed="false">
      <c r="A102" s="0" t="s">
        <v>505</v>
      </c>
      <c r="B102" s="0" t="s">
        <v>618</v>
      </c>
      <c r="C102" s="0" t="s">
        <v>238</v>
      </c>
      <c r="D102" s="0" t="s">
        <v>93</v>
      </c>
      <c r="E102" s="0" t="s">
        <v>224</v>
      </c>
    </row>
    <row r="103" customFormat="false" ht="15" hidden="false" customHeight="false" outlineLevel="0" collapsed="false">
      <c r="A103" s="0" t="s">
        <v>505</v>
      </c>
      <c r="B103" s="0" t="s">
        <v>619</v>
      </c>
      <c r="C103" s="0" t="s">
        <v>620</v>
      </c>
      <c r="D103" s="0" t="s">
        <v>86</v>
      </c>
      <c r="E103" s="0" t="s">
        <v>257</v>
      </c>
    </row>
    <row r="104" customFormat="false" ht="15" hidden="false" customHeight="false" outlineLevel="0" collapsed="false">
      <c r="A104" s="0" t="s">
        <v>505</v>
      </c>
      <c r="B104" s="0" t="s">
        <v>621</v>
      </c>
      <c r="C104" s="0" t="s">
        <v>253</v>
      </c>
      <c r="D104" s="0" t="s">
        <v>93</v>
      </c>
      <c r="E104" s="0" t="s">
        <v>511</v>
      </c>
    </row>
    <row r="105" customFormat="false" ht="15" hidden="false" customHeight="false" outlineLevel="0" collapsed="false">
      <c r="A105" s="0" t="s">
        <v>505</v>
      </c>
      <c r="B105" s="0" t="s">
        <v>622</v>
      </c>
      <c r="C105" s="0" t="s">
        <v>184</v>
      </c>
      <c r="D105" s="0" t="s">
        <v>86</v>
      </c>
      <c r="E105" s="0" t="s">
        <v>257</v>
      </c>
    </row>
    <row r="106" customFormat="false" ht="15" hidden="false" customHeight="false" outlineLevel="0" collapsed="false">
      <c r="A106" s="0" t="s">
        <v>505</v>
      </c>
      <c r="B106" s="0" t="s">
        <v>623</v>
      </c>
      <c r="C106" s="0" t="s">
        <v>254</v>
      </c>
      <c r="D106" s="0" t="s">
        <v>86</v>
      </c>
      <c r="E106" s="0" t="s">
        <v>257</v>
      </c>
    </row>
    <row r="107" customFormat="false" ht="15" hidden="false" customHeight="false" outlineLevel="0" collapsed="false">
      <c r="A107" s="0" t="s">
        <v>505</v>
      </c>
      <c r="B107" s="0" t="s">
        <v>624</v>
      </c>
      <c r="C107" s="0" t="s">
        <v>255</v>
      </c>
      <c r="D107" s="0" t="s">
        <v>93</v>
      </c>
      <c r="E107" s="0" t="s">
        <v>257</v>
      </c>
    </row>
    <row r="108" customFormat="false" ht="15" hidden="false" customHeight="false" outlineLevel="0" collapsed="false">
      <c r="A108" s="0" t="s">
        <v>505</v>
      </c>
      <c r="B108" s="0" t="s">
        <v>625</v>
      </c>
      <c r="C108" s="0" t="s">
        <v>187</v>
      </c>
      <c r="D108" s="0" t="s">
        <v>93</v>
      </c>
      <c r="E108" s="0" t="s">
        <v>516</v>
      </c>
    </row>
    <row r="109" customFormat="false" ht="15" hidden="false" customHeight="false" outlineLevel="0" collapsed="false">
      <c r="A109" s="0" t="s">
        <v>505</v>
      </c>
      <c r="B109" s="0" t="s">
        <v>626</v>
      </c>
      <c r="C109" s="0" t="s">
        <v>256</v>
      </c>
      <c r="D109" s="0" t="s">
        <v>86</v>
      </c>
      <c r="E109" s="0" t="s">
        <v>257</v>
      </c>
    </row>
    <row r="110" customFormat="false" ht="15" hidden="false" customHeight="false" outlineLevel="0" collapsed="false">
      <c r="A110" s="0" t="s">
        <v>505</v>
      </c>
      <c r="B110" s="0" t="s">
        <v>627</v>
      </c>
      <c r="C110" s="0" t="s">
        <v>258</v>
      </c>
      <c r="D110" s="0" t="s">
        <v>86</v>
      </c>
      <c r="E110" s="0" t="s">
        <v>262</v>
      </c>
    </row>
    <row r="111" customFormat="false" ht="15" hidden="false" customHeight="false" outlineLevel="0" collapsed="false">
      <c r="A111" s="0" t="s">
        <v>505</v>
      </c>
      <c r="B111" s="0" t="s">
        <v>628</v>
      </c>
      <c r="C111" s="0" t="s">
        <v>238</v>
      </c>
      <c r="D111" s="0" t="s">
        <v>93</v>
      </c>
      <c r="E111" s="0" t="s">
        <v>224</v>
      </c>
    </row>
    <row r="112" customFormat="false" ht="15" hidden="false" customHeight="false" outlineLevel="0" collapsed="false">
      <c r="A112" s="0" t="s">
        <v>505</v>
      </c>
      <c r="B112" s="0" t="s">
        <v>629</v>
      </c>
      <c r="C112" s="0" t="s">
        <v>630</v>
      </c>
      <c r="D112" s="0" t="s">
        <v>86</v>
      </c>
      <c r="E112" s="0" t="s">
        <v>262</v>
      </c>
    </row>
    <row r="113" customFormat="false" ht="15" hidden="false" customHeight="false" outlineLevel="0" collapsed="false">
      <c r="A113" s="0" t="s">
        <v>505</v>
      </c>
      <c r="B113" s="0" t="s">
        <v>631</v>
      </c>
      <c r="C113" s="0" t="s">
        <v>209</v>
      </c>
      <c r="D113" s="0" t="s">
        <v>93</v>
      </c>
      <c r="E113" s="0" t="s">
        <v>511</v>
      </c>
    </row>
    <row r="114" customFormat="false" ht="15" hidden="false" customHeight="false" outlineLevel="0" collapsed="false">
      <c r="A114" s="0" t="s">
        <v>505</v>
      </c>
      <c r="B114" s="0" t="s">
        <v>632</v>
      </c>
      <c r="C114" s="0" t="s">
        <v>184</v>
      </c>
      <c r="D114" s="0" t="s">
        <v>86</v>
      </c>
      <c r="E114" s="0" t="s">
        <v>262</v>
      </c>
    </row>
    <row r="115" customFormat="false" ht="15" hidden="false" customHeight="false" outlineLevel="0" collapsed="false">
      <c r="A115" s="0" t="s">
        <v>505</v>
      </c>
      <c r="B115" s="0" t="s">
        <v>633</v>
      </c>
      <c r="C115" s="0" t="s">
        <v>259</v>
      </c>
      <c r="D115" s="0" t="s">
        <v>86</v>
      </c>
      <c r="E115" s="0" t="s">
        <v>262</v>
      </c>
    </row>
    <row r="116" customFormat="false" ht="15" hidden="false" customHeight="false" outlineLevel="0" collapsed="false">
      <c r="A116" s="0" t="s">
        <v>505</v>
      </c>
      <c r="B116" s="0" t="s">
        <v>634</v>
      </c>
      <c r="C116" s="0" t="s">
        <v>260</v>
      </c>
      <c r="D116" s="0" t="s">
        <v>93</v>
      </c>
      <c r="E116" s="0" t="s">
        <v>262</v>
      </c>
    </row>
    <row r="117" customFormat="false" ht="15" hidden="false" customHeight="false" outlineLevel="0" collapsed="false">
      <c r="A117" s="0" t="s">
        <v>505</v>
      </c>
      <c r="B117" s="0" t="s">
        <v>635</v>
      </c>
      <c r="C117" s="0" t="s">
        <v>187</v>
      </c>
      <c r="D117" s="0" t="s">
        <v>93</v>
      </c>
      <c r="E117" s="0" t="s">
        <v>516</v>
      </c>
    </row>
    <row r="118" customFormat="false" ht="15" hidden="false" customHeight="false" outlineLevel="0" collapsed="false">
      <c r="A118" s="0" t="s">
        <v>505</v>
      </c>
      <c r="B118" s="0" t="s">
        <v>636</v>
      </c>
      <c r="C118" s="0" t="s">
        <v>261</v>
      </c>
      <c r="D118" s="0" t="s">
        <v>93</v>
      </c>
      <c r="E118" s="0" t="s">
        <v>262</v>
      </c>
    </row>
    <row r="119" customFormat="false" ht="15" hidden="false" customHeight="false" outlineLevel="0" collapsed="false">
      <c r="A119" s="0" t="s">
        <v>505</v>
      </c>
      <c r="B119" s="0" t="s">
        <v>637</v>
      </c>
      <c r="C119" s="0" t="s">
        <v>263</v>
      </c>
      <c r="D119" s="0" t="s">
        <v>86</v>
      </c>
      <c r="E119" s="0" t="s">
        <v>268</v>
      </c>
    </row>
    <row r="120" customFormat="false" ht="15" hidden="false" customHeight="false" outlineLevel="0" collapsed="false">
      <c r="A120" s="0" t="s">
        <v>505</v>
      </c>
      <c r="B120" s="0" t="s">
        <v>638</v>
      </c>
      <c r="C120" s="0" t="s">
        <v>238</v>
      </c>
      <c r="D120" s="0" t="s">
        <v>93</v>
      </c>
      <c r="E120" s="0" t="s">
        <v>224</v>
      </c>
    </row>
    <row r="121" customFormat="false" ht="15" hidden="false" customHeight="false" outlineLevel="0" collapsed="false">
      <c r="A121" s="0" t="s">
        <v>505</v>
      </c>
      <c r="B121" s="0" t="s">
        <v>639</v>
      </c>
      <c r="C121" s="0" t="s">
        <v>184</v>
      </c>
      <c r="D121" s="0" t="s">
        <v>86</v>
      </c>
      <c r="E121" s="0" t="s">
        <v>268</v>
      </c>
    </row>
    <row r="122" customFormat="false" ht="15" hidden="false" customHeight="false" outlineLevel="0" collapsed="false">
      <c r="A122" s="0" t="s">
        <v>505</v>
      </c>
      <c r="B122" s="0" t="s">
        <v>640</v>
      </c>
      <c r="C122" s="0" t="s">
        <v>264</v>
      </c>
      <c r="D122" s="0" t="s">
        <v>93</v>
      </c>
      <c r="E122" s="0" t="s">
        <v>511</v>
      </c>
    </row>
    <row r="123" customFormat="false" ht="15" hidden="false" customHeight="false" outlineLevel="0" collapsed="false">
      <c r="A123" s="0" t="s">
        <v>505</v>
      </c>
      <c r="B123" s="0" t="s">
        <v>641</v>
      </c>
      <c r="C123" s="0" t="s">
        <v>184</v>
      </c>
      <c r="D123" s="0" t="s">
        <v>86</v>
      </c>
      <c r="E123" s="0" t="s">
        <v>268</v>
      </c>
    </row>
    <row r="124" customFormat="false" ht="15" hidden="false" customHeight="false" outlineLevel="0" collapsed="false">
      <c r="A124" s="0" t="s">
        <v>505</v>
      </c>
      <c r="B124" s="0" t="s">
        <v>642</v>
      </c>
      <c r="C124" s="0" t="s">
        <v>265</v>
      </c>
      <c r="D124" s="0" t="s">
        <v>86</v>
      </c>
      <c r="E124" s="0" t="s">
        <v>268</v>
      </c>
    </row>
    <row r="125" customFormat="false" ht="15" hidden="false" customHeight="false" outlineLevel="0" collapsed="false">
      <c r="A125" s="0" t="s">
        <v>505</v>
      </c>
      <c r="B125" s="0" t="s">
        <v>643</v>
      </c>
      <c r="C125" s="0" t="s">
        <v>266</v>
      </c>
      <c r="D125" s="0" t="s">
        <v>93</v>
      </c>
      <c r="E125" s="0" t="s">
        <v>268</v>
      </c>
    </row>
    <row r="126" customFormat="false" ht="15" hidden="false" customHeight="false" outlineLevel="0" collapsed="false">
      <c r="A126" s="0" t="s">
        <v>505</v>
      </c>
      <c r="B126" s="0" t="s">
        <v>644</v>
      </c>
      <c r="C126" s="0" t="s">
        <v>203</v>
      </c>
      <c r="D126" s="0" t="s">
        <v>93</v>
      </c>
      <c r="E126" s="0" t="s">
        <v>516</v>
      </c>
    </row>
    <row r="127" customFormat="false" ht="15" hidden="false" customHeight="false" outlineLevel="0" collapsed="false">
      <c r="A127" s="0" t="s">
        <v>505</v>
      </c>
      <c r="B127" s="0" t="s">
        <v>645</v>
      </c>
      <c r="C127" s="0" t="s">
        <v>267</v>
      </c>
      <c r="D127" s="0" t="s">
        <v>93</v>
      </c>
      <c r="E127" s="0" t="s">
        <v>268</v>
      </c>
    </row>
    <row r="128" customFormat="false" ht="15" hidden="false" customHeight="false" outlineLevel="0" collapsed="false">
      <c r="A128" s="0" t="s">
        <v>505</v>
      </c>
      <c r="B128" s="0" t="s">
        <v>646</v>
      </c>
      <c r="C128" s="0" t="s">
        <v>184</v>
      </c>
      <c r="D128" s="0" t="s">
        <v>86</v>
      </c>
      <c r="E128" s="0" t="s">
        <v>271</v>
      </c>
    </row>
    <row r="129" customFormat="false" ht="15" hidden="false" customHeight="false" outlineLevel="0" collapsed="false">
      <c r="A129" s="0" t="s">
        <v>505</v>
      </c>
      <c r="B129" s="0" t="s">
        <v>647</v>
      </c>
      <c r="C129" s="0" t="s">
        <v>191</v>
      </c>
      <c r="D129" s="0" t="s">
        <v>93</v>
      </c>
      <c r="E129" s="0" t="s">
        <v>184</v>
      </c>
    </row>
    <row r="130" customFormat="false" ht="15" hidden="false" customHeight="false" outlineLevel="0" collapsed="false">
      <c r="A130" s="0" t="s">
        <v>505</v>
      </c>
      <c r="B130" s="0" t="s">
        <v>648</v>
      </c>
      <c r="C130" s="0" t="s">
        <v>184</v>
      </c>
      <c r="D130" s="0" t="s">
        <v>86</v>
      </c>
      <c r="E130" s="0" t="s">
        <v>271</v>
      </c>
    </row>
    <row r="131" customFormat="false" ht="15" hidden="false" customHeight="false" outlineLevel="0" collapsed="false">
      <c r="A131" s="0" t="s">
        <v>505</v>
      </c>
      <c r="B131" s="0" t="s">
        <v>649</v>
      </c>
      <c r="C131" s="0" t="s">
        <v>209</v>
      </c>
      <c r="D131" s="0" t="s">
        <v>93</v>
      </c>
      <c r="E131" s="0" t="s">
        <v>511</v>
      </c>
    </row>
    <row r="132" customFormat="false" ht="15" hidden="false" customHeight="false" outlineLevel="0" collapsed="false">
      <c r="A132" s="0" t="s">
        <v>505</v>
      </c>
      <c r="B132" s="0" t="s">
        <v>650</v>
      </c>
      <c r="C132" s="0" t="s">
        <v>184</v>
      </c>
      <c r="D132" s="0" t="s">
        <v>86</v>
      </c>
      <c r="E132" s="0" t="s">
        <v>271</v>
      </c>
    </row>
    <row r="133" customFormat="false" ht="15" hidden="false" customHeight="false" outlineLevel="0" collapsed="false">
      <c r="A133" s="0" t="s">
        <v>505</v>
      </c>
      <c r="B133" s="0" t="s">
        <v>651</v>
      </c>
      <c r="C133" s="0" t="s">
        <v>269</v>
      </c>
      <c r="D133" s="0" t="s">
        <v>86</v>
      </c>
      <c r="E133" s="0" t="s">
        <v>271</v>
      </c>
    </row>
    <row r="134" customFormat="false" ht="15" hidden="false" customHeight="false" outlineLevel="0" collapsed="false">
      <c r="A134" s="0" t="s">
        <v>505</v>
      </c>
      <c r="B134" s="0" t="s">
        <v>652</v>
      </c>
      <c r="C134" s="0" t="s">
        <v>270</v>
      </c>
      <c r="D134" s="0" t="s">
        <v>93</v>
      </c>
      <c r="E134" s="0" t="s">
        <v>271</v>
      </c>
    </row>
    <row r="135" customFormat="false" ht="15" hidden="false" customHeight="false" outlineLevel="0" collapsed="false">
      <c r="A135" s="0" t="s">
        <v>505</v>
      </c>
      <c r="B135" s="0" t="s">
        <v>653</v>
      </c>
      <c r="C135" s="0" t="s">
        <v>195</v>
      </c>
      <c r="D135" s="0" t="s">
        <v>93</v>
      </c>
      <c r="E135" s="0" t="s">
        <v>516</v>
      </c>
    </row>
    <row r="136" customFormat="false" ht="15" hidden="false" customHeight="false" outlineLevel="0" collapsed="false">
      <c r="A136" s="0" t="s">
        <v>505</v>
      </c>
      <c r="B136" s="0" t="s">
        <v>654</v>
      </c>
      <c r="C136" s="0" t="s">
        <v>184</v>
      </c>
      <c r="D136" s="0" t="s">
        <v>86</v>
      </c>
      <c r="E136" s="0" t="s">
        <v>271</v>
      </c>
    </row>
    <row r="137" customFormat="false" ht="15" hidden="false" customHeight="false" outlineLevel="0" collapsed="false">
      <c r="A137" s="0" t="s">
        <v>505</v>
      </c>
      <c r="B137" s="0" t="s">
        <v>655</v>
      </c>
      <c r="C137" s="0" t="s">
        <v>237</v>
      </c>
      <c r="D137" s="0" t="s">
        <v>86</v>
      </c>
      <c r="E137" s="0" t="s">
        <v>278</v>
      </c>
    </row>
    <row r="138" customFormat="false" ht="15" hidden="false" customHeight="false" outlineLevel="0" collapsed="false">
      <c r="A138" s="0" t="s">
        <v>505</v>
      </c>
      <c r="B138" s="0" t="s">
        <v>656</v>
      </c>
      <c r="C138" s="0" t="s">
        <v>273</v>
      </c>
      <c r="D138" s="0" t="s">
        <v>86</v>
      </c>
      <c r="E138" s="0" t="s">
        <v>274</v>
      </c>
    </row>
    <row r="139" customFormat="false" ht="15" hidden="false" customHeight="false" outlineLevel="0" collapsed="false">
      <c r="A139" s="0" t="s">
        <v>505</v>
      </c>
      <c r="B139" s="0" t="s">
        <v>657</v>
      </c>
      <c r="C139" s="0" t="s">
        <v>658</v>
      </c>
      <c r="D139" s="0" t="s">
        <v>86</v>
      </c>
      <c r="E139" s="0" t="s">
        <v>278</v>
      </c>
    </row>
    <row r="140" customFormat="false" ht="15" hidden="false" customHeight="false" outlineLevel="0" collapsed="false">
      <c r="A140" s="0" t="s">
        <v>505</v>
      </c>
      <c r="B140" s="0" t="s">
        <v>659</v>
      </c>
      <c r="C140" s="0" t="s">
        <v>275</v>
      </c>
      <c r="D140" s="0" t="s">
        <v>93</v>
      </c>
      <c r="E140" s="0" t="s">
        <v>511</v>
      </c>
    </row>
    <row r="141" customFormat="false" ht="15" hidden="false" customHeight="false" outlineLevel="0" collapsed="false">
      <c r="A141" s="0" t="s">
        <v>505</v>
      </c>
      <c r="B141" s="0" t="s">
        <v>660</v>
      </c>
      <c r="C141" s="0" t="s">
        <v>184</v>
      </c>
      <c r="D141" s="0" t="s">
        <v>86</v>
      </c>
      <c r="E141" s="0" t="s">
        <v>278</v>
      </c>
    </row>
    <row r="142" customFormat="false" ht="15" hidden="false" customHeight="false" outlineLevel="0" collapsed="false">
      <c r="A142" s="0" t="s">
        <v>505</v>
      </c>
      <c r="B142" s="0" t="s">
        <v>661</v>
      </c>
      <c r="C142" s="0" t="s">
        <v>276</v>
      </c>
      <c r="D142" s="0" t="s">
        <v>86</v>
      </c>
      <c r="E142" s="0" t="s">
        <v>278</v>
      </c>
    </row>
    <row r="143" customFormat="false" ht="15" hidden="false" customHeight="false" outlineLevel="0" collapsed="false">
      <c r="A143" s="0" t="s">
        <v>505</v>
      </c>
      <c r="B143" s="0" t="s">
        <v>662</v>
      </c>
      <c r="C143" s="0" t="s">
        <v>245</v>
      </c>
      <c r="D143" s="0" t="s">
        <v>93</v>
      </c>
      <c r="E143" s="0" t="s">
        <v>278</v>
      </c>
    </row>
    <row r="144" customFormat="false" ht="15" hidden="false" customHeight="false" outlineLevel="0" collapsed="false">
      <c r="A144" s="0" t="s">
        <v>505</v>
      </c>
      <c r="B144" s="0" t="s">
        <v>663</v>
      </c>
      <c r="C144" s="0" t="s">
        <v>187</v>
      </c>
      <c r="D144" s="0" t="s">
        <v>93</v>
      </c>
      <c r="E144" s="0" t="s">
        <v>516</v>
      </c>
    </row>
    <row r="145" customFormat="false" ht="15" hidden="false" customHeight="false" outlineLevel="0" collapsed="false">
      <c r="A145" s="0" t="s">
        <v>505</v>
      </c>
      <c r="B145" s="0" t="s">
        <v>664</v>
      </c>
      <c r="C145" s="0" t="s">
        <v>277</v>
      </c>
      <c r="D145" s="0" t="s">
        <v>86</v>
      </c>
      <c r="E145" s="0" t="s">
        <v>278</v>
      </c>
    </row>
    <row r="146" customFormat="false" ht="15" hidden="false" customHeight="false" outlineLevel="0" collapsed="false">
      <c r="A146" s="0" t="s">
        <v>505</v>
      </c>
      <c r="B146" s="0" t="s">
        <v>665</v>
      </c>
      <c r="C146" s="0" t="s">
        <v>279</v>
      </c>
      <c r="D146" s="0" t="s">
        <v>86</v>
      </c>
      <c r="E146" s="0" t="s">
        <v>283</v>
      </c>
    </row>
    <row r="147" customFormat="false" ht="15" hidden="false" customHeight="false" outlineLevel="0" collapsed="false">
      <c r="A147" s="0" t="s">
        <v>505</v>
      </c>
      <c r="B147" s="0" t="s">
        <v>666</v>
      </c>
      <c r="C147" s="0" t="s">
        <v>191</v>
      </c>
      <c r="D147" s="0" t="s">
        <v>93</v>
      </c>
      <c r="E147" s="0" t="s">
        <v>184</v>
      </c>
    </row>
    <row r="148" customFormat="false" ht="15" hidden="false" customHeight="false" outlineLevel="0" collapsed="false">
      <c r="A148" s="0" t="s">
        <v>505</v>
      </c>
      <c r="B148" s="0" t="s">
        <v>667</v>
      </c>
      <c r="C148" s="0" t="s">
        <v>630</v>
      </c>
      <c r="D148" s="0" t="s">
        <v>86</v>
      </c>
      <c r="E148" s="0" t="s">
        <v>283</v>
      </c>
    </row>
    <row r="149" customFormat="false" ht="15" hidden="false" customHeight="false" outlineLevel="0" collapsed="false">
      <c r="A149" s="0" t="s">
        <v>505</v>
      </c>
      <c r="B149" s="0" t="s">
        <v>668</v>
      </c>
      <c r="C149" s="0" t="s">
        <v>209</v>
      </c>
      <c r="D149" s="0" t="s">
        <v>93</v>
      </c>
      <c r="E149" s="0" t="s">
        <v>511</v>
      </c>
    </row>
    <row r="150" customFormat="false" ht="15" hidden="false" customHeight="false" outlineLevel="0" collapsed="false">
      <c r="A150" s="0" t="s">
        <v>505</v>
      </c>
      <c r="B150" s="0" t="s">
        <v>669</v>
      </c>
      <c r="C150" s="0" t="s">
        <v>184</v>
      </c>
      <c r="D150" s="0" t="s">
        <v>86</v>
      </c>
      <c r="E150" s="0" t="s">
        <v>283</v>
      </c>
    </row>
    <row r="151" customFormat="false" ht="15" hidden="false" customHeight="false" outlineLevel="0" collapsed="false">
      <c r="A151" s="0" t="s">
        <v>505</v>
      </c>
      <c r="B151" s="0" t="s">
        <v>670</v>
      </c>
      <c r="C151" s="0" t="s">
        <v>280</v>
      </c>
      <c r="D151" s="0" t="s">
        <v>86</v>
      </c>
      <c r="E151" s="0" t="s">
        <v>283</v>
      </c>
    </row>
    <row r="152" customFormat="false" ht="15" hidden="false" customHeight="false" outlineLevel="0" collapsed="false">
      <c r="A152" s="0" t="s">
        <v>505</v>
      </c>
      <c r="B152" s="0" t="s">
        <v>671</v>
      </c>
      <c r="C152" s="0" t="s">
        <v>281</v>
      </c>
      <c r="D152" s="0" t="s">
        <v>93</v>
      </c>
      <c r="E152" s="0" t="s">
        <v>283</v>
      </c>
    </row>
    <row r="153" customFormat="false" ht="15" hidden="false" customHeight="false" outlineLevel="0" collapsed="false">
      <c r="A153" s="0" t="s">
        <v>505</v>
      </c>
      <c r="B153" s="0" t="s">
        <v>672</v>
      </c>
      <c r="C153" s="0" t="s">
        <v>203</v>
      </c>
      <c r="D153" s="0" t="s">
        <v>93</v>
      </c>
      <c r="E153" s="0" t="s">
        <v>516</v>
      </c>
    </row>
    <row r="154" customFormat="false" ht="15" hidden="false" customHeight="false" outlineLevel="0" collapsed="false">
      <c r="A154" s="0" t="s">
        <v>505</v>
      </c>
      <c r="B154" s="0" t="s">
        <v>673</v>
      </c>
      <c r="C154" s="0" t="s">
        <v>282</v>
      </c>
      <c r="D154" s="0" t="s">
        <v>93</v>
      </c>
      <c r="E154" s="0" t="s">
        <v>283</v>
      </c>
    </row>
    <row r="155" customFormat="false" ht="15" hidden="false" customHeight="false" outlineLevel="0" collapsed="false">
      <c r="A155" s="0" t="s">
        <v>505</v>
      </c>
      <c r="B155" s="0" t="s">
        <v>674</v>
      </c>
      <c r="C155" s="0" t="s">
        <v>279</v>
      </c>
      <c r="D155" s="0" t="s">
        <v>86</v>
      </c>
      <c r="E155" s="0" t="s">
        <v>283</v>
      </c>
    </row>
    <row r="156" customFormat="false" ht="15" hidden="false" customHeight="false" outlineLevel="0" collapsed="false">
      <c r="A156" s="0" t="s">
        <v>505</v>
      </c>
      <c r="B156" s="0" t="s">
        <v>675</v>
      </c>
      <c r="C156" s="0" t="s">
        <v>191</v>
      </c>
      <c r="D156" s="0" t="s">
        <v>93</v>
      </c>
      <c r="E156" s="0" t="s">
        <v>184</v>
      </c>
    </row>
    <row r="157" customFormat="false" ht="15" hidden="false" customHeight="false" outlineLevel="0" collapsed="false">
      <c r="A157" s="0" t="s">
        <v>505</v>
      </c>
      <c r="B157" s="0" t="s">
        <v>676</v>
      </c>
      <c r="C157" s="0" t="s">
        <v>677</v>
      </c>
      <c r="D157" s="0" t="s">
        <v>86</v>
      </c>
      <c r="E157" s="0" t="s">
        <v>283</v>
      </c>
    </row>
    <row r="158" customFormat="false" ht="15" hidden="false" customHeight="false" outlineLevel="0" collapsed="false">
      <c r="A158" s="0" t="s">
        <v>505</v>
      </c>
      <c r="B158" s="0" t="s">
        <v>678</v>
      </c>
      <c r="C158" s="0" t="s">
        <v>209</v>
      </c>
      <c r="D158" s="0" t="s">
        <v>93</v>
      </c>
      <c r="E158" s="0" t="s">
        <v>511</v>
      </c>
    </row>
    <row r="159" customFormat="false" ht="15" hidden="false" customHeight="false" outlineLevel="0" collapsed="false">
      <c r="A159" s="0" t="s">
        <v>505</v>
      </c>
      <c r="B159" s="0" t="s">
        <v>679</v>
      </c>
      <c r="C159" s="0" t="s">
        <v>184</v>
      </c>
      <c r="D159" s="0" t="s">
        <v>86</v>
      </c>
      <c r="E159" s="0" t="s">
        <v>283</v>
      </c>
    </row>
    <row r="160" customFormat="false" ht="15" hidden="false" customHeight="false" outlineLevel="0" collapsed="false">
      <c r="A160" s="0" t="s">
        <v>505</v>
      </c>
      <c r="B160" s="0" t="s">
        <v>680</v>
      </c>
      <c r="C160" s="0" t="s">
        <v>284</v>
      </c>
      <c r="D160" s="0" t="s">
        <v>86</v>
      </c>
      <c r="E160" s="0" t="s">
        <v>283</v>
      </c>
    </row>
    <row r="161" customFormat="false" ht="15" hidden="false" customHeight="false" outlineLevel="0" collapsed="false">
      <c r="A161" s="0" t="s">
        <v>505</v>
      </c>
      <c r="B161" s="0" t="s">
        <v>681</v>
      </c>
      <c r="C161" s="0" t="s">
        <v>285</v>
      </c>
      <c r="D161" s="0" t="s">
        <v>93</v>
      </c>
      <c r="E161" s="0" t="s">
        <v>283</v>
      </c>
    </row>
    <row r="162" customFormat="false" ht="15" hidden="false" customHeight="false" outlineLevel="0" collapsed="false">
      <c r="A162" s="0" t="s">
        <v>505</v>
      </c>
      <c r="B162" s="0" t="s">
        <v>682</v>
      </c>
      <c r="C162" s="0" t="s">
        <v>203</v>
      </c>
      <c r="D162" s="0" t="s">
        <v>93</v>
      </c>
      <c r="E162" s="0" t="s">
        <v>516</v>
      </c>
    </row>
    <row r="163" customFormat="false" ht="15" hidden="false" customHeight="false" outlineLevel="0" collapsed="false">
      <c r="A163" s="0" t="s">
        <v>505</v>
      </c>
      <c r="B163" s="0" t="s">
        <v>683</v>
      </c>
      <c r="C163" s="0" t="s">
        <v>282</v>
      </c>
      <c r="D163" s="0" t="s">
        <v>93</v>
      </c>
      <c r="E163" s="0" t="s">
        <v>283</v>
      </c>
    </row>
    <row r="164" customFormat="false" ht="15" hidden="false" customHeight="false" outlineLevel="0" collapsed="false">
      <c r="A164" s="0" t="s">
        <v>505</v>
      </c>
      <c r="B164" s="0" t="s">
        <v>684</v>
      </c>
      <c r="C164" s="0" t="s">
        <v>237</v>
      </c>
      <c r="D164" s="0" t="s">
        <v>86</v>
      </c>
      <c r="E164" s="0" t="s">
        <v>290</v>
      </c>
    </row>
    <row r="165" customFormat="false" ht="15" hidden="false" customHeight="false" outlineLevel="0" collapsed="false">
      <c r="A165" s="0" t="s">
        <v>505</v>
      </c>
      <c r="B165" s="0" t="s">
        <v>685</v>
      </c>
      <c r="C165" s="0" t="s">
        <v>238</v>
      </c>
      <c r="D165" s="0" t="s">
        <v>93</v>
      </c>
      <c r="E165" s="0" t="s">
        <v>224</v>
      </c>
    </row>
    <row r="166" customFormat="false" ht="15" hidden="false" customHeight="false" outlineLevel="0" collapsed="false">
      <c r="A166" s="0" t="s">
        <v>505</v>
      </c>
      <c r="B166" s="0" t="s">
        <v>686</v>
      </c>
      <c r="C166" s="0" t="s">
        <v>687</v>
      </c>
      <c r="D166" s="0" t="s">
        <v>86</v>
      </c>
      <c r="E166" s="0" t="s">
        <v>290</v>
      </c>
    </row>
    <row r="167" customFormat="false" ht="15" hidden="false" customHeight="false" outlineLevel="0" collapsed="false">
      <c r="A167" s="0" t="s">
        <v>505</v>
      </c>
      <c r="B167" s="0" t="s">
        <v>688</v>
      </c>
      <c r="C167" s="0" t="s">
        <v>209</v>
      </c>
      <c r="D167" s="0" t="s">
        <v>93</v>
      </c>
      <c r="E167" s="0" t="s">
        <v>511</v>
      </c>
    </row>
    <row r="168" customFormat="false" ht="15" hidden="false" customHeight="false" outlineLevel="0" collapsed="false">
      <c r="A168" s="0" t="s">
        <v>505</v>
      </c>
      <c r="B168" s="0" t="s">
        <v>689</v>
      </c>
      <c r="C168" s="0" t="s">
        <v>184</v>
      </c>
      <c r="D168" s="0" t="s">
        <v>86</v>
      </c>
      <c r="E168" s="0" t="s">
        <v>290</v>
      </c>
    </row>
    <row r="169" customFormat="false" ht="15" hidden="false" customHeight="false" outlineLevel="0" collapsed="false">
      <c r="A169" s="0" t="s">
        <v>505</v>
      </c>
      <c r="B169" s="0" t="s">
        <v>690</v>
      </c>
      <c r="C169" s="0" t="s">
        <v>287</v>
      </c>
      <c r="D169" s="0" t="s">
        <v>86</v>
      </c>
      <c r="E169" s="0" t="s">
        <v>290</v>
      </c>
    </row>
    <row r="170" customFormat="false" ht="15" hidden="false" customHeight="false" outlineLevel="0" collapsed="false">
      <c r="A170" s="0" t="s">
        <v>505</v>
      </c>
      <c r="B170" s="0" t="s">
        <v>691</v>
      </c>
      <c r="C170" s="0" t="s">
        <v>288</v>
      </c>
      <c r="D170" s="0" t="s">
        <v>93</v>
      </c>
      <c r="E170" s="0" t="s">
        <v>290</v>
      </c>
    </row>
    <row r="171" customFormat="false" ht="15" hidden="false" customHeight="false" outlineLevel="0" collapsed="false">
      <c r="A171" s="0" t="s">
        <v>505</v>
      </c>
      <c r="B171" s="0" t="s">
        <v>692</v>
      </c>
      <c r="C171" s="0" t="s">
        <v>187</v>
      </c>
      <c r="D171" s="0" t="s">
        <v>93</v>
      </c>
      <c r="E171" s="0" t="s">
        <v>516</v>
      </c>
    </row>
    <row r="172" customFormat="false" ht="15" hidden="false" customHeight="false" outlineLevel="0" collapsed="false">
      <c r="A172" s="0" t="s">
        <v>505</v>
      </c>
      <c r="B172" s="0" t="s">
        <v>693</v>
      </c>
      <c r="C172" s="0" t="s">
        <v>289</v>
      </c>
      <c r="D172" s="0" t="s">
        <v>86</v>
      </c>
      <c r="E172" s="0" t="s">
        <v>290</v>
      </c>
    </row>
    <row r="173" customFormat="false" ht="15" hidden="false" customHeight="false" outlineLevel="0" collapsed="false">
      <c r="A173" s="0" t="s">
        <v>505</v>
      </c>
      <c r="B173" s="0" t="s">
        <v>694</v>
      </c>
      <c r="C173" s="0" t="s">
        <v>237</v>
      </c>
      <c r="D173" s="0" t="s">
        <v>86</v>
      </c>
      <c r="E173" s="0" t="s">
        <v>294</v>
      </c>
    </row>
    <row r="174" customFormat="false" ht="15" hidden="false" customHeight="false" outlineLevel="0" collapsed="false">
      <c r="A174" s="0" t="s">
        <v>505</v>
      </c>
      <c r="B174" s="0" t="s">
        <v>695</v>
      </c>
      <c r="C174" s="0" t="s">
        <v>191</v>
      </c>
      <c r="D174" s="0" t="s">
        <v>93</v>
      </c>
      <c r="E174" s="0" t="s">
        <v>184</v>
      </c>
    </row>
    <row r="175" customFormat="false" ht="15" hidden="false" customHeight="false" outlineLevel="0" collapsed="false">
      <c r="A175" s="0" t="s">
        <v>505</v>
      </c>
      <c r="B175" s="0" t="s">
        <v>696</v>
      </c>
      <c r="C175" s="0" t="s">
        <v>630</v>
      </c>
      <c r="D175" s="0" t="s">
        <v>86</v>
      </c>
      <c r="E175" s="0" t="s">
        <v>294</v>
      </c>
    </row>
    <row r="176" customFormat="false" ht="15" hidden="false" customHeight="false" outlineLevel="0" collapsed="false">
      <c r="A176" s="0" t="s">
        <v>505</v>
      </c>
      <c r="B176" s="0" t="s">
        <v>697</v>
      </c>
      <c r="C176" s="0" t="s">
        <v>209</v>
      </c>
      <c r="D176" s="0" t="s">
        <v>93</v>
      </c>
      <c r="E176" s="0" t="s">
        <v>511</v>
      </c>
    </row>
    <row r="177" customFormat="false" ht="15" hidden="false" customHeight="false" outlineLevel="0" collapsed="false">
      <c r="A177" s="0" t="s">
        <v>505</v>
      </c>
      <c r="B177" s="0" t="s">
        <v>698</v>
      </c>
      <c r="C177" s="0" t="s">
        <v>184</v>
      </c>
      <c r="D177" s="0" t="s">
        <v>86</v>
      </c>
      <c r="E177" s="0" t="s">
        <v>294</v>
      </c>
    </row>
    <row r="178" customFormat="false" ht="15" hidden="false" customHeight="false" outlineLevel="0" collapsed="false">
      <c r="A178" s="0" t="s">
        <v>505</v>
      </c>
      <c r="B178" s="0" t="s">
        <v>699</v>
      </c>
      <c r="C178" s="0" t="s">
        <v>292</v>
      </c>
      <c r="D178" s="0" t="s">
        <v>86</v>
      </c>
      <c r="E178" s="0" t="s">
        <v>294</v>
      </c>
    </row>
    <row r="179" customFormat="false" ht="15" hidden="false" customHeight="false" outlineLevel="0" collapsed="false">
      <c r="A179" s="0" t="s">
        <v>505</v>
      </c>
      <c r="B179" s="0" t="s">
        <v>700</v>
      </c>
      <c r="C179" s="0" t="s">
        <v>293</v>
      </c>
      <c r="D179" s="0" t="s">
        <v>93</v>
      </c>
      <c r="E179" s="0" t="s">
        <v>294</v>
      </c>
    </row>
    <row r="180" customFormat="false" ht="15" hidden="false" customHeight="false" outlineLevel="0" collapsed="false">
      <c r="A180" s="0" t="s">
        <v>505</v>
      </c>
      <c r="B180" s="0" t="s">
        <v>701</v>
      </c>
      <c r="C180" s="0" t="s">
        <v>203</v>
      </c>
      <c r="D180" s="0" t="s">
        <v>93</v>
      </c>
      <c r="E180" s="0" t="s">
        <v>516</v>
      </c>
    </row>
    <row r="181" customFormat="false" ht="15" hidden="false" customHeight="false" outlineLevel="0" collapsed="false">
      <c r="A181" s="0" t="s">
        <v>505</v>
      </c>
      <c r="B181" s="0" t="s">
        <v>702</v>
      </c>
      <c r="C181" s="0" t="s">
        <v>282</v>
      </c>
      <c r="D181" s="0" t="s">
        <v>93</v>
      </c>
      <c r="E181" s="0" t="s">
        <v>294</v>
      </c>
    </row>
    <row r="182" customFormat="false" ht="15" hidden="false" customHeight="false" outlineLevel="0" collapsed="false">
      <c r="A182" s="0" t="s">
        <v>505</v>
      </c>
      <c r="B182" s="0" t="s">
        <v>703</v>
      </c>
      <c r="C182" s="0" t="s">
        <v>295</v>
      </c>
      <c r="D182" s="0" t="s">
        <v>86</v>
      </c>
      <c r="E182" s="0" t="s">
        <v>298</v>
      </c>
    </row>
    <row r="183" customFormat="false" ht="15" hidden="false" customHeight="false" outlineLevel="0" collapsed="false">
      <c r="A183" s="0" t="s">
        <v>505</v>
      </c>
      <c r="B183" s="0" t="s">
        <v>704</v>
      </c>
      <c r="C183" s="0" t="s">
        <v>238</v>
      </c>
      <c r="D183" s="0" t="s">
        <v>93</v>
      </c>
      <c r="E183" s="0" t="s">
        <v>224</v>
      </c>
    </row>
    <row r="184" customFormat="false" ht="15" hidden="false" customHeight="false" outlineLevel="0" collapsed="false">
      <c r="A184" s="0" t="s">
        <v>505</v>
      </c>
      <c r="B184" s="0" t="s">
        <v>705</v>
      </c>
      <c r="C184" s="0" t="s">
        <v>184</v>
      </c>
      <c r="D184" s="0" t="s">
        <v>86</v>
      </c>
      <c r="E184" s="0" t="s">
        <v>298</v>
      </c>
    </row>
    <row r="185" customFormat="false" ht="15" hidden="false" customHeight="false" outlineLevel="0" collapsed="false">
      <c r="A185" s="0" t="s">
        <v>505</v>
      </c>
      <c r="B185" s="0" t="s">
        <v>706</v>
      </c>
      <c r="C185" s="0" t="s">
        <v>209</v>
      </c>
      <c r="D185" s="0" t="s">
        <v>93</v>
      </c>
      <c r="E185" s="0" t="s">
        <v>511</v>
      </c>
    </row>
    <row r="186" customFormat="false" ht="15" hidden="false" customHeight="false" outlineLevel="0" collapsed="false">
      <c r="A186" s="0" t="s">
        <v>505</v>
      </c>
      <c r="B186" s="0" t="s">
        <v>707</v>
      </c>
      <c r="C186" s="0" t="s">
        <v>184</v>
      </c>
      <c r="D186" s="0" t="s">
        <v>86</v>
      </c>
      <c r="E186" s="0" t="s">
        <v>298</v>
      </c>
    </row>
    <row r="187" customFormat="false" ht="15" hidden="false" customHeight="false" outlineLevel="0" collapsed="false">
      <c r="A187" s="0" t="s">
        <v>505</v>
      </c>
      <c r="B187" s="0" t="s">
        <v>708</v>
      </c>
      <c r="C187" s="0" t="s">
        <v>296</v>
      </c>
      <c r="D187" s="0" t="s">
        <v>86</v>
      </c>
      <c r="E187" s="0" t="s">
        <v>298</v>
      </c>
    </row>
    <row r="188" customFormat="false" ht="15" hidden="false" customHeight="false" outlineLevel="0" collapsed="false">
      <c r="A188" s="0" t="s">
        <v>505</v>
      </c>
      <c r="B188" s="0" t="s">
        <v>709</v>
      </c>
      <c r="C188" s="0" t="s">
        <v>297</v>
      </c>
      <c r="D188" s="0" t="s">
        <v>93</v>
      </c>
      <c r="E188" s="0" t="s">
        <v>298</v>
      </c>
    </row>
    <row r="189" customFormat="false" ht="15" hidden="false" customHeight="false" outlineLevel="0" collapsed="false">
      <c r="A189" s="0" t="s">
        <v>505</v>
      </c>
      <c r="B189" s="0" t="s">
        <v>710</v>
      </c>
      <c r="C189" s="0" t="s">
        <v>203</v>
      </c>
      <c r="D189" s="0" t="s">
        <v>93</v>
      </c>
      <c r="E189" s="0" t="s">
        <v>516</v>
      </c>
    </row>
    <row r="190" customFormat="false" ht="15" hidden="false" customHeight="false" outlineLevel="0" collapsed="false">
      <c r="A190" s="0" t="s">
        <v>505</v>
      </c>
      <c r="B190" s="0" t="s">
        <v>711</v>
      </c>
      <c r="C190" s="0" t="s">
        <v>256</v>
      </c>
      <c r="D190" s="0" t="s">
        <v>86</v>
      </c>
      <c r="E190" s="0" t="s">
        <v>298</v>
      </c>
    </row>
    <row r="191" customFormat="false" ht="15" hidden="false" customHeight="false" outlineLevel="0" collapsed="false">
      <c r="A191" s="0" t="s">
        <v>505</v>
      </c>
      <c r="B191" s="0" t="s">
        <v>712</v>
      </c>
      <c r="C191" s="0" t="s">
        <v>295</v>
      </c>
      <c r="D191" s="0" t="s">
        <v>86</v>
      </c>
      <c r="E191" s="0" t="s">
        <v>301</v>
      </c>
    </row>
    <row r="192" customFormat="false" ht="15" hidden="false" customHeight="false" outlineLevel="0" collapsed="false">
      <c r="A192" s="0" t="s">
        <v>505</v>
      </c>
      <c r="B192" s="0" t="s">
        <v>713</v>
      </c>
      <c r="C192" s="0" t="s">
        <v>191</v>
      </c>
      <c r="D192" s="0" t="s">
        <v>93</v>
      </c>
      <c r="E192" s="0" t="s">
        <v>184</v>
      </c>
    </row>
    <row r="193" customFormat="false" ht="15" hidden="false" customHeight="false" outlineLevel="0" collapsed="false">
      <c r="A193" s="0" t="s">
        <v>505</v>
      </c>
      <c r="B193" s="0" t="s">
        <v>714</v>
      </c>
      <c r="C193" s="0" t="s">
        <v>299</v>
      </c>
      <c r="D193" s="0" t="s">
        <v>86</v>
      </c>
      <c r="E193" s="0" t="s">
        <v>301</v>
      </c>
    </row>
    <row r="194" customFormat="false" ht="15" hidden="false" customHeight="false" outlineLevel="0" collapsed="false">
      <c r="A194" s="0" t="s">
        <v>505</v>
      </c>
      <c r="B194" s="0" t="s">
        <v>715</v>
      </c>
      <c r="C194" s="0" t="s">
        <v>209</v>
      </c>
      <c r="D194" s="0" t="s">
        <v>93</v>
      </c>
      <c r="E194" s="0" t="s">
        <v>511</v>
      </c>
    </row>
    <row r="195" customFormat="false" ht="15" hidden="false" customHeight="false" outlineLevel="0" collapsed="false">
      <c r="A195" s="0" t="s">
        <v>505</v>
      </c>
      <c r="B195" s="0" t="s">
        <v>716</v>
      </c>
      <c r="C195" s="0" t="s">
        <v>184</v>
      </c>
      <c r="D195" s="0" t="s">
        <v>86</v>
      </c>
      <c r="E195" s="0" t="s">
        <v>301</v>
      </c>
    </row>
    <row r="196" customFormat="false" ht="15" hidden="false" customHeight="false" outlineLevel="0" collapsed="false">
      <c r="A196" s="0" t="s">
        <v>505</v>
      </c>
      <c r="B196" s="0" t="s">
        <v>717</v>
      </c>
      <c r="C196" s="0" t="s">
        <v>296</v>
      </c>
      <c r="D196" s="0" t="s">
        <v>86</v>
      </c>
      <c r="E196" s="0" t="s">
        <v>301</v>
      </c>
    </row>
    <row r="197" customFormat="false" ht="15" hidden="false" customHeight="false" outlineLevel="0" collapsed="false">
      <c r="A197" s="0" t="s">
        <v>505</v>
      </c>
      <c r="B197" s="0" t="s">
        <v>718</v>
      </c>
      <c r="C197" s="0" t="s">
        <v>300</v>
      </c>
      <c r="D197" s="0" t="s">
        <v>93</v>
      </c>
      <c r="E197" s="0" t="s">
        <v>301</v>
      </c>
    </row>
    <row r="198" customFormat="false" ht="15" hidden="false" customHeight="false" outlineLevel="0" collapsed="false">
      <c r="A198" s="0" t="s">
        <v>505</v>
      </c>
      <c r="B198" s="0" t="s">
        <v>719</v>
      </c>
      <c r="C198" s="0" t="s">
        <v>176</v>
      </c>
      <c r="D198" s="0" t="s">
        <v>93</v>
      </c>
      <c r="E198" s="0" t="s">
        <v>516</v>
      </c>
    </row>
    <row r="199" customFormat="false" ht="15" hidden="false" customHeight="false" outlineLevel="0" collapsed="false">
      <c r="A199" s="0" t="s">
        <v>505</v>
      </c>
      <c r="B199" s="0" t="s">
        <v>720</v>
      </c>
      <c r="C199" s="0" t="s">
        <v>184</v>
      </c>
      <c r="D199" s="0" t="s">
        <v>86</v>
      </c>
      <c r="E199" s="0" t="s">
        <v>301</v>
      </c>
    </row>
    <row r="200" customFormat="false" ht="15" hidden="false" customHeight="false" outlineLevel="0" collapsed="false">
      <c r="A200" s="0" t="s">
        <v>505</v>
      </c>
      <c r="B200" s="0" t="s">
        <v>721</v>
      </c>
      <c r="C200" s="0" t="s">
        <v>295</v>
      </c>
      <c r="D200" s="0" t="s">
        <v>86</v>
      </c>
      <c r="E200" s="0" t="s">
        <v>304</v>
      </c>
    </row>
    <row r="201" customFormat="false" ht="15" hidden="false" customHeight="false" outlineLevel="0" collapsed="false">
      <c r="A201" s="0" t="s">
        <v>505</v>
      </c>
      <c r="B201" s="0" t="s">
        <v>722</v>
      </c>
      <c r="C201" s="0" t="s">
        <v>191</v>
      </c>
      <c r="D201" s="0" t="s">
        <v>93</v>
      </c>
      <c r="E201" s="0" t="s">
        <v>184</v>
      </c>
    </row>
    <row r="202" customFormat="false" ht="15" hidden="false" customHeight="false" outlineLevel="0" collapsed="false">
      <c r="A202" s="0" t="s">
        <v>505</v>
      </c>
      <c r="B202" s="0" t="s">
        <v>723</v>
      </c>
      <c r="C202" s="0" t="s">
        <v>184</v>
      </c>
      <c r="D202" s="0" t="s">
        <v>86</v>
      </c>
      <c r="E202" s="0" t="s">
        <v>304</v>
      </c>
    </row>
    <row r="203" customFormat="false" ht="15" hidden="false" customHeight="false" outlineLevel="0" collapsed="false">
      <c r="A203" s="0" t="s">
        <v>505</v>
      </c>
      <c r="B203" s="0" t="s">
        <v>724</v>
      </c>
      <c r="C203" s="0" t="s">
        <v>209</v>
      </c>
      <c r="D203" s="0" t="s">
        <v>93</v>
      </c>
      <c r="E203" s="0" t="s">
        <v>511</v>
      </c>
    </row>
    <row r="204" customFormat="false" ht="15" hidden="false" customHeight="false" outlineLevel="0" collapsed="false">
      <c r="A204" s="0" t="s">
        <v>505</v>
      </c>
      <c r="B204" s="0" t="s">
        <v>725</v>
      </c>
      <c r="C204" s="0" t="s">
        <v>184</v>
      </c>
      <c r="D204" s="0" t="s">
        <v>86</v>
      </c>
      <c r="E204" s="0" t="s">
        <v>304</v>
      </c>
    </row>
    <row r="205" customFormat="false" ht="15" hidden="false" customHeight="false" outlineLevel="0" collapsed="false">
      <c r="A205" s="0" t="s">
        <v>505</v>
      </c>
      <c r="B205" s="0" t="s">
        <v>726</v>
      </c>
      <c r="C205" s="0" t="s">
        <v>296</v>
      </c>
      <c r="D205" s="0" t="s">
        <v>86</v>
      </c>
      <c r="E205" s="0" t="s">
        <v>304</v>
      </c>
    </row>
    <row r="206" customFormat="false" ht="15" hidden="false" customHeight="false" outlineLevel="0" collapsed="false">
      <c r="A206" s="0" t="s">
        <v>505</v>
      </c>
      <c r="B206" s="0" t="s">
        <v>727</v>
      </c>
      <c r="C206" s="0" t="s">
        <v>302</v>
      </c>
      <c r="D206" s="0" t="s">
        <v>93</v>
      </c>
      <c r="E206" s="0" t="s">
        <v>304</v>
      </c>
    </row>
    <row r="207" customFormat="false" ht="15" hidden="false" customHeight="false" outlineLevel="0" collapsed="false">
      <c r="A207" s="0" t="s">
        <v>505</v>
      </c>
      <c r="B207" s="0" t="s">
        <v>728</v>
      </c>
      <c r="C207" s="0" t="s">
        <v>203</v>
      </c>
      <c r="D207" s="0" t="s">
        <v>93</v>
      </c>
      <c r="E207" s="0" t="s">
        <v>516</v>
      </c>
    </row>
    <row r="208" customFormat="false" ht="15" hidden="false" customHeight="false" outlineLevel="0" collapsed="false">
      <c r="A208" s="0" t="s">
        <v>505</v>
      </c>
      <c r="B208" s="0" t="s">
        <v>729</v>
      </c>
      <c r="C208" s="0" t="s">
        <v>303</v>
      </c>
      <c r="D208" s="0" t="s">
        <v>93</v>
      </c>
      <c r="E208" s="0" t="s">
        <v>304</v>
      </c>
    </row>
    <row r="209" customFormat="false" ht="15" hidden="false" customHeight="false" outlineLevel="0" collapsed="false">
      <c r="A209" s="0" t="s">
        <v>505</v>
      </c>
      <c r="B209" s="0" t="s">
        <v>730</v>
      </c>
      <c r="C209" s="0" t="s">
        <v>305</v>
      </c>
      <c r="D209" s="0" t="s">
        <v>86</v>
      </c>
      <c r="E209" s="0" t="s">
        <v>310</v>
      </c>
    </row>
    <row r="210" customFormat="false" ht="15" hidden="false" customHeight="false" outlineLevel="0" collapsed="false">
      <c r="A210" s="0" t="s">
        <v>505</v>
      </c>
      <c r="B210" s="0" t="s">
        <v>731</v>
      </c>
      <c r="C210" s="0" t="s">
        <v>191</v>
      </c>
      <c r="D210" s="0" t="s">
        <v>93</v>
      </c>
      <c r="E210" s="0" t="s">
        <v>184</v>
      </c>
    </row>
    <row r="211" customFormat="false" ht="15" hidden="false" customHeight="false" outlineLevel="0" collapsed="false">
      <c r="A211" s="0" t="s">
        <v>505</v>
      </c>
      <c r="B211" s="0" t="s">
        <v>732</v>
      </c>
      <c r="C211" s="0" t="s">
        <v>733</v>
      </c>
      <c r="D211" s="0" t="s">
        <v>86</v>
      </c>
      <c r="E211" s="0" t="s">
        <v>310</v>
      </c>
    </row>
    <row r="212" customFormat="false" ht="15" hidden="false" customHeight="false" outlineLevel="0" collapsed="false">
      <c r="A212" s="0" t="s">
        <v>505</v>
      </c>
      <c r="B212" s="0" t="s">
        <v>734</v>
      </c>
      <c r="C212" s="0" t="s">
        <v>306</v>
      </c>
      <c r="D212" s="0" t="s">
        <v>93</v>
      </c>
      <c r="E212" s="0" t="s">
        <v>511</v>
      </c>
    </row>
    <row r="213" customFormat="false" ht="15" hidden="false" customHeight="false" outlineLevel="0" collapsed="false">
      <c r="A213" s="0" t="s">
        <v>505</v>
      </c>
      <c r="B213" s="0" t="s">
        <v>735</v>
      </c>
      <c r="C213" s="0" t="s">
        <v>307</v>
      </c>
      <c r="D213" s="0" t="s">
        <v>98</v>
      </c>
      <c r="E213" s="0" t="s">
        <v>310</v>
      </c>
    </row>
    <row r="214" customFormat="false" ht="15" hidden="false" customHeight="false" outlineLevel="0" collapsed="false">
      <c r="A214" s="0" t="s">
        <v>505</v>
      </c>
      <c r="B214" s="0" t="s">
        <v>736</v>
      </c>
      <c r="C214" s="0" t="s">
        <v>308</v>
      </c>
      <c r="D214" s="0" t="s">
        <v>86</v>
      </c>
      <c r="E214" s="0" t="s">
        <v>310</v>
      </c>
    </row>
    <row r="215" customFormat="false" ht="15" hidden="false" customHeight="false" outlineLevel="0" collapsed="false">
      <c r="A215" s="0" t="s">
        <v>505</v>
      </c>
      <c r="B215" s="0" t="s">
        <v>737</v>
      </c>
      <c r="C215" s="0" t="s">
        <v>309</v>
      </c>
      <c r="D215" s="0" t="s">
        <v>93</v>
      </c>
      <c r="E215" s="0" t="s">
        <v>310</v>
      </c>
    </row>
    <row r="216" customFormat="false" ht="15" hidden="false" customHeight="false" outlineLevel="0" collapsed="false">
      <c r="A216" s="0" t="s">
        <v>505</v>
      </c>
      <c r="B216" s="0" t="s">
        <v>738</v>
      </c>
      <c r="C216" s="0" t="s">
        <v>195</v>
      </c>
      <c r="D216" s="0" t="s">
        <v>93</v>
      </c>
      <c r="E216" s="0" t="s">
        <v>516</v>
      </c>
    </row>
    <row r="217" customFormat="false" ht="15" hidden="false" customHeight="false" outlineLevel="0" collapsed="false">
      <c r="A217" s="0" t="s">
        <v>505</v>
      </c>
      <c r="B217" s="0" t="s">
        <v>739</v>
      </c>
      <c r="C217" s="0" t="s">
        <v>196</v>
      </c>
      <c r="D217" s="0" t="s">
        <v>93</v>
      </c>
      <c r="E217" s="0" t="s">
        <v>310</v>
      </c>
    </row>
    <row r="218" customFormat="false" ht="15" hidden="false" customHeight="false" outlineLevel="0" collapsed="false">
      <c r="A218" s="0" t="s">
        <v>740</v>
      </c>
      <c r="B218" s="0" t="s">
        <v>524</v>
      </c>
      <c r="C218" s="0" t="s">
        <v>509</v>
      </c>
      <c r="D218" s="0" t="s">
        <v>86</v>
      </c>
      <c r="E218" s="0" t="s">
        <v>178</v>
      </c>
    </row>
    <row r="219" customFormat="false" ht="15" hidden="false" customHeight="false" outlineLevel="0" collapsed="false">
      <c r="A219" s="0" t="s">
        <v>740</v>
      </c>
      <c r="B219" s="0" t="s">
        <v>525</v>
      </c>
      <c r="C219" s="0" t="s">
        <v>509</v>
      </c>
      <c r="D219" s="0" t="s">
        <v>86</v>
      </c>
      <c r="E219" s="0" t="s">
        <v>178</v>
      </c>
    </row>
    <row r="220" customFormat="false" ht="15" hidden="false" customHeight="false" outlineLevel="0" collapsed="false">
      <c r="A220" s="0" t="s">
        <v>740</v>
      </c>
      <c r="B220" s="0" t="s">
        <v>526</v>
      </c>
      <c r="C220" s="0" t="s">
        <v>509</v>
      </c>
      <c r="D220" s="0" t="s">
        <v>86</v>
      </c>
      <c r="E220" s="0" t="s">
        <v>178</v>
      </c>
    </row>
    <row r="221" customFormat="false" ht="15" hidden="false" customHeight="false" outlineLevel="0" collapsed="false">
      <c r="A221" s="0" t="s">
        <v>740</v>
      </c>
      <c r="B221" s="0" t="s">
        <v>527</v>
      </c>
      <c r="C221" s="0" t="s">
        <v>509</v>
      </c>
      <c r="D221" s="0" t="s">
        <v>86</v>
      </c>
      <c r="E221" s="0" t="s">
        <v>178</v>
      </c>
    </row>
    <row r="222" customFormat="false" ht="15" hidden="false" customHeight="false" outlineLevel="0" collapsed="false">
      <c r="A222" s="0" t="s">
        <v>740</v>
      </c>
      <c r="B222" s="0" t="s">
        <v>741</v>
      </c>
      <c r="C222" s="0" t="s">
        <v>509</v>
      </c>
      <c r="D222" s="0" t="s">
        <v>86</v>
      </c>
      <c r="E222" s="0" t="s">
        <v>178</v>
      </c>
    </row>
    <row r="223" customFormat="false" ht="15" hidden="false" customHeight="false" outlineLevel="0" collapsed="false">
      <c r="A223" s="0" t="s">
        <v>740</v>
      </c>
      <c r="B223" s="0" t="s">
        <v>742</v>
      </c>
      <c r="C223" s="0" t="s">
        <v>509</v>
      </c>
      <c r="D223" s="0" t="s">
        <v>86</v>
      </c>
      <c r="E223" s="0" t="s">
        <v>178</v>
      </c>
    </row>
    <row r="224" customFormat="false" ht="15" hidden="false" customHeight="false" outlineLevel="0" collapsed="false">
      <c r="A224" s="0" t="s">
        <v>740</v>
      </c>
      <c r="B224" s="0" t="s">
        <v>743</v>
      </c>
      <c r="C224" s="0" t="s">
        <v>509</v>
      </c>
      <c r="D224" s="0" t="s">
        <v>744</v>
      </c>
      <c r="E224" s="0" t="s">
        <v>178</v>
      </c>
    </row>
    <row r="225" customFormat="false" ht="15" hidden="false" customHeight="false" outlineLevel="0" collapsed="false">
      <c r="A225" s="0" t="s">
        <v>740</v>
      </c>
      <c r="B225" s="0" t="s">
        <v>745</v>
      </c>
      <c r="C225" s="0" t="s">
        <v>509</v>
      </c>
      <c r="D225" s="0" t="s">
        <v>744</v>
      </c>
      <c r="E225" s="0" t="s">
        <v>178</v>
      </c>
    </row>
    <row r="226" customFormat="false" ht="15" hidden="false" customHeight="false" outlineLevel="0" collapsed="false">
      <c r="A226" s="0" t="s">
        <v>740</v>
      </c>
      <c r="B226" s="0" t="s">
        <v>746</v>
      </c>
      <c r="C226" s="0" t="s">
        <v>509</v>
      </c>
      <c r="D226" s="0" t="s">
        <v>744</v>
      </c>
      <c r="E226" s="0" t="s">
        <v>178</v>
      </c>
    </row>
    <row r="227" customFormat="false" ht="15" hidden="false" customHeight="false" outlineLevel="0" collapsed="false">
      <c r="A227" s="0" t="s">
        <v>740</v>
      </c>
      <c r="B227" s="0" t="s">
        <v>747</v>
      </c>
      <c r="C227" s="0" t="s">
        <v>509</v>
      </c>
      <c r="D227" s="0" t="s">
        <v>744</v>
      </c>
      <c r="E227" s="0" t="s">
        <v>178</v>
      </c>
    </row>
    <row r="228" customFormat="false" ht="15" hidden="false" customHeight="false" outlineLevel="0" collapsed="false">
      <c r="A228" s="0" t="s">
        <v>740</v>
      </c>
      <c r="B228" s="0" t="s">
        <v>748</v>
      </c>
      <c r="C228" s="0" t="s">
        <v>509</v>
      </c>
      <c r="D228" s="0" t="s">
        <v>744</v>
      </c>
      <c r="E228" s="0" t="s">
        <v>178</v>
      </c>
    </row>
    <row r="229" customFormat="false" ht="15" hidden="false" customHeight="false" outlineLevel="0" collapsed="false">
      <c r="A229" s="0" t="s">
        <v>740</v>
      </c>
      <c r="B229" s="0" t="s">
        <v>471</v>
      </c>
      <c r="C229" s="0" t="s">
        <v>509</v>
      </c>
      <c r="D229" s="0" t="s">
        <v>744</v>
      </c>
      <c r="E229" s="0" t="s">
        <v>178</v>
      </c>
    </row>
    <row r="230" customFormat="false" ht="15" hidden="false" customHeight="false" outlineLevel="0" collapsed="false">
      <c r="A230" s="0" t="s">
        <v>740</v>
      </c>
      <c r="B230" s="0" t="s">
        <v>749</v>
      </c>
      <c r="C230" s="0" t="s">
        <v>509</v>
      </c>
      <c r="D230" s="0" t="s">
        <v>744</v>
      </c>
      <c r="E230" s="0" t="s">
        <v>178</v>
      </c>
    </row>
    <row r="231" customFormat="false" ht="15" hidden="false" customHeight="false" outlineLevel="0" collapsed="false">
      <c r="A231" s="0" t="s">
        <v>740</v>
      </c>
      <c r="B231" s="0" t="s">
        <v>750</v>
      </c>
      <c r="C231" s="0" t="s">
        <v>509</v>
      </c>
      <c r="D231" s="0" t="s">
        <v>744</v>
      </c>
      <c r="E231" s="0" t="s">
        <v>178</v>
      </c>
    </row>
    <row r="232" customFormat="false" ht="15" hidden="false" customHeight="false" outlineLevel="0" collapsed="false">
      <c r="A232" s="0" t="s">
        <v>740</v>
      </c>
      <c r="B232" s="0" t="s">
        <v>751</v>
      </c>
      <c r="C232" s="0" t="s">
        <v>509</v>
      </c>
      <c r="D232" s="0" t="s">
        <v>744</v>
      </c>
      <c r="E232" s="0" t="s">
        <v>178</v>
      </c>
    </row>
    <row r="233" customFormat="false" ht="15" hidden="false" customHeight="false" outlineLevel="0" collapsed="false">
      <c r="A233" s="0" t="s">
        <v>740</v>
      </c>
      <c r="B233" s="0" t="s">
        <v>752</v>
      </c>
      <c r="C233" s="0" t="s">
        <v>509</v>
      </c>
      <c r="D233" s="0" t="s">
        <v>744</v>
      </c>
      <c r="E233" s="0" t="s">
        <v>178</v>
      </c>
    </row>
    <row r="234" customFormat="false" ht="15" hidden="false" customHeight="false" outlineLevel="0" collapsed="false">
      <c r="A234" s="0" t="s">
        <v>740</v>
      </c>
      <c r="B234" s="0" t="s">
        <v>753</v>
      </c>
      <c r="C234" s="0" t="s">
        <v>509</v>
      </c>
      <c r="D234" s="0" t="s">
        <v>744</v>
      </c>
      <c r="E234" s="0" t="s">
        <v>178</v>
      </c>
    </row>
    <row r="235" customFormat="false" ht="15" hidden="false" customHeight="false" outlineLevel="0" collapsed="false">
      <c r="A235" s="0" t="s">
        <v>740</v>
      </c>
      <c r="B235" s="0" t="s">
        <v>754</v>
      </c>
      <c r="C235" s="0" t="s">
        <v>509</v>
      </c>
      <c r="D235" s="0" t="s">
        <v>744</v>
      </c>
      <c r="E235" s="0" t="s">
        <v>178</v>
      </c>
    </row>
    <row r="236" customFormat="false" ht="15" hidden="false" customHeight="false" outlineLevel="0" collapsed="false">
      <c r="A236" s="0" t="s">
        <v>740</v>
      </c>
      <c r="B236" s="0" t="s">
        <v>755</v>
      </c>
      <c r="C236" s="0" t="s">
        <v>509</v>
      </c>
      <c r="D236" s="0" t="s">
        <v>744</v>
      </c>
      <c r="E236" s="0" t="s">
        <v>178</v>
      </c>
    </row>
    <row r="237" customFormat="false" ht="15" hidden="false" customHeight="false" outlineLevel="0" collapsed="false">
      <c r="A237" s="0" t="s">
        <v>740</v>
      </c>
      <c r="B237" s="0" t="s">
        <v>756</v>
      </c>
      <c r="C237" s="0" t="s">
        <v>509</v>
      </c>
      <c r="D237" s="0" t="s">
        <v>744</v>
      </c>
      <c r="E237" s="0" t="s">
        <v>178</v>
      </c>
    </row>
    <row r="238" customFormat="false" ht="15" hidden="false" customHeight="false" outlineLevel="0" collapsed="false">
      <c r="A238" s="0" t="s">
        <v>740</v>
      </c>
      <c r="B238" s="0" t="s">
        <v>757</v>
      </c>
      <c r="C238" s="0" t="s">
        <v>509</v>
      </c>
      <c r="D238" s="0" t="s">
        <v>744</v>
      </c>
      <c r="E238" s="0" t="s">
        <v>178</v>
      </c>
    </row>
    <row r="239" customFormat="false" ht="15" hidden="false" customHeight="false" outlineLevel="0" collapsed="false">
      <c r="A239" s="0" t="s">
        <v>740</v>
      </c>
      <c r="B239" s="0" t="s">
        <v>758</v>
      </c>
      <c r="C239" s="0" t="s">
        <v>509</v>
      </c>
      <c r="D239" s="0" t="s">
        <v>744</v>
      </c>
      <c r="E239" s="0" t="s">
        <v>178</v>
      </c>
    </row>
    <row r="240" customFormat="false" ht="15" hidden="false" customHeight="false" outlineLevel="0" collapsed="false">
      <c r="A240" s="0" t="s">
        <v>740</v>
      </c>
      <c r="B240" s="0" t="s">
        <v>759</v>
      </c>
      <c r="C240" s="0" t="s">
        <v>509</v>
      </c>
      <c r="D240" s="0" t="s">
        <v>744</v>
      </c>
      <c r="E240" s="0" t="s">
        <v>178</v>
      </c>
    </row>
    <row r="241" customFormat="false" ht="15" hidden="false" customHeight="false" outlineLevel="0" collapsed="false">
      <c r="A241" s="0" t="s">
        <v>740</v>
      </c>
      <c r="B241" s="0" t="s">
        <v>760</v>
      </c>
      <c r="C241" s="0" t="s">
        <v>509</v>
      </c>
      <c r="D241" s="0" t="s">
        <v>744</v>
      </c>
      <c r="E241" s="0" t="s">
        <v>178</v>
      </c>
    </row>
    <row r="242" customFormat="false" ht="15" hidden="false" customHeight="false" outlineLevel="0" collapsed="false">
      <c r="A242" s="0" t="s">
        <v>740</v>
      </c>
      <c r="B242" s="0" t="s">
        <v>761</v>
      </c>
      <c r="C242" s="0" t="s">
        <v>762</v>
      </c>
      <c r="D242" s="0" t="s">
        <v>98</v>
      </c>
      <c r="E242" s="0" t="s">
        <v>763</v>
      </c>
    </row>
    <row r="243" customFormat="false" ht="15" hidden="false" customHeight="false" outlineLevel="0" collapsed="false">
      <c r="A243" s="0" t="s">
        <v>740</v>
      </c>
      <c r="B243" s="0" t="s">
        <v>530</v>
      </c>
      <c r="C243" s="0" t="s">
        <v>762</v>
      </c>
      <c r="D243" s="0" t="s">
        <v>98</v>
      </c>
      <c r="E243" s="0" t="s">
        <v>763</v>
      </c>
    </row>
    <row r="244" customFormat="false" ht="15" hidden="false" customHeight="false" outlineLevel="0" collapsed="false">
      <c r="A244" s="0" t="s">
        <v>740</v>
      </c>
      <c r="B244" s="0" t="s">
        <v>531</v>
      </c>
      <c r="C244" s="0" t="s">
        <v>762</v>
      </c>
      <c r="D244" s="0" t="s">
        <v>98</v>
      </c>
      <c r="E244" s="0" t="s">
        <v>763</v>
      </c>
    </row>
    <row r="245" customFormat="false" ht="15" hidden="false" customHeight="false" outlineLevel="0" collapsed="false">
      <c r="A245" s="0" t="s">
        <v>740</v>
      </c>
      <c r="B245" s="0" t="s">
        <v>532</v>
      </c>
      <c r="C245" s="0" t="s">
        <v>762</v>
      </c>
      <c r="D245" s="0" t="s">
        <v>98</v>
      </c>
      <c r="E245" s="0" t="s">
        <v>763</v>
      </c>
    </row>
    <row r="246" customFormat="false" ht="15" hidden="false" customHeight="false" outlineLevel="0" collapsed="false">
      <c r="A246" s="0" t="s">
        <v>740</v>
      </c>
      <c r="B246" s="0" t="s">
        <v>533</v>
      </c>
      <c r="C246" s="0" t="s">
        <v>762</v>
      </c>
      <c r="D246" s="0" t="s">
        <v>98</v>
      </c>
      <c r="E246" s="0" t="s">
        <v>763</v>
      </c>
    </row>
    <row r="247" customFormat="false" ht="15" hidden="false" customHeight="false" outlineLevel="0" collapsed="false">
      <c r="A247" s="0" t="s">
        <v>740</v>
      </c>
      <c r="B247" s="0" t="s">
        <v>534</v>
      </c>
      <c r="C247" s="0" t="s">
        <v>762</v>
      </c>
      <c r="D247" s="0" t="s">
        <v>98</v>
      </c>
      <c r="E247" s="0" t="s">
        <v>763</v>
      </c>
    </row>
    <row r="248" customFormat="false" ht="15" hidden="false" customHeight="false" outlineLevel="0" collapsed="false">
      <c r="A248" s="0" t="s">
        <v>740</v>
      </c>
      <c r="B248" s="0" t="s">
        <v>535</v>
      </c>
      <c r="C248" s="0" t="s">
        <v>762</v>
      </c>
      <c r="D248" s="0" t="s">
        <v>98</v>
      </c>
      <c r="E248" s="0" t="s">
        <v>763</v>
      </c>
    </row>
    <row r="249" customFormat="false" ht="15" hidden="false" customHeight="false" outlineLevel="0" collapsed="false">
      <c r="A249" s="0" t="s">
        <v>740</v>
      </c>
      <c r="B249" s="0" t="s">
        <v>536</v>
      </c>
      <c r="C249" s="0" t="s">
        <v>764</v>
      </c>
      <c r="D249" s="0" t="s">
        <v>93</v>
      </c>
      <c r="E249" s="0" t="s">
        <v>765</v>
      </c>
    </row>
    <row r="250" customFormat="false" ht="15" hidden="false" customHeight="false" outlineLevel="0" collapsed="false">
      <c r="A250" s="0" t="s">
        <v>740</v>
      </c>
      <c r="B250" s="0" t="s">
        <v>766</v>
      </c>
      <c r="C250" s="0" t="s">
        <v>767</v>
      </c>
      <c r="D250" s="0" t="s">
        <v>93</v>
      </c>
      <c r="E250" s="0" t="s">
        <v>768</v>
      </c>
    </row>
    <row r="251" customFormat="false" ht="15" hidden="false" customHeight="false" outlineLevel="0" collapsed="false">
      <c r="A251" s="0" t="s">
        <v>740</v>
      </c>
      <c r="B251" s="0" t="s">
        <v>769</v>
      </c>
      <c r="C251" s="0" t="s">
        <v>770</v>
      </c>
      <c r="D251" s="0" t="s">
        <v>93</v>
      </c>
      <c r="E251" s="0" t="s">
        <v>771</v>
      </c>
    </row>
    <row r="252" customFormat="false" ht="15" hidden="false" customHeight="false" outlineLevel="0" collapsed="false">
      <c r="A252" s="0" t="s">
        <v>740</v>
      </c>
      <c r="B252" s="0" t="s">
        <v>772</v>
      </c>
      <c r="C252" s="0" t="s">
        <v>773</v>
      </c>
      <c r="D252" s="0" t="s">
        <v>93</v>
      </c>
      <c r="E252" s="0" t="s">
        <v>774</v>
      </c>
    </row>
    <row r="253" customFormat="false" ht="15" hidden="false" customHeight="false" outlineLevel="0" collapsed="false">
      <c r="A253" s="0" t="s">
        <v>740</v>
      </c>
      <c r="B253" s="0" t="s">
        <v>775</v>
      </c>
      <c r="C253" s="0" t="s">
        <v>773</v>
      </c>
      <c r="D253" s="0" t="s">
        <v>93</v>
      </c>
      <c r="E253" s="0" t="s">
        <v>776</v>
      </c>
    </row>
    <row r="254" customFormat="false" ht="15" hidden="false" customHeight="false" outlineLevel="0" collapsed="false">
      <c r="A254" s="0" t="s">
        <v>740</v>
      </c>
      <c r="B254" s="0" t="s">
        <v>777</v>
      </c>
      <c r="C254" s="0" t="s">
        <v>773</v>
      </c>
      <c r="D254" s="0" t="s">
        <v>93</v>
      </c>
      <c r="E254" s="0" t="s">
        <v>778</v>
      </c>
    </row>
    <row r="255" customFormat="false" ht="15" hidden="false" customHeight="false" outlineLevel="0" collapsed="false">
      <c r="A255" s="0" t="s">
        <v>740</v>
      </c>
      <c r="B255" s="0" t="s">
        <v>779</v>
      </c>
      <c r="C255" s="0" t="s">
        <v>780</v>
      </c>
      <c r="D255" s="0" t="s">
        <v>93</v>
      </c>
      <c r="E255" s="0" t="s">
        <v>781</v>
      </c>
    </row>
    <row r="256" customFormat="false" ht="15" hidden="false" customHeight="false" outlineLevel="0" collapsed="false">
      <c r="A256" s="0" t="s">
        <v>740</v>
      </c>
      <c r="B256" s="0" t="s">
        <v>782</v>
      </c>
      <c r="C256" s="0" t="s">
        <v>783</v>
      </c>
      <c r="D256" s="0" t="s">
        <v>93</v>
      </c>
      <c r="E256" s="0" t="s">
        <v>784</v>
      </c>
    </row>
    <row r="257" customFormat="false" ht="15" hidden="false" customHeight="false" outlineLevel="0" collapsed="false">
      <c r="A257" s="0" t="s">
        <v>740</v>
      </c>
      <c r="B257" s="0" t="s">
        <v>476</v>
      </c>
      <c r="C257" s="0" t="s">
        <v>785</v>
      </c>
      <c r="D257" s="0" t="s">
        <v>93</v>
      </c>
      <c r="E257" s="0" t="s">
        <v>786</v>
      </c>
    </row>
    <row r="258" customFormat="false" ht="15" hidden="false" customHeight="false" outlineLevel="0" collapsed="false">
      <c r="A258" s="0" t="s">
        <v>740</v>
      </c>
      <c r="B258" s="0" t="s">
        <v>787</v>
      </c>
      <c r="C258" s="0" t="s">
        <v>785</v>
      </c>
      <c r="D258" s="0" t="s">
        <v>93</v>
      </c>
      <c r="E258" s="0" t="s">
        <v>788</v>
      </c>
    </row>
    <row r="259" customFormat="false" ht="15" hidden="false" customHeight="false" outlineLevel="0" collapsed="false">
      <c r="A259" s="0" t="s">
        <v>740</v>
      </c>
      <c r="B259" s="0" t="s">
        <v>789</v>
      </c>
      <c r="C259" s="0" t="s">
        <v>785</v>
      </c>
      <c r="D259" s="0" t="s">
        <v>93</v>
      </c>
      <c r="E259" s="0" t="s">
        <v>788</v>
      </c>
    </row>
    <row r="260" customFormat="false" ht="15" hidden="false" customHeight="false" outlineLevel="0" collapsed="false">
      <c r="A260" s="0" t="s">
        <v>740</v>
      </c>
      <c r="B260" s="0" t="s">
        <v>790</v>
      </c>
      <c r="C260" s="0" t="s">
        <v>785</v>
      </c>
      <c r="D260" s="0" t="s">
        <v>93</v>
      </c>
      <c r="E260" s="0" t="s">
        <v>788</v>
      </c>
    </row>
    <row r="261" customFormat="false" ht="15" hidden="false" customHeight="false" outlineLevel="0" collapsed="false">
      <c r="A261" s="0" t="s">
        <v>740</v>
      </c>
      <c r="B261" s="0" t="s">
        <v>791</v>
      </c>
      <c r="C261" s="0" t="s">
        <v>785</v>
      </c>
      <c r="D261" s="0" t="s">
        <v>93</v>
      </c>
      <c r="E261" s="0" t="s">
        <v>788</v>
      </c>
    </row>
    <row r="262" customFormat="false" ht="15" hidden="false" customHeight="false" outlineLevel="0" collapsed="false">
      <c r="A262" s="0" t="s">
        <v>740</v>
      </c>
      <c r="B262" s="0" t="s">
        <v>792</v>
      </c>
      <c r="C262" s="0" t="s">
        <v>785</v>
      </c>
      <c r="D262" s="0" t="s">
        <v>93</v>
      </c>
      <c r="E262" s="0" t="s">
        <v>788</v>
      </c>
    </row>
    <row r="263" customFormat="false" ht="15" hidden="false" customHeight="false" outlineLevel="0" collapsed="false">
      <c r="A263" s="0" t="s">
        <v>740</v>
      </c>
      <c r="B263" s="0" t="s">
        <v>793</v>
      </c>
      <c r="C263" s="0" t="s">
        <v>785</v>
      </c>
      <c r="D263" s="0" t="s">
        <v>93</v>
      </c>
      <c r="E263" s="0" t="s">
        <v>788</v>
      </c>
    </row>
    <row r="264" customFormat="false" ht="15" hidden="false" customHeight="false" outlineLevel="0" collapsed="false">
      <c r="A264" s="0" t="s">
        <v>740</v>
      </c>
      <c r="B264" s="0" t="s">
        <v>794</v>
      </c>
      <c r="C264" s="0" t="s">
        <v>785</v>
      </c>
      <c r="D264" s="0" t="s">
        <v>93</v>
      </c>
      <c r="E264" s="0" t="s">
        <v>788</v>
      </c>
    </row>
    <row r="265" customFormat="false" ht="15" hidden="false" customHeight="false" outlineLevel="0" collapsed="false">
      <c r="A265" s="0" t="s">
        <v>740</v>
      </c>
      <c r="B265" s="0" t="s">
        <v>795</v>
      </c>
      <c r="C265" s="0" t="s">
        <v>785</v>
      </c>
      <c r="D265" s="0" t="s">
        <v>93</v>
      </c>
      <c r="E265" s="0" t="s">
        <v>788</v>
      </c>
    </row>
    <row r="266" customFormat="false" ht="15" hidden="false" customHeight="false" outlineLevel="0" collapsed="false">
      <c r="A266" s="0" t="s">
        <v>740</v>
      </c>
      <c r="B266" s="0" t="s">
        <v>796</v>
      </c>
      <c r="C266" s="0" t="s">
        <v>785</v>
      </c>
      <c r="D266" s="0" t="s">
        <v>93</v>
      </c>
      <c r="E266" s="0" t="s">
        <v>788</v>
      </c>
    </row>
    <row r="267" customFormat="false" ht="15" hidden="false" customHeight="false" outlineLevel="0" collapsed="false">
      <c r="A267" s="0" t="s">
        <v>740</v>
      </c>
      <c r="B267" s="0" t="s">
        <v>797</v>
      </c>
      <c r="C267" s="0" t="s">
        <v>785</v>
      </c>
      <c r="D267" s="0" t="s">
        <v>93</v>
      </c>
      <c r="E267" s="0" t="s">
        <v>788</v>
      </c>
    </row>
    <row r="268" customFormat="false" ht="15" hidden="false" customHeight="false" outlineLevel="0" collapsed="false">
      <c r="A268" s="0" t="s">
        <v>740</v>
      </c>
      <c r="B268" s="0" t="s">
        <v>798</v>
      </c>
      <c r="C268" s="0" t="s">
        <v>785</v>
      </c>
      <c r="D268" s="0" t="s">
        <v>93</v>
      </c>
      <c r="E268" s="0" t="s">
        <v>788</v>
      </c>
    </row>
    <row r="269" customFormat="false" ht="15" hidden="false" customHeight="false" outlineLevel="0" collapsed="false">
      <c r="A269" s="0" t="s">
        <v>740</v>
      </c>
      <c r="B269" s="0" t="s">
        <v>799</v>
      </c>
      <c r="C269" s="0" t="s">
        <v>785</v>
      </c>
      <c r="D269" s="0" t="s">
        <v>93</v>
      </c>
      <c r="E269" s="0" t="s">
        <v>788</v>
      </c>
    </row>
    <row r="270" customFormat="false" ht="15" hidden="false" customHeight="false" outlineLevel="0" collapsed="false">
      <c r="A270" s="0" t="s">
        <v>740</v>
      </c>
      <c r="B270" s="0" t="s">
        <v>800</v>
      </c>
      <c r="C270" s="0" t="s">
        <v>762</v>
      </c>
      <c r="D270" s="0" t="s">
        <v>98</v>
      </c>
      <c r="E270" s="0" t="s">
        <v>763</v>
      </c>
    </row>
    <row r="271" customFormat="false" ht="15" hidden="false" customHeight="false" outlineLevel="0" collapsed="false">
      <c r="A271" s="0" t="s">
        <v>740</v>
      </c>
      <c r="B271" s="0" t="s">
        <v>539</v>
      </c>
      <c r="C271" s="0" t="s">
        <v>762</v>
      </c>
      <c r="D271" s="0" t="s">
        <v>98</v>
      </c>
      <c r="E271" s="0" t="s">
        <v>763</v>
      </c>
    </row>
    <row r="272" customFormat="false" ht="15" hidden="false" customHeight="false" outlineLevel="0" collapsed="false">
      <c r="A272" s="0" t="s">
        <v>740</v>
      </c>
      <c r="B272" s="0" t="s">
        <v>541</v>
      </c>
      <c r="C272" s="0" t="s">
        <v>762</v>
      </c>
      <c r="D272" s="0" t="s">
        <v>98</v>
      </c>
      <c r="E272" s="0" t="s">
        <v>763</v>
      </c>
    </row>
    <row r="273" customFormat="false" ht="15" hidden="false" customHeight="false" outlineLevel="0" collapsed="false">
      <c r="A273" s="0" t="s">
        <v>740</v>
      </c>
      <c r="B273" s="0" t="s">
        <v>542</v>
      </c>
      <c r="C273" s="0" t="s">
        <v>762</v>
      </c>
      <c r="D273" s="0" t="s">
        <v>98</v>
      </c>
      <c r="E273" s="0" t="s">
        <v>763</v>
      </c>
    </row>
    <row r="274" customFormat="false" ht="15" hidden="false" customHeight="false" outlineLevel="0" collapsed="false">
      <c r="A274" s="0" t="s">
        <v>740</v>
      </c>
      <c r="B274" s="0" t="s">
        <v>543</v>
      </c>
      <c r="C274" s="0" t="s">
        <v>762</v>
      </c>
      <c r="D274" s="0" t="s">
        <v>98</v>
      </c>
      <c r="E274" s="0" t="s">
        <v>763</v>
      </c>
    </row>
    <row r="275" customFormat="false" ht="15" hidden="false" customHeight="false" outlineLevel="0" collapsed="false">
      <c r="A275" s="0" t="s">
        <v>740</v>
      </c>
      <c r="B275" s="0" t="s">
        <v>544</v>
      </c>
      <c r="C275" s="0" t="s">
        <v>762</v>
      </c>
      <c r="D275" s="0" t="s">
        <v>98</v>
      </c>
      <c r="E275" s="0" t="s">
        <v>763</v>
      </c>
    </row>
    <row r="276" customFormat="false" ht="15" hidden="false" customHeight="false" outlineLevel="0" collapsed="false">
      <c r="A276" s="0" t="s">
        <v>740</v>
      </c>
      <c r="B276" s="0" t="s">
        <v>545</v>
      </c>
      <c r="C276" s="0" t="s">
        <v>762</v>
      </c>
      <c r="D276" s="0" t="s">
        <v>98</v>
      </c>
      <c r="E276" s="0" t="s">
        <v>763</v>
      </c>
    </row>
    <row r="277" customFormat="false" ht="15" hidden="false" customHeight="false" outlineLevel="0" collapsed="false">
      <c r="A277" s="0" t="s">
        <v>740</v>
      </c>
      <c r="B277" s="0" t="s">
        <v>546</v>
      </c>
      <c r="C277" s="0" t="s">
        <v>801</v>
      </c>
      <c r="D277" s="0" t="s">
        <v>93</v>
      </c>
      <c r="E277" s="0" t="s">
        <v>765</v>
      </c>
    </row>
    <row r="278" customFormat="false" ht="15" hidden="false" customHeight="false" outlineLevel="0" collapsed="false">
      <c r="A278" s="0" t="s">
        <v>740</v>
      </c>
      <c r="B278" s="0" t="s">
        <v>802</v>
      </c>
      <c r="C278" s="0" t="s">
        <v>803</v>
      </c>
      <c r="D278" s="0" t="s">
        <v>93</v>
      </c>
      <c r="E278" s="0" t="s">
        <v>768</v>
      </c>
    </row>
    <row r="279" customFormat="false" ht="15" hidden="false" customHeight="false" outlineLevel="0" collapsed="false">
      <c r="A279" s="0" t="s">
        <v>740</v>
      </c>
      <c r="B279" s="0" t="s">
        <v>804</v>
      </c>
      <c r="C279" s="0" t="s">
        <v>803</v>
      </c>
      <c r="D279" s="0" t="s">
        <v>93</v>
      </c>
      <c r="E279" s="0" t="s">
        <v>771</v>
      </c>
    </row>
    <row r="280" customFormat="false" ht="15" hidden="false" customHeight="false" outlineLevel="0" collapsed="false">
      <c r="A280" s="0" t="s">
        <v>740</v>
      </c>
      <c r="B280" s="0" t="s">
        <v>805</v>
      </c>
      <c r="C280" s="0" t="s">
        <v>570</v>
      </c>
      <c r="D280" s="0" t="s">
        <v>93</v>
      </c>
      <c r="E280" s="0" t="s">
        <v>774</v>
      </c>
    </row>
    <row r="281" customFormat="false" ht="15" hidden="false" customHeight="false" outlineLevel="0" collapsed="false">
      <c r="A281" s="0" t="s">
        <v>740</v>
      </c>
      <c r="B281" s="0" t="s">
        <v>806</v>
      </c>
      <c r="C281" s="0" t="s">
        <v>807</v>
      </c>
      <c r="D281" s="0" t="s">
        <v>93</v>
      </c>
      <c r="E281" s="0" t="s">
        <v>776</v>
      </c>
    </row>
    <row r="282" customFormat="false" ht="15" hidden="false" customHeight="false" outlineLevel="0" collapsed="false">
      <c r="A282" s="0" t="s">
        <v>740</v>
      </c>
      <c r="B282" s="0" t="s">
        <v>808</v>
      </c>
      <c r="C282" s="0" t="s">
        <v>809</v>
      </c>
      <c r="D282" s="0" t="s">
        <v>93</v>
      </c>
      <c r="E282" s="0" t="s">
        <v>778</v>
      </c>
    </row>
    <row r="283" customFormat="false" ht="15" hidden="false" customHeight="false" outlineLevel="0" collapsed="false">
      <c r="A283" s="0" t="s">
        <v>740</v>
      </c>
      <c r="B283" s="0" t="s">
        <v>810</v>
      </c>
      <c r="C283" s="0" t="s">
        <v>785</v>
      </c>
      <c r="D283" s="0" t="s">
        <v>93</v>
      </c>
      <c r="E283" s="0" t="s">
        <v>781</v>
      </c>
    </row>
    <row r="284" customFormat="false" ht="15" hidden="false" customHeight="false" outlineLevel="0" collapsed="false">
      <c r="A284" s="0" t="s">
        <v>740</v>
      </c>
      <c r="B284" s="0" t="s">
        <v>811</v>
      </c>
      <c r="C284" s="0" t="s">
        <v>550</v>
      </c>
      <c r="D284" s="0" t="s">
        <v>93</v>
      </c>
      <c r="E284" s="0" t="s">
        <v>784</v>
      </c>
    </row>
    <row r="285" customFormat="false" ht="15" hidden="false" customHeight="false" outlineLevel="0" collapsed="false">
      <c r="A285" s="0" t="s">
        <v>740</v>
      </c>
      <c r="B285" s="0" t="s">
        <v>481</v>
      </c>
      <c r="C285" s="0" t="s">
        <v>550</v>
      </c>
      <c r="D285" s="0" t="s">
        <v>93</v>
      </c>
      <c r="E285" s="0" t="s">
        <v>786</v>
      </c>
    </row>
    <row r="286" customFormat="false" ht="15" hidden="false" customHeight="false" outlineLevel="0" collapsed="false">
      <c r="A286" s="0" t="s">
        <v>740</v>
      </c>
      <c r="B286" s="0" t="s">
        <v>812</v>
      </c>
      <c r="C286" s="0" t="s">
        <v>550</v>
      </c>
      <c r="D286" s="0" t="s">
        <v>93</v>
      </c>
      <c r="E286" s="0" t="s">
        <v>788</v>
      </c>
    </row>
    <row r="287" customFormat="false" ht="15" hidden="false" customHeight="false" outlineLevel="0" collapsed="false">
      <c r="A287" s="0" t="s">
        <v>740</v>
      </c>
      <c r="B287" s="0" t="s">
        <v>813</v>
      </c>
      <c r="C287" s="0" t="s">
        <v>550</v>
      </c>
      <c r="D287" s="0" t="s">
        <v>93</v>
      </c>
      <c r="E287" s="0" t="s">
        <v>788</v>
      </c>
    </row>
    <row r="288" customFormat="false" ht="15" hidden="false" customHeight="false" outlineLevel="0" collapsed="false">
      <c r="A288" s="0" t="s">
        <v>740</v>
      </c>
      <c r="B288" s="0" t="s">
        <v>814</v>
      </c>
      <c r="C288" s="0" t="s">
        <v>550</v>
      </c>
      <c r="D288" s="0" t="s">
        <v>93</v>
      </c>
      <c r="E288" s="0" t="s">
        <v>788</v>
      </c>
    </row>
    <row r="289" customFormat="false" ht="15" hidden="false" customHeight="false" outlineLevel="0" collapsed="false">
      <c r="A289" s="0" t="s">
        <v>740</v>
      </c>
      <c r="B289" s="0" t="s">
        <v>815</v>
      </c>
      <c r="C289" s="0" t="s">
        <v>550</v>
      </c>
      <c r="D289" s="0" t="s">
        <v>93</v>
      </c>
      <c r="E289" s="0" t="s">
        <v>788</v>
      </c>
    </row>
    <row r="290" customFormat="false" ht="15" hidden="false" customHeight="false" outlineLevel="0" collapsed="false">
      <c r="A290" s="0" t="s">
        <v>740</v>
      </c>
      <c r="B290" s="0" t="s">
        <v>816</v>
      </c>
      <c r="C290" s="0" t="s">
        <v>550</v>
      </c>
      <c r="D290" s="0" t="s">
        <v>93</v>
      </c>
      <c r="E290" s="0" t="s">
        <v>788</v>
      </c>
    </row>
    <row r="291" customFormat="false" ht="15" hidden="false" customHeight="false" outlineLevel="0" collapsed="false">
      <c r="A291" s="0" t="s">
        <v>740</v>
      </c>
      <c r="B291" s="0" t="s">
        <v>817</v>
      </c>
      <c r="C291" s="0" t="s">
        <v>550</v>
      </c>
      <c r="D291" s="0" t="s">
        <v>93</v>
      </c>
      <c r="E291" s="0" t="s">
        <v>788</v>
      </c>
    </row>
    <row r="292" customFormat="false" ht="15" hidden="false" customHeight="false" outlineLevel="0" collapsed="false">
      <c r="A292" s="0" t="s">
        <v>740</v>
      </c>
      <c r="B292" s="0" t="s">
        <v>818</v>
      </c>
      <c r="C292" s="0" t="s">
        <v>550</v>
      </c>
      <c r="D292" s="0" t="s">
        <v>93</v>
      </c>
      <c r="E292" s="0" t="s">
        <v>788</v>
      </c>
    </row>
    <row r="293" customFormat="false" ht="15" hidden="false" customHeight="false" outlineLevel="0" collapsed="false">
      <c r="A293" s="0" t="s">
        <v>740</v>
      </c>
      <c r="B293" s="0" t="s">
        <v>819</v>
      </c>
      <c r="C293" s="0" t="s">
        <v>550</v>
      </c>
      <c r="D293" s="0" t="s">
        <v>93</v>
      </c>
      <c r="E293" s="0" t="s">
        <v>788</v>
      </c>
    </row>
    <row r="294" customFormat="false" ht="15" hidden="false" customHeight="false" outlineLevel="0" collapsed="false">
      <c r="A294" s="0" t="s">
        <v>740</v>
      </c>
      <c r="B294" s="0" t="s">
        <v>820</v>
      </c>
      <c r="C294" s="0" t="s">
        <v>550</v>
      </c>
      <c r="D294" s="0" t="s">
        <v>93</v>
      </c>
      <c r="E294" s="0" t="s">
        <v>788</v>
      </c>
    </row>
    <row r="295" customFormat="false" ht="15" hidden="false" customHeight="false" outlineLevel="0" collapsed="false">
      <c r="A295" s="0" t="s">
        <v>740</v>
      </c>
      <c r="B295" s="0" t="s">
        <v>821</v>
      </c>
      <c r="C295" s="0" t="s">
        <v>550</v>
      </c>
      <c r="D295" s="0" t="s">
        <v>93</v>
      </c>
      <c r="E295" s="0" t="s">
        <v>788</v>
      </c>
    </row>
    <row r="296" customFormat="false" ht="15" hidden="false" customHeight="false" outlineLevel="0" collapsed="false">
      <c r="A296" s="0" t="s">
        <v>740</v>
      </c>
      <c r="B296" s="0" t="s">
        <v>822</v>
      </c>
      <c r="C296" s="0" t="s">
        <v>550</v>
      </c>
      <c r="D296" s="0" t="s">
        <v>93</v>
      </c>
      <c r="E296" s="0" t="s">
        <v>788</v>
      </c>
    </row>
    <row r="297" customFormat="false" ht="15" hidden="false" customHeight="false" outlineLevel="0" collapsed="false">
      <c r="A297" s="0" t="s">
        <v>740</v>
      </c>
      <c r="B297" s="0" t="s">
        <v>823</v>
      </c>
      <c r="C297" s="0" t="s">
        <v>550</v>
      </c>
      <c r="D297" s="0" t="s">
        <v>93</v>
      </c>
      <c r="E297" s="0" t="s">
        <v>788</v>
      </c>
    </row>
    <row r="298" customFormat="false" ht="15" hidden="false" customHeight="false" outlineLevel="0" collapsed="false">
      <c r="A298" s="0" t="s">
        <v>740</v>
      </c>
      <c r="B298" s="0" t="s">
        <v>824</v>
      </c>
      <c r="C298" s="0" t="s">
        <v>825</v>
      </c>
      <c r="D298" s="0" t="s">
        <v>98</v>
      </c>
      <c r="E298" s="0" t="s">
        <v>826</v>
      </c>
    </row>
    <row r="299" customFormat="false" ht="15" hidden="false" customHeight="false" outlineLevel="0" collapsed="false">
      <c r="A299" s="0" t="s">
        <v>740</v>
      </c>
      <c r="B299" s="0" t="s">
        <v>549</v>
      </c>
      <c r="C299" s="0" t="s">
        <v>827</v>
      </c>
      <c r="D299" s="0" t="s">
        <v>98</v>
      </c>
      <c r="E299" s="0" t="s">
        <v>826</v>
      </c>
    </row>
    <row r="300" customFormat="false" ht="15" hidden="false" customHeight="false" outlineLevel="0" collapsed="false">
      <c r="A300" s="0" t="s">
        <v>740</v>
      </c>
      <c r="B300" s="0" t="s">
        <v>551</v>
      </c>
      <c r="C300" s="0" t="s">
        <v>828</v>
      </c>
      <c r="D300" s="0" t="s">
        <v>98</v>
      </c>
      <c r="E300" s="0" t="s">
        <v>826</v>
      </c>
    </row>
    <row r="301" customFormat="false" ht="15" hidden="false" customHeight="false" outlineLevel="0" collapsed="false">
      <c r="A301" s="0" t="s">
        <v>740</v>
      </c>
      <c r="B301" s="0" t="s">
        <v>552</v>
      </c>
      <c r="C301" s="0" t="s">
        <v>829</v>
      </c>
      <c r="D301" s="0" t="s">
        <v>98</v>
      </c>
      <c r="E301" s="0" t="s">
        <v>826</v>
      </c>
    </row>
    <row r="302" customFormat="false" ht="15" hidden="false" customHeight="false" outlineLevel="0" collapsed="false">
      <c r="A302" s="0" t="s">
        <v>740</v>
      </c>
      <c r="B302" s="0" t="s">
        <v>553</v>
      </c>
      <c r="C302" s="0" t="s">
        <v>830</v>
      </c>
      <c r="D302" s="0" t="s">
        <v>98</v>
      </c>
      <c r="E302" s="0" t="s">
        <v>826</v>
      </c>
    </row>
    <row r="303" customFormat="false" ht="15" hidden="false" customHeight="false" outlineLevel="0" collapsed="false">
      <c r="A303" s="0" t="s">
        <v>740</v>
      </c>
      <c r="B303" s="0" t="s">
        <v>554</v>
      </c>
      <c r="C303" s="0" t="s">
        <v>831</v>
      </c>
      <c r="D303" s="0" t="s">
        <v>98</v>
      </c>
      <c r="E303" s="0" t="s">
        <v>826</v>
      </c>
    </row>
    <row r="304" customFormat="false" ht="15" hidden="false" customHeight="false" outlineLevel="0" collapsed="false">
      <c r="A304" s="0" t="s">
        <v>740</v>
      </c>
      <c r="B304" s="0" t="s">
        <v>555</v>
      </c>
      <c r="C304" s="0" t="s">
        <v>832</v>
      </c>
      <c r="D304" s="0" t="s">
        <v>98</v>
      </c>
      <c r="E304" s="0" t="s">
        <v>826</v>
      </c>
    </row>
    <row r="305" customFormat="false" ht="15" hidden="false" customHeight="false" outlineLevel="0" collapsed="false">
      <c r="A305" s="0" t="s">
        <v>740</v>
      </c>
      <c r="B305" s="0" t="s">
        <v>556</v>
      </c>
      <c r="C305" s="0" t="s">
        <v>833</v>
      </c>
      <c r="D305" s="0" t="s">
        <v>98</v>
      </c>
      <c r="E305" s="0" t="s">
        <v>826</v>
      </c>
    </row>
    <row r="306" customFormat="false" ht="15" hidden="false" customHeight="false" outlineLevel="0" collapsed="false">
      <c r="A306" s="0" t="s">
        <v>740</v>
      </c>
      <c r="B306" s="0" t="s">
        <v>834</v>
      </c>
      <c r="C306" s="0" t="s">
        <v>835</v>
      </c>
      <c r="D306" s="0" t="s">
        <v>98</v>
      </c>
      <c r="E306" s="0" t="s">
        <v>826</v>
      </c>
    </row>
    <row r="307" customFormat="false" ht="15" hidden="false" customHeight="false" outlineLevel="0" collapsed="false">
      <c r="A307" s="0" t="s">
        <v>740</v>
      </c>
      <c r="B307" s="0" t="s">
        <v>836</v>
      </c>
      <c r="C307" s="0" t="s">
        <v>837</v>
      </c>
      <c r="D307" s="0" t="s">
        <v>98</v>
      </c>
      <c r="E307" s="0" t="s">
        <v>826</v>
      </c>
    </row>
    <row r="308" customFormat="false" ht="15" hidden="false" customHeight="false" outlineLevel="0" collapsed="false">
      <c r="A308" s="0" t="s">
        <v>740</v>
      </c>
      <c r="B308" s="0" t="s">
        <v>838</v>
      </c>
      <c r="C308" s="0" t="s">
        <v>839</v>
      </c>
      <c r="D308" s="0" t="s">
        <v>98</v>
      </c>
      <c r="E308" s="0" t="s">
        <v>826</v>
      </c>
    </row>
    <row r="309" customFormat="false" ht="15" hidden="false" customHeight="false" outlineLevel="0" collapsed="false">
      <c r="A309" s="0" t="s">
        <v>740</v>
      </c>
      <c r="B309" s="0" t="s">
        <v>840</v>
      </c>
      <c r="C309" s="0" t="s">
        <v>841</v>
      </c>
      <c r="D309" s="0" t="s">
        <v>98</v>
      </c>
      <c r="E309" s="0" t="s">
        <v>826</v>
      </c>
    </row>
    <row r="310" customFormat="false" ht="15" hidden="false" customHeight="false" outlineLevel="0" collapsed="false">
      <c r="A310" s="0" t="s">
        <v>740</v>
      </c>
      <c r="B310" s="0" t="s">
        <v>842</v>
      </c>
      <c r="C310" s="0" t="s">
        <v>843</v>
      </c>
      <c r="D310" s="0" t="s">
        <v>98</v>
      </c>
      <c r="E310" s="0" t="s">
        <v>826</v>
      </c>
    </row>
    <row r="311" customFormat="false" ht="15" hidden="false" customHeight="false" outlineLevel="0" collapsed="false">
      <c r="A311" s="0" t="s">
        <v>740</v>
      </c>
      <c r="B311" s="0" t="s">
        <v>844</v>
      </c>
      <c r="C311" s="0" t="s">
        <v>845</v>
      </c>
      <c r="D311" s="0" t="s">
        <v>98</v>
      </c>
      <c r="E311" s="0" t="s">
        <v>826</v>
      </c>
    </row>
    <row r="312" customFormat="false" ht="15" hidden="false" customHeight="false" outlineLevel="0" collapsed="false">
      <c r="A312" s="0" t="s">
        <v>740</v>
      </c>
      <c r="B312" s="0" t="s">
        <v>846</v>
      </c>
      <c r="C312" s="0" t="s">
        <v>847</v>
      </c>
      <c r="D312" s="0" t="s">
        <v>98</v>
      </c>
      <c r="E312" s="0" t="s">
        <v>826</v>
      </c>
    </row>
    <row r="313" customFormat="false" ht="15" hidden="false" customHeight="false" outlineLevel="0" collapsed="false">
      <c r="A313" s="0" t="s">
        <v>740</v>
      </c>
      <c r="B313" s="0" t="s">
        <v>487</v>
      </c>
      <c r="C313" s="0" t="s">
        <v>848</v>
      </c>
      <c r="D313" s="0" t="s">
        <v>98</v>
      </c>
      <c r="E313" s="0" t="s">
        <v>826</v>
      </c>
    </row>
    <row r="314" customFormat="false" ht="15" hidden="false" customHeight="false" outlineLevel="0" collapsed="false">
      <c r="A314" s="0" t="s">
        <v>740</v>
      </c>
      <c r="B314" s="0" t="s">
        <v>849</v>
      </c>
      <c r="C314" s="0" t="s">
        <v>850</v>
      </c>
      <c r="D314" s="0" t="s">
        <v>98</v>
      </c>
      <c r="E314" s="0" t="s">
        <v>826</v>
      </c>
    </row>
    <row r="315" customFormat="false" ht="15" hidden="false" customHeight="false" outlineLevel="0" collapsed="false">
      <c r="A315" s="0" t="s">
        <v>740</v>
      </c>
      <c r="B315" s="0" t="s">
        <v>851</v>
      </c>
      <c r="C315" s="0" t="s">
        <v>852</v>
      </c>
      <c r="D315" s="0" t="s">
        <v>98</v>
      </c>
      <c r="E315" s="0" t="s">
        <v>826</v>
      </c>
    </row>
    <row r="316" customFormat="false" ht="15" hidden="false" customHeight="false" outlineLevel="0" collapsed="false">
      <c r="A316" s="0" t="s">
        <v>740</v>
      </c>
      <c r="B316" s="0" t="s">
        <v>853</v>
      </c>
      <c r="C316" s="0" t="s">
        <v>854</v>
      </c>
      <c r="D316" s="0" t="s">
        <v>98</v>
      </c>
      <c r="E316" s="0" t="s">
        <v>826</v>
      </c>
    </row>
    <row r="317" customFormat="false" ht="15" hidden="false" customHeight="false" outlineLevel="0" collapsed="false">
      <c r="A317" s="0" t="s">
        <v>740</v>
      </c>
      <c r="B317" s="0" t="s">
        <v>855</v>
      </c>
      <c r="C317" s="0" t="s">
        <v>856</v>
      </c>
      <c r="D317" s="0" t="s">
        <v>98</v>
      </c>
      <c r="E317" s="0" t="s">
        <v>826</v>
      </c>
    </row>
    <row r="318" customFormat="false" ht="15" hidden="false" customHeight="false" outlineLevel="0" collapsed="false">
      <c r="A318" s="0" t="s">
        <v>740</v>
      </c>
      <c r="B318" s="0" t="s">
        <v>857</v>
      </c>
      <c r="C318" s="0" t="s">
        <v>858</v>
      </c>
      <c r="D318" s="0" t="s">
        <v>98</v>
      </c>
      <c r="E318" s="0" t="s">
        <v>826</v>
      </c>
    </row>
    <row r="319" customFormat="false" ht="15" hidden="false" customHeight="false" outlineLevel="0" collapsed="false">
      <c r="A319" s="0" t="s">
        <v>740</v>
      </c>
      <c r="B319" s="0" t="s">
        <v>859</v>
      </c>
      <c r="C319" s="0" t="s">
        <v>860</v>
      </c>
      <c r="D319" s="0" t="s">
        <v>98</v>
      </c>
      <c r="E319" s="0" t="s">
        <v>826</v>
      </c>
    </row>
    <row r="320" customFormat="false" ht="15" hidden="false" customHeight="false" outlineLevel="0" collapsed="false">
      <c r="A320" s="0" t="s">
        <v>740</v>
      </c>
      <c r="B320" s="0" t="s">
        <v>861</v>
      </c>
      <c r="C320" s="0" t="s">
        <v>862</v>
      </c>
      <c r="D320" s="0" t="s">
        <v>98</v>
      </c>
      <c r="E320" s="0" t="s">
        <v>826</v>
      </c>
    </row>
    <row r="321" customFormat="false" ht="15" hidden="false" customHeight="false" outlineLevel="0" collapsed="false">
      <c r="A321" s="0" t="s">
        <v>740</v>
      </c>
      <c r="B321" s="0" t="s">
        <v>863</v>
      </c>
      <c r="C321" s="0" t="s">
        <v>864</v>
      </c>
      <c r="D321" s="0" t="s">
        <v>98</v>
      </c>
      <c r="E321" s="0" t="s">
        <v>826</v>
      </c>
    </row>
    <row r="322" customFormat="false" ht="15" hidden="false" customHeight="false" outlineLevel="0" collapsed="false">
      <c r="A322" s="0" t="s">
        <v>740</v>
      </c>
      <c r="B322" s="0" t="s">
        <v>865</v>
      </c>
      <c r="C322" s="0" t="s">
        <v>866</v>
      </c>
      <c r="D322" s="0" t="s">
        <v>98</v>
      </c>
      <c r="E322" s="0" t="s">
        <v>826</v>
      </c>
    </row>
    <row r="323" customFormat="false" ht="15" hidden="false" customHeight="false" outlineLevel="0" collapsed="false">
      <c r="A323" s="0" t="s">
        <v>740</v>
      </c>
      <c r="B323" s="0" t="s">
        <v>867</v>
      </c>
      <c r="C323" s="0" t="s">
        <v>868</v>
      </c>
      <c r="D323" s="0" t="s">
        <v>98</v>
      </c>
      <c r="E323" s="0" t="s">
        <v>826</v>
      </c>
    </row>
    <row r="324" customFormat="false" ht="15" hidden="false" customHeight="false" outlineLevel="0" collapsed="false">
      <c r="A324" s="0" t="s">
        <v>740</v>
      </c>
      <c r="B324" s="0" t="s">
        <v>869</v>
      </c>
      <c r="C324" s="0" t="s">
        <v>870</v>
      </c>
      <c r="D324" s="0" t="s">
        <v>98</v>
      </c>
      <c r="E324" s="0" t="s">
        <v>826</v>
      </c>
    </row>
    <row r="325" customFormat="false" ht="15" hidden="false" customHeight="false" outlineLevel="0" collapsed="false">
      <c r="A325" s="0" t="s">
        <v>740</v>
      </c>
      <c r="B325" s="0" t="s">
        <v>871</v>
      </c>
      <c r="C325" s="0" t="s">
        <v>872</v>
      </c>
      <c r="D325" s="0" t="s">
        <v>98</v>
      </c>
      <c r="E325" s="0" t="s">
        <v>826</v>
      </c>
    </row>
    <row r="326" customFormat="false" ht="15" hidden="false" customHeight="false" outlineLevel="0" collapsed="false">
      <c r="A326" s="0" t="s">
        <v>740</v>
      </c>
      <c r="B326" s="0" t="s">
        <v>566</v>
      </c>
      <c r="C326" s="0" t="s">
        <v>873</v>
      </c>
      <c r="D326" s="0" t="s">
        <v>86</v>
      </c>
      <c r="E326" s="0" t="s">
        <v>874</v>
      </c>
    </row>
    <row r="327" customFormat="false" ht="15" hidden="false" customHeight="false" outlineLevel="0" collapsed="false">
      <c r="A327" s="0" t="s">
        <v>740</v>
      </c>
      <c r="B327" s="0" t="s">
        <v>875</v>
      </c>
      <c r="C327" s="0" t="s">
        <v>509</v>
      </c>
      <c r="D327" s="0" t="s">
        <v>86</v>
      </c>
      <c r="E327" s="0" t="s">
        <v>876</v>
      </c>
    </row>
    <row r="328" customFormat="false" ht="15" hidden="false" customHeight="false" outlineLevel="0" collapsed="false">
      <c r="A328" s="0" t="s">
        <v>740</v>
      </c>
      <c r="B328" s="0" t="s">
        <v>576</v>
      </c>
      <c r="C328" s="0" t="s">
        <v>521</v>
      </c>
      <c r="D328" s="0" t="s">
        <v>86</v>
      </c>
      <c r="E328" s="0" t="s">
        <v>189</v>
      </c>
    </row>
    <row r="329" customFormat="false" ht="15" hidden="false" customHeight="false" outlineLevel="0" collapsed="false">
      <c r="A329" s="0" t="s">
        <v>740</v>
      </c>
      <c r="B329" s="0" t="s">
        <v>877</v>
      </c>
      <c r="C329" s="0" t="s">
        <v>521</v>
      </c>
      <c r="D329" s="0" t="s">
        <v>86</v>
      </c>
      <c r="E329" s="0" t="s">
        <v>189</v>
      </c>
    </row>
    <row r="330" customFormat="false" ht="15" hidden="false" customHeight="false" outlineLevel="0" collapsed="false">
      <c r="A330" s="0" t="s">
        <v>740</v>
      </c>
      <c r="B330" s="0" t="s">
        <v>878</v>
      </c>
      <c r="C330" s="0" t="s">
        <v>521</v>
      </c>
      <c r="D330" s="0" t="s">
        <v>86</v>
      </c>
      <c r="E330" s="0" t="s">
        <v>189</v>
      </c>
    </row>
    <row r="331" customFormat="false" ht="15" hidden="false" customHeight="false" outlineLevel="0" collapsed="false">
      <c r="A331" s="0" t="s">
        <v>740</v>
      </c>
      <c r="B331" s="0" t="s">
        <v>879</v>
      </c>
      <c r="C331" s="0" t="s">
        <v>521</v>
      </c>
      <c r="D331" s="0" t="s">
        <v>744</v>
      </c>
      <c r="E331" s="0" t="s">
        <v>189</v>
      </c>
    </row>
    <row r="332" customFormat="false" ht="15" hidden="false" customHeight="false" outlineLevel="0" collapsed="false">
      <c r="A332" s="0" t="s">
        <v>740</v>
      </c>
      <c r="B332" s="0" t="s">
        <v>880</v>
      </c>
      <c r="C332" s="0" t="s">
        <v>521</v>
      </c>
      <c r="D332" s="0" t="s">
        <v>744</v>
      </c>
      <c r="E332" s="0" t="s">
        <v>189</v>
      </c>
    </row>
    <row r="333" customFormat="false" ht="15" hidden="false" customHeight="false" outlineLevel="0" collapsed="false">
      <c r="A333" s="0" t="s">
        <v>740</v>
      </c>
      <c r="B333" s="0" t="s">
        <v>881</v>
      </c>
      <c r="C333" s="0" t="s">
        <v>521</v>
      </c>
      <c r="D333" s="0" t="s">
        <v>744</v>
      </c>
      <c r="E333" s="0" t="s">
        <v>189</v>
      </c>
    </row>
    <row r="334" customFormat="false" ht="15" hidden="false" customHeight="false" outlineLevel="0" collapsed="false">
      <c r="A334" s="0" t="s">
        <v>740</v>
      </c>
      <c r="B334" s="0" t="s">
        <v>882</v>
      </c>
      <c r="C334" s="0" t="s">
        <v>521</v>
      </c>
      <c r="D334" s="0" t="s">
        <v>744</v>
      </c>
      <c r="E334" s="0" t="s">
        <v>189</v>
      </c>
    </row>
    <row r="335" customFormat="false" ht="15" hidden="false" customHeight="false" outlineLevel="0" collapsed="false">
      <c r="A335" s="0" t="s">
        <v>740</v>
      </c>
      <c r="B335" s="0" t="s">
        <v>883</v>
      </c>
      <c r="C335" s="0" t="s">
        <v>521</v>
      </c>
      <c r="D335" s="0" t="s">
        <v>744</v>
      </c>
      <c r="E335" s="0" t="s">
        <v>189</v>
      </c>
    </row>
    <row r="336" customFormat="false" ht="15" hidden="false" customHeight="false" outlineLevel="0" collapsed="false">
      <c r="A336" s="0" t="s">
        <v>740</v>
      </c>
      <c r="B336" s="0" t="s">
        <v>494</v>
      </c>
      <c r="C336" s="0" t="s">
        <v>521</v>
      </c>
      <c r="D336" s="0" t="s">
        <v>744</v>
      </c>
      <c r="E336" s="0" t="s">
        <v>189</v>
      </c>
    </row>
    <row r="337" customFormat="false" ht="15" hidden="false" customHeight="false" outlineLevel="0" collapsed="false">
      <c r="A337" s="0" t="s">
        <v>740</v>
      </c>
      <c r="B337" s="0" t="s">
        <v>884</v>
      </c>
      <c r="C337" s="0" t="s">
        <v>521</v>
      </c>
      <c r="D337" s="0" t="s">
        <v>744</v>
      </c>
      <c r="E337" s="0" t="s">
        <v>189</v>
      </c>
    </row>
    <row r="338" customFormat="false" ht="15" hidden="false" customHeight="false" outlineLevel="0" collapsed="false">
      <c r="A338" s="0" t="s">
        <v>740</v>
      </c>
      <c r="B338" s="0" t="s">
        <v>885</v>
      </c>
      <c r="C338" s="0" t="s">
        <v>521</v>
      </c>
      <c r="D338" s="0" t="s">
        <v>744</v>
      </c>
      <c r="E338" s="0" t="s">
        <v>189</v>
      </c>
    </row>
    <row r="339" customFormat="false" ht="15" hidden="false" customHeight="false" outlineLevel="0" collapsed="false">
      <c r="A339" s="0" t="s">
        <v>740</v>
      </c>
      <c r="B339" s="0" t="s">
        <v>886</v>
      </c>
      <c r="C339" s="0" t="s">
        <v>521</v>
      </c>
      <c r="D339" s="0" t="s">
        <v>744</v>
      </c>
      <c r="E339" s="0" t="s">
        <v>189</v>
      </c>
    </row>
    <row r="340" customFormat="false" ht="15" hidden="false" customHeight="false" outlineLevel="0" collapsed="false">
      <c r="A340" s="0" t="s">
        <v>740</v>
      </c>
      <c r="B340" s="0" t="s">
        <v>887</v>
      </c>
      <c r="C340" s="0" t="s">
        <v>521</v>
      </c>
      <c r="D340" s="0" t="s">
        <v>744</v>
      </c>
      <c r="E340" s="0" t="s">
        <v>189</v>
      </c>
    </row>
    <row r="341" customFormat="false" ht="15" hidden="false" customHeight="false" outlineLevel="0" collapsed="false">
      <c r="A341" s="0" t="s">
        <v>740</v>
      </c>
      <c r="B341" s="0" t="s">
        <v>888</v>
      </c>
      <c r="C341" s="0" t="s">
        <v>521</v>
      </c>
      <c r="D341" s="0" t="s">
        <v>744</v>
      </c>
      <c r="E341" s="0" t="s">
        <v>189</v>
      </c>
    </row>
    <row r="342" customFormat="false" ht="15" hidden="false" customHeight="false" outlineLevel="0" collapsed="false">
      <c r="A342" s="0" t="s">
        <v>740</v>
      </c>
      <c r="B342" s="0" t="s">
        <v>889</v>
      </c>
      <c r="C342" s="0" t="s">
        <v>521</v>
      </c>
      <c r="D342" s="0" t="s">
        <v>744</v>
      </c>
      <c r="E342" s="0" t="s">
        <v>189</v>
      </c>
    </row>
    <row r="343" customFormat="false" ht="15" hidden="false" customHeight="false" outlineLevel="0" collapsed="false">
      <c r="A343" s="0" t="s">
        <v>740</v>
      </c>
      <c r="B343" s="0" t="s">
        <v>890</v>
      </c>
      <c r="C343" s="0" t="s">
        <v>521</v>
      </c>
      <c r="D343" s="0" t="s">
        <v>744</v>
      </c>
      <c r="E343" s="0" t="s">
        <v>189</v>
      </c>
    </row>
    <row r="344" customFormat="false" ht="15" hidden="false" customHeight="false" outlineLevel="0" collapsed="false">
      <c r="A344" s="0" t="s">
        <v>740</v>
      </c>
      <c r="B344" s="0" t="s">
        <v>891</v>
      </c>
      <c r="C344" s="0" t="s">
        <v>521</v>
      </c>
      <c r="D344" s="0" t="s">
        <v>744</v>
      </c>
      <c r="E344" s="0" t="s">
        <v>189</v>
      </c>
    </row>
    <row r="345" customFormat="false" ht="15" hidden="false" customHeight="false" outlineLevel="0" collapsed="false">
      <c r="A345" s="0" t="s">
        <v>740</v>
      </c>
      <c r="B345" s="0" t="s">
        <v>892</v>
      </c>
      <c r="C345" s="0" t="s">
        <v>521</v>
      </c>
      <c r="D345" s="0" t="s">
        <v>744</v>
      </c>
      <c r="E345" s="0" t="s">
        <v>189</v>
      </c>
    </row>
    <row r="346" customFormat="false" ht="15" hidden="false" customHeight="false" outlineLevel="0" collapsed="false">
      <c r="A346" s="0" t="s">
        <v>740</v>
      </c>
      <c r="B346" s="0" t="s">
        <v>893</v>
      </c>
      <c r="C346" s="0" t="s">
        <v>521</v>
      </c>
      <c r="D346" s="0" t="s">
        <v>744</v>
      </c>
      <c r="E346" s="0" t="s">
        <v>189</v>
      </c>
    </row>
    <row r="347" customFormat="false" ht="15" hidden="false" customHeight="false" outlineLevel="0" collapsed="false">
      <c r="A347" s="0" t="s">
        <v>740</v>
      </c>
      <c r="B347" s="0" t="s">
        <v>894</v>
      </c>
      <c r="C347" s="0" t="s">
        <v>521</v>
      </c>
      <c r="D347" s="0" t="s">
        <v>744</v>
      </c>
      <c r="E347" s="0" t="s">
        <v>189</v>
      </c>
    </row>
    <row r="348" customFormat="false" ht="15" hidden="false" customHeight="false" outlineLevel="0" collapsed="false">
      <c r="A348" s="0" t="s">
        <v>740</v>
      </c>
      <c r="B348" s="0" t="s">
        <v>895</v>
      </c>
      <c r="C348" s="0" t="s">
        <v>521</v>
      </c>
      <c r="D348" s="0" t="s">
        <v>744</v>
      </c>
      <c r="E348" s="0" t="s">
        <v>189</v>
      </c>
    </row>
    <row r="349" customFormat="false" ht="15" hidden="false" customHeight="false" outlineLevel="0" collapsed="false">
      <c r="A349" s="0" t="s">
        <v>740</v>
      </c>
      <c r="B349" s="0" t="s">
        <v>896</v>
      </c>
      <c r="C349" s="0" t="s">
        <v>762</v>
      </c>
      <c r="D349" s="0" t="s">
        <v>98</v>
      </c>
      <c r="E349" s="0" t="s">
        <v>763</v>
      </c>
    </row>
    <row r="350" customFormat="false" ht="15" hidden="false" customHeight="false" outlineLevel="0" collapsed="false">
      <c r="A350" s="0" t="s">
        <v>740</v>
      </c>
      <c r="B350" s="0" t="s">
        <v>579</v>
      </c>
      <c r="C350" s="0" t="s">
        <v>762</v>
      </c>
      <c r="D350" s="0" t="s">
        <v>98</v>
      </c>
      <c r="E350" s="0" t="s">
        <v>763</v>
      </c>
    </row>
    <row r="351" customFormat="false" ht="15" hidden="false" customHeight="false" outlineLevel="0" collapsed="false">
      <c r="A351" s="0" t="s">
        <v>740</v>
      </c>
      <c r="B351" s="0" t="s">
        <v>581</v>
      </c>
      <c r="C351" s="0" t="s">
        <v>762</v>
      </c>
      <c r="D351" s="0" t="s">
        <v>98</v>
      </c>
      <c r="E351" s="0" t="s">
        <v>763</v>
      </c>
    </row>
    <row r="352" customFormat="false" ht="15" hidden="false" customHeight="false" outlineLevel="0" collapsed="false">
      <c r="A352" s="0" t="s">
        <v>740</v>
      </c>
      <c r="B352" s="0" t="s">
        <v>582</v>
      </c>
      <c r="C352" s="0" t="s">
        <v>762</v>
      </c>
      <c r="D352" s="0" t="s">
        <v>98</v>
      </c>
      <c r="E352" s="0" t="s">
        <v>763</v>
      </c>
    </row>
    <row r="353" customFormat="false" ht="15" hidden="false" customHeight="false" outlineLevel="0" collapsed="false">
      <c r="A353" s="0" t="s">
        <v>740</v>
      </c>
      <c r="B353" s="0" t="s">
        <v>583</v>
      </c>
      <c r="C353" s="0" t="s">
        <v>762</v>
      </c>
      <c r="D353" s="0" t="s">
        <v>98</v>
      </c>
      <c r="E353" s="0" t="s">
        <v>763</v>
      </c>
    </row>
    <row r="354" customFormat="false" ht="15" hidden="false" customHeight="false" outlineLevel="0" collapsed="false">
      <c r="A354" s="0" t="s">
        <v>740</v>
      </c>
      <c r="B354" s="0" t="s">
        <v>584</v>
      </c>
      <c r="C354" s="0" t="s">
        <v>762</v>
      </c>
      <c r="D354" s="0" t="s">
        <v>98</v>
      </c>
      <c r="E354" s="0" t="s">
        <v>763</v>
      </c>
    </row>
    <row r="355" customFormat="false" ht="15" hidden="false" customHeight="false" outlineLevel="0" collapsed="false">
      <c r="A355" s="0" t="s">
        <v>740</v>
      </c>
      <c r="B355" s="0" t="s">
        <v>585</v>
      </c>
      <c r="C355" s="0" t="s">
        <v>762</v>
      </c>
      <c r="D355" s="0" t="s">
        <v>98</v>
      </c>
      <c r="E355" s="0" t="s">
        <v>763</v>
      </c>
    </row>
    <row r="356" customFormat="false" ht="15" hidden="false" customHeight="false" outlineLevel="0" collapsed="false">
      <c r="A356" s="0" t="s">
        <v>740</v>
      </c>
      <c r="B356" s="0" t="s">
        <v>586</v>
      </c>
      <c r="C356" s="0" t="s">
        <v>762</v>
      </c>
      <c r="D356" s="0" t="s">
        <v>98</v>
      </c>
      <c r="E356" s="0" t="s">
        <v>763</v>
      </c>
    </row>
    <row r="357" customFormat="false" ht="15" hidden="false" customHeight="false" outlineLevel="0" collapsed="false">
      <c r="A357" s="0" t="s">
        <v>740</v>
      </c>
      <c r="B357" s="0" t="s">
        <v>897</v>
      </c>
      <c r="C357" s="0" t="s">
        <v>762</v>
      </c>
      <c r="D357" s="0" t="s">
        <v>98</v>
      </c>
      <c r="E357" s="0" t="s">
        <v>763</v>
      </c>
    </row>
    <row r="358" customFormat="false" ht="15" hidden="false" customHeight="false" outlineLevel="0" collapsed="false">
      <c r="A358" s="0" t="s">
        <v>740</v>
      </c>
      <c r="B358" s="0" t="s">
        <v>898</v>
      </c>
      <c r="C358" s="0" t="s">
        <v>762</v>
      </c>
      <c r="D358" s="0" t="s">
        <v>98</v>
      </c>
      <c r="E358" s="0" t="s">
        <v>763</v>
      </c>
    </row>
    <row r="359" customFormat="false" ht="15" hidden="false" customHeight="false" outlineLevel="0" collapsed="false">
      <c r="A359" s="0" t="s">
        <v>740</v>
      </c>
      <c r="B359" s="0" t="s">
        <v>899</v>
      </c>
      <c r="C359" s="0" t="s">
        <v>762</v>
      </c>
      <c r="D359" s="0" t="s">
        <v>98</v>
      </c>
      <c r="E359" s="0" t="s">
        <v>763</v>
      </c>
    </row>
    <row r="360" customFormat="false" ht="15" hidden="false" customHeight="false" outlineLevel="0" collapsed="false">
      <c r="A360" s="0" t="s">
        <v>740</v>
      </c>
      <c r="B360" s="0" t="s">
        <v>900</v>
      </c>
      <c r="C360" s="0" t="s">
        <v>762</v>
      </c>
      <c r="D360" s="0" t="s">
        <v>98</v>
      </c>
      <c r="E360" s="0" t="s">
        <v>763</v>
      </c>
    </row>
    <row r="361" customFormat="false" ht="15" hidden="false" customHeight="false" outlineLevel="0" collapsed="false">
      <c r="A361" s="0" t="s">
        <v>740</v>
      </c>
      <c r="B361" s="0" t="s">
        <v>901</v>
      </c>
      <c r="C361" s="0" t="s">
        <v>762</v>
      </c>
      <c r="D361" s="0" t="s">
        <v>98</v>
      </c>
      <c r="E361" s="0" t="s">
        <v>763</v>
      </c>
    </row>
    <row r="362" customFormat="false" ht="15" hidden="false" customHeight="false" outlineLevel="0" collapsed="false">
      <c r="A362" s="0" t="s">
        <v>740</v>
      </c>
      <c r="B362" s="0" t="s">
        <v>902</v>
      </c>
      <c r="C362" s="0" t="s">
        <v>762</v>
      </c>
      <c r="D362" s="0" t="s">
        <v>98</v>
      </c>
      <c r="E362" s="0" t="s">
        <v>763</v>
      </c>
    </row>
    <row r="363" customFormat="false" ht="15" hidden="false" customHeight="false" outlineLevel="0" collapsed="false">
      <c r="A363" s="0" t="s">
        <v>740</v>
      </c>
      <c r="B363" s="0" t="s">
        <v>903</v>
      </c>
      <c r="C363" s="0" t="s">
        <v>762</v>
      </c>
      <c r="D363" s="0" t="s">
        <v>93</v>
      </c>
      <c r="E363" s="0" t="s">
        <v>904</v>
      </c>
    </row>
    <row r="364" customFormat="false" ht="15" hidden="false" customHeight="false" outlineLevel="0" collapsed="false">
      <c r="A364" s="0" t="s">
        <v>740</v>
      </c>
      <c r="B364" s="0" t="s">
        <v>495</v>
      </c>
      <c r="C364" s="0" t="s">
        <v>733</v>
      </c>
      <c r="D364" s="0" t="s">
        <v>93</v>
      </c>
      <c r="E364" s="0" t="s">
        <v>905</v>
      </c>
    </row>
    <row r="365" customFormat="false" ht="15" hidden="false" customHeight="false" outlineLevel="0" collapsed="false">
      <c r="A365" s="0" t="s">
        <v>740</v>
      </c>
      <c r="B365" s="0" t="s">
        <v>906</v>
      </c>
      <c r="C365" s="0" t="s">
        <v>733</v>
      </c>
      <c r="D365" s="0" t="s">
        <v>93</v>
      </c>
      <c r="E365" s="0" t="s">
        <v>788</v>
      </c>
    </row>
    <row r="366" customFormat="false" ht="15" hidden="false" customHeight="false" outlineLevel="0" collapsed="false">
      <c r="A366" s="0" t="s">
        <v>740</v>
      </c>
      <c r="B366" s="0" t="s">
        <v>907</v>
      </c>
      <c r="C366" s="0" t="s">
        <v>873</v>
      </c>
      <c r="D366" s="0" t="s">
        <v>93</v>
      </c>
    </row>
    <row r="367" customFormat="false" ht="15" hidden="false" customHeight="false" outlineLevel="0" collapsed="false">
      <c r="A367" s="0" t="s">
        <v>740</v>
      </c>
      <c r="B367" s="0" t="s">
        <v>908</v>
      </c>
      <c r="C367" s="0" t="s">
        <v>873</v>
      </c>
      <c r="D367" s="0" t="s">
        <v>93</v>
      </c>
      <c r="E367" s="0" t="s">
        <v>909</v>
      </c>
    </row>
    <row r="368" customFormat="false" ht="15" hidden="false" customHeight="false" outlineLevel="0" collapsed="false">
      <c r="A368" s="0" t="s">
        <v>740</v>
      </c>
      <c r="B368" s="0" t="s">
        <v>910</v>
      </c>
      <c r="C368" s="0" t="s">
        <v>911</v>
      </c>
      <c r="D368" s="0" t="s">
        <v>93</v>
      </c>
      <c r="E368" s="0" t="s">
        <v>912</v>
      </c>
    </row>
    <row r="369" customFormat="false" ht="15" hidden="false" customHeight="false" outlineLevel="0" collapsed="false">
      <c r="A369" s="0" t="s">
        <v>740</v>
      </c>
      <c r="B369" s="0" t="s">
        <v>913</v>
      </c>
      <c r="C369" s="0" t="s">
        <v>911</v>
      </c>
      <c r="D369" s="0" t="s">
        <v>93</v>
      </c>
      <c r="E369" s="0" t="s">
        <v>914</v>
      </c>
    </row>
    <row r="370" customFormat="false" ht="15" hidden="false" customHeight="false" outlineLevel="0" collapsed="false">
      <c r="A370" s="0" t="s">
        <v>740</v>
      </c>
      <c r="B370" s="0" t="s">
        <v>915</v>
      </c>
      <c r="C370" s="0" t="s">
        <v>509</v>
      </c>
      <c r="D370" s="0" t="s">
        <v>93</v>
      </c>
      <c r="E370" s="0" t="s">
        <v>916</v>
      </c>
    </row>
    <row r="371" customFormat="false" ht="15" hidden="false" customHeight="false" outlineLevel="0" collapsed="false">
      <c r="A371" s="0" t="s">
        <v>740</v>
      </c>
      <c r="B371" s="0" t="s">
        <v>917</v>
      </c>
      <c r="C371" s="0" t="s">
        <v>509</v>
      </c>
      <c r="D371" s="0" t="s">
        <v>93</v>
      </c>
      <c r="E371" s="0" t="s">
        <v>918</v>
      </c>
    </row>
    <row r="372" customFormat="false" ht="15" hidden="false" customHeight="false" outlineLevel="0" collapsed="false">
      <c r="A372" s="0" t="s">
        <v>740</v>
      </c>
      <c r="B372" s="0" t="s">
        <v>919</v>
      </c>
      <c r="C372" s="0" t="s">
        <v>920</v>
      </c>
      <c r="D372" s="0" t="s">
        <v>93</v>
      </c>
    </row>
    <row r="373" customFormat="false" ht="15" hidden="false" customHeight="false" outlineLevel="0" collapsed="false">
      <c r="A373" s="0" t="s">
        <v>740</v>
      </c>
      <c r="B373" s="0" t="s">
        <v>921</v>
      </c>
      <c r="C373" s="0" t="s">
        <v>920</v>
      </c>
      <c r="D373" s="0" t="s">
        <v>93</v>
      </c>
      <c r="E373" s="0" t="s">
        <v>922</v>
      </c>
    </row>
    <row r="374" customFormat="false" ht="15" hidden="false" customHeight="false" outlineLevel="0" collapsed="false">
      <c r="A374" s="0" t="s">
        <v>740</v>
      </c>
      <c r="B374" s="0" t="s">
        <v>923</v>
      </c>
      <c r="C374" s="0" t="s">
        <v>920</v>
      </c>
      <c r="D374" s="0" t="s">
        <v>93</v>
      </c>
      <c r="E374" s="0" t="s">
        <v>922</v>
      </c>
    </row>
    <row r="375" customFormat="false" ht="15" hidden="false" customHeight="false" outlineLevel="0" collapsed="false">
      <c r="A375" s="0" t="s">
        <v>740</v>
      </c>
      <c r="B375" s="0" t="s">
        <v>924</v>
      </c>
      <c r="C375" s="0" t="s">
        <v>920</v>
      </c>
      <c r="D375" s="0" t="s">
        <v>93</v>
      </c>
      <c r="E375" s="0" t="s">
        <v>922</v>
      </c>
    </row>
    <row r="376" customFormat="false" ht="15" hidden="false" customHeight="false" outlineLevel="0" collapsed="false">
      <c r="A376" s="0" t="s">
        <v>740</v>
      </c>
      <c r="B376" s="0" t="s">
        <v>925</v>
      </c>
      <c r="C376" s="0" t="s">
        <v>926</v>
      </c>
      <c r="D376" s="0" t="s">
        <v>93</v>
      </c>
      <c r="E376" s="0" t="s">
        <v>927</v>
      </c>
    </row>
    <row r="377" customFormat="false" ht="15" hidden="false" customHeight="false" outlineLevel="0" collapsed="false">
      <c r="A377" s="0" t="s">
        <v>740</v>
      </c>
      <c r="B377" s="0" t="s">
        <v>928</v>
      </c>
      <c r="C377" s="0" t="s">
        <v>762</v>
      </c>
      <c r="D377" s="0" t="s">
        <v>98</v>
      </c>
      <c r="E377" s="0" t="s">
        <v>763</v>
      </c>
    </row>
    <row r="378" customFormat="false" ht="15" hidden="false" customHeight="false" outlineLevel="0" collapsed="false">
      <c r="A378" s="0" t="s">
        <v>740</v>
      </c>
      <c r="B378" s="0" t="s">
        <v>589</v>
      </c>
      <c r="C378" s="0" t="s">
        <v>762</v>
      </c>
      <c r="D378" s="0" t="s">
        <v>98</v>
      </c>
      <c r="E378" s="0" t="s">
        <v>763</v>
      </c>
    </row>
    <row r="379" customFormat="false" ht="15" hidden="false" customHeight="false" outlineLevel="0" collapsed="false">
      <c r="A379" s="0" t="s">
        <v>740</v>
      </c>
      <c r="B379" s="0" t="s">
        <v>591</v>
      </c>
      <c r="C379" s="0" t="s">
        <v>762</v>
      </c>
      <c r="D379" s="0" t="s">
        <v>98</v>
      </c>
      <c r="E379" s="0" t="s">
        <v>763</v>
      </c>
    </row>
    <row r="380" customFormat="false" ht="15" hidden="false" customHeight="false" outlineLevel="0" collapsed="false">
      <c r="A380" s="0" t="s">
        <v>740</v>
      </c>
      <c r="B380" s="0" t="s">
        <v>592</v>
      </c>
      <c r="C380" s="0" t="s">
        <v>762</v>
      </c>
      <c r="D380" s="0" t="s">
        <v>98</v>
      </c>
      <c r="E380" s="0" t="s">
        <v>763</v>
      </c>
    </row>
    <row r="381" customFormat="false" ht="15" hidden="false" customHeight="false" outlineLevel="0" collapsed="false">
      <c r="A381" s="0" t="s">
        <v>740</v>
      </c>
      <c r="B381" s="0" t="s">
        <v>593</v>
      </c>
      <c r="C381" s="0" t="s">
        <v>762</v>
      </c>
      <c r="D381" s="0" t="s">
        <v>98</v>
      </c>
      <c r="E381" s="0" t="s">
        <v>763</v>
      </c>
    </row>
    <row r="382" customFormat="false" ht="15" hidden="false" customHeight="false" outlineLevel="0" collapsed="false">
      <c r="A382" s="0" t="s">
        <v>740</v>
      </c>
      <c r="B382" s="0" t="s">
        <v>594</v>
      </c>
      <c r="C382" s="0" t="s">
        <v>762</v>
      </c>
      <c r="D382" s="0" t="s">
        <v>98</v>
      </c>
      <c r="E382" s="0" t="s">
        <v>763</v>
      </c>
    </row>
    <row r="383" customFormat="false" ht="15" hidden="false" customHeight="false" outlineLevel="0" collapsed="false">
      <c r="A383" s="0" t="s">
        <v>740</v>
      </c>
      <c r="B383" s="0" t="s">
        <v>595</v>
      </c>
      <c r="C383" s="0" t="s">
        <v>762</v>
      </c>
      <c r="D383" s="0" t="s">
        <v>98</v>
      </c>
      <c r="E383" s="0" t="s">
        <v>763</v>
      </c>
    </row>
    <row r="384" customFormat="false" ht="15" hidden="false" customHeight="false" outlineLevel="0" collapsed="false">
      <c r="A384" s="0" t="s">
        <v>740</v>
      </c>
      <c r="B384" s="0" t="s">
        <v>596</v>
      </c>
      <c r="C384" s="0" t="s">
        <v>762</v>
      </c>
      <c r="D384" s="0" t="s">
        <v>98</v>
      </c>
      <c r="E384" s="0" t="s">
        <v>763</v>
      </c>
    </row>
    <row r="385" customFormat="false" ht="15" hidden="false" customHeight="false" outlineLevel="0" collapsed="false">
      <c r="A385" s="0" t="s">
        <v>740</v>
      </c>
      <c r="B385" s="0" t="s">
        <v>929</v>
      </c>
      <c r="C385" s="0" t="s">
        <v>762</v>
      </c>
      <c r="D385" s="0" t="s">
        <v>98</v>
      </c>
      <c r="E385" s="0" t="s">
        <v>763</v>
      </c>
    </row>
    <row r="386" customFormat="false" ht="15" hidden="false" customHeight="false" outlineLevel="0" collapsed="false">
      <c r="A386" s="0" t="s">
        <v>740</v>
      </c>
      <c r="B386" s="0" t="s">
        <v>930</v>
      </c>
      <c r="C386" s="0" t="s">
        <v>762</v>
      </c>
      <c r="D386" s="0" t="s">
        <v>98</v>
      </c>
      <c r="E386" s="0" t="s">
        <v>763</v>
      </c>
    </row>
    <row r="387" customFormat="false" ht="15" hidden="false" customHeight="false" outlineLevel="0" collapsed="false">
      <c r="A387" s="0" t="s">
        <v>740</v>
      </c>
      <c r="B387" s="0" t="s">
        <v>931</v>
      </c>
      <c r="C387" s="0" t="s">
        <v>762</v>
      </c>
      <c r="D387" s="0" t="s">
        <v>98</v>
      </c>
      <c r="E387" s="0" t="s">
        <v>763</v>
      </c>
    </row>
    <row r="388" customFormat="false" ht="15" hidden="false" customHeight="false" outlineLevel="0" collapsed="false">
      <c r="A388" s="0" t="s">
        <v>740</v>
      </c>
      <c r="B388" s="0" t="s">
        <v>932</v>
      </c>
      <c r="C388" s="0" t="s">
        <v>762</v>
      </c>
      <c r="D388" s="0" t="s">
        <v>98</v>
      </c>
      <c r="E388" s="0" t="s">
        <v>763</v>
      </c>
    </row>
    <row r="389" customFormat="false" ht="15" hidden="false" customHeight="false" outlineLevel="0" collapsed="false">
      <c r="A389" s="0" t="s">
        <v>740</v>
      </c>
      <c r="B389" s="0" t="s">
        <v>933</v>
      </c>
      <c r="C389" s="0" t="s">
        <v>762</v>
      </c>
      <c r="D389" s="0" t="s">
        <v>98</v>
      </c>
      <c r="E389" s="0" t="s">
        <v>763</v>
      </c>
    </row>
    <row r="390" customFormat="false" ht="15" hidden="false" customHeight="false" outlineLevel="0" collapsed="false">
      <c r="A390" s="0" t="s">
        <v>740</v>
      </c>
      <c r="B390" s="0" t="s">
        <v>934</v>
      </c>
      <c r="C390" s="0" t="s">
        <v>762</v>
      </c>
      <c r="D390" s="0" t="s">
        <v>98</v>
      </c>
      <c r="E390" s="0" t="s">
        <v>763</v>
      </c>
    </row>
    <row r="391" customFormat="false" ht="15" hidden="false" customHeight="false" outlineLevel="0" collapsed="false">
      <c r="A391" s="0" t="s">
        <v>740</v>
      </c>
      <c r="B391" s="0" t="s">
        <v>935</v>
      </c>
      <c r="C391" s="0" t="s">
        <v>873</v>
      </c>
      <c r="D391" s="0" t="s">
        <v>93</v>
      </c>
      <c r="E391" s="0" t="s">
        <v>904</v>
      </c>
    </row>
    <row r="392" customFormat="false" ht="15" hidden="false" customHeight="false" outlineLevel="0" collapsed="false">
      <c r="A392" s="0" t="s">
        <v>740</v>
      </c>
      <c r="B392" s="0" t="s">
        <v>936</v>
      </c>
      <c r="C392" s="0" t="s">
        <v>911</v>
      </c>
      <c r="D392" s="0" t="s">
        <v>93</v>
      </c>
      <c r="E392" s="0" t="s">
        <v>905</v>
      </c>
    </row>
    <row r="393" customFormat="false" ht="15" hidden="false" customHeight="false" outlineLevel="0" collapsed="false">
      <c r="A393" s="0" t="s">
        <v>740</v>
      </c>
      <c r="B393" s="0" t="s">
        <v>937</v>
      </c>
      <c r="C393" s="0" t="s">
        <v>911</v>
      </c>
      <c r="D393" s="0" t="s">
        <v>93</v>
      </c>
      <c r="E393" s="0" t="s">
        <v>788</v>
      </c>
    </row>
    <row r="394" customFormat="false" ht="15" hidden="false" customHeight="false" outlineLevel="0" collapsed="false">
      <c r="A394" s="0" t="s">
        <v>740</v>
      </c>
      <c r="B394" s="0" t="s">
        <v>938</v>
      </c>
      <c r="C394" s="0" t="s">
        <v>939</v>
      </c>
      <c r="D394" s="0" t="s">
        <v>93</v>
      </c>
    </row>
    <row r="395" customFormat="false" ht="15" hidden="false" customHeight="false" outlineLevel="0" collapsed="false">
      <c r="A395" s="0" t="s">
        <v>740</v>
      </c>
      <c r="B395" s="0" t="s">
        <v>940</v>
      </c>
      <c r="C395" s="0" t="s">
        <v>939</v>
      </c>
      <c r="D395" s="0" t="s">
        <v>93</v>
      </c>
      <c r="E395" s="0" t="s">
        <v>909</v>
      </c>
    </row>
    <row r="396" customFormat="false" ht="15" hidden="false" customHeight="false" outlineLevel="0" collapsed="false">
      <c r="A396" s="0" t="s">
        <v>740</v>
      </c>
      <c r="B396" s="0" t="s">
        <v>941</v>
      </c>
      <c r="C396" s="0" t="s">
        <v>939</v>
      </c>
      <c r="D396" s="0" t="s">
        <v>93</v>
      </c>
      <c r="E396" s="0" t="s">
        <v>912</v>
      </c>
    </row>
    <row r="397" customFormat="false" ht="15" hidden="false" customHeight="false" outlineLevel="0" collapsed="false">
      <c r="A397" s="0" t="s">
        <v>740</v>
      </c>
      <c r="B397" s="0" t="s">
        <v>942</v>
      </c>
      <c r="C397" s="0" t="s">
        <v>939</v>
      </c>
      <c r="D397" s="0" t="s">
        <v>93</v>
      </c>
      <c r="E397" s="0" t="s">
        <v>914</v>
      </c>
    </row>
    <row r="398" customFormat="false" ht="15" hidden="false" customHeight="false" outlineLevel="0" collapsed="false">
      <c r="A398" s="0" t="s">
        <v>740</v>
      </c>
      <c r="B398" s="0" t="s">
        <v>943</v>
      </c>
      <c r="C398" s="0" t="s">
        <v>944</v>
      </c>
      <c r="D398" s="0" t="s">
        <v>93</v>
      </c>
      <c r="E398" s="0" t="s">
        <v>916</v>
      </c>
    </row>
    <row r="399" customFormat="false" ht="15" hidden="false" customHeight="false" outlineLevel="0" collapsed="false">
      <c r="A399" s="0" t="s">
        <v>740</v>
      </c>
      <c r="B399" s="0" t="s">
        <v>945</v>
      </c>
      <c r="C399" s="0" t="s">
        <v>944</v>
      </c>
      <c r="D399" s="0" t="s">
        <v>93</v>
      </c>
      <c r="E399" s="0" t="s">
        <v>918</v>
      </c>
    </row>
    <row r="400" customFormat="false" ht="15" hidden="false" customHeight="false" outlineLevel="0" collapsed="false">
      <c r="A400" s="0" t="s">
        <v>740</v>
      </c>
      <c r="B400" s="0" t="s">
        <v>946</v>
      </c>
      <c r="C400" s="0" t="s">
        <v>947</v>
      </c>
      <c r="D400" s="0" t="s">
        <v>93</v>
      </c>
    </row>
    <row r="401" customFormat="false" ht="15" hidden="false" customHeight="false" outlineLevel="0" collapsed="false">
      <c r="A401" s="0" t="s">
        <v>740</v>
      </c>
      <c r="B401" s="0" t="s">
        <v>948</v>
      </c>
      <c r="C401" s="0" t="s">
        <v>947</v>
      </c>
      <c r="D401" s="0" t="s">
        <v>93</v>
      </c>
      <c r="E401" s="0" t="s">
        <v>922</v>
      </c>
    </row>
    <row r="402" customFormat="false" ht="15" hidden="false" customHeight="false" outlineLevel="0" collapsed="false">
      <c r="A402" s="0" t="s">
        <v>740</v>
      </c>
      <c r="B402" s="0" t="s">
        <v>949</v>
      </c>
      <c r="C402" s="0" t="s">
        <v>947</v>
      </c>
      <c r="D402" s="0" t="s">
        <v>93</v>
      </c>
      <c r="E402" s="0" t="s">
        <v>922</v>
      </c>
    </row>
    <row r="403" customFormat="false" ht="15" hidden="false" customHeight="false" outlineLevel="0" collapsed="false">
      <c r="A403" s="0" t="s">
        <v>740</v>
      </c>
      <c r="B403" s="0" t="s">
        <v>950</v>
      </c>
      <c r="C403" s="0" t="s">
        <v>947</v>
      </c>
      <c r="D403" s="0" t="s">
        <v>93</v>
      </c>
      <c r="E403" s="0" t="s">
        <v>922</v>
      </c>
    </row>
    <row r="404" customFormat="false" ht="15" hidden="false" customHeight="false" outlineLevel="0" collapsed="false">
      <c r="A404" s="0" t="s">
        <v>740</v>
      </c>
      <c r="B404" s="0" t="s">
        <v>951</v>
      </c>
      <c r="C404" s="0" t="s">
        <v>521</v>
      </c>
      <c r="D404" s="0" t="s">
        <v>93</v>
      </c>
      <c r="E404" s="0" t="s">
        <v>927</v>
      </c>
    </row>
    <row r="405" customFormat="false" ht="15" hidden="false" customHeight="false" outlineLevel="0" collapsed="false">
      <c r="A405" s="0" t="s">
        <v>740</v>
      </c>
      <c r="B405" s="0" t="s">
        <v>952</v>
      </c>
      <c r="C405" s="0" t="s">
        <v>953</v>
      </c>
      <c r="D405" s="0" t="s">
        <v>98</v>
      </c>
      <c r="E405" s="0" t="s">
        <v>826</v>
      </c>
    </row>
    <row r="406" customFormat="false" ht="15" hidden="false" customHeight="false" outlineLevel="0" collapsed="false">
      <c r="A406" s="0" t="s">
        <v>740</v>
      </c>
      <c r="B406" s="0" t="s">
        <v>599</v>
      </c>
      <c r="C406" s="0" t="s">
        <v>954</v>
      </c>
      <c r="D406" s="0" t="s">
        <v>98</v>
      </c>
      <c r="E406" s="0" t="s">
        <v>826</v>
      </c>
    </row>
    <row r="407" customFormat="false" ht="15" hidden="false" customHeight="false" outlineLevel="0" collapsed="false">
      <c r="A407" s="0" t="s">
        <v>740</v>
      </c>
      <c r="B407" s="0" t="s">
        <v>601</v>
      </c>
      <c r="C407" s="0" t="s">
        <v>955</v>
      </c>
      <c r="D407" s="0" t="s">
        <v>98</v>
      </c>
      <c r="E407" s="0" t="s">
        <v>826</v>
      </c>
    </row>
    <row r="408" customFormat="false" ht="15" hidden="false" customHeight="false" outlineLevel="0" collapsed="false">
      <c r="A408" s="0" t="s">
        <v>740</v>
      </c>
      <c r="B408" s="0" t="s">
        <v>602</v>
      </c>
      <c r="C408" s="0" t="s">
        <v>956</v>
      </c>
      <c r="D408" s="0" t="s">
        <v>98</v>
      </c>
      <c r="E408" s="0" t="s">
        <v>826</v>
      </c>
    </row>
    <row r="409" customFormat="false" ht="15" hidden="false" customHeight="false" outlineLevel="0" collapsed="false">
      <c r="A409" s="0" t="s">
        <v>740</v>
      </c>
      <c r="B409" s="0" t="s">
        <v>603</v>
      </c>
      <c r="C409" s="0" t="s">
        <v>957</v>
      </c>
      <c r="D409" s="0" t="s">
        <v>98</v>
      </c>
      <c r="E409" s="0" t="s">
        <v>826</v>
      </c>
    </row>
    <row r="410" customFormat="false" ht="15" hidden="false" customHeight="false" outlineLevel="0" collapsed="false">
      <c r="A410" s="0" t="s">
        <v>740</v>
      </c>
      <c r="B410" s="0" t="s">
        <v>604</v>
      </c>
      <c r="C410" s="0" t="s">
        <v>958</v>
      </c>
      <c r="D410" s="0" t="s">
        <v>98</v>
      </c>
      <c r="E410" s="0" t="s">
        <v>826</v>
      </c>
    </row>
    <row r="411" customFormat="false" ht="15" hidden="false" customHeight="false" outlineLevel="0" collapsed="false">
      <c r="A411" s="0" t="s">
        <v>740</v>
      </c>
      <c r="B411" s="0" t="s">
        <v>605</v>
      </c>
      <c r="C411" s="0" t="s">
        <v>959</v>
      </c>
      <c r="D411" s="0" t="s">
        <v>98</v>
      </c>
      <c r="E411" s="0" t="s">
        <v>826</v>
      </c>
    </row>
    <row r="412" customFormat="false" ht="15" hidden="false" customHeight="false" outlineLevel="0" collapsed="false">
      <c r="A412" s="0" t="s">
        <v>740</v>
      </c>
      <c r="B412" s="0" t="s">
        <v>606</v>
      </c>
      <c r="C412" s="0" t="s">
        <v>960</v>
      </c>
      <c r="D412" s="0" t="s">
        <v>98</v>
      </c>
      <c r="E412" s="0" t="s">
        <v>826</v>
      </c>
    </row>
    <row r="413" customFormat="false" ht="15" hidden="false" customHeight="false" outlineLevel="0" collapsed="false">
      <c r="A413" s="0" t="s">
        <v>740</v>
      </c>
      <c r="B413" s="0" t="s">
        <v>961</v>
      </c>
      <c r="C413" s="0" t="s">
        <v>962</v>
      </c>
      <c r="D413" s="0" t="s">
        <v>98</v>
      </c>
      <c r="E413" s="0" t="s">
        <v>826</v>
      </c>
    </row>
    <row r="414" customFormat="false" ht="15" hidden="false" customHeight="false" outlineLevel="0" collapsed="false">
      <c r="A414" s="0" t="s">
        <v>740</v>
      </c>
      <c r="B414" s="0" t="s">
        <v>963</v>
      </c>
      <c r="C414" s="0" t="s">
        <v>964</v>
      </c>
      <c r="D414" s="0" t="s">
        <v>98</v>
      </c>
      <c r="E414" s="0" t="s">
        <v>826</v>
      </c>
    </row>
    <row r="415" customFormat="false" ht="15" hidden="false" customHeight="false" outlineLevel="0" collapsed="false">
      <c r="A415" s="0" t="s">
        <v>740</v>
      </c>
      <c r="B415" s="0" t="s">
        <v>965</v>
      </c>
      <c r="C415" s="0" t="s">
        <v>966</v>
      </c>
      <c r="D415" s="0" t="s">
        <v>98</v>
      </c>
      <c r="E415" s="0" t="s">
        <v>826</v>
      </c>
    </row>
    <row r="416" customFormat="false" ht="15" hidden="false" customHeight="false" outlineLevel="0" collapsed="false">
      <c r="A416" s="0" t="s">
        <v>740</v>
      </c>
      <c r="B416" s="0" t="s">
        <v>967</v>
      </c>
      <c r="C416" s="0" t="s">
        <v>968</v>
      </c>
      <c r="D416" s="0" t="s">
        <v>98</v>
      </c>
      <c r="E416" s="0" t="s">
        <v>826</v>
      </c>
    </row>
    <row r="417" customFormat="false" ht="15" hidden="false" customHeight="false" outlineLevel="0" collapsed="false">
      <c r="A417" s="0" t="s">
        <v>740</v>
      </c>
      <c r="B417" s="0" t="s">
        <v>969</v>
      </c>
      <c r="C417" s="0" t="s">
        <v>970</v>
      </c>
      <c r="D417" s="0" t="s">
        <v>98</v>
      </c>
      <c r="E417" s="0" t="s">
        <v>826</v>
      </c>
    </row>
    <row r="418" customFormat="false" ht="15" hidden="false" customHeight="false" outlineLevel="0" collapsed="false">
      <c r="A418" s="0" t="s">
        <v>740</v>
      </c>
      <c r="B418" s="0" t="s">
        <v>971</v>
      </c>
      <c r="C418" s="0" t="s">
        <v>972</v>
      </c>
      <c r="D418" s="0" t="s">
        <v>98</v>
      </c>
      <c r="E418" s="0" t="s">
        <v>826</v>
      </c>
    </row>
    <row r="419" customFormat="false" ht="15" hidden="false" customHeight="false" outlineLevel="0" collapsed="false">
      <c r="A419" s="0" t="s">
        <v>740</v>
      </c>
      <c r="B419" s="0" t="s">
        <v>973</v>
      </c>
      <c r="C419" s="0" t="s">
        <v>974</v>
      </c>
      <c r="D419" s="0" t="s">
        <v>98</v>
      </c>
      <c r="E419" s="0" t="s">
        <v>826</v>
      </c>
    </row>
    <row r="420" customFormat="false" ht="15" hidden="false" customHeight="false" outlineLevel="0" collapsed="false">
      <c r="A420" s="0" t="s">
        <v>740</v>
      </c>
      <c r="B420" s="0" t="s">
        <v>975</v>
      </c>
      <c r="C420" s="0" t="s">
        <v>976</v>
      </c>
      <c r="D420" s="0" t="s">
        <v>98</v>
      </c>
      <c r="E420" s="0" t="s">
        <v>826</v>
      </c>
    </row>
    <row r="421" customFormat="false" ht="15" hidden="false" customHeight="false" outlineLevel="0" collapsed="false">
      <c r="A421" s="0" t="s">
        <v>740</v>
      </c>
      <c r="B421" s="0" t="s">
        <v>977</v>
      </c>
      <c r="C421" s="0" t="s">
        <v>978</v>
      </c>
      <c r="D421" s="0" t="s">
        <v>98</v>
      </c>
      <c r="E421" s="0" t="s">
        <v>826</v>
      </c>
    </row>
    <row r="422" customFormat="false" ht="15" hidden="false" customHeight="false" outlineLevel="0" collapsed="false">
      <c r="A422" s="0" t="s">
        <v>740</v>
      </c>
      <c r="B422" s="0" t="s">
        <v>979</v>
      </c>
      <c r="C422" s="0" t="s">
        <v>980</v>
      </c>
      <c r="D422" s="0" t="s">
        <v>98</v>
      </c>
      <c r="E422" s="0" t="s">
        <v>826</v>
      </c>
    </row>
    <row r="423" customFormat="false" ht="15" hidden="false" customHeight="false" outlineLevel="0" collapsed="false">
      <c r="A423" s="0" t="s">
        <v>740</v>
      </c>
      <c r="B423" s="0" t="s">
        <v>981</v>
      </c>
      <c r="C423" s="0" t="s">
        <v>982</v>
      </c>
      <c r="D423" s="0" t="s">
        <v>98</v>
      </c>
      <c r="E423" s="0" t="s">
        <v>826</v>
      </c>
    </row>
    <row r="424" customFormat="false" ht="15" hidden="false" customHeight="false" outlineLevel="0" collapsed="false">
      <c r="A424" s="0" t="s">
        <v>740</v>
      </c>
      <c r="B424" s="0" t="s">
        <v>983</v>
      </c>
      <c r="C424" s="0" t="s">
        <v>984</v>
      </c>
      <c r="D424" s="0" t="s">
        <v>98</v>
      </c>
      <c r="E424" s="0" t="s">
        <v>826</v>
      </c>
    </row>
    <row r="425" customFormat="false" ht="15" hidden="false" customHeight="false" outlineLevel="0" collapsed="false">
      <c r="A425" s="0" t="s">
        <v>740</v>
      </c>
      <c r="B425" s="0" t="s">
        <v>985</v>
      </c>
      <c r="C425" s="0" t="s">
        <v>986</v>
      </c>
      <c r="D425" s="0" t="s">
        <v>98</v>
      </c>
      <c r="E425" s="0" t="s">
        <v>826</v>
      </c>
    </row>
    <row r="426" customFormat="false" ht="15" hidden="false" customHeight="false" outlineLevel="0" collapsed="false">
      <c r="A426" s="0" t="s">
        <v>740</v>
      </c>
      <c r="B426" s="0" t="s">
        <v>987</v>
      </c>
      <c r="C426" s="0" t="s">
        <v>988</v>
      </c>
      <c r="D426" s="0" t="s">
        <v>98</v>
      </c>
      <c r="E426" s="0" t="s">
        <v>826</v>
      </c>
    </row>
    <row r="427" customFormat="false" ht="15" hidden="false" customHeight="false" outlineLevel="0" collapsed="false">
      <c r="A427" s="0" t="s">
        <v>740</v>
      </c>
      <c r="B427" s="0" t="s">
        <v>989</v>
      </c>
      <c r="C427" s="0" t="s">
        <v>990</v>
      </c>
      <c r="D427" s="0" t="s">
        <v>98</v>
      </c>
      <c r="E427" s="0" t="s">
        <v>826</v>
      </c>
    </row>
    <row r="428" customFormat="false" ht="15" hidden="false" customHeight="false" outlineLevel="0" collapsed="false">
      <c r="A428" s="0" t="s">
        <v>740</v>
      </c>
      <c r="B428" s="0" t="s">
        <v>991</v>
      </c>
      <c r="C428" s="0" t="s">
        <v>992</v>
      </c>
      <c r="D428" s="0" t="s">
        <v>98</v>
      </c>
      <c r="E428" s="0" t="s">
        <v>826</v>
      </c>
    </row>
    <row r="429" customFormat="false" ht="15" hidden="false" customHeight="false" outlineLevel="0" collapsed="false">
      <c r="A429" s="0" t="s">
        <v>740</v>
      </c>
      <c r="B429" s="0" t="s">
        <v>993</v>
      </c>
      <c r="C429" s="0" t="s">
        <v>994</v>
      </c>
      <c r="D429" s="0" t="s">
        <v>98</v>
      </c>
      <c r="E429" s="0" t="s">
        <v>826</v>
      </c>
    </row>
    <row r="430" customFormat="false" ht="15" hidden="false" customHeight="false" outlineLevel="0" collapsed="false">
      <c r="A430" s="0" t="s">
        <v>740</v>
      </c>
      <c r="B430" s="0" t="s">
        <v>995</v>
      </c>
      <c r="C430" s="0" t="s">
        <v>996</v>
      </c>
      <c r="D430" s="0" t="s">
        <v>98</v>
      </c>
      <c r="E430" s="0" t="s">
        <v>826</v>
      </c>
    </row>
    <row r="431" customFormat="false" ht="15" hidden="false" customHeight="false" outlineLevel="0" collapsed="false">
      <c r="A431" s="0" t="s">
        <v>740</v>
      </c>
      <c r="B431" s="0" t="s">
        <v>997</v>
      </c>
      <c r="C431" s="0" t="s">
        <v>998</v>
      </c>
      <c r="D431" s="0" t="s">
        <v>98</v>
      </c>
      <c r="E431" s="0" t="s">
        <v>826</v>
      </c>
    </row>
    <row r="432" customFormat="false" ht="15" hidden="false" customHeight="false" outlineLevel="0" collapsed="false">
      <c r="A432" s="0" t="s">
        <v>740</v>
      </c>
      <c r="B432" s="0" t="s">
        <v>999</v>
      </c>
      <c r="C432" s="0" t="s">
        <v>1000</v>
      </c>
      <c r="D432" s="0" t="s">
        <v>98</v>
      </c>
      <c r="E432" s="0" t="s">
        <v>826</v>
      </c>
    </row>
    <row r="433" customFormat="false" ht="15" hidden="false" customHeight="false" outlineLevel="0" collapsed="false">
      <c r="A433" s="0" t="s">
        <v>740</v>
      </c>
      <c r="B433" s="0" t="s">
        <v>1001</v>
      </c>
      <c r="C433" s="0" t="s">
        <v>351</v>
      </c>
      <c r="D433" s="0" t="s">
        <v>86</v>
      </c>
      <c r="E433" s="0" t="s">
        <v>1002</v>
      </c>
    </row>
    <row r="434" customFormat="false" ht="15" hidden="false" customHeight="false" outlineLevel="0" collapsed="false">
      <c r="A434" s="0" t="s">
        <v>740</v>
      </c>
      <c r="B434" s="0" t="s">
        <v>1003</v>
      </c>
      <c r="C434" s="0" t="s">
        <v>352</v>
      </c>
      <c r="D434" s="0" t="s">
        <v>86</v>
      </c>
      <c r="E434" s="0" t="s">
        <v>1004</v>
      </c>
    </row>
    <row r="435" customFormat="false" ht="15" hidden="false" customHeight="false" outlineLevel="0" collapsed="false">
      <c r="A435" s="0" t="s">
        <v>740</v>
      </c>
      <c r="B435" s="0" t="s">
        <v>1005</v>
      </c>
      <c r="C435" s="0" t="s">
        <v>521</v>
      </c>
      <c r="D435" s="0" t="s">
        <v>86</v>
      </c>
      <c r="E435" s="0" t="s">
        <v>197</v>
      </c>
    </row>
    <row r="436" customFormat="false" ht="15" hidden="false" customHeight="false" outlineLevel="0" collapsed="false">
      <c r="A436" s="0" t="s">
        <v>740</v>
      </c>
      <c r="B436" s="0" t="s">
        <v>1006</v>
      </c>
      <c r="C436" s="0" t="s">
        <v>521</v>
      </c>
      <c r="D436" s="0" t="s">
        <v>744</v>
      </c>
      <c r="E436" s="0" t="s">
        <v>197</v>
      </c>
    </row>
    <row r="437" customFormat="false" ht="15" hidden="false" customHeight="false" outlineLevel="0" collapsed="false">
      <c r="A437" s="0" t="s">
        <v>740</v>
      </c>
      <c r="B437" s="0" t="s">
        <v>1007</v>
      </c>
      <c r="C437" s="0" t="s">
        <v>521</v>
      </c>
      <c r="D437" s="0" t="s">
        <v>744</v>
      </c>
      <c r="E437" s="0" t="s">
        <v>197</v>
      </c>
    </row>
    <row r="438" customFormat="false" ht="15" hidden="false" customHeight="false" outlineLevel="0" collapsed="false">
      <c r="A438" s="0" t="s">
        <v>740</v>
      </c>
      <c r="B438" s="0" t="s">
        <v>1008</v>
      </c>
      <c r="C438" s="0" t="s">
        <v>521</v>
      </c>
      <c r="D438" s="0" t="s">
        <v>744</v>
      </c>
      <c r="E438" s="0" t="s">
        <v>197</v>
      </c>
    </row>
    <row r="439" customFormat="false" ht="15" hidden="false" customHeight="false" outlineLevel="0" collapsed="false">
      <c r="A439" s="0" t="s">
        <v>740</v>
      </c>
      <c r="B439" s="0" t="s">
        <v>1009</v>
      </c>
      <c r="C439" s="0" t="s">
        <v>521</v>
      </c>
      <c r="D439" s="0" t="s">
        <v>744</v>
      </c>
      <c r="E439" s="0" t="s">
        <v>197</v>
      </c>
    </row>
    <row r="440" customFormat="false" ht="15" hidden="false" customHeight="false" outlineLevel="0" collapsed="false">
      <c r="A440" s="0" t="s">
        <v>740</v>
      </c>
      <c r="B440" s="0" t="s">
        <v>1010</v>
      </c>
      <c r="C440" s="0" t="s">
        <v>521</v>
      </c>
      <c r="D440" s="0" t="s">
        <v>744</v>
      </c>
      <c r="E440" s="0" t="s">
        <v>197</v>
      </c>
    </row>
    <row r="441" customFormat="false" ht="15" hidden="false" customHeight="false" outlineLevel="0" collapsed="false">
      <c r="A441" s="0" t="s">
        <v>740</v>
      </c>
      <c r="B441" s="0" t="s">
        <v>1011</v>
      </c>
      <c r="C441" s="0" t="s">
        <v>521</v>
      </c>
      <c r="D441" s="0" t="s">
        <v>744</v>
      </c>
      <c r="E441" s="0" t="s">
        <v>197</v>
      </c>
    </row>
    <row r="442" customFormat="false" ht="15" hidden="false" customHeight="false" outlineLevel="0" collapsed="false">
      <c r="A442" s="0" t="s">
        <v>740</v>
      </c>
      <c r="B442" s="0" t="s">
        <v>1012</v>
      </c>
      <c r="C442" s="0" t="s">
        <v>521</v>
      </c>
      <c r="D442" s="0" t="s">
        <v>744</v>
      </c>
      <c r="E442" s="0" t="s">
        <v>197</v>
      </c>
    </row>
    <row r="443" customFormat="false" ht="15" hidden="false" customHeight="false" outlineLevel="0" collapsed="false">
      <c r="A443" s="0" t="s">
        <v>740</v>
      </c>
      <c r="B443" s="0" t="s">
        <v>1013</v>
      </c>
      <c r="C443" s="0" t="s">
        <v>521</v>
      </c>
      <c r="D443" s="0" t="s">
        <v>744</v>
      </c>
      <c r="E443" s="0" t="s">
        <v>197</v>
      </c>
    </row>
    <row r="444" customFormat="false" ht="15" hidden="false" customHeight="false" outlineLevel="0" collapsed="false">
      <c r="A444" s="0" t="s">
        <v>740</v>
      </c>
      <c r="B444" s="0" t="s">
        <v>1014</v>
      </c>
      <c r="C444" s="0" t="s">
        <v>521</v>
      </c>
      <c r="D444" s="0" t="s">
        <v>744</v>
      </c>
      <c r="E444" s="0" t="s">
        <v>197</v>
      </c>
    </row>
    <row r="445" customFormat="false" ht="15" hidden="false" customHeight="false" outlineLevel="0" collapsed="false">
      <c r="A445" s="0" t="s">
        <v>740</v>
      </c>
      <c r="B445" s="0" t="s">
        <v>1015</v>
      </c>
      <c r="C445" s="0" t="s">
        <v>521</v>
      </c>
      <c r="D445" s="0" t="s">
        <v>744</v>
      </c>
      <c r="E445" s="0" t="s">
        <v>197</v>
      </c>
    </row>
    <row r="446" customFormat="false" ht="15" hidden="false" customHeight="false" outlineLevel="0" collapsed="false">
      <c r="A446" s="0" t="s">
        <v>740</v>
      </c>
      <c r="B446" s="0" t="s">
        <v>1016</v>
      </c>
      <c r="C446" s="0" t="s">
        <v>521</v>
      </c>
      <c r="D446" s="0" t="s">
        <v>744</v>
      </c>
      <c r="E446" s="0" t="s">
        <v>197</v>
      </c>
    </row>
    <row r="447" customFormat="false" ht="15" hidden="false" customHeight="false" outlineLevel="0" collapsed="false">
      <c r="A447" s="0" t="s">
        <v>740</v>
      </c>
      <c r="B447" s="0" t="s">
        <v>1017</v>
      </c>
      <c r="C447" s="0" t="s">
        <v>521</v>
      </c>
      <c r="D447" s="0" t="s">
        <v>744</v>
      </c>
      <c r="E447" s="0" t="s">
        <v>197</v>
      </c>
    </row>
    <row r="448" customFormat="false" ht="15" hidden="false" customHeight="false" outlineLevel="0" collapsed="false">
      <c r="A448" s="0" t="s">
        <v>740</v>
      </c>
      <c r="B448" s="0" t="s">
        <v>1018</v>
      </c>
      <c r="C448" s="0" t="s">
        <v>521</v>
      </c>
      <c r="D448" s="0" t="s">
        <v>744</v>
      </c>
      <c r="E448" s="0" t="s">
        <v>197</v>
      </c>
    </row>
    <row r="449" customFormat="false" ht="15" hidden="false" customHeight="false" outlineLevel="0" collapsed="false">
      <c r="A449" s="0" t="s">
        <v>740</v>
      </c>
      <c r="B449" s="0" t="s">
        <v>1019</v>
      </c>
      <c r="C449" s="0" t="s">
        <v>521</v>
      </c>
      <c r="D449" s="0" t="s">
        <v>744</v>
      </c>
      <c r="E449" s="0" t="s">
        <v>197</v>
      </c>
    </row>
    <row r="450" customFormat="false" ht="15" hidden="false" customHeight="false" outlineLevel="0" collapsed="false">
      <c r="A450" s="0" t="s">
        <v>740</v>
      </c>
      <c r="B450" s="0" t="s">
        <v>1020</v>
      </c>
      <c r="C450" s="0" t="s">
        <v>521</v>
      </c>
      <c r="D450" s="0" t="s">
        <v>744</v>
      </c>
      <c r="E450" s="0" t="s">
        <v>197</v>
      </c>
    </row>
    <row r="451" customFormat="false" ht="15" hidden="false" customHeight="false" outlineLevel="0" collapsed="false">
      <c r="A451" s="0" t="s">
        <v>740</v>
      </c>
      <c r="B451" s="0" t="s">
        <v>1021</v>
      </c>
      <c r="C451" s="0" t="s">
        <v>521</v>
      </c>
      <c r="D451" s="0" t="s">
        <v>744</v>
      </c>
      <c r="E451" s="0" t="s">
        <v>197</v>
      </c>
    </row>
    <row r="452" customFormat="false" ht="15" hidden="false" customHeight="false" outlineLevel="0" collapsed="false">
      <c r="A452" s="0" t="s">
        <v>740</v>
      </c>
      <c r="B452" s="0" t="s">
        <v>1022</v>
      </c>
      <c r="C452" s="0" t="s">
        <v>521</v>
      </c>
      <c r="D452" s="0" t="s">
        <v>744</v>
      </c>
      <c r="E452" s="0" t="s">
        <v>197</v>
      </c>
    </row>
    <row r="453" customFormat="false" ht="15" hidden="false" customHeight="false" outlineLevel="0" collapsed="false">
      <c r="A453" s="0" t="s">
        <v>740</v>
      </c>
      <c r="B453" s="0" t="s">
        <v>1023</v>
      </c>
      <c r="C453" s="0" t="s">
        <v>521</v>
      </c>
      <c r="D453" s="0" t="s">
        <v>744</v>
      </c>
      <c r="E453" s="0" t="s">
        <v>197</v>
      </c>
    </row>
    <row r="454" customFormat="false" ht="15" hidden="false" customHeight="false" outlineLevel="0" collapsed="false">
      <c r="A454" s="0" t="s">
        <v>740</v>
      </c>
      <c r="B454" s="0" t="s">
        <v>1024</v>
      </c>
      <c r="C454" s="0" t="s">
        <v>762</v>
      </c>
      <c r="D454" s="0" t="s">
        <v>98</v>
      </c>
      <c r="E454" s="0" t="s">
        <v>763</v>
      </c>
    </row>
    <row r="455" customFormat="false" ht="15" hidden="false" customHeight="false" outlineLevel="0" collapsed="false">
      <c r="A455" s="0" t="s">
        <v>740</v>
      </c>
      <c r="B455" s="0" t="s">
        <v>629</v>
      </c>
      <c r="C455" s="0" t="s">
        <v>762</v>
      </c>
      <c r="D455" s="0" t="s">
        <v>98</v>
      </c>
      <c r="E455" s="0" t="s">
        <v>763</v>
      </c>
    </row>
    <row r="456" customFormat="false" ht="15" hidden="false" customHeight="false" outlineLevel="0" collapsed="false">
      <c r="A456" s="0" t="s">
        <v>740</v>
      </c>
      <c r="B456" s="0" t="s">
        <v>631</v>
      </c>
      <c r="C456" s="0" t="s">
        <v>762</v>
      </c>
      <c r="D456" s="0" t="s">
        <v>98</v>
      </c>
      <c r="E456" s="0" t="s">
        <v>763</v>
      </c>
    </row>
    <row r="457" customFormat="false" ht="15" hidden="false" customHeight="false" outlineLevel="0" collapsed="false">
      <c r="A457" s="0" t="s">
        <v>740</v>
      </c>
      <c r="B457" s="0" t="s">
        <v>632</v>
      </c>
      <c r="C457" s="0" t="s">
        <v>762</v>
      </c>
      <c r="D457" s="0" t="s">
        <v>98</v>
      </c>
      <c r="E457" s="0" t="s">
        <v>763</v>
      </c>
    </row>
    <row r="458" customFormat="false" ht="15" hidden="false" customHeight="false" outlineLevel="0" collapsed="false">
      <c r="A458" s="0" t="s">
        <v>740</v>
      </c>
      <c r="B458" s="0" t="s">
        <v>633</v>
      </c>
      <c r="C458" s="0" t="s">
        <v>762</v>
      </c>
      <c r="D458" s="0" t="s">
        <v>98</v>
      </c>
      <c r="E458" s="0" t="s">
        <v>763</v>
      </c>
    </row>
    <row r="459" customFormat="false" ht="15" hidden="false" customHeight="false" outlineLevel="0" collapsed="false">
      <c r="A459" s="0" t="s">
        <v>740</v>
      </c>
      <c r="B459" s="0" t="s">
        <v>634</v>
      </c>
      <c r="C459" s="0" t="s">
        <v>762</v>
      </c>
      <c r="D459" s="0" t="s">
        <v>98</v>
      </c>
      <c r="E459" s="0" t="s">
        <v>763</v>
      </c>
    </row>
    <row r="460" customFormat="false" ht="15" hidden="false" customHeight="false" outlineLevel="0" collapsed="false">
      <c r="A460" s="0" t="s">
        <v>740</v>
      </c>
      <c r="B460" s="0" t="s">
        <v>635</v>
      </c>
      <c r="C460" s="0" t="s">
        <v>762</v>
      </c>
      <c r="D460" s="0" t="s">
        <v>98</v>
      </c>
      <c r="E460" s="0" t="s">
        <v>763</v>
      </c>
    </row>
    <row r="461" customFormat="false" ht="15" hidden="false" customHeight="false" outlineLevel="0" collapsed="false">
      <c r="A461" s="0" t="s">
        <v>740</v>
      </c>
      <c r="B461" s="0" t="s">
        <v>636</v>
      </c>
      <c r="C461" s="0" t="s">
        <v>762</v>
      </c>
      <c r="D461" s="0" t="s">
        <v>98</v>
      </c>
      <c r="E461" s="0" t="s">
        <v>763</v>
      </c>
    </row>
    <row r="462" customFormat="false" ht="15" hidden="false" customHeight="false" outlineLevel="0" collapsed="false">
      <c r="A462" s="0" t="s">
        <v>740</v>
      </c>
      <c r="B462" s="0" t="s">
        <v>1025</v>
      </c>
      <c r="C462" s="0" t="s">
        <v>762</v>
      </c>
      <c r="D462" s="0" t="s">
        <v>98</v>
      </c>
      <c r="E462" s="0" t="s">
        <v>763</v>
      </c>
    </row>
    <row r="463" customFormat="false" ht="15" hidden="false" customHeight="false" outlineLevel="0" collapsed="false">
      <c r="A463" s="0" t="s">
        <v>740</v>
      </c>
      <c r="B463" s="0" t="s">
        <v>1026</v>
      </c>
      <c r="C463" s="0" t="s">
        <v>762</v>
      </c>
      <c r="D463" s="0" t="s">
        <v>98</v>
      </c>
      <c r="E463" s="0" t="s">
        <v>763</v>
      </c>
    </row>
    <row r="464" customFormat="false" ht="15" hidden="false" customHeight="false" outlineLevel="0" collapsed="false">
      <c r="A464" s="0" t="s">
        <v>740</v>
      </c>
      <c r="B464" s="0" t="s">
        <v>1027</v>
      </c>
      <c r="C464" s="0" t="s">
        <v>762</v>
      </c>
      <c r="D464" s="0" t="s">
        <v>98</v>
      </c>
      <c r="E464" s="0" t="s">
        <v>763</v>
      </c>
    </row>
    <row r="465" customFormat="false" ht="15" hidden="false" customHeight="false" outlineLevel="0" collapsed="false">
      <c r="A465" s="0" t="s">
        <v>740</v>
      </c>
      <c r="B465" s="0" t="s">
        <v>1028</v>
      </c>
      <c r="C465" s="0" t="s">
        <v>762</v>
      </c>
      <c r="D465" s="0" t="s">
        <v>98</v>
      </c>
      <c r="E465" s="0" t="s">
        <v>763</v>
      </c>
    </row>
    <row r="466" customFormat="false" ht="15" hidden="false" customHeight="false" outlineLevel="0" collapsed="false">
      <c r="A466" s="0" t="s">
        <v>740</v>
      </c>
      <c r="B466" s="0" t="s">
        <v>1029</v>
      </c>
      <c r="C466" s="0" t="s">
        <v>762</v>
      </c>
      <c r="D466" s="0" t="s">
        <v>98</v>
      </c>
      <c r="E466" s="0" t="s">
        <v>763</v>
      </c>
    </row>
    <row r="467" customFormat="false" ht="15" hidden="false" customHeight="false" outlineLevel="0" collapsed="false">
      <c r="A467" s="0" t="s">
        <v>740</v>
      </c>
      <c r="B467" s="0" t="s">
        <v>1030</v>
      </c>
      <c r="C467" s="0" t="s">
        <v>762</v>
      </c>
      <c r="D467" s="0" t="s">
        <v>98</v>
      </c>
      <c r="E467" s="0" t="s">
        <v>763</v>
      </c>
    </row>
    <row r="468" customFormat="false" ht="15" hidden="false" customHeight="false" outlineLevel="0" collapsed="false">
      <c r="A468" s="0" t="s">
        <v>740</v>
      </c>
      <c r="B468" s="0" t="s">
        <v>1031</v>
      </c>
      <c r="C468" s="0" t="s">
        <v>762</v>
      </c>
      <c r="D468" s="0" t="s">
        <v>98</v>
      </c>
      <c r="E468" s="0" t="s">
        <v>763</v>
      </c>
    </row>
    <row r="469" customFormat="false" ht="15" hidden="false" customHeight="false" outlineLevel="0" collapsed="false">
      <c r="A469" s="0" t="s">
        <v>740</v>
      </c>
      <c r="B469" s="0" t="s">
        <v>1032</v>
      </c>
      <c r="C469" s="0" t="s">
        <v>762</v>
      </c>
      <c r="D469" s="0" t="s">
        <v>93</v>
      </c>
      <c r="E469" s="0" t="s">
        <v>1033</v>
      </c>
    </row>
    <row r="470" customFormat="false" ht="15" hidden="false" customHeight="false" outlineLevel="0" collapsed="false">
      <c r="A470" s="0" t="s">
        <v>740</v>
      </c>
      <c r="B470" s="0" t="s">
        <v>1034</v>
      </c>
      <c r="C470" s="0" t="s">
        <v>762</v>
      </c>
      <c r="D470" s="0" t="s">
        <v>93</v>
      </c>
    </row>
    <row r="471" customFormat="false" ht="15" hidden="false" customHeight="false" outlineLevel="0" collapsed="false">
      <c r="A471" s="0" t="s">
        <v>740</v>
      </c>
      <c r="B471" s="0" t="s">
        <v>1035</v>
      </c>
      <c r="C471" s="0" t="s">
        <v>762</v>
      </c>
      <c r="D471" s="0" t="s">
        <v>93</v>
      </c>
      <c r="E471" s="0" t="s">
        <v>1036</v>
      </c>
    </row>
    <row r="472" customFormat="false" ht="15" hidden="false" customHeight="false" outlineLevel="0" collapsed="false">
      <c r="A472" s="0" t="s">
        <v>740</v>
      </c>
      <c r="B472" s="0" t="s">
        <v>1037</v>
      </c>
      <c r="C472" s="0" t="s">
        <v>762</v>
      </c>
      <c r="D472" s="0" t="s">
        <v>93</v>
      </c>
      <c r="E472" s="0" t="s">
        <v>1036</v>
      </c>
    </row>
    <row r="473" customFormat="false" ht="15" hidden="false" customHeight="false" outlineLevel="0" collapsed="false">
      <c r="A473" s="0" t="s">
        <v>740</v>
      </c>
      <c r="B473" s="0" t="s">
        <v>1038</v>
      </c>
      <c r="C473" s="0" t="s">
        <v>1039</v>
      </c>
      <c r="D473" s="0" t="s">
        <v>93</v>
      </c>
    </row>
    <row r="474" customFormat="false" ht="15" hidden="false" customHeight="false" outlineLevel="0" collapsed="false">
      <c r="A474" s="0" t="s">
        <v>740</v>
      </c>
      <c r="B474" s="0" t="s">
        <v>1040</v>
      </c>
      <c r="C474" s="0" t="s">
        <v>1039</v>
      </c>
      <c r="D474" s="0" t="s">
        <v>93</v>
      </c>
      <c r="E474" s="0" t="s">
        <v>914</v>
      </c>
    </row>
    <row r="475" customFormat="false" ht="15" hidden="false" customHeight="false" outlineLevel="0" collapsed="false">
      <c r="A475" s="0" t="s">
        <v>740</v>
      </c>
      <c r="B475" s="0" t="s">
        <v>1041</v>
      </c>
      <c r="C475" s="0" t="s">
        <v>1042</v>
      </c>
      <c r="D475" s="0" t="s">
        <v>93</v>
      </c>
      <c r="E475" s="0" t="s">
        <v>1043</v>
      </c>
    </row>
    <row r="476" customFormat="false" ht="15" hidden="false" customHeight="false" outlineLevel="0" collapsed="false">
      <c r="A476" s="0" t="s">
        <v>740</v>
      </c>
      <c r="B476" s="0" t="s">
        <v>1044</v>
      </c>
      <c r="C476" s="0" t="s">
        <v>1042</v>
      </c>
      <c r="D476" s="0" t="s">
        <v>93</v>
      </c>
      <c r="E476" s="0" t="s">
        <v>918</v>
      </c>
    </row>
    <row r="477" customFormat="false" ht="15" hidden="false" customHeight="false" outlineLevel="0" collapsed="false">
      <c r="A477" s="0" t="s">
        <v>740</v>
      </c>
      <c r="B477" s="0" t="s">
        <v>1045</v>
      </c>
      <c r="C477" s="0" t="s">
        <v>1046</v>
      </c>
      <c r="D477" s="0" t="s">
        <v>93</v>
      </c>
      <c r="E477" s="0" t="s">
        <v>1047</v>
      </c>
    </row>
    <row r="478" customFormat="false" ht="15" hidden="false" customHeight="false" outlineLevel="0" collapsed="false">
      <c r="A478" s="0" t="s">
        <v>740</v>
      </c>
      <c r="B478" s="0" t="s">
        <v>1048</v>
      </c>
      <c r="C478" s="0" t="s">
        <v>1046</v>
      </c>
      <c r="D478" s="0" t="s">
        <v>93</v>
      </c>
      <c r="E478" s="0" t="s">
        <v>922</v>
      </c>
    </row>
    <row r="479" customFormat="false" ht="15" hidden="false" customHeight="false" outlineLevel="0" collapsed="false">
      <c r="A479" s="0" t="s">
        <v>740</v>
      </c>
      <c r="B479" s="0" t="s">
        <v>1049</v>
      </c>
      <c r="C479" s="0" t="s">
        <v>1046</v>
      </c>
      <c r="D479" s="0" t="s">
        <v>93</v>
      </c>
      <c r="E479" s="0" t="s">
        <v>922</v>
      </c>
    </row>
    <row r="480" customFormat="false" ht="15" hidden="false" customHeight="false" outlineLevel="0" collapsed="false">
      <c r="A480" s="0" t="s">
        <v>740</v>
      </c>
      <c r="B480" s="0" t="s">
        <v>1050</v>
      </c>
      <c r="C480" s="0" t="s">
        <v>1046</v>
      </c>
      <c r="D480" s="0" t="s">
        <v>93</v>
      </c>
      <c r="E480" s="0" t="s">
        <v>922</v>
      </c>
    </row>
    <row r="481" customFormat="false" ht="15" hidden="false" customHeight="false" outlineLevel="0" collapsed="false">
      <c r="A481" s="0" t="s">
        <v>740</v>
      </c>
      <c r="B481" s="0" t="s">
        <v>1051</v>
      </c>
      <c r="C481" s="0" t="s">
        <v>1052</v>
      </c>
      <c r="D481" s="0" t="s">
        <v>93</v>
      </c>
    </row>
    <row r="482" customFormat="false" ht="15" hidden="false" customHeight="false" outlineLevel="0" collapsed="false">
      <c r="A482" s="0" t="s">
        <v>740</v>
      </c>
      <c r="B482" s="0" t="s">
        <v>1053</v>
      </c>
      <c r="C482" s="0" t="s">
        <v>762</v>
      </c>
      <c r="D482" s="0" t="s">
        <v>98</v>
      </c>
      <c r="E482" s="0" t="s">
        <v>763</v>
      </c>
    </row>
    <row r="483" customFormat="false" ht="15" hidden="false" customHeight="false" outlineLevel="0" collapsed="false">
      <c r="A483" s="0" t="s">
        <v>740</v>
      </c>
      <c r="B483" s="0" t="s">
        <v>639</v>
      </c>
      <c r="C483" s="0" t="s">
        <v>762</v>
      </c>
      <c r="D483" s="0" t="s">
        <v>98</v>
      </c>
      <c r="E483" s="0" t="s">
        <v>763</v>
      </c>
    </row>
    <row r="484" customFormat="false" ht="15" hidden="false" customHeight="false" outlineLevel="0" collapsed="false">
      <c r="A484" s="0" t="s">
        <v>740</v>
      </c>
      <c r="B484" s="0" t="s">
        <v>640</v>
      </c>
      <c r="C484" s="0" t="s">
        <v>762</v>
      </c>
      <c r="D484" s="0" t="s">
        <v>98</v>
      </c>
      <c r="E484" s="0" t="s">
        <v>763</v>
      </c>
    </row>
    <row r="485" customFormat="false" ht="15" hidden="false" customHeight="false" outlineLevel="0" collapsed="false">
      <c r="A485" s="0" t="s">
        <v>740</v>
      </c>
      <c r="B485" s="0" t="s">
        <v>641</v>
      </c>
      <c r="C485" s="0" t="s">
        <v>762</v>
      </c>
      <c r="D485" s="0" t="s">
        <v>98</v>
      </c>
      <c r="E485" s="0" t="s">
        <v>763</v>
      </c>
    </row>
    <row r="486" customFormat="false" ht="15" hidden="false" customHeight="false" outlineLevel="0" collapsed="false">
      <c r="A486" s="0" t="s">
        <v>740</v>
      </c>
      <c r="B486" s="0" t="s">
        <v>642</v>
      </c>
      <c r="C486" s="0" t="s">
        <v>762</v>
      </c>
      <c r="D486" s="0" t="s">
        <v>98</v>
      </c>
      <c r="E486" s="0" t="s">
        <v>763</v>
      </c>
    </row>
    <row r="487" customFormat="false" ht="15" hidden="false" customHeight="false" outlineLevel="0" collapsed="false">
      <c r="A487" s="0" t="s">
        <v>740</v>
      </c>
      <c r="B487" s="0" t="s">
        <v>643</v>
      </c>
      <c r="C487" s="0" t="s">
        <v>762</v>
      </c>
      <c r="D487" s="0" t="s">
        <v>98</v>
      </c>
      <c r="E487" s="0" t="s">
        <v>763</v>
      </c>
    </row>
    <row r="488" customFormat="false" ht="15" hidden="false" customHeight="false" outlineLevel="0" collapsed="false">
      <c r="A488" s="0" t="s">
        <v>740</v>
      </c>
      <c r="B488" s="0" t="s">
        <v>644</v>
      </c>
      <c r="C488" s="0" t="s">
        <v>762</v>
      </c>
      <c r="D488" s="0" t="s">
        <v>98</v>
      </c>
      <c r="E488" s="0" t="s">
        <v>763</v>
      </c>
    </row>
    <row r="489" customFormat="false" ht="15" hidden="false" customHeight="false" outlineLevel="0" collapsed="false">
      <c r="A489" s="0" t="s">
        <v>740</v>
      </c>
      <c r="B489" s="0" t="s">
        <v>645</v>
      </c>
      <c r="C489" s="0" t="s">
        <v>762</v>
      </c>
      <c r="D489" s="0" t="s">
        <v>98</v>
      </c>
      <c r="E489" s="0" t="s">
        <v>763</v>
      </c>
    </row>
    <row r="490" customFormat="false" ht="15" hidden="false" customHeight="false" outlineLevel="0" collapsed="false">
      <c r="A490" s="0" t="s">
        <v>740</v>
      </c>
      <c r="B490" s="0" t="s">
        <v>1054</v>
      </c>
      <c r="C490" s="0" t="s">
        <v>762</v>
      </c>
      <c r="D490" s="0" t="s">
        <v>98</v>
      </c>
      <c r="E490" s="0" t="s">
        <v>763</v>
      </c>
    </row>
    <row r="491" customFormat="false" ht="15" hidden="false" customHeight="false" outlineLevel="0" collapsed="false">
      <c r="A491" s="0" t="s">
        <v>740</v>
      </c>
      <c r="B491" s="0" t="s">
        <v>1055</v>
      </c>
      <c r="C491" s="0" t="s">
        <v>762</v>
      </c>
      <c r="D491" s="0" t="s">
        <v>98</v>
      </c>
      <c r="E491" s="0" t="s">
        <v>763</v>
      </c>
    </row>
    <row r="492" customFormat="false" ht="15" hidden="false" customHeight="false" outlineLevel="0" collapsed="false">
      <c r="A492" s="0" t="s">
        <v>740</v>
      </c>
      <c r="B492" s="0" t="s">
        <v>1056</v>
      </c>
      <c r="C492" s="0" t="s">
        <v>762</v>
      </c>
      <c r="D492" s="0" t="s">
        <v>98</v>
      </c>
      <c r="E492" s="0" t="s">
        <v>763</v>
      </c>
    </row>
    <row r="493" customFormat="false" ht="15" hidden="false" customHeight="false" outlineLevel="0" collapsed="false">
      <c r="A493" s="0" t="s">
        <v>740</v>
      </c>
      <c r="B493" s="0" t="s">
        <v>1057</v>
      </c>
      <c r="C493" s="0" t="s">
        <v>762</v>
      </c>
      <c r="D493" s="0" t="s">
        <v>98</v>
      </c>
      <c r="E493" s="0" t="s">
        <v>763</v>
      </c>
    </row>
    <row r="494" customFormat="false" ht="15" hidden="false" customHeight="false" outlineLevel="0" collapsed="false">
      <c r="A494" s="0" t="s">
        <v>740</v>
      </c>
      <c r="B494" s="0" t="s">
        <v>1058</v>
      </c>
      <c r="C494" s="0" t="s">
        <v>762</v>
      </c>
      <c r="D494" s="0" t="s">
        <v>98</v>
      </c>
      <c r="E494" s="0" t="s">
        <v>763</v>
      </c>
    </row>
    <row r="495" customFormat="false" ht="15" hidden="false" customHeight="false" outlineLevel="0" collapsed="false">
      <c r="A495" s="0" t="s">
        <v>740</v>
      </c>
      <c r="B495" s="0" t="s">
        <v>1059</v>
      </c>
      <c r="C495" s="0" t="s">
        <v>762</v>
      </c>
      <c r="D495" s="0" t="s">
        <v>98</v>
      </c>
      <c r="E495" s="0" t="s">
        <v>763</v>
      </c>
    </row>
    <row r="496" customFormat="false" ht="15" hidden="false" customHeight="false" outlineLevel="0" collapsed="false">
      <c r="A496" s="0" t="s">
        <v>740</v>
      </c>
      <c r="B496" s="0" t="s">
        <v>1060</v>
      </c>
      <c r="C496" s="0" t="s">
        <v>762</v>
      </c>
      <c r="D496" s="0" t="s">
        <v>98</v>
      </c>
      <c r="E496" s="0" t="s">
        <v>763</v>
      </c>
    </row>
    <row r="497" customFormat="false" ht="15" hidden="false" customHeight="false" outlineLevel="0" collapsed="false">
      <c r="A497" s="0" t="s">
        <v>740</v>
      </c>
      <c r="B497" s="0" t="s">
        <v>1061</v>
      </c>
      <c r="C497" s="0" t="s">
        <v>1039</v>
      </c>
      <c r="D497" s="0" t="s">
        <v>93</v>
      </c>
      <c r="E497" s="0" t="s">
        <v>1033</v>
      </c>
    </row>
    <row r="498" customFormat="false" ht="15" hidden="false" customHeight="false" outlineLevel="0" collapsed="false">
      <c r="A498" s="0" t="s">
        <v>740</v>
      </c>
      <c r="B498" s="0" t="s">
        <v>1062</v>
      </c>
      <c r="C498" s="0" t="s">
        <v>1042</v>
      </c>
      <c r="D498" s="0" t="s">
        <v>93</v>
      </c>
    </row>
    <row r="499" customFormat="false" ht="15" hidden="false" customHeight="false" outlineLevel="0" collapsed="false">
      <c r="A499" s="0" t="s">
        <v>740</v>
      </c>
      <c r="B499" s="0" t="s">
        <v>1063</v>
      </c>
      <c r="C499" s="0" t="s">
        <v>1042</v>
      </c>
      <c r="D499" s="0" t="s">
        <v>93</v>
      </c>
      <c r="E499" s="0" t="s">
        <v>1036</v>
      </c>
    </row>
    <row r="500" customFormat="false" ht="15" hidden="false" customHeight="false" outlineLevel="0" collapsed="false">
      <c r="A500" s="0" t="s">
        <v>740</v>
      </c>
      <c r="B500" s="0" t="s">
        <v>1064</v>
      </c>
      <c r="C500" s="0" t="s">
        <v>1042</v>
      </c>
      <c r="D500" s="0" t="s">
        <v>93</v>
      </c>
      <c r="E500" s="0" t="s">
        <v>1036</v>
      </c>
    </row>
    <row r="501" customFormat="false" ht="15" hidden="false" customHeight="false" outlineLevel="0" collapsed="false">
      <c r="A501" s="0" t="s">
        <v>740</v>
      </c>
      <c r="B501" s="0" t="s">
        <v>1065</v>
      </c>
      <c r="C501" s="0" t="s">
        <v>1046</v>
      </c>
      <c r="D501" s="0" t="s">
        <v>93</v>
      </c>
    </row>
    <row r="502" customFormat="false" ht="15" hidden="false" customHeight="false" outlineLevel="0" collapsed="false">
      <c r="A502" s="0" t="s">
        <v>740</v>
      </c>
      <c r="B502" s="0" t="s">
        <v>1066</v>
      </c>
      <c r="C502" s="0" t="s">
        <v>1046</v>
      </c>
      <c r="D502" s="0" t="s">
        <v>93</v>
      </c>
      <c r="E502" s="0" t="s">
        <v>914</v>
      </c>
    </row>
    <row r="503" customFormat="false" ht="15" hidden="false" customHeight="false" outlineLevel="0" collapsed="false">
      <c r="A503" s="0" t="s">
        <v>740</v>
      </c>
      <c r="B503" s="0" t="s">
        <v>1067</v>
      </c>
      <c r="C503" s="0" t="s">
        <v>1052</v>
      </c>
      <c r="D503" s="0" t="s">
        <v>93</v>
      </c>
      <c r="E503" s="0" t="s">
        <v>1043</v>
      </c>
    </row>
    <row r="504" customFormat="false" ht="15" hidden="false" customHeight="false" outlineLevel="0" collapsed="false">
      <c r="A504" s="0" t="s">
        <v>740</v>
      </c>
      <c r="B504" s="0" t="s">
        <v>1068</v>
      </c>
      <c r="C504" s="0" t="s">
        <v>1052</v>
      </c>
      <c r="D504" s="0" t="s">
        <v>93</v>
      </c>
      <c r="E504" s="0" t="s">
        <v>918</v>
      </c>
    </row>
    <row r="505" customFormat="false" ht="15" hidden="false" customHeight="false" outlineLevel="0" collapsed="false">
      <c r="A505" s="0" t="s">
        <v>740</v>
      </c>
      <c r="B505" s="0" t="s">
        <v>1069</v>
      </c>
      <c r="C505" s="0" t="s">
        <v>1070</v>
      </c>
      <c r="D505" s="0" t="s">
        <v>93</v>
      </c>
      <c r="E505" s="0" t="s">
        <v>1047</v>
      </c>
    </row>
    <row r="506" customFormat="false" ht="15" hidden="false" customHeight="false" outlineLevel="0" collapsed="false">
      <c r="A506" s="0" t="s">
        <v>740</v>
      </c>
      <c r="B506" s="0" t="s">
        <v>1071</v>
      </c>
      <c r="C506" s="0" t="s">
        <v>1070</v>
      </c>
      <c r="D506" s="0" t="s">
        <v>93</v>
      </c>
      <c r="E506" s="0" t="s">
        <v>922</v>
      </c>
    </row>
    <row r="507" customFormat="false" ht="15" hidden="false" customHeight="false" outlineLevel="0" collapsed="false">
      <c r="A507" s="0" t="s">
        <v>740</v>
      </c>
      <c r="B507" s="0" t="s">
        <v>1072</v>
      </c>
      <c r="C507" s="0" t="s">
        <v>1070</v>
      </c>
      <c r="D507" s="0" t="s">
        <v>93</v>
      </c>
      <c r="E507" s="0" t="s">
        <v>922</v>
      </c>
    </row>
    <row r="508" customFormat="false" ht="15" hidden="false" customHeight="false" outlineLevel="0" collapsed="false">
      <c r="A508" s="0" t="s">
        <v>740</v>
      </c>
      <c r="B508" s="0" t="s">
        <v>1073</v>
      </c>
      <c r="C508" s="0" t="s">
        <v>1070</v>
      </c>
      <c r="D508" s="0" t="s">
        <v>93</v>
      </c>
      <c r="E508" s="0" t="s">
        <v>922</v>
      </c>
    </row>
    <row r="509" customFormat="false" ht="15" hidden="false" customHeight="false" outlineLevel="0" collapsed="false">
      <c r="A509" s="0" t="s">
        <v>740</v>
      </c>
      <c r="B509" s="0" t="s">
        <v>1074</v>
      </c>
      <c r="C509" s="0" t="s">
        <v>521</v>
      </c>
      <c r="D509" s="0" t="s">
        <v>93</v>
      </c>
    </row>
    <row r="510" customFormat="false" ht="15" hidden="false" customHeight="false" outlineLevel="0" collapsed="false">
      <c r="A510" s="0" t="s">
        <v>740</v>
      </c>
      <c r="B510" s="0" t="s">
        <v>1075</v>
      </c>
      <c r="C510" s="0" t="s">
        <v>1076</v>
      </c>
      <c r="D510" s="0" t="s">
        <v>98</v>
      </c>
      <c r="E510" s="0" t="s">
        <v>826</v>
      </c>
    </row>
    <row r="511" customFormat="false" ht="15" hidden="false" customHeight="false" outlineLevel="0" collapsed="false">
      <c r="A511" s="0" t="s">
        <v>740</v>
      </c>
      <c r="B511" s="0" t="s">
        <v>648</v>
      </c>
      <c r="C511" s="0" t="s">
        <v>1077</v>
      </c>
      <c r="D511" s="0" t="s">
        <v>98</v>
      </c>
      <c r="E511" s="0" t="s">
        <v>826</v>
      </c>
    </row>
    <row r="512" customFormat="false" ht="15" hidden="false" customHeight="false" outlineLevel="0" collapsed="false">
      <c r="A512" s="0" t="s">
        <v>740</v>
      </c>
      <c r="B512" s="0" t="s">
        <v>649</v>
      </c>
      <c r="C512" s="0" t="s">
        <v>1078</v>
      </c>
      <c r="D512" s="0" t="s">
        <v>98</v>
      </c>
      <c r="E512" s="0" t="s">
        <v>826</v>
      </c>
    </row>
    <row r="513" customFormat="false" ht="15" hidden="false" customHeight="false" outlineLevel="0" collapsed="false">
      <c r="A513" s="0" t="s">
        <v>740</v>
      </c>
      <c r="B513" s="0" t="s">
        <v>650</v>
      </c>
      <c r="C513" s="0" t="s">
        <v>1079</v>
      </c>
      <c r="D513" s="0" t="s">
        <v>98</v>
      </c>
      <c r="E513" s="0" t="s">
        <v>826</v>
      </c>
    </row>
    <row r="514" customFormat="false" ht="15" hidden="false" customHeight="false" outlineLevel="0" collapsed="false">
      <c r="A514" s="0" t="s">
        <v>740</v>
      </c>
      <c r="B514" s="0" t="s">
        <v>651</v>
      </c>
      <c r="C514" s="0" t="s">
        <v>1080</v>
      </c>
      <c r="D514" s="0" t="s">
        <v>98</v>
      </c>
      <c r="E514" s="0" t="s">
        <v>826</v>
      </c>
    </row>
    <row r="515" customFormat="false" ht="15" hidden="false" customHeight="false" outlineLevel="0" collapsed="false">
      <c r="A515" s="0" t="s">
        <v>740</v>
      </c>
      <c r="B515" s="0" t="s">
        <v>652</v>
      </c>
      <c r="C515" s="0" t="s">
        <v>1081</v>
      </c>
      <c r="D515" s="0" t="s">
        <v>98</v>
      </c>
      <c r="E515" s="0" t="s">
        <v>826</v>
      </c>
    </row>
    <row r="516" customFormat="false" ht="15" hidden="false" customHeight="false" outlineLevel="0" collapsed="false">
      <c r="A516" s="0" t="s">
        <v>740</v>
      </c>
      <c r="B516" s="0" t="s">
        <v>653</v>
      </c>
      <c r="C516" s="0" t="s">
        <v>1082</v>
      </c>
      <c r="D516" s="0" t="s">
        <v>98</v>
      </c>
      <c r="E516" s="0" t="s">
        <v>826</v>
      </c>
    </row>
    <row r="517" customFormat="false" ht="15" hidden="false" customHeight="false" outlineLevel="0" collapsed="false">
      <c r="A517" s="0" t="s">
        <v>740</v>
      </c>
      <c r="B517" s="0" t="s">
        <v>654</v>
      </c>
      <c r="C517" s="0" t="s">
        <v>1083</v>
      </c>
      <c r="D517" s="0" t="s">
        <v>98</v>
      </c>
      <c r="E517" s="0" t="s">
        <v>826</v>
      </c>
    </row>
    <row r="518" customFormat="false" ht="15" hidden="false" customHeight="false" outlineLevel="0" collapsed="false">
      <c r="A518" s="0" t="s">
        <v>740</v>
      </c>
      <c r="B518" s="0" t="s">
        <v>1084</v>
      </c>
      <c r="C518" s="0" t="s">
        <v>1085</v>
      </c>
      <c r="D518" s="0" t="s">
        <v>98</v>
      </c>
      <c r="E518" s="0" t="s">
        <v>826</v>
      </c>
    </row>
    <row r="519" customFormat="false" ht="15" hidden="false" customHeight="false" outlineLevel="0" collapsed="false">
      <c r="A519" s="0" t="s">
        <v>740</v>
      </c>
      <c r="B519" s="0" t="s">
        <v>1086</v>
      </c>
      <c r="C519" s="0" t="s">
        <v>1087</v>
      </c>
      <c r="D519" s="0" t="s">
        <v>98</v>
      </c>
      <c r="E519" s="0" t="s">
        <v>826</v>
      </c>
    </row>
    <row r="520" customFormat="false" ht="15" hidden="false" customHeight="false" outlineLevel="0" collapsed="false">
      <c r="A520" s="0" t="s">
        <v>740</v>
      </c>
      <c r="B520" s="0" t="s">
        <v>1088</v>
      </c>
      <c r="C520" s="0" t="s">
        <v>1089</v>
      </c>
      <c r="D520" s="0" t="s">
        <v>98</v>
      </c>
      <c r="E520" s="0" t="s">
        <v>826</v>
      </c>
    </row>
    <row r="521" customFormat="false" ht="15" hidden="false" customHeight="false" outlineLevel="0" collapsed="false">
      <c r="A521" s="0" t="s">
        <v>740</v>
      </c>
      <c r="B521" s="0" t="s">
        <v>1090</v>
      </c>
      <c r="C521" s="0" t="s">
        <v>1091</v>
      </c>
      <c r="D521" s="0" t="s">
        <v>98</v>
      </c>
      <c r="E521" s="0" t="s">
        <v>826</v>
      </c>
    </row>
    <row r="522" customFormat="false" ht="15" hidden="false" customHeight="false" outlineLevel="0" collapsed="false">
      <c r="A522" s="0" t="s">
        <v>740</v>
      </c>
      <c r="B522" s="0" t="s">
        <v>1092</v>
      </c>
      <c r="C522" s="0" t="s">
        <v>1093</v>
      </c>
      <c r="D522" s="0" t="s">
        <v>98</v>
      </c>
      <c r="E522" s="0" t="s">
        <v>826</v>
      </c>
    </row>
    <row r="523" customFormat="false" ht="15" hidden="false" customHeight="false" outlineLevel="0" collapsed="false">
      <c r="A523" s="0" t="s">
        <v>740</v>
      </c>
      <c r="B523" s="0" t="s">
        <v>1094</v>
      </c>
      <c r="C523" s="0" t="s">
        <v>1095</v>
      </c>
      <c r="D523" s="0" t="s">
        <v>98</v>
      </c>
      <c r="E523" s="0" t="s">
        <v>826</v>
      </c>
    </row>
    <row r="524" customFormat="false" ht="15" hidden="false" customHeight="false" outlineLevel="0" collapsed="false">
      <c r="A524" s="0" t="s">
        <v>740</v>
      </c>
      <c r="B524" s="0" t="s">
        <v>1096</v>
      </c>
      <c r="C524" s="0" t="s">
        <v>1097</v>
      </c>
      <c r="D524" s="0" t="s">
        <v>98</v>
      </c>
      <c r="E524" s="0" t="s">
        <v>826</v>
      </c>
    </row>
    <row r="525" customFormat="false" ht="15" hidden="false" customHeight="false" outlineLevel="0" collapsed="false">
      <c r="A525" s="0" t="s">
        <v>740</v>
      </c>
      <c r="B525" s="0" t="s">
        <v>1098</v>
      </c>
      <c r="C525" s="0" t="s">
        <v>1099</v>
      </c>
      <c r="D525" s="0" t="s">
        <v>98</v>
      </c>
      <c r="E525" s="0" t="s">
        <v>826</v>
      </c>
    </row>
    <row r="526" customFormat="false" ht="15" hidden="false" customHeight="false" outlineLevel="0" collapsed="false">
      <c r="A526" s="0" t="s">
        <v>740</v>
      </c>
      <c r="B526" s="0" t="s">
        <v>1100</v>
      </c>
      <c r="C526" s="0" t="s">
        <v>1101</v>
      </c>
      <c r="D526" s="0" t="s">
        <v>98</v>
      </c>
      <c r="E526" s="0" t="s">
        <v>826</v>
      </c>
    </row>
    <row r="527" customFormat="false" ht="15" hidden="false" customHeight="false" outlineLevel="0" collapsed="false">
      <c r="A527" s="0" t="s">
        <v>740</v>
      </c>
      <c r="B527" s="0" t="s">
        <v>1102</v>
      </c>
      <c r="C527" s="0" t="s">
        <v>1103</v>
      </c>
      <c r="D527" s="0" t="s">
        <v>98</v>
      </c>
      <c r="E527" s="0" t="s">
        <v>826</v>
      </c>
    </row>
    <row r="528" customFormat="false" ht="15" hidden="false" customHeight="false" outlineLevel="0" collapsed="false">
      <c r="A528" s="0" t="s">
        <v>740</v>
      </c>
      <c r="B528" s="0" t="s">
        <v>1104</v>
      </c>
      <c r="C528" s="0" t="s">
        <v>1105</v>
      </c>
      <c r="D528" s="0" t="s">
        <v>98</v>
      </c>
      <c r="E528" s="0" t="s">
        <v>826</v>
      </c>
    </row>
    <row r="529" customFormat="false" ht="15" hidden="false" customHeight="false" outlineLevel="0" collapsed="false">
      <c r="A529" s="0" t="s">
        <v>740</v>
      </c>
      <c r="B529" s="0" t="s">
        <v>1106</v>
      </c>
      <c r="C529" s="0" t="s">
        <v>1107</v>
      </c>
      <c r="D529" s="0" t="s">
        <v>98</v>
      </c>
      <c r="E529" s="0" t="s">
        <v>826</v>
      </c>
    </row>
    <row r="530" customFormat="false" ht="15" hidden="false" customHeight="false" outlineLevel="0" collapsed="false">
      <c r="A530" s="0" t="s">
        <v>740</v>
      </c>
      <c r="B530" s="0" t="s">
        <v>1108</v>
      </c>
      <c r="C530" s="0" t="s">
        <v>1109</v>
      </c>
      <c r="D530" s="0" t="s">
        <v>98</v>
      </c>
      <c r="E530" s="0" t="s">
        <v>826</v>
      </c>
    </row>
    <row r="531" customFormat="false" ht="15" hidden="false" customHeight="false" outlineLevel="0" collapsed="false">
      <c r="A531" s="0" t="s">
        <v>740</v>
      </c>
      <c r="B531" s="0" t="s">
        <v>1110</v>
      </c>
      <c r="C531" s="0" t="s">
        <v>1111</v>
      </c>
      <c r="D531" s="0" t="s">
        <v>98</v>
      </c>
      <c r="E531" s="0" t="s">
        <v>826</v>
      </c>
    </row>
    <row r="532" customFormat="false" ht="15" hidden="false" customHeight="false" outlineLevel="0" collapsed="false">
      <c r="A532" s="0" t="s">
        <v>740</v>
      </c>
      <c r="B532" s="0" t="s">
        <v>1112</v>
      </c>
      <c r="C532" s="0" t="s">
        <v>1113</v>
      </c>
      <c r="D532" s="0" t="s">
        <v>98</v>
      </c>
      <c r="E532" s="0" t="s">
        <v>826</v>
      </c>
    </row>
    <row r="533" customFormat="false" ht="15" hidden="false" customHeight="false" outlineLevel="0" collapsed="false">
      <c r="A533" s="0" t="s">
        <v>740</v>
      </c>
      <c r="B533" s="0" t="s">
        <v>1114</v>
      </c>
      <c r="C533" s="0" t="s">
        <v>1115</v>
      </c>
      <c r="D533" s="0" t="s">
        <v>98</v>
      </c>
      <c r="E533" s="0" t="s">
        <v>826</v>
      </c>
    </row>
    <row r="534" customFormat="false" ht="15" hidden="false" customHeight="false" outlineLevel="0" collapsed="false">
      <c r="A534" s="0" t="s">
        <v>740</v>
      </c>
      <c r="B534" s="0" t="s">
        <v>1116</v>
      </c>
      <c r="C534" s="0" t="s">
        <v>1117</v>
      </c>
      <c r="D534" s="0" t="s">
        <v>98</v>
      </c>
      <c r="E534" s="0" t="s">
        <v>826</v>
      </c>
    </row>
    <row r="535" customFormat="false" ht="15" hidden="false" customHeight="false" outlineLevel="0" collapsed="false">
      <c r="A535" s="0" t="s">
        <v>740</v>
      </c>
      <c r="B535" s="0" t="s">
        <v>1118</v>
      </c>
      <c r="C535" s="0" t="s">
        <v>1119</v>
      </c>
      <c r="D535" s="0" t="s">
        <v>98</v>
      </c>
      <c r="E535" s="0" t="s">
        <v>826</v>
      </c>
    </row>
    <row r="536" customFormat="false" ht="15" hidden="false" customHeight="false" outlineLevel="0" collapsed="false">
      <c r="A536" s="0" t="s">
        <v>740</v>
      </c>
      <c r="B536" s="0" t="s">
        <v>1120</v>
      </c>
      <c r="C536" s="0" t="s">
        <v>1121</v>
      </c>
      <c r="D536" s="0" t="s">
        <v>98</v>
      </c>
      <c r="E536" s="0" t="s">
        <v>826</v>
      </c>
    </row>
    <row r="537" customFormat="false" ht="15" hidden="false" customHeight="false" outlineLevel="0" collapsed="false">
      <c r="A537" s="0" t="s">
        <v>740</v>
      </c>
      <c r="B537" s="0" t="s">
        <v>1122</v>
      </c>
      <c r="C537" s="0" t="s">
        <v>1123</v>
      </c>
      <c r="D537" s="0" t="s">
        <v>98</v>
      </c>
      <c r="E537" s="0" t="s">
        <v>826</v>
      </c>
    </row>
    <row r="538" customFormat="false" ht="15" hidden="false" customHeight="false" outlineLevel="0" collapsed="false">
      <c r="A538" s="0" t="s">
        <v>740</v>
      </c>
      <c r="B538" s="0" t="s">
        <v>1124</v>
      </c>
      <c r="C538" s="0" t="s">
        <v>1042</v>
      </c>
      <c r="D538" s="0" t="s">
        <v>86</v>
      </c>
      <c r="E538" s="0" t="s">
        <v>1125</v>
      </c>
    </row>
    <row r="539" customFormat="false" ht="15" hidden="false" customHeight="false" outlineLevel="0" collapsed="false">
      <c r="A539" s="0" t="s">
        <v>740</v>
      </c>
      <c r="B539" s="0" t="s">
        <v>1126</v>
      </c>
      <c r="C539" s="0" t="s">
        <v>1052</v>
      </c>
      <c r="D539" s="0" t="s">
        <v>86</v>
      </c>
      <c r="E539" s="0" t="s">
        <v>1127</v>
      </c>
    </row>
    <row r="540" customFormat="false" ht="15" hidden="false" customHeight="false" outlineLevel="0" collapsed="false">
      <c r="A540" s="0" t="s">
        <v>740</v>
      </c>
      <c r="B540" s="0" t="s">
        <v>1128</v>
      </c>
      <c r="C540" s="0" t="s">
        <v>1070</v>
      </c>
      <c r="D540" s="0" t="s">
        <v>86</v>
      </c>
      <c r="E540" s="0" t="s">
        <v>1129</v>
      </c>
    </row>
    <row r="541" customFormat="false" ht="15" hidden="false" customHeight="false" outlineLevel="0" collapsed="false">
      <c r="A541" s="0" t="s">
        <v>740</v>
      </c>
      <c r="B541" s="0" t="s">
        <v>672</v>
      </c>
      <c r="C541" s="0" t="s">
        <v>509</v>
      </c>
      <c r="D541" s="0" t="s">
        <v>86</v>
      </c>
      <c r="E541" s="0" t="s">
        <v>204</v>
      </c>
    </row>
    <row r="542" customFormat="false" ht="15" hidden="false" customHeight="false" outlineLevel="0" collapsed="false">
      <c r="A542" s="0" t="s">
        <v>740</v>
      </c>
      <c r="B542" s="0" t="s">
        <v>673</v>
      </c>
      <c r="C542" s="0" t="s">
        <v>509</v>
      </c>
      <c r="D542" s="0" t="s">
        <v>86</v>
      </c>
      <c r="E542" s="0" t="s">
        <v>204</v>
      </c>
    </row>
    <row r="543" customFormat="false" ht="15" hidden="false" customHeight="false" outlineLevel="0" collapsed="false">
      <c r="A543" s="0" t="s">
        <v>740</v>
      </c>
      <c r="B543" s="0" t="s">
        <v>1130</v>
      </c>
      <c r="C543" s="0" t="s">
        <v>509</v>
      </c>
      <c r="D543" s="0" t="s">
        <v>86</v>
      </c>
      <c r="E543" s="0" t="s">
        <v>204</v>
      </c>
    </row>
    <row r="544" customFormat="false" ht="15" hidden="false" customHeight="false" outlineLevel="0" collapsed="false">
      <c r="A544" s="0" t="s">
        <v>740</v>
      </c>
      <c r="B544" s="0" t="s">
        <v>1131</v>
      </c>
      <c r="C544" s="0" t="s">
        <v>509</v>
      </c>
      <c r="D544" s="0" t="s">
        <v>86</v>
      </c>
      <c r="E544" s="0" t="s">
        <v>204</v>
      </c>
    </row>
    <row r="545" customFormat="false" ht="15" hidden="false" customHeight="false" outlineLevel="0" collapsed="false">
      <c r="A545" s="0" t="s">
        <v>740</v>
      </c>
      <c r="B545" s="0" t="s">
        <v>1132</v>
      </c>
      <c r="C545" s="0" t="s">
        <v>509</v>
      </c>
      <c r="D545" s="0" t="s">
        <v>744</v>
      </c>
      <c r="E545" s="0" t="s">
        <v>204</v>
      </c>
    </row>
    <row r="546" customFormat="false" ht="15" hidden="false" customHeight="false" outlineLevel="0" collapsed="false">
      <c r="A546" s="0" t="s">
        <v>740</v>
      </c>
      <c r="B546" s="0" t="s">
        <v>1133</v>
      </c>
      <c r="C546" s="0" t="s">
        <v>509</v>
      </c>
      <c r="D546" s="0" t="s">
        <v>744</v>
      </c>
      <c r="E546" s="0" t="s">
        <v>204</v>
      </c>
    </row>
    <row r="547" customFormat="false" ht="15" hidden="false" customHeight="false" outlineLevel="0" collapsed="false">
      <c r="A547" s="0" t="s">
        <v>740</v>
      </c>
      <c r="B547" s="0" t="s">
        <v>1134</v>
      </c>
      <c r="C547" s="0" t="s">
        <v>509</v>
      </c>
      <c r="D547" s="0" t="s">
        <v>744</v>
      </c>
      <c r="E547" s="0" t="s">
        <v>204</v>
      </c>
    </row>
    <row r="548" customFormat="false" ht="15" hidden="false" customHeight="false" outlineLevel="0" collapsed="false">
      <c r="A548" s="0" t="s">
        <v>740</v>
      </c>
      <c r="B548" s="0" t="s">
        <v>1135</v>
      </c>
      <c r="C548" s="0" t="s">
        <v>509</v>
      </c>
      <c r="D548" s="0" t="s">
        <v>744</v>
      </c>
      <c r="E548" s="0" t="s">
        <v>204</v>
      </c>
    </row>
    <row r="549" customFormat="false" ht="15" hidden="false" customHeight="false" outlineLevel="0" collapsed="false">
      <c r="A549" s="0" t="s">
        <v>740</v>
      </c>
      <c r="B549" s="0" t="s">
        <v>1136</v>
      </c>
      <c r="C549" s="0" t="s">
        <v>509</v>
      </c>
      <c r="D549" s="0" t="s">
        <v>744</v>
      </c>
      <c r="E549" s="0" t="s">
        <v>204</v>
      </c>
    </row>
    <row r="550" customFormat="false" ht="15" hidden="false" customHeight="false" outlineLevel="0" collapsed="false">
      <c r="A550" s="0" t="s">
        <v>740</v>
      </c>
      <c r="B550" s="0" t="s">
        <v>1137</v>
      </c>
      <c r="C550" s="0" t="s">
        <v>509</v>
      </c>
      <c r="D550" s="0" t="s">
        <v>744</v>
      </c>
      <c r="E550" s="0" t="s">
        <v>204</v>
      </c>
    </row>
    <row r="551" customFormat="false" ht="15" hidden="false" customHeight="false" outlineLevel="0" collapsed="false">
      <c r="A551" s="0" t="s">
        <v>740</v>
      </c>
      <c r="B551" s="0" t="s">
        <v>1138</v>
      </c>
      <c r="C551" s="0" t="s">
        <v>509</v>
      </c>
      <c r="D551" s="0" t="s">
        <v>744</v>
      </c>
      <c r="E551" s="0" t="s">
        <v>204</v>
      </c>
    </row>
    <row r="552" customFormat="false" ht="15" hidden="false" customHeight="false" outlineLevel="0" collapsed="false">
      <c r="A552" s="0" t="s">
        <v>740</v>
      </c>
      <c r="B552" s="0" t="s">
        <v>1139</v>
      </c>
      <c r="C552" s="0" t="s">
        <v>509</v>
      </c>
      <c r="D552" s="0" t="s">
        <v>744</v>
      </c>
      <c r="E552" s="0" t="s">
        <v>204</v>
      </c>
    </row>
    <row r="553" customFormat="false" ht="15" hidden="false" customHeight="false" outlineLevel="0" collapsed="false">
      <c r="A553" s="0" t="s">
        <v>740</v>
      </c>
      <c r="B553" s="0" t="s">
        <v>1140</v>
      </c>
      <c r="C553" s="0" t="s">
        <v>509</v>
      </c>
      <c r="D553" s="0" t="s">
        <v>744</v>
      </c>
      <c r="E553" s="0" t="s">
        <v>204</v>
      </c>
    </row>
    <row r="554" customFormat="false" ht="15" hidden="false" customHeight="false" outlineLevel="0" collapsed="false">
      <c r="A554" s="0" t="s">
        <v>740</v>
      </c>
      <c r="B554" s="0" t="s">
        <v>1141</v>
      </c>
      <c r="C554" s="0" t="s">
        <v>509</v>
      </c>
      <c r="D554" s="0" t="s">
        <v>744</v>
      </c>
      <c r="E554" s="0" t="s">
        <v>204</v>
      </c>
    </row>
    <row r="555" customFormat="false" ht="15" hidden="false" customHeight="false" outlineLevel="0" collapsed="false">
      <c r="A555" s="0" t="s">
        <v>740</v>
      </c>
      <c r="B555" s="0" t="s">
        <v>1142</v>
      </c>
      <c r="C555" s="0" t="s">
        <v>509</v>
      </c>
      <c r="D555" s="0" t="s">
        <v>744</v>
      </c>
      <c r="E555" s="0" t="s">
        <v>204</v>
      </c>
    </row>
    <row r="556" customFormat="false" ht="15" hidden="false" customHeight="false" outlineLevel="0" collapsed="false">
      <c r="A556" s="0" t="s">
        <v>740</v>
      </c>
      <c r="B556" s="0" t="s">
        <v>1143</v>
      </c>
      <c r="C556" s="0" t="s">
        <v>509</v>
      </c>
      <c r="D556" s="0" t="s">
        <v>744</v>
      </c>
      <c r="E556" s="0" t="s">
        <v>204</v>
      </c>
    </row>
    <row r="557" customFormat="false" ht="15" hidden="false" customHeight="false" outlineLevel="0" collapsed="false">
      <c r="A557" s="0" t="s">
        <v>740</v>
      </c>
      <c r="B557" s="0" t="s">
        <v>1144</v>
      </c>
      <c r="C557" s="0" t="s">
        <v>509</v>
      </c>
      <c r="D557" s="0" t="s">
        <v>744</v>
      </c>
      <c r="E557" s="0" t="s">
        <v>204</v>
      </c>
    </row>
    <row r="558" customFormat="false" ht="15" hidden="false" customHeight="false" outlineLevel="0" collapsed="false">
      <c r="A558" s="0" t="s">
        <v>740</v>
      </c>
      <c r="B558" s="0" t="s">
        <v>1145</v>
      </c>
      <c r="C558" s="0" t="s">
        <v>509</v>
      </c>
      <c r="D558" s="0" t="s">
        <v>744</v>
      </c>
      <c r="E558" s="0" t="s">
        <v>204</v>
      </c>
    </row>
    <row r="559" customFormat="false" ht="15" hidden="false" customHeight="false" outlineLevel="0" collapsed="false">
      <c r="A559" s="0" t="s">
        <v>740</v>
      </c>
      <c r="B559" s="0" t="s">
        <v>1146</v>
      </c>
      <c r="C559" s="0" t="s">
        <v>509</v>
      </c>
      <c r="D559" s="0" t="s">
        <v>744</v>
      </c>
      <c r="E559" s="0" t="s">
        <v>204</v>
      </c>
    </row>
    <row r="560" customFormat="false" ht="15" hidden="false" customHeight="false" outlineLevel="0" collapsed="false">
      <c r="A560" s="0" t="s">
        <v>740</v>
      </c>
      <c r="B560" s="0" t="s">
        <v>1147</v>
      </c>
      <c r="C560" s="0" t="s">
        <v>509</v>
      </c>
      <c r="D560" s="0" t="s">
        <v>744</v>
      </c>
      <c r="E560" s="0" t="s">
        <v>204</v>
      </c>
    </row>
    <row r="561" customFormat="false" ht="15" hidden="false" customHeight="false" outlineLevel="0" collapsed="false">
      <c r="A561" s="0" t="s">
        <v>740</v>
      </c>
      <c r="B561" s="0" t="s">
        <v>1148</v>
      </c>
      <c r="C561" s="0" t="s">
        <v>509</v>
      </c>
      <c r="D561" s="0" t="s">
        <v>744</v>
      </c>
      <c r="E561" s="0" t="s">
        <v>204</v>
      </c>
    </row>
    <row r="562" customFormat="false" ht="15" hidden="false" customHeight="false" outlineLevel="0" collapsed="false">
      <c r="A562" s="0" t="s">
        <v>740</v>
      </c>
      <c r="B562" s="0" t="s">
        <v>1149</v>
      </c>
      <c r="C562" s="0" t="s">
        <v>509</v>
      </c>
      <c r="D562" s="0" t="s">
        <v>744</v>
      </c>
      <c r="E562" s="0" t="s">
        <v>204</v>
      </c>
    </row>
    <row r="563" customFormat="false" ht="15" hidden="false" customHeight="false" outlineLevel="0" collapsed="false">
      <c r="A563" s="0" t="s">
        <v>740</v>
      </c>
      <c r="B563" s="0" t="s">
        <v>1150</v>
      </c>
      <c r="C563" s="0" t="s">
        <v>762</v>
      </c>
      <c r="D563" s="0" t="s">
        <v>98</v>
      </c>
      <c r="E563" s="0" t="s">
        <v>763</v>
      </c>
    </row>
    <row r="564" customFormat="false" ht="15" hidden="false" customHeight="false" outlineLevel="0" collapsed="false">
      <c r="A564" s="0" t="s">
        <v>740</v>
      </c>
      <c r="B564" s="0" t="s">
        <v>676</v>
      </c>
      <c r="C564" s="0" t="s">
        <v>762</v>
      </c>
      <c r="D564" s="0" t="s">
        <v>98</v>
      </c>
      <c r="E564" s="0" t="s">
        <v>763</v>
      </c>
    </row>
    <row r="565" customFormat="false" ht="15" hidden="false" customHeight="false" outlineLevel="0" collapsed="false">
      <c r="A565" s="0" t="s">
        <v>740</v>
      </c>
      <c r="B565" s="0" t="s">
        <v>678</v>
      </c>
      <c r="C565" s="0" t="s">
        <v>762</v>
      </c>
      <c r="D565" s="0" t="s">
        <v>98</v>
      </c>
      <c r="E565" s="0" t="s">
        <v>763</v>
      </c>
    </row>
    <row r="566" customFormat="false" ht="15" hidden="false" customHeight="false" outlineLevel="0" collapsed="false">
      <c r="A566" s="0" t="s">
        <v>740</v>
      </c>
      <c r="B566" s="0" t="s">
        <v>679</v>
      </c>
      <c r="C566" s="0" t="s">
        <v>762</v>
      </c>
      <c r="D566" s="0" t="s">
        <v>98</v>
      </c>
      <c r="E566" s="0" t="s">
        <v>763</v>
      </c>
    </row>
    <row r="567" customFormat="false" ht="15" hidden="false" customHeight="false" outlineLevel="0" collapsed="false">
      <c r="A567" s="0" t="s">
        <v>740</v>
      </c>
      <c r="B567" s="0" t="s">
        <v>680</v>
      </c>
      <c r="C567" s="0" t="s">
        <v>762</v>
      </c>
      <c r="D567" s="0" t="s">
        <v>98</v>
      </c>
      <c r="E567" s="0" t="s">
        <v>763</v>
      </c>
    </row>
    <row r="568" customFormat="false" ht="15" hidden="false" customHeight="false" outlineLevel="0" collapsed="false">
      <c r="A568" s="0" t="s">
        <v>740</v>
      </c>
      <c r="B568" s="0" t="s">
        <v>681</v>
      </c>
      <c r="C568" s="0" t="s">
        <v>762</v>
      </c>
      <c r="D568" s="0" t="s">
        <v>98</v>
      </c>
      <c r="E568" s="0" t="s">
        <v>763</v>
      </c>
    </row>
    <row r="569" customFormat="false" ht="15" hidden="false" customHeight="false" outlineLevel="0" collapsed="false">
      <c r="A569" s="0" t="s">
        <v>740</v>
      </c>
      <c r="B569" s="0" t="s">
        <v>682</v>
      </c>
      <c r="C569" s="0" t="s">
        <v>762</v>
      </c>
      <c r="D569" s="0" t="s">
        <v>98</v>
      </c>
      <c r="E569" s="0" t="s">
        <v>763</v>
      </c>
    </row>
    <row r="570" customFormat="false" ht="15" hidden="false" customHeight="false" outlineLevel="0" collapsed="false">
      <c r="A570" s="0" t="s">
        <v>740</v>
      </c>
      <c r="B570" s="0" t="s">
        <v>683</v>
      </c>
      <c r="C570" s="0" t="s">
        <v>762</v>
      </c>
      <c r="D570" s="0" t="s">
        <v>98</v>
      </c>
      <c r="E570" s="0" t="s">
        <v>763</v>
      </c>
    </row>
    <row r="571" customFormat="false" ht="15" hidden="false" customHeight="false" outlineLevel="0" collapsed="false">
      <c r="A571" s="0" t="s">
        <v>740</v>
      </c>
      <c r="B571" s="0" t="s">
        <v>1151</v>
      </c>
      <c r="C571" s="0" t="s">
        <v>762</v>
      </c>
      <c r="D571" s="0" t="s">
        <v>98</v>
      </c>
      <c r="E571" s="0" t="s">
        <v>763</v>
      </c>
    </row>
    <row r="572" customFormat="false" ht="15" hidden="false" customHeight="false" outlineLevel="0" collapsed="false">
      <c r="A572" s="0" t="s">
        <v>740</v>
      </c>
      <c r="B572" s="0" t="s">
        <v>1152</v>
      </c>
      <c r="C572" s="0" t="s">
        <v>762</v>
      </c>
      <c r="D572" s="0" t="s">
        <v>98</v>
      </c>
      <c r="E572" s="0" t="s">
        <v>763</v>
      </c>
    </row>
    <row r="573" customFormat="false" ht="15" hidden="false" customHeight="false" outlineLevel="0" collapsed="false">
      <c r="A573" s="0" t="s">
        <v>740</v>
      </c>
      <c r="B573" s="0" t="s">
        <v>1153</v>
      </c>
      <c r="C573" s="0" t="s">
        <v>762</v>
      </c>
      <c r="D573" s="0" t="s">
        <v>98</v>
      </c>
      <c r="E573" s="0" t="s">
        <v>763</v>
      </c>
    </row>
    <row r="574" customFormat="false" ht="15" hidden="false" customHeight="false" outlineLevel="0" collapsed="false">
      <c r="A574" s="0" t="s">
        <v>740</v>
      </c>
      <c r="B574" s="0" t="s">
        <v>1154</v>
      </c>
      <c r="C574" s="0" t="s">
        <v>762</v>
      </c>
      <c r="D574" s="0" t="s">
        <v>98</v>
      </c>
      <c r="E574" s="0" t="s">
        <v>763</v>
      </c>
    </row>
    <row r="575" customFormat="false" ht="15" hidden="false" customHeight="false" outlineLevel="0" collapsed="false">
      <c r="A575" s="0" t="s">
        <v>740</v>
      </c>
      <c r="B575" s="0" t="s">
        <v>1155</v>
      </c>
      <c r="C575" s="0" t="s">
        <v>762</v>
      </c>
      <c r="D575" s="0" t="s">
        <v>93</v>
      </c>
      <c r="E575" s="0" t="s">
        <v>1156</v>
      </c>
    </row>
    <row r="576" customFormat="false" ht="15" hidden="false" customHeight="false" outlineLevel="0" collapsed="false">
      <c r="A576" s="0" t="s">
        <v>740</v>
      </c>
      <c r="B576" s="0" t="s">
        <v>1157</v>
      </c>
      <c r="C576" s="0" t="s">
        <v>762</v>
      </c>
      <c r="D576" s="0" t="s">
        <v>93</v>
      </c>
    </row>
    <row r="577" customFormat="false" ht="15" hidden="false" customHeight="false" outlineLevel="0" collapsed="false">
      <c r="A577" s="0" t="s">
        <v>740</v>
      </c>
      <c r="B577" s="0" t="s">
        <v>1158</v>
      </c>
      <c r="C577" s="0" t="s">
        <v>1159</v>
      </c>
      <c r="D577" s="0" t="s">
        <v>93</v>
      </c>
    </row>
    <row r="578" customFormat="false" ht="15" hidden="false" customHeight="false" outlineLevel="0" collapsed="false">
      <c r="A578" s="0" t="s">
        <v>740</v>
      </c>
      <c r="B578" s="0" t="s">
        <v>1160</v>
      </c>
      <c r="C578" s="0" t="s">
        <v>733</v>
      </c>
      <c r="D578" s="0" t="s">
        <v>93</v>
      </c>
      <c r="E578" s="0" t="s">
        <v>1161</v>
      </c>
    </row>
    <row r="579" customFormat="false" ht="15" hidden="false" customHeight="false" outlineLevel="0" collapsed="false">
      <c r="A579" s="0" t="s">
        <v>740</v>
      </c>
      <c r="B579" s="0" t="s">
        <v>1162</v>
      </c>
      <c r="C579" s="0" t="s">
        <v>733</v>
      </c>
      <c r="D579" s="0" t="s">
        <v>93</v>
      </c>
      <c r="E579" s="0" t="s">
        <v>788</v>
      </c>
    </row>
    <row r="580" customFormat="false" ht="15" hidden="false" customHeight="false" outlineLevel="0" collapsed="false">
      <c r="A580" s="0" t="s">
        <v>740</v>
      </c>
      <c r="B580" s="0" t="s">
        <v>1163</v>
      </c>
      <c r="C580" s="0" t="s">
        <v>873</v>
      </c>
      <c r="D580" s="0" t="s">
        <v>93</v>
      </c>
    </row>
    <row r="581" customFormat="false" ht="15" hidden="false" customHeight="false" outlineLevel="0" collapsed="false">
      <c r="A581" s="0" t="s">
        <v>740</v>
      </c>
      <c r="B581" s="0" t="s">
        <v>1164</v>
      </c>
      <c r="C581" s="0" t="s">
        <v>873</v>
      </c>
      <c r="D581" s="0" t="s">
        <v>93</v>
      </c>
      <c r="E581" s="0" t="s">
        <v>909</v>
      </c>
    </row>
    <row r="582" customFormat="false" ht="15" hidden="false" customHeight="false" outlineLevel="0" collapsed="false">
      <c r="A582" s="0" t="s">
        <v>740</v>
      </c>
      <c r="B582" s="0" t="s">
        <v>1165</v>
      </c>
      <c r="C582" s="0" t="s">
        <v>911</v>
      </c>
      <c r="D582" s="0" t="s">
        <v>93</v>
      </c>
      <c r="E582" s="0" t="s">
        <v>1166</v>
      </c>
    </row>
    <row r="583" customFormat="false" ht="15" hidden="false" customHeight="false" outlineLevel="0" collapsed="false">
      <c r="A583" s="0" t="s">
        <v>740</v>
      </c>
      <c r="B583" s="0" t="s">
        <v>1167</v>
      </c>
      <c r="C583" s="0" t="s">
        <v>911</v>
      </c>
      <c r="D583" s="0" t="s">
        <v>93</v>
      </c>
      <c r="E583" s="0" t="s">
        <v>914</v>
      </c>
    </row>
    <row r="584" customFormat="false" ht="15" hidden="false" customHeight="false" outlineLevel="0" collapsed="false">
      <c r="A584" s="0" t="s">
        <v>740</v>
      </c>
      <c r="B584" s="0" t="s">
        <v>1168</v>
      </c>
      <c r="C584" s="0" t="s">
        <v>911</v>
      </c>
      <c r="D584" s="0" t="s">
        <v>93</v>
      </c>
      <c r="E584" s="0" t="s">
        <v>914</v>
      </c>
    </row>
    <row r="585" customFormat="false" ht="15" hidden="false" customHeight="false" outlineLevel="0" collapsed="false">
      <c r="A585" s="0" t="s">
        <v>740</v>
      </c>
      <c r="B585" s="0" t="s">
        <v>1169</v>
      </c>
      <c r="C585" s="0" t="s">
        <v>911</v>
      </c>
      <c r="D585" s="0" t="s">
        <v>93</v>
      </c>
      <c r="E585" s="0" t="s">
        <v>914</v>
      </c>
    </row>
    <row r="586" customFormat="false" ht="15" hidden="false" customHeight="false" outlineLevel="0" collapsed="false">
      <c r="A586" s="0" t="s">
        <v>740</v>
      </c>
      <c r="B586" s="0" t="s">
        <v>1170</v>
      </c>
      <c r="C586" s="0" t="s">
        <v>509</v>
      </c>
      <c r="D586" s="0" t="s">
        <v>93</v>
      </c>
    </row>
    <row r="587" customFormat="false" ht="15" hidden="false" customHeight="false" outlineLevel="0" collapsed="false">
      <c r="A587" s="0" t="s">
        <v>740</v>
      </c>
      <c r="B587" s="0" t="s">
        <v>1171</v>
      </c>
      <c r="C587" s="0" t="s">
        <v>509</v>
      </c>
      <c r="D587" s="0" t="s">
        <v>93</v>
      </c>
      <c r="E587" s="0" t="s">
        <v>922</v>
      </c>
    </row>
    <row r="588" customFormat="false" ht="15" hidden="false" customHeight="false" outlineLevel="0" collapsed="false">
      <c r="A588" s="0" t="s">
        <v>740</v>
      </c>
      <c r="B588" s="0" t="s">
        <v>1172</v>
      </c>
      <c r="C588" s="0" t="s">
        <v>509</v>
      </c>
      <c r="D588" s="0" t="s">
        <v>93</v>
      </c>
      <c r="E588" s="0" t="s">
        <v>922</v>
      </c>
    </row>
    <row r="589" customFormat="false" ht="15" hidden="false" customHeight="false" outlineLevel="0" collapsed="false">
      <c r="A589" s="0" t="s">
        <v>740</v>
      </c>
      <c r="B589" s="0" t="s">
        <v>1173</v>
      </c>
      <c r="C589" s="0" t="s">
        <v>509</v>
      </c>
      <c r="D589" s="0" t="s">
        <v>93</v>
      </c>
      <c r="E589" s="0" t="s">
        <v>922</v>
      </c>
    </row>
    <row r="590" customFormat="false" ht="15" hidden="false" customHeight="false" outlineLevel="0" collapsed="false">
      <c r="A590" s="0" t="s">
        <v>740</v>
      </c>
      <c r="B590" s="0" t="s">
        <v>1174</v>
      </c>
      <c r="C590" s="0" t="s">
        <v>509</v>
      </c>
      <c r="D590" s="0" t="s">
        <v>93</v>
      </c>
      <c r="E590" s="0" t="s">
        <v>922</v>
      </c>
    </row>
    <row r="591" customFormat="false" ht="15" hidden="false" customHeight="false" outlineLevel="0" collapsed="false">
      <c r="A591" s="0" t="s">
        <v>740</v>
      </c>
      <c r="B591" s="0" t="s">
        <v>1175</v>
      </c>
      <c r="C591" s="0" t="s">
        <v>762</v>
      </c>
      <c r="D591" s="0" t="s">
        <v>98</v>
      </c>
      <c r="E591" s="0" t="s">
        <v>763</v>
      </c>
    </row>
    <row r="592" customFormat="false" ht="15" hidden="false" customHeight="false" outlineLevel="0" collapsed="false">
      <c r="A592" s="0" t="s">
        <v>740</v>
      </c>
      <c r="B592" s="0" t="s">
        <v>686</v>
      </c>
      <c r="C592" s="0" t="s">
        <v>762</v>
      </c>
      <c r="D592" s="0" t="s">
        <v>98</v>
      </c>
      <c r="E592" s="0" t="s">
        <v>763</v>
      </c>
    </row>
    <row r="593" customFormat="false" ht="15" hidden="false" customHeight="false" outlineLevel="0" collapsed="false">
      <c r="A593" s="0" t="s">
        <v>740</v>
      </c>
      <c r="B593" s="0" t="s">
        <v>688</v>
      </c>
      <c r="C593" s="0" t="s">
        <v>762</v>
      </c>
      <c r="D593" s="0" t="s">
        <v>98</v>
      </c>
      <c r="E593" s="0" t="s">
        <v>763</v>
      </c>
    </row>
    <row r="594" customFormat="false" ht="15" hidden="false" customHeight="false" outlineLevel="0" collapsed="false">
      <c r="A594" s="0" t="s">
        <v>740</v>
      </c>
      <c r="B594" s="0" t="s">
        <v>689</v>
      </c>
      <c r="C594" s="0" t="s">
        <v>762</v>
      </c>
      <c r="D594" s="0" t="s">
        <v>98</v>
      </c>
      <c r="E594" s="0" t="s">
        <v>763</v>
      </c>
    </row>
    <row r="595" customFormat="false" ht="15" hidden="false" customHeight="false" outlineLevel="0" collapsed="false">
      <c r="A595" s="0" t="s">
        <v>740</v>
      </c>
      <c r="B595" s="0" t="s">
        <v>690</v>
      </c>
      <c r="C595" s="0" t="s">
        <v>762</v>
      </c>
      <c r="D595" s="0" t="s">
        <v>98</v>
      </c>
      <c r="E595" s="0" t="s">
        <v>763</v>
      </c>
    </row>
    <row r="596" customFormat="false" ht="15" hidden="false" customHeight="false" outlineLevel="0" collapsed="false">
      <c r="A596" s="0" t="s">
        <v>740</v>
      </c>
      <c r="B596" s="0" t="s">
        <v>691</v>
      </c>
      <c r="C596" s="0" t="s">
        <v>762</v>
      </c>
      <c r="D596" s="0" t="s">
        <v>98</v>
      </c>
      <c r="E596" s="0" t="s">
        <v>763</v>
      </c>
    </row>
    <row r="597" customFormat="false" ht="15" hidden="false" customHeight="false" outlineLevel="0" collapsed="false">
      <c r="A597" s="0" t="s">
        <v>740</v>
      </c>
      <c r="B597" s="0" t="s">
        <v>692</v>
      </c>
      <c r="C597" s="0" t="s">
        <v>762</v>
      </c>
      <c r="D597" s="0" t="s">
        <v>98</v>
      </c>
      <c r="E597" s="0" t="s">
        <v>763</v>
      </c>
    </row>
    <row r="598" customFormat="false" ht="15" hidden="false" customHeight="false" outlineLevel="0" collapsed="false">
      <c r="A598" s="0" t="s">
        <v>740</v>
      </c>
      <c r="B598" s="0" t="s">
        <v>693</v>
      </c>
      <c r="C598" s="0" t="s">
        <v>762</v>
      </c>
      <c r="D598" s="0" t="s">
        <v>98</v>
      </c>
      <c r="E598" s="0" t="s">
        <v>763</v>
      </c>
    </row>
    <row r="599" customFormat="false" ht="15" hidden="false" customHeight="false" outlineLevel="0" collapsed="false">
      <c r="A599" s="0" t="s">
        <v>740</v>
      </c>
      <c r="B599" s="0" t="s">
        <v>1176</v>
      </c>
      <c r="C599" s="0" t="s">
        <v>762</v>
      </c>
      <c r="D599" s="0" t="s">
        <v>98</v>
      </c>
      <c r="E599" s="0" t="s">
        <v>763</v>
      </c>
    </row>
    <row r="600" customFormat="false" ht="15" hidden="false" customHeight="false" outlineLevel="0" collapsed="false">
      <c r="A600" s="0" t="s">
        <v>740</v>
      </c>
      <c r="B600" s="0" t="s">
        <v>1177</v>
      </c>
      <c r="C600" s="0" t="s">
        <v>762</v>
      </c>
      <c r="D600" s="0" t="s">
        <v>98</v>
      </c>
      <c r="E600" s="0" t="s">
        <v>763</v>
      </c>
    </row>
    <row r="601" customFormat="false" ht="15" hidden="false" customHeight="false" outlineLevel="0" collapsed="false">
      <c r="A601" s="0" t="s">
        <v>740</v>
      </c>
      <c r="B601" s="0" t="s">
        <v>1178</v>
      </c>
      <c r="C601" s="0" t="s">
        <v>762</v>
      </c>
      <c r="D601" s="0" t="s">
        <v>98</v>
      </c>
      <c r="E601" s="0" t="s">
        <v>763</v>
      </c>
    </row>
    <row r="602" customFormat="false" ht="15" hidden="false" customHeight="false" outlineLevel="0" collapsed="false">
      <c r="A602" s="0" t="s">
        <v>740</v>
      </c>
      <c r="B602" s="0" t="s">
        <v>1179</v>
      </c>
      <c r="C602" s="0" t="s">
        <v>762</v>
      </c>
      <c r="D602" s="0" t="s">
        <v>98</v>
      </c>
      <c r="E602" s="0" t="s">
        <v>763</v>
      </c>
    </row>
    <row r="603" customFormat="false" ht="15" hidden="false" customHeight="false" outlineLevel="0" collapsed="false">
      <c r="A603" s="0" t="s">
        <v>740</v>
      </c>
      <c r="B603" s="0" t="s">
        <v>1180</v>
      </c>
      <c r="C603" s="0" t="s">
        <v>1159</v>
      </c>
      <c r="D603" s="0" t="s">
        <v>93</v>
      </c>
      <c r="E603" s="0" t="s">
        <v>1156</v>
      </c>
    </row>
    <row r="604" customFormat="false" ht="15" hidden="false" customHeight="false" outlineLevel="0" collapsed="false">
      <c r="A604" s="0" t="s">
        <v>740</v>
      </c>
      <c r="B604" s="0" t="s">
        <v>1181</v>
      </c>
      <c r="C604" s="0" t="s">
        <v>733</v>
      </c>
      <c r="D604" s="0" t="s">
        <v>93</v>
      </c>
    </row>
    <row r="605" customFormat="false" ht="15" hidden="false" customHeight="false" outlineLevel="0" collapsed="false">
      <c r="A605" s="0" t="s">
        <v>740</v>
      </c>
      <c r="B605" s="0" t="s">
        <v>1182</v>
      </c>
      <c r="C605" s="0" t="s">
        <v>570</v>
      </c>
      <c r="D605" s="0" t="s">
        <v>93</v>
      </c>
    </row>
    <row r="606" customFormat="false" ht="15" hidden="false" customHeight="false" outlineLevel="0" collapsed="false">
      <c r="A606" s="0" t="s">
        <v>740</v>
      </c>
      <c r="B606" s="0" t="s">
        <v>1183</v>
      </c>
      <c r="C606" s="0" t="s">
        <v>873</v>
      </c>
      <c r="D606" s="0" t="s">
        <v>93</v>
      </c>
      <c r="E606" s="0" t="s">
        <v>1161</v>
      </c>
    </row>
    <row r="607" customFormat="false" ht="15" hidden="false" customHeight="false" outlineLevel="0" collapsed="false">
      <c r="A607" s="0" t="s">
        <v>740</v>
      </c>
      <c r="B607" s="0" t="s">
        <v>1184</v>
      </c>
      <c r="C607" s="0" t="s">
        <v>873</v>
      </c>
      <c r="D607" s="0" t="s">
        <v>93</v>
      </c>
      <c r="E607" s="0" t="s">
        <v>788</v>
      </c>
    </row>
    <row r="608" customFormat="false" ht="15" hidden="false" customHeight="false" outlineLevel="0" collapsed="false">
      <c r="A608" s="0" t="s">
        <v>740</v>
      </c>
      <c r="B608" s="0" t="s">
        <v>1185</v>
      </c>
      <c r="C608" s="0" t="s">
        <v>911</v>
      </c>
      <c r="D608" s="0" t="s">
        <v>93</v>
      </c>
    </row>
    <row r="609" customFormat="false" ht="15" hidden="false" customHeight="false" outlineLevel="0" collapsed="false">
      <c r="A609" s="0" t="s">
        <v>740</v>
      </c>
      <c r="B609" s="0" t="s">
        <v>1186</v>
      </c>
      <c r="C609" s="0" t="s">
        <v>911</v>
      </c>
      <c r="D609" s="0" t="s">
        <v>93</v>
      </c>
      <c r="E609" s="0" t="s">
        <v>909</v>
      </c>
    </row>
    <row r="610" customFormat="false" ht="15" hidden="false" customHeight="false" outlineLevel="0" collapsed="false">
      <c r="A610" s="0" t="s">
        <v>740</v>
      </c>
      <c r="B610" s="0" t="s">
        <v>1187</v>
      </c>
      <c r="C610" s="0" t="s">
        <v>509</v>
      </c>
      <c r="D610" s="0" t="s">
        <v>93</v>
      </c>
      <c r="E610" s="0" t="s">
        <v>1166</v>
      </c>
    </row>
    <row r="611" customFormat="false" ht="15" hidden="false" customHeight="false" outlineLevel="0" collapsed="false">
      <c r="A611" s="0" t="s">
        <v>740</v>
      </c>
      <c r="B611" s="0" t="s">
        <v>1188</v>
      </c>
      <c r="C611" s="0" t="s">
        <v>509</v>
      </c>
      <c r="D611" s="0" t="s">
        <v>93</v>
      </c>
      <c r="E611" s="0" t="s">
        <v>914</v>
      </c>
    </row>
    <row r="612" customFormat="false" ht="15" hidden="false" customHeight="false" outlineLevel="0" collapsed="false">
      <c r="A612" s="0" t="s">
        <v>740</v>
      </c>
      <c r="B612" s="0" t="s">
        <v>1189</v>
      </c>
      <c r="C612" s="0" t="s">
        <v>509</v>
      </c>
      <c r="D612" s="0" t="s">
        <v>93</v>
      </c>
      <c r="E612" s="0" t="s">
        <v>914</v>
      </c>
    </row>
    <row r="613" customFormat="false" ht="15" hidden="false" customHeight="false" outlineLevel="0" collapsed="false">
      <c r="A613" s="0" t="s">
        <v>740</v>
      </c>
      <c r="B613" s="0" t="s">
        <v>1190</v>
      </c>
      <c r="C613" s="0" t="s">
        <v>509</v>
      </c>
      <c r="D613" s="0" t="s">
        <v>93</v>
      </c>
      <c r="E613" s="0" t="s">
        <v>914</v>
      </c>
    </row>
    <row r="614" customFormat="false" ht="15" hidden="false" customHeight="false" outlineLevel="0" collapsed="false">
      <c r="A614" s="0" t="s">
        <v>740</v>
      </c>
      <c r="B614" s="0" t="s">
        <v>1191</v>
      </c>
      <c r="C614" s="0" t="s">
        <v>509</v>
      </c>
      <c r="D614" s="0" t="s">
        <v>93</v>
      </c>
    </row>
    <row r="615" customFormat="false" ht="15" hidden="false" customHeight="false" outlineLevel="0" collapsed="false">
      <c r="A615" s="0" t="s">
        <v>740</v>
      </c>
      <c r="B615" s="0" t="s">
        <v>1192</v>
      </c>
      <c r="C615" s="0" t="s">
        <v>509</v>
      </c>
      <c r="D615" s="0" t="s">
        <v>93</v>
      </c>
      <c r="E615" s="0" t="s">
        <v>922</v>
      </c>
    </row>
    <row r="616" customFormat="false" ht="15" hidden="false" customHeight="false" outlineLevel="0" collapsed="false">
      <c r="A616" s="0" t="s">
        <v>740</v>
      </c>
      <c r="B616" s="0" t="s">
        <v>1193</v>
      </c>
      <c r="C616" s="0" t="s">
        <v>509</v>
      </c>
      <c r="D616" s="0" t="s">
        <v>93</v>
      </c>
      <c r="E616" s="0" t="s">
        <v>922</v>
      </c>
    </row>
    <row r="617" customFormat="false" ht="15" hidden="false" customHeight="false" outlineLevel="0" collapsed="false">
      <c r="A617" s="0" t="s">
        <v>740</v>
      </c>
      <c r="B617" s="0" t="s">
        <v>1194</v>
      </c>
      <c r="C617" s="0" t="s">
        <v>509</v>
      </c>
      <c r="D617" s="0" t="s">
        <v>93</v>
      </c>
      <c r="E617" s="0" t="s">
        <v>922</v>
      </c>
    </row>
    <row r="618" customFormat="false" ht="15" hidden="false" customHeight="false" outlineLevel="0" collapsed="false">
      <c r="A618" s="0" t="s">
        <v>740</v>
      </c>
      <c r="B618" s="0" t="s">
        <v>1195</v>
      </c>
      <c r="C618" s="0" t="s">
        <v>509</v>
      </c>
      <c r="D618" s="0" t="s">
        <v>93</v>
      </c>
      <c r="E618" s="0" t="s">
        <v>922</v>
      </c>
    </row>
    <row r="619" customFormat="false" ht="15" hidden="false" customHeight="false" outlineLevel="0" collapsed="false">
      <c r="A619" s="0" t="s">
        <v>740</v>
      </c>
      <c r="B619" s="0" t="s">
        <v>1196</v>
      </c>
      <c r="C619" s="0" t="s">
        <v>1197</v>
      </c>
      <c r="D619" s="0" t="s">
        <v>98</v>
      </c>
      <c r="E619" s="0" t="s">
        <v>826</v>
      </c>
    </row>
    <row r="620" customFormat="false" ht="15" hidden="false" customHeight="false" outlineLevel="0" collapsed="false">
      <c r="A620" s="0" t="s">
        <v>740</v>
      </c>
      <c r="B620" s="0" t="s">
        <v>696</v>
      </c>
      <c r="C620" s="0" t="s">
        <v>1198</v>
      </c>
      <c r="D620" s="0" t="s">
        <v>98</v>
      </c>
      <c r="E620" s="0" t="s">
        <v>826</v>
      </c>
    </row>
    <row r="621" customFormat="false" ht="15" hidden="false" customHeight="false" outlineLevel="0" collapsed="false">
      <c r="A621" s="0" t="s">
        <v>740</v>
      </c>
      <c r="B621" s="0" t="s">
        <v>697</v>
      </c>
      <c r="C621" s="0" t="s">
        <v>1199</v>
      </c>
      <c r="D621" s="0" t="s">
        <v>98</v>
      </c>
      <c r="E621" s="0" t="s">
        <v>826</v>
      </c>
    </row>
    <row r="622" customFormat="false" ht="15" hidden="false" customHeight="false" outlineLevel="0" collapsed="false">
      <c r="A622" s="0" t="s">
        <v>740</v>
      </c>
      <c r="B622" s="0" t="s">
        <v>698</v>
      </c>
      <c r="C622" s="0" t="s">
        <v>1200</v>
      </c>
      <c r="D622" s="0" t="s">
        <v>98</v>
      </c>
      <c r="E622" s="0" t="s">
        <v>826</v>
      </c>
    </row>
    <row r="623" customFormat="false" ht="15" hidden="false" customHeight="false" outlineLevel="0" collapsed="false">
      <c r="A623" s="0" t="s">
        <v>740</v>
      </c>
      <c r="B623" s="0" t="s">
        <v>699</v>
      </c>
      <c r="C623" s="0" t="s">
        <v>1201</v>
      </c>
      <c r="D623" s="0" t="s">
        <v>98</v>
      </c>
      <c r="E623" s="0" t="s">
        <v>826</v>
      </c>
    </row>
    <row r="624" customFormat="false" ht="15" hidden="false" customHeight="false" outlineLevel="0" collapsed="false">
      <c r="A624" s="0" t="s">
        <v>740</v>
      </c>
      <c r="B624" s="0" t="s">
        <v>700</v>
      </c>
      <c r="C624" s="0" t="s">
        <v>1202</v>
      </c>
      <c r="D624" s="0" t="s">
        <v>98</v>
      </c>
      <c r="E624" s="0" t="s">
        <v>826</v>
      </c>
    </row>
    <row r="625" customFormat="false" ht="15" hidden="false" customHeight="false" outlineLevel="0" collapsed="false">
      <c r="A625" s="0" t="s">
        <v>740</v>
      </c>
      <c r="B625" s="0" t="s">
        <v>701</v>
      </c>
      <c r="C625" s="0" t="s">
        <v>1203</v>
      </c>
      <c r="D625" s="0" t="s">
        <v>98</v>
      </c>
      <c r="E625" s="0" t="s">
        <v>826</v>
      </c>
    </row>
    <row r="626" customFormat="false" ht="15" hidden="false" customHeight="false" outlineLevel="0" collapsed="false">
      <c r="A626" s="0" t="s">
        <v>740</v>
      </c>
      <c r="B626" s="0" t="s">
        <v>702</v>
      </c>
      <c r="C626" s="0" t="s">
        <v>1204</v>
      </c>
      <c r="D626" s="0" t="s">
        <v>98</v>
      </c>
      <c r="E626" s="0" t="s">
        <v>826</v>
      </c>
    </row>
    <row r="627" customFormat="false" ht="15" hidden="false" customHeight="false" outlineLevel="0" collapsed="false">
      <c r="A627" s="0" t="s">
        <v>740</v>
      </c>
      <c r="B627" s="0" t="s">
        <v>1205</v>
      </c>
      <c r="C627" s="0" t="s">
        <v>1206</v>
      </c>
      <c r="D627" s="0" t="s">
        <v>98</v>
      </c>
      <c r="E627" s="0" t="s">
        <v>826</v>
      </c>
    </row>
    <row r="628" customFormat="false" ht="15" hidden="false" customHeight="false" outlineLevel="0" collapsed="false">
      <c r="A628" s="0" t="s">
        <v>740</v>
      </c>
      <c r="B628" s="0" t="s">
        <v>1207</v>
      </c>
      <c r="C628" s="0" t="s">
        <v>1208</v>
      </c>
      <c r="D628" s="0" t="s">
        <v>98</v>
      </c>
      <c r="E628" s="0" t="s">
        <v>826</v>
      </c>
    </row>
    <row r="629" customFormat="false" ht="15" hidden="false" customHeight="false" outlineLevel="0" collapsed="false">
      <c r="A629" s="0" t="s">
        <v>740</v>
      </c>
      <c r="B629" s="0" t="s">
        <v>1209</v>
      </c>
      <c r="C629" s="0" t="s">
        <v>1210</v>
      </c>
      <c r="D629" s="0" t="s">
        <v>98</v>
      </c>
      <c r="E629" s="0" t="s">
        <v>826</v>
      </c>
    </row>
    <row r="630" customFormat="false" ht="15" hidden="false" customHeight="false" outlineLevel="0" collapsed="false">
      <c r="A630" s="0" t="s">
        <v>740</v>
      </c>
      <c r="B630" s="0" t="s">
        <v>1211</v>
      </c>
      <c r="C630" s="0" t="s">
        <v>1212</v>
      </c>
      <c r="D630" s="0" t="s">
        <v>98</v>
      </c>
      <c r="E630" s="0" t="s">
        <v>826</v>
      </c>
    </row>
    <row r="631" customFormat="false" ht="15" hidden="false" customHeight="false" outlineLevel="0" collapsed="false">
      <c r="A631" s="0" t="s">
        <v>740</v>
      </c>
      <c r="B631" s="0" t="s">
        <v>1213</v>
      </c>
      <c r="C631" s="0" t="s">
        <v>1214</v>
      </c>
      <c r="D631" s="0" t="s">
        <v>98</v>
      </c>
      <c r="E631" s="0" t="s">
        <v>826</v>
      </c>
    </row>
    <row r="632" customFormat="false" ht="15" hidden="false" customHeight="false" outlineLevel="0" collapsed="false">
      <c r="A632" s="0" t="s">
        <v>740</v>
      </c>
      <c r="B632" s="0" t="s">
        <v>1215</v>
      </c>
      <c r="C632" s="0" t="s">
        <v>1216</v>
      </c>
      <c r="D632" s="0" t="s">
        <v>98</v>
      </c>
      <c r="E632" s="0" t="s">
        <v>826</v>
      </c>
    </row>
    <row r="633" customFormat="false" ht="15" hidden="false" customHeight="false" outlineLevel="0" collapsed="false">
      <c r="A633" s="0" t="s">
        <v>740</v>
      </c>
      <c r="B633" s="0" t="s">
        <v>1217</v>
      </c>
      <c r="C633" s="0" t="s">
        <v>1218</v>
      </c>
      <c r="D633" s="0" t="s">
        <v>98</v>
      </c>
      <c r="E633" s="0" t="s">
        <v>826</v>
      </c>
    </row>
    <row r="634" customFormat="false" ht="15" hidden="false" customHeight="false" outlineLevel="0" collapsed="false">
      <c r="A634" s="0" t="s">
        <v>740</v>
      </c>
      <c r="B634" s="0" t="s">
        <v>1219</v>
      </c>
      <c r="C634" s="0" t="s">
        <v>1220</v>
      </c>
      <c r="D634" s="0" t="s">
        <v>98</v>
      </c>
      <c r="E634" s="0" t="s">
        <v>826</v>
      </c>
    </row>
    <row r="635" customFormat="false" ht="15" hidden="false" customHeight="false" outlineLevel="0" collapsed="false">
      <c r="A635" s="0" t="s">
        <v>740</v>
      </c>
      <c r="B635" s="0" t="s">
        <v>1221</v>
      </c>
      <c r="C635" s="0" t="s">
        <v>1222</v>
      </c>
      <c r="D635" s="0" t="s">
        <v>98</v>
      </c>
      <c r="E635" s="0" t="s">
        <v>826</v>
      </c>
    </row>
    <row r="636" customFormat="false" ht="15" hidden="false" customHeight="false" outlineLevel="0" collapsed="false">
      <c r="A636" s="0" t="s">
        <v>740</v>
      </c>
      <c r="B636" s="0" t="s">
        <v>1223</v>
      </c>
      <c r="C636" s="0" t="s">
        <v>1224</v>
      </c>
      <c r="D636" s="0" t="s">
        <v>98</v>
      </c>
      <c r="E636" s="0" t="s">
        <v>826</v>
      </c>
    </row>
    <row r="637" customFormat="false" ht="15" hidden="false" customHeight="false" outlineLevel="0" collapsed="false">
      <c r="A637" s="0" t="s">
        <v>740</v>
      </c>
      <c r="B637" s="0" t="s">
        <v>1225</v>
      </c>
      <c r="C637" s="0" t="s">
        <v>1226</v>
      </c>
      <c r="D637" s="0" t="s">
        <v>98</v>
      </c>
      <c r="E637" s="0" t="s">
        <v>826</v>
      </c>
    </row>
    <row r="638" customFormat="false" ht="15" hidden="false" customHeight="false" outlineLevel="0" collapsed="false">
      <c r="A638" s="0" t="s">
        <v>740</v>
      </c>
      <c r="B638" s="0" t="s">
        <v>1227</v>
      </c>
      <c r="C638" s="0" t="s">
        <v>1228</v>
      </c>
      <c r="D638" s="0" t="s">
        <v>98</v>
      </c>
      <c r="E638" s="0" t="s">
        <v>826</v>
      </c>
    </row>
    <row r="639" customFormat="false" ht="15" hidden="false" customHeight="false" outlineLevel="0" collapsed="false">
      <c r="A639" s="0" t="s">
        <v>740</v>
      </c>
      <c r="B639" s="0" t="s">
        <v>1229</v>
      </c>
      <c r="C639" s="0" t="s">
        <v>1230</v>
      </c>
      <c r="D639" s="0" t="s">
        <v>98</v>
      </c>
      <c r="E639" s="0" t="s">
        <v>826</v>
      </c>
    </row>
    <row r="640" customFormat="false" ht="15" hidden="false" customHeight="false" outlineLevel="0" collapsed="false">
      <c r="A640" s="0" t="s">
        <v>740</v>
      </c>
      <c r="B640" s="0" t="s">
        <v>1231</v>
      </c>
      <c r="C640" s="0" t="s">
        <v>1232</v>
      </c>
      <c r="D640" s="0" t="s">
        <v>98</v>
      </c>
      <c r="E640" s="0" t="s">
        <v>826</v>
      </c>
    </row>
    <row r="641" customFormat="false" ht="15" hidden="false" customHeight="false" outlineLevel="0" collapsed="false">
      <c r="A641" s="0" t="s">
        <v>740</v>
      </c>
      <c r="B641" s="0" t="s">
        <v>1233</v>
      </c>
      <c r="C641" s="0" t="s">
        <v>1234</v>
      </c>
      <c r="D641" s="0" t="s">
        <v>98</v>
      </c>
      <c r="E641" s="0" t="s">
        <v>826</v>
      </c>
    </row>
    <row r="642" customFormat="false" ht="15" hidden="false" customHeight="false" outlineLevel="0" collapsed="false">
      <c r="A642" s="0" t="s">
        <v>740</v>
      </c>
      <c r="B642" s="0" t="s">
        <v>1235</v>
      </c>
      <c r="C642" s="0" t="s">
        <v>1236</v>
      </c>
      <c r="D642" s="0" t="s">
        <v>98</v>
      </c>
      <c r="E642" s="0" t="s">
        <v>826</v>
      </c>
    </row>
    <row r="643" customFormat="false" ht="15" hidden="false" customHeight="false" outlineLevel="0" collapsed="false">
      <c r="A643" s="0" t="s">
        <v>740</v>
      </c>
      <c r="B643" s="0" t="s">
        <v>1237</v>
      </c>
      <c r="C643" s="0" t="s">
        <v>1238</v>
      </c>
      <c r="D643" s="0" t="s">
        <v>98</v>
      </c>
      <c r="E643" s="0" t="s">
        <v>826</v>
      </c>
    </row>
    <row r="644" customFormat="false" ht="15" hidden="false" customHeight="false" outlineLevel="0" collapsed="false">
      <c r="A644" s="0" t="s">
        <v>740</v>
      </c>
      <c r="B644" s="0" t="s">
        <v>1239</v>
      </c>
      <c r="C644" s="0" t="s">
        <v>1240</v>
      </c>
      <c r="D644" s="0" t="s">
        <v>98</v>
      </c>
      <c r="E644" s="0" t="s">
        <v>826</v>
      </c>
    </row>
    <row r="645" customFormat="false" ht="15" hidden="false" customHeight="false" outlineLevel="0" collapsed="false">
      <c r="A645" s="0" t="s">
        <v>740</v>
      </c>
      <c r="B645" s="0" t="s">
        <v>1241</v>
      </c>
      <c r="C645" s="0" t="s">
        <v>1242</v>
      </c>
      <c r="D645" s="0" t="s">
        <v>98</v>
      </c>
      <c r="E645" s="0" t="s">
        <v>826</v>
      </c>
    </row>
    <row r="646" customFormat="false" ht="15" hidden="false" customHeight="false" outlineLevel="0" collapsed="false">
      <c r="A646" s="0" t="s">
        <v>740</v>
      </c>
      <c r="B646" s="0" t="s">
        <v>1243</v>
      </c>
      <c r="C646" s="0" t="s">
        <v>1244</v>
      </c>
      <c r="D646" s="0" t="s">
        <v>98</v>
      </c>
      <c r="E646" s="0" t="s">
        <v>826</v>
      </c>
    </row>
    <row r="647" customFormat="false" ht="15" hidden="false" customHeight="false" outlineLevel="0" collapsed="false">
      <c r="A647" s="0" t="s">
        <v>740</v>
      </c>
      <c r="B647" s="0" t="s">
        <v>1245</v>
      </c>
      <c r="C647" s="0" t="s">
        <v>353</v>
      </c>
      <c r="D647" s="0" t="s">
        <v>86</v>
      </c>
      <c r="E647" s="0" t="s">
        <v>1246</v>
      </c>
    </row>
    <row r="648" customFormat="false" ht="15" hidden="false" customHeight="false" outlineLevel="0" collapsed="false">
      <c r="A648" s="0" t="s">
        <v>740</v>
      </c>
      <c r="B648" s="0" t="s">
        <v>1247</v>
      </c>
      <c r="C648" s="0" t="s">
        <v>550</v>
      </c>
      <c r="D648" s="0" t="s">
        <v>86</v>
      </c>
      <c r="E648" s="0" t="s">
        <v>213</v>
      </c>
    </row>
    <row r="649" customFormat="false" ht="15" hidden="false" customHeight="false" outlineLevel="0" collapsed="false">
      <c r="A649" s="0" t="s">
        <v>740</v>
      </c>
      <c r="B649" s="0" t="s">
        <v>1248</v>
      </c>
      <c r="C649" s="0" t="s">
        <v>550</v>
      </c>
      <c r="D649" s="0" t="s">
        <v>86</v>
      </c>
      <c r="E649" s="0" t="s">
        <v>213</v>
      </c>
    </row>
    <row r="650" customFormat="false" ht="15" hidden="false" customHeight="false" outlineLevel="0" collapsed="false">
      <c r="A650" s="0" t="s">
        <v>740</v>
      </c>
      <c r="B650" s="0" t="s">
        <v>1249</v>
      </c>
      <c r="C650" s="0" t="s">
        <v>550</v>
      </c>
      <c r="D650" s="0" t="s">
        <v>744</v>
      </c>
      <c r="E650" s="0" t="s">
        <v>213</v>
      </c>
    </row>
    <row r="651" customFormat="false" ht="15" hidden="false" customHeight="false" outlineLevel="0" collapsed="false">
      <c r="A651" s="0" t="s">
        <v>740</v>
      </c>
      <c r="B651" s="0" t="s">
        <v>1250</v>
      </c>
      <c r="C651" s="0" t="s">
        <v>550</v>
      </c>
      <c r="D651" s="0" t="s">
        <v>744</v>
      </c>
      <c r="E651" s="0" t="s">
        <v>213</v>
      </c>
    </row>
    <row r="652" customFormat="false" ht="15" hidden="false" customHeight="false" outlineLevel="0" collapsed="false">
      <c r="A652" s="0" t="s">
        <v>740</v>
      </c>
      <c r="B652" s="0" t="s">
        <v>1251</v>
      </c>
      <c r="C652" s="0" t="s">
        <v>550</v>
      </c>
      <c r="D652" s="0" t="s">
        <v>744</v>
      </c>
      <c r="E652" s="0" t="s">
        <v>213</v>
      </c>
    </row>
    <row r="653" customFormat="false" ht="15" hidden="false" customHeight="false" outlineLevel="0" collapsed="false">
      <c r="A653" s="0" t="s">
        <v>740</v>
      </c>
      <c r="B653" s="0" t="s">
        <v>1252</v>
      </c>
      <c r="C653" s="0" t="s">
        <v>550</v>
      </c>
      <c r="D653" s="0" t="s">
        <v>744</v>
      </c>
      <c r="E653" s="0" t="s">
        <v>213</v>
      </c>
    </row>
    <row r="654" customFormat="false" ht="15" hidden="false" customHeight="false" outlineLevel="0" collapsed="false">
      <c r="A654" s="0" t="s">
        <v>740</v>
      </c>
      <c r="B654" s="0" t="s">
        <v>1253</v>
      </c>
      <c r="C654" s="0" t="s">
        <v>550</v>
      </c>
      <c r="D654" s="0" t="s">
        <v>744</v>
      </c>
      <c r="E654" s="0" t="s">
        <v>213</v>
      </c>
    </row>
    <row r="655" customFormat="false" ht="15" hidden="false" customHeight="false" outlineLevel="0" collapsed="false">
      <c r="A655" s="0" t="s">
        <v>740</v>
      </c>
      <c r="B655" s="0" t="s">
        <v>1254</v>
      </c>
      <c r="C655" s="0" t="s">
        <v>550</v>
      </c>
      <c r="D655" s="0" t="s">
        <v>744</v>
      </c>
      <c r="E655" s="0" t="s">
        <v>213</v>
      </c>
    </row>
    <row r="656" customFormat="false" ht="15" hidden="false" customHeight="false" outlineLevel="0" collapsed="false">
      <c r="A656" s="0" t="s">
        <v>740</v>
      </c>
      <c r="B656" s="0" t="s">
        <v>1255</v>
      </c>
      <c r="C656" s="0" t="s">
        <v>550</v>
      </c>
      <c r="D656" s="0" t="s">
        <v>744</v>
      </c>
      <c r="E656" s="0" t="s">
        <v>213</v>
      </c>
    </row>
    <row r="657" customFormat="false" ht="15" hidden="false" customHeight="false" outlineLevel="0" collapsed="false">
      <c r="A657" s="0" t="s">
        <v>740</v>
      </c>
      <c r="B657" s="0" t="s">
        <v>1256</v>
      </c>
      <c r="C657" s="0" t="s">
        <v>550</v>
      </c>
      <c r="D657" s="0" t="s">
        <v>744</v>
      </c>
      <c r="E657" s="0" t="s">
        <v>213</v>
      </c>
    </row>
    <row r="658" customFormat="false" ht="15" hidden="false" customHeight="false" outlineLevel="0" collapsed="false">
      <c r="A658" s="0" t="s">
        <v>740</v>
      </c>
      <c r="B658" s="0" t="s">
        <v>1257</v>
      </c>
      <c r="C658" s="0" t="s">
        <v>550</v>
      </c>
      <c r="D658" s="0" t="s">
        <v>744</v>
      </c>
      <c r="E658" s="0" t="s">
        <v>213</v>
      </c>
    </row>
    <row r="659" customFormat="false" ht="15" hidden="false" customHeight="false" outlineLevel="0" collapsed="false">
      <c r="A659" s="0" t="s">
        <v>740</v>
      </c>
      <c r="B659" s="0" t="s">
        <v>1258</v>
      </c>
      <c r="C659" s="0" t="s">
        <v>550</v>
      </c>
      <c r="D659" s="0" t="s">
        <v>744</v>
      </c>
      <c r="E659" s="0" t="s">
        <v>213</v>
      </c>
    </row>
    <row r="660" customFormat="false" ht="15" hidden="false" customHeight="false" outlineLevel="0" collapsed="false">
      <c r="A660" s="0" t="s">
        <v>740</v>
      </c>
      <c r="B660" s="0" t="s">
        <v>1259</v>
      </c>
      <c r="C660" s="0" t="s">
        <v>550</v>
      </c>
      <c r="D660" s="0" t="s">
        <v>744</v>
      </c>
      <c r="E660" s="0" t="s">
        <v>213</v>
      </c>
    </row>
    <row r="661" customFormat="false" ht="15" hidden="false" customHeight="false" outlineLevel="0" collapsed="false">
      <c r="A661" s="0" t="s">
        <v>740</v>
      </c>
      <c r="B661" s="0" t="s">
        <v>1260</v>
      </c>
      <c r="C661" s="0" t="s">
        <v>550</v>
      </c>
      <c r="D661" s="0" t="s">
        <v>744</v>
      </c>
      <c r="E661" s="0" t="s">
        <v>213</v>
      </c>
    </row>
    <row r="662" customFormat="false" ht="15" hidden="false" customHeight="false" outlineLevel="0" collapsed="false">
      <c r="A662" s="0" t="s">
        <v>740</v>
      </c>
      <c r="B662" s="0" t="s">
        <v>1261</v>
      </c>
      <c r="C662" s="0" t="s">
        <v>550</v>
      </c>
      <c r="D662" s="0" t="s">
        <v>744</v>
      </c>
      <c r="E662" s="0" t="s">
        <v>213</v>
      </c>
    </row>
    <row r="663" customFormat="false" ht="15" hidden="false" customHeight="false" outlineLevel="0" collapsed="false">
      <c r="A663" s="0" t="s">
        <v>740</v>
      </c>
      <c r="B663" s="0" t="s">
        <v>1262</v>
      </c>
      <c r="C663" s="0" t="s">
        <v>550</v>
      </c>
      <c r="D663" s="0" t="s">
        <v>744</v>
      </c>
      <c r="E663" s="0" t="s">
        <v>213</v>
      </c>
    </row>
    <row r="664" customFormat="false" ht="15" hidden="false" customHeight="false" outlineLevel="0" collapsed="false">
      <c r="A664" s="0" t="s">
        <v>740</v>
      </c>
      <c r="B664" s="0" t="s">
        <v>1263</v>
      </c>
      <c r="C664" s="0" t="s">
        <v>550</v>
      </c>
      <c r="D664" s="0" t="s">
        <v>744</v>
      </c>
      <c r="E664" s="0" t="s">
        <v>213</v>
      </c>
    </row>
    <row r="665" customFormat="false" ht="15" hidden="false" customHeight="false" outlineLevel="0" collapsed="false">
      <c r="A665" s="0" t="s">
        <v>740</v>
      </c>
      <c r="B665" s="0" t="s">
        <v>1264</v>
      </c>
      <c r="C665" s="0" t="s">
        <v>550</v>
      </c>
      <c r="D665" s="0" t="s">
        <v>744</v>
      </c>
      <c r="E665" s="0" t="s">
        <v>213</v>
      </c>
    </row>
    <row r="666" customFormat="false" ht="15" hidden="false" customHeight="false" outlineLevel="0" collapsed="false">
      <c r="A666" s="0" t="s">
        <v>740</v>
      </c>
      <c r="B666" s="0" t="s">
        <v>1265</v>
      </c>
      <c r="C666" s="0" t="s">
        <v>550</v>
      </c>
      <c r="D666" s="0" t="s">
        <v>744</v>
      </c>
      <c r="E666" s="0" t="s">
        <v>213</v>
      </c>
    </row>
    <row r="667" customFormat="false" ht="15" hidden="false" customHeight="false" outlineLevel="0" collapsed="false">
      <c r="A667" s="0" t="s">
        <v>740</v>
      </c>
      <c r="B667" s="0" t="s">
        <v>1266</v>
      </c>
      <c r="C667" s="0" t="s">
        <v>550</v>
      </c>
      <c r="D667" s="0" t="s">
        <v>744</v>
      </c>
      <c r="E667" s="0" t="s">
        <v>213</v>
      </c>
    </row>
    <row r="668" customFormat="false" ht="15" hidden="false" customHeight="false" outlineLevel="0" collapsed="false">
      <c r="A668" s="0" t="s">
        <v>740</v>
      </c>
      <c r="B668" s="0" t="s">
        <v>1267</v>
      </c>
      <c r="C668" s="0" t="s">
        <v>762</v>
      </c>
      <c r="D668" s="0" t="s">
        <v>98</v>
      </c>
      <c r="E668" s="0" t="s">
        <v>763</v>
      </c>
    </row>
    <row r="669" customFormat="false" ht="15" hidden="false" customHeight="false" outlineLevel="0" collapsed="false">
      <c r="A669" s="0" t="s">
        <v>740</v>
      </c>
      <c r="B669" s="0" t="s">
        <v>723</v>
      </c>
      <c r="C669" s="0" t="s">
        <v>762</v>
      </c>
      <c r="D669" s="0" t="s">
        <v>98</v>
      </c>
      <c r="E669" s="0" t="s">
        <v>763</v>
      </c>
    </row>
    <row r="670" customFormat="false" ht="15" hidden="false" customHeight="false" outlineLevel="0" collapsed="false">
      <c r="A670" s="0" t="s">
        <v>740</v>
      </c>
      <c r="B670" s="0" t="s">
        <v>724</v>
      </c>
      <c r="C670" s="0" t="s">
        <v>762</v>
      </c>
      <c r="D670" s="0" t="s">
        <v>98</v>
      </c>
      <c r="E670" s="0" t="s">
        <v>763</v>
      </c>
    </row>
    <row r="671" customFormat="false" ht="15" hidden="false" customHeight="false" outlineLevel="0" collapsed="false">
      <c r="A671" s="0" t="s">
        <v>740</v>
      </c>
      <c r="B671" s="0" t="s">
        <v>725</v>
      </c>
      <c r="C671" s="0" t="s">
        <v>762</v>
      </c>
      <c r="D671" s="0" t="s">
        <v>98</v>
      </c>
      <c r="E671" s="0" t="s">
        <v>763</v>
      </c>
    </row>
    <row r="672" customFormat="false" ht="15" hidden="false" customHeight="false" outlineLevel="0" collapsed="false">
      <c r="A672" s="0" t="s">
        <v>740</v>
      </c>
      <c r="B672" s="0" t="s">
        <v>726</v>
      </c>
      <c r="C672" s="0" t="s">
        <v>762</v>
      </c>
      <c r="D672" s="0" t="s">
        <v>98</v>
      </c>
      <c r="E672" s="0" t="s">
        <v>763</v>
      </c>
    </row>
    <row r="673" customFormat="false" ht="15" hidden="false" customHeight="false" outlineLevel="0" collapsed="false">
      <c r="A673" s="0" t="s">
        <v>740</v>
      </c>
      <c r="B673" s="0" t="s">
        <v>727</v>
      </c>
      <c r="C673" s="0" t="s">
        <v>762</v>
      </c>
      <c r="D673" s="0" t="s">
        <v>98</v>
      </c>
      <c r="E673" s="0" t="s">
        <v>763</v>
      </c>
    </row>
    <row r="674" customFormat="false" ht="15" hidden="false" customHeight="false" outlineLevel="0" collapsed="false">
      <c r="A674" s="0" t="s">
        <v>740</v>
      </c>
      <c r="B674" s="0" t="s">
        <v>728</v>
      </c>
      <c r="C674" s="0" t="s">
        <v>762</v>
      </c>
      <c r="D674" s="0" t="s">
        <v>98</v>
      </c>
      <c r="E674" s="0" t="s">
        <v>763</v>
      </c>
    </row>
    <row r="675" customFormat="false" ht="15" hidden="false" customHeight="false" outlineLevel="0" collapsed="false">
      <c r="A675" s="0" t="s">
        <v>740</v>
      </c>
      <c r="B675" s="0" t="s">
        <v>729</v>
      </c>
      <c r="C675" s="0" t="s">
        <v>762</v>
      </c>
      <c r="D675" s="0" t="s">
        <v>98</v>
      </c>
      <c r="E675" s="0" t="s">
        <v>763</v>
      </c>
    </row>
    <row r="676" customFormat="false" ht="15" hidden="false" customHeight="false" outlineLevel="0" collapsed="false">
      <c r="A676" s="0" t="s">
        <v>740</v>
      </c>
      <c r="B676" s="0" t="s">
        <v>1268</v>
      </c>
      <c r="C676" s="0" t="s">
        <v>762</v>
      </c>
      <c r="D676" s="0" t="s">
        <v>98</v>
      </c>
      <c r="E676" s="0" t="s">
        <v>763</v>
      </c>
    </row>
    <row r="677" customFormat="false" ht="15" hidden="false" customHeight="false" outlineLevel="0" collapsed="false">
      <c r="A677" s="0" t="s">
        <v>740</v>
      </c>
      <c r="B677" s="0" t="s">
        <v>1269</v>
      </c>
      <c r="C677" s="0" t="s">
        <v>762</v>
      </c>
      <c r="D677" s="0" t="s">
        <v>98</v>
      </c>
      <c r="E677" s="0" t="s">
        <v>763</v>
      </c>
    </row>
    <row r="678" customFormat="false" ht="15" hidden="false" customHeight="false" outlineLevel="0" collapsed="false">
      <c r="A678" s="0" t="s">
        <v>740</v>
      </c>
      <c r="B678" s="0" t="s">
        <v>1270</v>
      </c>
      <c r="C678" s="0" t="s">
        <v>762</v>
      </c>
      <c r="D678" s="0" t="s">
        <v>98</v>
      </c>
      <c r="E678" s="0" t="s">
        <v>763</v>
      </c>
    </row>
    <row r="679" customFormat="false" ht="15" hidden="false" customHeight="false" outlineLevel="0" collapsed="false">
      <c r="A679" s="0" t="s">
        <v>740</v>
      </c>
      <c r="B679" s="0" t="s">
        <v>1271</v>
      </c>
      <c r="C679" s="0" t="s">
        <v>762</v>
      </c>
      <c r="D679" s="0" t="s">
        <v>93</v>
      </c>
      <c r="E679" s="0" t="s">
        <v>1272</v>
      </c>
    </row>
    <row r="680" customFormat="false" ht="15" hidden="false" customHeight="false" outlineLevel="0" collapsed="false">
      <c r="A680" s="0" t="s">
        <v>740</v>
      </c>
      <c r="B680" s="0" t="s">
        <v>1273</v>
      </c>
      <c r="C680" s="0" t="s">
        <v>1274</v>
      </c>
      <c r="D680" s="0" t="s">
        <v>93</v>
      </c>
    </row>
    <row r="681" customFormat="false" ht="15" hidden="false" customHeight="false" outlineLevel="0" collapsed="false">
      <c r="A681" s="0" t="s">
        <v>740</v>
      </c>
      <c r="B681" s="0" t="s">
        <v>1275</v>
      </c>
      <c r="C681" s="0" t="s">
        <v>1276</v>
      </c>
      <c r="D681" s="0" t="s">
        <v>93</v>
      </c>
    </row>
    <row r="682" customFormat="false" ht="15" hidden="false" customHeight="false" outlineLevel="0" collapsed="false">
      <c r="A682" s="0" t="s">
        <v>740</v>
      </c>
      <c r="B682" s="0" t="s">
        <v>1277</v>
      </c>
      <c r="C682" s="0" t="s">
        <v>1276</v>
      </c>
      <c r="D682" s="0" t="s">
        <v>93</v>
      </c>
      <c r="E682" s="0" t="s">
        <v>1278</v>
      </c>
    </row>
    <row r="683" customFormat="false" ht="15" hidden="false" customHeight="false" outlineLevel="0" collapsed="false">
      <c r="A683" s="0" t="s">
        <v>740</v>
      </c>
      <c r="B683" s="0" t="s">
        <v>1279</v>
      </c>
      <c r="C683" s="0" t="s">
        <v>1280</v>
      </c>
      <c r="D683" s="0" t="s">
        <v>93</v>
      </c>
    </row>
    <row r="684" customFormat="false" ht="15" hidden="false" customHeight="false" outlineLevel="0" collapsed="false">
      <c r="A684" s="0" t="s">
        <v>740</v>
      </c>
      <c r="B684" s="0" t="s">
        <v>1281</v>
      </c>
      <c r="C684" s="0" t="s">
        <v>1280</v>
      </c>
      <c r="D684" s="0" t="s">
        <v>93</v>
      </c>
      <c r="E684" s="0" t="s">
        <v>788</v>
      </c>
    </row>
    <row r="685" customFormat="false" ht="15" hidden="false" customHeight="false" outlineLevel="0" collapsed="false">
      <c r="A685" s="0" t="s">
        <v>740</v>
      </c>
      <c r="B685" s="0" t="s">
        <v>1282</v>
      </c>
      <c r="C685" s="0" t="s">
        <v>1280</v>
      </c>
      <c r="D685" s="0" t="s">
        <v>93</v>
      </c>
      <c r="E685" s="0" t="s">
        <v>788</v>
      </c>
    </row>
    <row r="686" customFormat="false" ht="15" hidden="false" customHeight="false" outlineLevel="0" collapsed="false">
      <c r="A686" s="0" t="s">
        <v>740</v>
      </c>
      <c r="B686" s="0" t="s">
        <v>1283</v>
      </c>
      <c r="C686" s="0" t="s">
        <v>1280</v>
      </c>
      <c r="D686" s="0" t="s">
        <v>93</v>
      </c>
      <c r="E686" s="0" t="s">
        <v>788</v>
      </c>
    </row>
    <row r="687" customFormat="false" ht="15" hidden="false" customHeight="false" outlineLevel="0" collapsed="false">
      <c r="A687" s="0" t="s">
        <v>740</v>
      </c>
      <c r="B687" s="0" t="s">
        <v>1284</v>
      </c>
      <c r="C687" s="0" t="s">
        <v>550</v>
      </c>
      <c r="D687" s="0" t="s">
        <v>93</v>
      </c>
      <c r="E687" s="0" t="s">
        <v>1285</v>
      </c>
    </row>
    <row r="688" customFormat="false" ht="15" hidden="false" customHeight="false" outlineLevel="0" collapsed="false">
      <c r="A688" s="0" t="s">
        <v>740</v>
      </c>
      <c r="B688" s="0" t="s">
        <v>1286</v>
      </c>
      <c r="C688" s="0" t="s">
        <v>550</v>
      </c>
      <c r="D688" s="0" t="s">
        <v>93</v>
      </c>
      <c r="E688" s="0" t="s">
        <v>914</v>
      </c>
    </row>
    <row r="689" customFormat="false" ht="15" hidden="false" customHeight="false" outlineLevel="0" collapsed="false">
      <c r="A689" s="0" t="s">
        <v>740</v>
      </c>
      <c r="B689" s="0" t="s">
        <v>1287</v>
      </c>
      <c r="C689" s="0" t="s">
        <v>550</v>
      </c>
      <c r="D689" s="0" t="s">
        <v>93</v>
      </c>
      <c r="E689" s="0" t="s">
        <v>914</v>
      </c>
    </row>
    <row r="690" customFormat="false" ht="15" hidden="false" customHeight="false" outlineLevel="0" collapsed="false">
      <c r="A690" s="0" t="s">
        <v>740</v>
      </c>
      <c r="B690" s="0" t="s">
        <v>1288</v>
      </c>
      <c r="C690" s="0" t="s">
        <v>550</v>
      </c>
      <c r="D690" s="0" t="s">
        <v>93</v>
      </c>
      <c r="E690" s="0" t="s">
        <v>914</v>
      </c>
    </row>
    <row r="691" customFormat="false" ht="15" hidden="false" customHeight="false" outlineLevel="0" collapsed="false">
      <c r="A691" s="0" t="s">
        <v>740</v>
      </c>
      <c r="B691" s="0" t="s">
        <v>1289</v>
      </c>
      <c r="C691" s="0" t="s">
        <v>550</v>
      </c>
      <c r="D691" s="0" t="s">
        <v>93</v>
      </c>
      <c r="E691" s="0" t="s">
        <v>914</v>
      </c>
    </row>
    <row r="692" customFormat="false" ht="15" hidden="false" customHeight="false" outlineLevel="0" collapsed="false">
      <c r="A692" s="0" t="s">
        <v>740</v>
      </c>
      <c r="B692" s="0" t="s">
        <v>1290</v>
      </c>
      <c r="C692" s="0" t="s">
        <v>550</v>
      </c>
      <c r="D692" s="0" t="s">
        <v>93</v>
      </c>
      <c r="E692" s="0" t="s">
        <v>914</v>
      </c>
    </row>
    <row r="693" customFormat="false" ht="15" hidden="false" customHeight="false" outlineLevel="0" collapsed="false">
      <c r="A693" s="0" t="s">
        <v>740</v>
      </c>
      <c r="B693" s="0" t="s">
        <v>1291</v>
      </c>
      <c r="C693" s="0" t="s">
        <v>550</v>
      </c>
      <c r="D693" s="0" t="s">
        <v>93</v>
      </c>
      <c r="E693" s="0" t="s">
        <v>914</v>
      </c>
    </row>
    <row r="694" customFormat="false" ht="15" hidden="false" customHeight="false" outlineLevel="0" collapsed="false">
      <c r="A694" s="0" t="s">
        <v>740</v>
      </c>
      <c r="B694" s="0" t="s">
        <v>1292</v>
      </c>
      <c r="C694" s="0" t="s">
        <v>550</v>
      </c>
      <c r="D694" s="0" t="s">
        <v>93</v>
      </c>
      <c r="E694" s="0" t="s">
        <v>914</v>
      </c>
    </row>
    <row r="695" customFormat="false" ht="15" hidden="false" customHeight="false" outlineLevel="0" collapsed="false">
      <c r="A695" s="0" t="s">
        <v>740</v>
      </c>
      <c r="B695" s="0" t="s">
        <v>1293</v>
      </c>
      <c r="C695" s="0" t="s">
        <v>550</v>
      </c>
      <c r="D695" s="0" t="s">
        <v>93</v>
      </c>
      <c r="E695" s="0" t="s">
        <v>914</v>
      </c>
    </row>
    <row r="696" customFormat="false" ht="15" hidden="false" customHeight="false" outlineLevel="0" collapsed="false">
      <c r="A696" s="0" t="s">
        <v>740</v>
      </c>
      <c r="B696" s="0" t="s">
        <v>1294</v>
      </c>
      <c r="C696" s="0" t="s">
        <v>762</v>
      </c>
      <c r="D696" s="0" t="s">
        <v>98</v>
      </c>
      <c r="E696" s="0" t="s">
        <v>763</v>
      </c>
    </row>
    <row r="697" customFormat="false" ht="15" hidden="false" customHeight="false" outlineLevel="0" collapsed="false">
      <c r="A697" s="0" t="s">
        <v>740</v>
      </c>
      <c r="B697" s="0" t="s">
        <v>732</v>
      </c>
      <c r="C697" s="0" t="s">
        <v>762</v>
      </c>
      <c r="D697" s="0" t="s">
        <v>98</v>
      </c>
      <c r="E697" s="0" t="s">
        <v>763</v>
      </c>
    </row>
    <row r="698" customFormat="false" ht="15" hidden="false" customHeight="false" outlineLevel="0" collapsed="false">
      <c r="A698" s="0" t="s">
        <v>740</v>
      </c>
      <c r="B698" s="0" t="s">
        <v>734</v>
      </c>
      <c r="C698" s="0" t="s">
        <v>762</v>
      </c>
      <c r="D698" s="0" t="s">
        <v>98</v>
      </c>
      <c r="E698" s="0" t="s">
        <v>763</v>
      </c>
    </row>
    <row r="699" customFormat="false" ht="15" hidden="false" customHeight="false" outlineLevel="0" collapsed="false">
      <c r="A699" s="0" t="s">
        <v>740</v>
      </c>
      <c r="B699" s="0" t="s">
        <v>735</v>
      </c>
      <c r="C699" s="0" t="s">
        <v>762</v>
      </c>
      <c r="D699" s="0" t="s">
        <v>98</v>
      </c>
      <c r="E699" s="0" t="s">
        <v>763</v>
      </c>
    </row>
    <row r="700" customFormat="false" ht="15" hidden="false" customHeight="false" outlineLevel="0" collapsed="false">
      <c r="A700" s="0" t="s">
        <v>740</v>
      </c>
      <c r="B700" s="0" t="s">
        <v>736</v>
      </c>
      <c r="C700" s="0" t="s">
        <v>762</v>
      </c>
      <c r="D700" s="0" t="s">
        <v>98</v>
      </c>
      <c r="E700" s="0" t="s">
        <v>763</v>
      </c>
    </row>
    <row r="701" customFormat="false" ht="15" hidden="false" customHeight="false" outlineLevel="0" collapsed="false">
      <c r="A701" s="0" t="s">
        <v>740</v>
      </c>
      <c r="B701" s="0" t="s">
        <v>737</v>
      </c>
      <c r="C701" s="0" t="s">
        <v>762</v>
      </c>
      <c r="D701" s="0" t="s">
        <v>98</v>
      </c>
      <c r="E701" s="0" t="s">
        <v>763</v>
      </c>
    </row>
    <row r="702" customFormat="false" ht="15" hidden="false" customHeight="false" outlineLevel="0" collapsed="false">
      <c r="A702" s="0" t="s">
        <v>740</v>
      </c>
      <c r="B702" s="0" t="s">
        <v>738</v>
      </c>
      <c r="C702" s="0" t="s">
        <v>762</v>
      </c>
      <c r="D702" s="0" t="s">
        <v>98</v>
      </c>
      <c r="E702" s="0" t="s">
        <v>763</v>
      </c>
    </row>
    <row r="703" customFormat="false" ht="15" hidden="false" customHeight="false" outlineLevel="0" collapsed="false">
      <c r="A703" s="0" t="s">
        <v>740</v>
      </c>
      <c r="B703" s="0" t="s">
        <v>739</v>
      </c>
      <c r="C703" s="0" t="s">
        <v>762</v>
      </c>
      <c r="D703" s="0" t="s">
        <v>98</v>
      </c>
      <c r="E703" s="0" t="s">
        <v>763</v>
      </c>
    </row>
    <row r="704" customFormat="false" ht="15" hidden="false" customHeight="false" outlineLevel="0" collapsed="false">
      <c r="A704" s="0" t="s">
        <v>740</v>
      </c>
      <c r="B704" s="0" t="s">
        <v>1295</v>
      </c>
      <c r="C704" s="0" t="s">
        <v>762</v>
      </c>
      <c r="D704" s="0" t="s">
        <v>98</v>
      </c>
      <c r="E704" s="0" t="s">
        <v>763</v>
      </c>
    </row>
    <row r="705" customFormat="false" ht="15" hidden="false" customHeight="false" outlineLevel="0" collapsed="false">
      <c r="A705" s="0" t="s">
        <v>740</v>
      </c>
      <c r="B705" s="0" t="s">
        <v>1296</v>
      </c>
      <c r="C705" s="0" t="s">
        <v>762</v>
      </c>
      <c r="D705" s="0" t="s">
        <v>98</v>
      </c>
      <c r="E705" s="0" t="s">
        <v>763</v>
      </c>
    </row>
    <row r="706" customFormat="false" ht="15" hidden="false" customHeight="false" outlineLevel="0" collapsed="false">
      <c r="A706" s="0" t="s">
        <v>740</v>
      </c>
      <c r="B706" s="0" t="s">
        <v>1297</v>
      </c>
      <c r="C706" s="0" t="s">
        <v>762</v>
      </c>
      <c r="D706" s="0" t="s">
        <v>98</v>
      </c>
      <c r="E706" s="0" t="s">
        <v>763</v>
      </c>
    </row>
    <row r="707" customFormat="false" ht="15" hidden="false" customHeight="false" outlineLevel="0" collapsed="false">
      <c r="A707" s="0" t="s">
        <v>740</v>
      </c>
      <c r="B707" s="0" t="s">
        <v>1298</v>
      </c>
      <c r="C707" s="0" t="s">
        <v>1276</v>
      </c>
      <c r="D707" s="0" t="s">
        <v>93</v>
      </c>
      <c r="E707" s="0" t="s">
        <v>1272</v>
      </c>
    </row>
    <row r="708" customFormat="false" ht="15" hidden="false" customHeight="false" outlineLevel="0" collapsed="false">
      <c r="A708" s="0" t="s">
        <v>740</v>
      </c>
      <c r="B708" s="0" t="s">
        <v>1299</v>
      </c>
      <c r="C708" s="0" t="s">
        <v>1280</v>
      </c>
      <c r="D708" s="0" t="s">
        <v>93</v>
      </c>
    </row>
    <row r="709" customFormat="false" ht="15" hidden="false" customHeight="false" outlineLevel="0" collapsed="false">
      <c r="A709" s="0" t="s">
        <v>740</v>
      </c>
      <c r="B709" s="0" t="s">
        <v>1300</v>
      </c>
      <c r="C709" s="0" t="s">
        <v>809</v>
      </c>
      <c r="D709" s="0" t="s">
        <v>93</v>
      </c>
    </row>
    <row r="710" customFormat="false" ht="15" hidden="false" customHeight="false" outlineLevel="0" collapsed="false">
      <c r="A710" s="0" t="s">
        <v>740</v>
      </c>
      <c r="B710" s="0" t="s">
        <v>1301</v>
      </c>
      <c r="C710" s="0" t="s">
        <v>809</v>
      </c>
      <c r="D710" s="0" t="s">
        <v>93</v>
      </c>
      <c r="E710" s="0" t="s">
        <v>1278</v>
      </c>
    </row>
    <row r="711" customFormat="false" ht="15" hidden="false" customHeight="false" outlineLevel="0" collapsed="false">
      <c r="A711" s="0" t="s">
        <v>740</v>
      </c>
      <c r="B711" s="0" t="s">
        <v>1302</v>
      </c>
      <c r="C711" s="0" t="s">
        <v>550</v>
      </c>
      <c r="D711" s="0" t="s">
        <v>93</v>
      </c>
    </row>
    <row r="712" customFormat="false" ht="15" hidden="false" customHeight="false" outlineLevel="0" collapsed="false">
      <c r="A712" s="0" t="s">
        <v>740</v>
      </c>
      <c r="B712" s="0" t="s">
        <v>1303</v>
      </c>
      <c r="C712" s="0" t="s">
        <v>550</v>
      </c>
      <c r="D712" s="0" t="s">
        <v>93</v>
      </c>
      <c r="E712" s="0" t="s">
        <v>788</v>
      </c>
    </row>
    <row r="713" customFormat="false" ht="15" hidden="false" customHeight="false" outlineLevel="0" collapsed="false">
      <c r="A713" s="0" t="s">
        <v>740</v>
      </c>
      <c r="B713" s="0" t="s">
        <v>1304</v>
      </c>
      <c r="C713" s="0" t="s">
        <v>550</v>
      </c>
      <c r="D713" s="0" t="s">
        <v>93</v>
      </c>
      <c r="E713" s="0" t="s">
        <v>788</v>
      </c>
    </row>
    <row r="714" customFormat="false" ht="15" hidden="false" customHeight="false" outlineLevel="0" collapsed="false">
      <c r="A714" s="0" t="s">
        <v>740</v>
      </c>
      <c r="B714" s="0" t="s">
        <v>1305</v>
      </c>
      <c r="C714" s="0" t="s">
        <v>550</v>
      </c>
      <c r="D714" s="0" t="s">
        <v>93</v>
      </c>
      <c r="E714" s="0" t="s">
        <v>788</v>
      </c>
    </row>
    <row r="715" customFormat="false" ht="15" hidden="false" customHeight="false" outlineLevel="0" collapsed="false">
      <c r="A715" s="0" t="s">
        <v>740</v>
      </c>
      <c r="B715" s="0" t="s">
        <v>1306</v>
      </c>
      <c r="C715" s="0" t="s">
        <v>550</v>
      </c>
      <c r="D715" s="0" t="s">
        <v>93</v>
      </c>
      <c r="E715" s="0" t="s">
        <v>1285</v>
      </c>
    </row>
    <row r="716" customFormat="false" ht="15" hidden="false" customHeight="false" outlineLevel="0" collapsed="false">
      <c r="A716" s="0" t="s">
        <v>740</v>
      </c>
      <c r="B716" s="0" t="s">
        <v>1307</v>
      </c>
      <c r="C716" s="0" t="s">
        <v>550</v>
      </c>
      <c r="D716" s="0" t="s">
        <v>93</v>
      </c>
      <c r="E716" s="0" t="s">
        <v>914</v>
      </c>
    </row>
    <row r="717" customFormat="false" ht="15" hidden="false" customHeight="false" outlineLevel="0" collapsed="false">
      <c r="A717" s="0" t="s">
        <v>740</v>
      </c>
      <c r="B717" s="0" t="s">
        <v>1308</v>
      </c>
      <c r="C717" s="0" t="s">
        <v>550</v>
      </c>
      <c r="D717" s="0" t="s">
        <v>93</v>
      </c>
      <c r="E717" s="0" t="s">
        <v>914</v>
      </c>
    </row>
    <row r="718" customFormat="false" ht="15" hidden="false" customHeight="false" outlineLevel="0" collapsed="false">
      <c r="A718" s="0" t="s">
        <v>740</v>
      </c>
      <c r="B718" s="0" t="s">
        <v>1309</v>
      </c>
      <c r="C718" s="0" t="s">
        <v>550</v>
      </c>
      <c r="D718" s="0" t="s">
        <v>93</v>
      </c>
      <c r="E718" s="0" t="s">
        <v>914</v>
      </c>
    </row>
    <row r="719" customFormat="false" ht="15" hidden="false" customHeight="false" outlineLevel="0" collapsed="false">
      <c r="A719" s="0" t="s">
        <v>740</v>
      </c>
      <c r="B719" s="0" t="s">
        <v>1310</v>
      </c>
      <c r="C719" s="0" t="s">
        <v>550</v>
      </c>
      <c r="D719" s="0" t="s">
        <v>93</v>
      </c>
      <c r="E719" s="0" t="s">
        <v>914</v>
      </c>
    </row>
    <row r="720" customFormat="false" ht="15" hidden="false" customHeight="false" outlineLevel="0" collapsed="false">
      <c r="A720" s="0" t="s">
        <v>740</v>
      </c>
      <c r="B720" s="0" t="s">
        <v>1311</v>
      </c>
      <c r="C720" s="0" t="s">
        <v>550</v>
      </c>
      <c r="D720" s="0" t="s">
        <v>93</v>
      </c>
      <c r="E720" s="0" t="s">
        <v>914</v>
      </c>
    </row>
    <row r="721" customFormat="false" ht="15" hidden="false" customHeight="false" outlineLevel="0" collapsed="false">
      <c r="A721" s="0" t="s">
        <v>740</v>
      </c>
      <c r="B721" s="0" t="s">
        <v>1312</v>
      </c>
      <c r="C721" s="0" t="s">
        <v>550</v>
      </c>
      <c r="D721" s="0" t="s">
        <v>93</v>
      </c>
      <c r="E721" s="0" t="s">
        <v>914</v>
      </c>
    </row>
    <row r="722" customFormat="false" ht="15" hidden="false" customHeight="false" outlineLevel="0" collapsed="false">
      <c r="A722" s="0" t="s">
        <v>740</v>
      </c>
      <c r="B722" s="0" t="s">
        <v>1313</v>
      </c>
      <c r="C722" s="0" t="s">
        <v>550</v>
      </c>
      <c r="D722" s="0" t="s">
        <v>93</v>
      </c>
      <c r="E722" s="0" t="s">
        <v>914</v>
      </c>
    </row>
    <row r="723" customFormat="false" ht="15" hidden="false" customHeight="false" outlineLevel="0" collapsed="false">
      <c r="A723" s="0" t="s">
        <v>740</v>
      </c>
      <c r="B723" s="0" t="s">
        <v>1314</v>
      </c>
      <c r="C723" s="0" t="s">
        <v>550</v>
      </c>
      <c r="D723" s="0" t="s">
        <v>93</v>
      </c>
      <c r="E723" s="0" t="s">
        <v>914</v>
      </c>
    </row>
    <row r="724" customFormat="false" ht="15" hidden="false" customHeight="false" outlineLevel="0" collapsed="false">
      <c r="A724" s="0" t="s">
        <v>740</v>
      </c>
      <c r="B724" s="0" t="s">
        <v>1315</v>
      </c>
      <c r="C724" s="0" t="s">
        <v>1316</v>
      </c>
      <c r="D724" s="0" t="s">
        <v>98</v>
      </c>
      <c r="E724" s="0" t="s">
        <v>826</v>
      </c>
    </row>
    <row r="725" customFormat="false" ht="15" hidden="false" customHeight="false" outlineLevel="0" collapsed="false">
      <c r="A725" s="0" t="s">
        <v>740</v>
      </c>
      <c r="B725" s="0" t="s">
        <v>1317</v>
      </c>
      <c r="C725" s="0" t="s">
        <v>1318</v>
      </c>
      <c r="D725" s="0" t="s">
        <v>98</v>
      </c>
      <c r="E725" s="0" t="s">
        <v>826</v>
      </c>
    </row>
    <row r="726" customFormat="false" ht="15" hidden="false" customHeight="false" outlineLevel="0" collapsed="false">
      <c r="A726" s="0" t="s">
        <v>740</v>
      </c>
      <c r="B726" s="0" t="s">
        <v>1319</v>
      </c>
      <c r="C726" s="0" t="s">
        <v>1320</v>
      </c>
      <c r="D726" s="0" t="s">
        <v>98</v>
      </c>
      <c r="E726" s="0" t="s">
        <v>826</v>
      </c>
    </row>
    <row r="727" customFormat="false" ht="15" hidden="false" customHeight="false" outlineLevel="0" collapsed="false">
      <c r="A727" s="0" t="s">
        <v>740</v>
      </c>
      <c r="B727" s="0" t="s">
        <v>1321</v>
      </c>
      <c r="C727" s="0" t="s">
        <v>1322</v>
      </c>
      <c r="D727" s="0" t="s">
        <v>98</v>
      </c>
      <c r="E727" s="0" t="s">
        <v>826</v>
      </c>
    </row>
    <row r="728" customFormat="false" ht="15" hidden="false" customHeight="false" outlineLevel="0" collapsed="false">
      <c r="A728" s="0" t="s">
        <v>740</v>
      </c>
      <c r="B728" s="0" t="s">
        <v>1323</v>
      </c>
      <c r="C728" s="0" t="s">
        <v>1324</v>
      </c>
      <c r="D728" s="0" t="s">
        <v>98</v>
      </c>
      <c r="E728" s="0" t="s">
        <v>826</v>
      </c>
    </row>
    <row r="729" customFormat="false" ht="15" hidden="false" customHeight="false" outlineLevel="0" collapsed="false">
      <c r="A729" s="0" t="s">
        <v>740</v>
      </c>
      <c r="B729" s="0" t="s">
        <v>1325</v>
      </c>
      <c r="C729" s="0" t="s">
        <v>1326</v>
      </c>
      <c r="D729" s="0" t="s">
        <v>98</v>
      </c>
      <c r="E729" s="0" t="s">
        <v>826</v>
      </c>
    </row>
    <row r="730" customFormat="false" ht="15" hidden="false" customHeight="false" outlineLevel="0" collapsed="false">
      <c r="A730" s="0" t="s">
        <v>740</v>
      </c>
      <c r="B730" s="0" t="s">
        <v>1327</v>
      </c>
      <c r="C730" s="0" t="s">
        <v>1328</v>
      </c>
      <c r="D730" s="0" t="s">
        <v>98</v>
      </c>
      <c r="E730" s="0" t="s">
        <v>826</v>
      </c>
    </row>
    <row r="731" customFormat="false" ht="15" hidden="false" customHeight="false" outlineLevel="0" collapsed="false">
      <c r="A731" s="0" t="s">
        <v>740</v>
      </c>
      <c r="B731" s="0" t="s">
        <v>1329</v>
      </c>
      <c r="C731" s="0" t="s">
        <v>1330</v>
      </c>
      <c r="D731" s="0" t="s">
        <v>98</v>
      </c>
      <c r="E731" s="0" t="s">
        <v>826</v>
      </c>
    </row>
    <row r="732" customFormat="false" ht="15" hidden="false" customHeight="false" outlineLevel="0" collapsed="false">
      <c r="A732" s="0" t="s">
        <v>740</v>
      </c>
      <c r="B732" s="0" t="s">
        <v>1331</v>
      </c>
      <c r="C732" s="0" t="s">
        <v>1332</v>
      </c>
      <c r="D732" s="0" t="s">
        <v>98</v>
      </c>
      <c r="E732" s="0" t="s">
        <v>826</v>
      </c>
    </row>
    <row r="733" customFormat="false" ht="15" hidden="false" customHeight="false" outlineLevel="0" collapsed="false">
      <c r="A733" s="0" t="s">
        <v>740</v>
      </c>
      <c r="B733" s="0" t="s">
        <v>1333</v>
      </c>
      <c r="C733" s="0" t="s">
        <v>1334</v>
      </c>
      <c r="D733" s="0" t="s">
        <v>98</v>
      </c>
      <c r="E733" s="0" t="s">
        <v>826</v>
      </c>
    </row>
    <row r="734" customFormat="false" ht="15" hidden="false" customHeight="false" outlineLevel="0" collapsed="false">
      <c r="A734" s="0" t="s">
        <v>740</v>
      </c>
      <c r="B734" s="0" t="s">
        <v>1335</v>
      </c>
      <c r="C734" s="0" t="s">
        <v>1336</v>
      </c>
      <c r="D734" s="0" t="s">
        <v>98</v>
      </c>
      <c r="E734" s="0" t="s">
        <v>826</v>
      </c>
    </row>
    <row r="735" customFormat="false" ht="15" hidden="false" customHeight="false" outlineLevel="0" collapsed="false">
      <c r="A735" s="0" t="s">
        <v>740</v>
      </c>
      <c r="B735" s="0" t="s">
        <v>1337</v>
      </c>
      <c r="C735" s="0" t="s">
        <v>1338</v>
      </c>
      <c r="D735" s="0" t="s">
        <v>98</v>
      </c>
      <c r="E735" s="0" t="s">
        <v>826</v>
      </c>
    </row>
    <row r="736" customFormat="false" ht="15" hidden="false" customHeight="false" outlineLevel="0" collapsed="false">
      <c r="A736" s="0" t="s">
        <v>740</v>
      </c>
      <c r="B736" s="0" t="s">
        <v>1339</v>
      </c>
      <c r="C736" s="0" t="s">
        <v>1340</v>
      </c>
      <c r="D736" s="0" t="s">
        <v>98</v>
      </c>
      <c r="E736" s="0" t="s">
        <v>826</v>
      </c>
    </row>
    <row r="737" customFormat="false" ht="15" hidden="false" customHeight="false" outlineLevel="0" collapsed="false">
      <c r="A737" s="0" t="s">
        <v>740</v>
      </c>
      <c r="B737" s="0" t="s">
        <v>1341</v>
      </c>
      <c r="C737" s="0" t="s">
        <v>1342</v>
      </c>
      <c r="D737" s="0" t="s">
        <v>98</v>
      </c>
      <c r="E737" s="0" t="s">
        <v>826</v>
      </c>
    </row>
    <row r="738" customFormat="false" ht="15" hidden="false" customHeight="false" outlineLevel="0" collapsed="false">
      <c r="A738" s="0" t="s">
        <v>740</v>
      </c>
      <c r="B738" s="0" t="s">
        <v>1343</v>
      </c>
      <c r="C738" s="0" t="s">
        <v>1344</v>
      </c>
      <c r="D738" s="0" t="s">
        <v>98</v>
      </c>
      <c r="E738" s="0" t="s">
        <v>826</v>
      </c>
    </row>
    <row r="739" customFormat="false" ht="15" hidden="false" customHeight="false" outlineLevel="0" collapsed="false">
      <c r="A739" s="0" t="s">
        <v>740</v>
      </c>
      <c r="B739" s="0" t="s">
        <v>1345</v>
      </c>
      <c r="C739" s="0" t="s">
        <v>1346</v>
      </c>
      <c r="D739" s="0" t="s">
        <v>98</v>
      </c>
      <c r="E739" s="0" t="s">
        <v>826</v>
      </c>
    </row>
    <row r="740" customFormat="false" ht="15" hidden="false" customHeight="false" outlineLevel="0" collapsed="false">
      <c r="A740" s="0" t="s">
        <v>740</v>
      </c>
      <c r="B740" s="0" t="s">
        <v>1347</v>
      </c>
      <c r="C740" s="0" t="s">
        <v>1348</v>
      </c>
      <c r="D740" s="0" t="s">
        <v>98</v>
      </c>
      <c r="E740" s="0" t="s">
        <v>826</v>
      </c>
    </row>
    <row r="741" customFormat="false" ht="15" hidden="false" customHeight="false" outlineLevel="0" collapsed="false">
      <c r="A741" s="0" t="s">
        <v>740</v>
      </c>
      <c r="B741" s="0" t="s">
        <v>1349</v>
      </c>
      <c r="C741" s="0" t="s">
        <v>1350</v>
      </c>
      <c r="D741" s="0" t="s">
        <v>98</v>
      </c>
      <c r="E741" s="0" t="s">
        <v>826</v>
      </c>
    </row>
    <row r="742" customFormat="false" ht="15" hidden="false" customHeight="false" outlineLevel="0" collapsed="false">
      <c r="A742" s="0" t="s">
        <v>740</v>
      </c>
      <c r="B742" s="0" t="s">
        <v>1351</v>
      </c>
      <c r="C742" s="0" t="s">
        <v>1352</v>
      </c>
      <c r="D742" s="0" t="s">
        <v>98</v>
      </c>
      <c r="E742" s="0" t="s">
        <v>826</v>
      </c>
    </row>
    <row r="743" customFormat="false" ht="15" hidden="false" customHeight="false" outlineLevel="0" collapsed="false">
      <c r="A743" s="0" t="s">
        <v>740</v>
      </c>
      <c r="B743" s="0" t="s">
        <v>1353</v>
      </c>
      <c r="C743" s="0" t="s">
        <v>1354</v>
      </c>
      <c r="D743" s="0" t="s">
        <v>98</v>
      </c>
      <c r="E743" s="0" t="s">
        <v>826</v>
      </c>
    </row>
    <row r="744" customFormat="false" ht="15" hidden="false" customHeight="false" outlineLevel="0" collapsed="false">
      <c r="A744" s="0" t="s">
        <v>740</v>
      </c>
      <c r="B744" s="0" t="s">
        <v>1355</v>
      </c>
      <c r="C744" s="0" t="s">
        <v>1356</v>
      </c>
      <c r="D744" s="0" t="s">
        <v>98</v>
      </c>
      <c r="E744" s="0" t="s">
        <v>826</v>
      </c>
    </row>
    <row r="745" customFormat="false" ht="15" hidden="false" customHeight="false" outlineLevel="0" collapsed="false">
      <c r="A745" s="0" t="s">
        <v>740</v>
      </c>
      <c r="B745" s="0" t="s">
        <v>1357</v>
      </c>
      <c r="C745" s="0" t="s">
        <v>1358</v>
      </c>
      <c r="D745" s="0" t="s">
        <v>98</v>
      </c>
      <c r="E745" s="0" t="s">
        <v>826</v>
      </c>
    </row>
    <row r="746" customFormat="false" ht="15" hidden="false" customHeight="false" outlineLevel="0" collapsed="false">
      <c r="A746" s="0" t="s">
        <v>740</v>
      </c>
      <c r="B746" s="0" t="s">
        <v>1359</v>
      </c>
      <c r="C746" s="0" t="s">
        <v>1360</v>
      </c>
      <c r="D746" s="0" t="s">
        <v>98</v>
      </c>
      <c r="E746" s="0" t="s">
        <v>826</v>
      </c>
    </row>
    <row r="747" customFormat="false" ht="15" hidden="false" customHeight="false" outlineLevel="0" collapsed="false">
      <c r="A747" s="0" t="s">
        <v>740</v>
      </c>
      <c r="B747" s="0" t="s">
        <v>1361</v>
      </c>
      <c r="C747" s="0" t="s">
        <v>1362</v>
      </c>
      <c r="D747" s="0" t="s">
        <v>98</v>
      </c>
      <c r="E747" s="0" t="s">
        <v>826</v>
      </c>
    </row>
    <row r="748" customFormat="false" ht="15" hidden="false" customHeight="false" outlineLevel="0" collapsed="false">
      <c r="A748" s="0" t="s">
        <v>740</v>
      </c>
      <c r="B748" s="0" t="s">
        <v>1363</v>
      </c>
      <c r="C748" s="0" t="s">
        <v>1364</v>
      </c>
      <c r="D748" s="0" t="s">
        <v>98</v>
      </c>
      <c r="E748" s="0" t="s">
        <v>826</v>
      </c>
    </row>
    <row r="749" customFormat="false" ht="15" hidden="false" customHeight="false" outlineLevel="0" collapsed="false">
      <c r="A749" s="0" t="s">
        <v>740</v>
      </c>
      <c r="B749" s="0" t="s">
        <v>1365</v>
      </c>
      <c r="C749" s="0" t="s">
        <v>1366</v>
      </c>
      <c r="D749" s="0" t="s">
        <v>98</v>
      </c>
      <c r="E749" s="0" t="s">
        <v>826</v>
      </c>
    </row>
    <row r="750" customFormat="false" ht="15" hidden="false" customHeight="false" outlineLevel="0" collapsed="false">
      <c r="A750" s="0" t="s">
        <v>740</v>
      </c>
      <c r="B750" s="0" t="s">
        <v>1367</v>
      </c>
      <c r="C750" s="0" t="s">
        <v>1368</v>
      </c>
      <c r="D750" s="0" t="s">
        <v>98</v>
      </c>
      <c r="E750" s="0" t="s">
        <v>826</v>
      </c>
    </row>
    <row r="751" customFormat="false" ht="15" hidden="false" customHeight="false" outlineLevel="0" collapsed="false">
      <c r="A751" s="0" t="s">
        <v>740</v>
      </c>
      <c r="B751" s="0" t="s">
        <v>1369</v>
      </c>
      <c r="C751" s="0" t="s">
        <v>1370</v>
      </c>
      <c r="D751" s="0" t="s">
        <v>98</v>
      </c>
      <c r="E751" s="0" t="s">
        <v>826</v>
      </c>
    </row>
    <row r="752" customFormat="false" ht="15" hidden="false" customHeight="false" outlineLevel="0" collapsed="false">
      <c r="A752" s="0" t="s">
        <v>740</v>
      </c>
      <c r="B752" s="0" t="s">
        <v>1371</v>
      </c>
      <c r="C752" s="0" t="s">
        <v>354</v>
      </c>
      <c r="D752" s="0" t="s">
        <v>86</v>
      </c>
      <c r="E752" s="0" t="s">
        <v>1372</v>
      </c>
    </row>
    <row r="753" customFormat="false" ht="15" hidden="false" customHeight="false" outlineLevel="0" collapsed="false">
      <c r="A753" s="0" t="s">
        <v>740</v>
      </c>
      <c r="B753" s="0" t="s">
        <v>1373</v>
      </c>
      <c r="C753" s="0" t="s">
        <v>1280</v>
      </c>
      <c r="D753" s="0" t="s">
        <v>86</v>
      </c>
      <c r="E753" s="0" t="s">
        <v>1374</v>
      </c>
    </row>
    <row r="754" customFormat="false" ht="15" hidden="false" customHeight="false" outlineLevel="0" collapsed="false">
      <c r="A754" s="0" t="s">
        <v>740</v>
      </c>
      <c r="B754" s="0" t="s">
        <v>1375</v>
      </c>
      <c r="C754" s="0" t="s">
        <v>550</v>
      </c>
      <c r="D754" s="0" t="s">
        <v>86</v>
      </c>
      <c r="E754" s="0" t="s">
        <v>1376</v>
      </c>
    </row>
    <row r="755" customFormat="false" ht="15" hidden="false" customHeight="false" outlineLevel="0" collapsed="false">
      <c r="A755" s="0" t="s">
        <v>740</v>
      </c>
      <c r="B755" s="0" t="s">
        <v>1377</v>
      </c>
      <c r="C755" s="0" t="s">
        <v>560</v>
      </c>
      <c r="D755" s="0" t="s">
        <v>86</v>
      </c>
      <c r="E755" s="0" t="s">
        <v>220</v>
      </c>
    </row>
    <row r="756" customFormat="false" ht="15" hidden="false" customHeight="false" outlineLevel="0" collapsed="false">
      <c r="A756" s="0" t="s">
        <v>740</v>
      </c>
      <c r="B756" s="0" t="s">
        <v>1378</v>
      </c>
      <c r="C756" s="0" t="s">
        <v>560</v>
      </c>
      <c r="D756" s="0" t="s">
        <v>86</v>
      </c>
      <c r="E756" s="0" t="s">
        <v>220</v>
      </c>
    </row>
    <row r="757" customFormat="false" ht="15" hidden="false" customHeight="false" outlineLevel="0" collapsed="false">
      <c r="A757" s="0" t="s">
        <v>740</v>
      </c>
      <c r="B757" s="0" t="s">
        <v>1379</v>
      </c>
      <c r="C757" s="0" t="s">
        <v>560</v>
      </c>
      <c r="D757" s="0" t="s">
        <v>744</v>
      </c>
      <c r="E757" s="0" t="s">
        <v>220</v>
      </c>
    </row>
    <row r="758" customFormat="false" ht="15" hidden="false" customHeight="false" outlineLevel="0" collapsed="false">
      <c r="A758" s="0" t="s">
        <v>740</v>
      </c>
      <c r="B758" s="0" t="s">
        <v>1380</v>
      </c>
      <c r="C758" s="0" t="s">
        <v>560</v>
      </c>
      <c r="D758" s="0" t="s">
        <v>744</v>
      </c>
      <c r="E758" s="0" t="s">
        <v>220</v>
      </c>
    </row>
    <row r="759" customFormat="false" ht="15" hidden="false" customHeight="false" outlineLevel="0" collapsed="false">
      <c r="A759" s="0" t="s">
        <v>740</v>
      </c>
      <c r="B759" s="0" t="s">
        <v>1381</v>
      </c>
      <c r="C759" s="0" t="s">
        <v>560</v>
      </c>
      <c r="D759" s="0" t="s">
        <v>744</v>
      </c>
      <c r="E759" s="0" t="s">
        <v>220</v>
      </c>
    </row>
    <row r="760" customFormat="false" ht="15" hidden="false" customHeight="false" outlineLevel="0" collapsed="false">
      <c r="A760" s="0" t="s">
        <v>740</v>
      </c>
      <c r="B760" s="0" t="s">
        <v>1382</v>
      </c>
      <c r="C760" s="0" t="s">
        <v>560</v>
      </c>
      <c r="D760" s="0" t="s">
        <v>744</v>
      </c>
      <c r="E760" s="0" t="s">
        <v>220</v>
      </c>
    </row>
    <row r="761" customFormat="false" ht="15" hidden="false" customHeight="false" outlineLevel="0" collapsed="false">
      <c r="A761" s="0" t="s">
        <v>740</v>
      </c>
      <c r="B761" s="0" t="s">
        <v>1383</v>
      </c>
      <c r="C761" s="0" t="s">
        <v>560</v>
      </c>
      <c r="D761" s="0" t="s">
        <v>744</v>
      </c>
      <c r="E761" s="0" t="s">
        <v>220</v>
      </c>
    </row>
    <row r="762" customFormat="false" ht="15" hidden="false" customHeight="false" outlineLevel="0" collapsed="false">
      <c r="A762" s="0" t="s">
        <v>740</v>
      </c>
      <c r="B762" s="0" t="s">
        <v>1384</v>
      </c>
      <c r="C762" s="0" t="s">
        <v>560</v>
      </c>
      <c r="D762" s="0" t="s">
        <v>744</v>
      </c>
      <c r="E762" s="0" t="s">
        <v>220</v>
      </c>
    </row>
    <row r="763" customFormat="false" ht="15" hidden="false" customHeight="false" outlineLevel="0" collapsed="false">
      <c r="A763" s="0" t="s">
        <v>740</v>
      </c>
      <c r="B763" s="0" t="s">
        <v>1385</v>
      </c>
      <c r="C763" s="0" t="s">
        <v>560</v>
      </c>
      <c r="D763" s="0" t="s">
        <v>744</v>
      </c>
      <c r="E763" s="0" t="s">
        <v>220</v>
      </c>
    </row>
    <row r="764" customFormat="false" ht="15" hidden="false" customHeight="false" outlineLevel="0" collapsed="false">
      <c r="A764" s="0" t="s">
        <v>740</v>
      </c>
      <c r="B764" s="0" t="s">
        <v>1386</v>
      </c>
      <c r="C764" s="0" t="s">
        <v>560</v>
      </c>
      <c r="D764" s="0" t="s">
        <v>744</v>
      </c>
      <c r="E764" s="0" t="s">
        <v>220</v>
      </c>
    </row>
    <row r="765" customFormat="false" ht="15" hidden="false" customHeight="false" outlineLevel="0" collapsed="false">
      <c r="A765" s="0" t="s">
        <v>740</v>
      </c>
      <c r="B765" s="0" t="s">
        <v>1387</v>
      </c>
      <c r="C765" s="0" t="s">
        <v>560</v>
      </c>
      <c r="D765" s="0" t="s">
        <v>744</v>
      </c>
      <c r="E765" s="0" t="s">
        <v>220</v>
      </c>
    </row>
    <row r="766" customFormat="false" ht="15" hidden="false" customHeight="false" outlineLevel="0" collapsed="false">
      <c r="A766" s="0" t="s">
        <v>740</v>
      </c>
      <c r="B766" s="0" t="s">
        <v>1388</v>
      </c>
      <c r="C766" s="0" t="s">
        <v>560</v>
      </c>
      <c r="D766" s="0" t="s">
        <v>744</v>
      </c>
      <c r="E766" s="0" t="s">
        <v>220</v>
      </c>
    </row>
    <row r="767" customFormat="false" ht="15" hidden="false" customHeight="false" outlineLevel="0" collapsed="false">
      <c r="A767" s="0" t="s">
        <v>740</v>
      </c>
      <c r="B767" s="0" t="s">
        <v>1389</v>
      </c>
      <c r="C767" s="0" t="s">
        <v>560</v>
      </c>
      <c r="D767" s="0" t="s">
        <v>744</v>
      </c>
      <c r="E767" s="0" t="s">
        <v>220</v>
      </c>
    </row>
    <row r="768" customFormat="false" ht="15" hidden="false" customHeight="false" outlineLevel="0" collapsed="false">
      <c r="A768" s="0" t="s">
        <v>740</v>
      </c>
      <c r="B768" s="0" t="s">
        <v>1390</v>
      </c>
      <c r="C768" s="0" t="s">
        <v>560</v>
      </c>
      <c r="D768" s="0" t="s">
        <v>744</v>
      </c>
      <c r="E768" s="0" t="s">
        <v>220</v>
      </c>
    </row>
    <row r="769" customFormat="false" ht="15" hidden="false" customHeight="false" outlineLevel="0" collapsed="false">
      <c r="A769" s="0" t="s">
        <v>740</v>
      </c>
      <c r="B769" s="0" t="s">
        <v>1391</v>
      </c>
      <c r="C769" s="0" t="s">
        <v>560</v>
      </c>
      <c r="D769" s="0" t="s">
        <v>744</v>
      </c>
      <c r="E769" s="0" t="s">
        <v>220</v>
      </c>
    </row>
    <row r="770" customFormat="false" ht="15" hidden="false" customHeight="false" outlineLevel="0" collapsed="false">
      <c r="A770" s="0" t="s">
        <v>740</v>
      </c>
      <c r="B770" s="0" t="s">
        <v>1392</v>
      </c>
      <c r="C770" s="0" t="s">
        <v>560</v>
      </c>
      <c r="D770" s="0" t="s">
        <v>744</v>
      </c>
      <c r="E770" s="0" t="s">
        <v>220</v>
      </c>
    </row>
    <row r="771" customFormat="false" ht="15" hidden="false" customHeight="false" outlineLevel="0" collapsed="false">
      <c r="A771" s="0" t="s">
        <v>740</v>
      </c>
      <c r="B771" s="0" t="s">
        <v>1393</v>
      </c>
      <c r="C771" s="0" t="s">
        <v>560</v>
      </c>
      <c r="D771" s="0" t="s">
        <v>744</v>
      </c>
      <c r="E771" s="0" t="s">
        <v>220</v>
      </c>
    </row>
    <row r="772" customFormat="false" ht="15" hidden="false" customHeight="false" outlineLevel="0" collapsed="false">
      <c r="A772" s="0" t="s">
        <v>740</v>
      </c>
      <c r="B772" s="0" t="s">
        <v>1394</v>
      </c>
      <c r="C772" s="0" t="s">
        <v>560</v>
      </c>
      <c r="D772" s="0" t="s">
        <v>744</v>
      </c>
      <c r="E772" s="0" t="s">
        <v>220</v>
      </c>
    </row>
    <row r="773" customFormat="false" ht="15" hidden="false" customHeight="false" outlineLevel="0" collapsed="false">
      <c r="A773" s="0" t="s">
        <v>740</v>
      </c>
      <c r="B773" s="0" t="s">
        <v>1395</v>
      </c>
      <c r="C773" s="0" t="s">
        <v>560</v>
      </c>
      <c r="D773" s="0" t="s">
        <v>744</v>
      </c>
      <c r="E773" s="0" t="s">
        <v>220</v>
      </c>
    </row>
    <row r="774" customFormat="false" ht="15" hidden="false" customHeight="false" outlineLevel="0" collapsed="false">
      <c r="A774" s="0" t="s">
        <v>740</v>
      </c>
      <c r="B774" s="0" t="s">
        <v>1396</v>
      </c>
      <c r="C774" s="0" t="s">
        <v>560</v>
      </c>
      <c r="D774" s="0" t="s">
        <v>744</v>
      </c>
      <c r="E774" s="0" t="s">
        <v>220</v>
      </c>
    </row>
    <row r="775" customFormat="false" ht="15" hidden="false" customHeight="false" outlineLevel="0" collapsed="false">
      <c r="A775" s="0" t="s">
        <v>740</v>
      </c>
      <c r="B775" s="0" t="s">
        <v>1397</v>
      </c>
      <c r="C775" s="0" t="s">
        <v>762</v>
      </c>
      <c r="D775" s="0" t="s">
        <v>98</v>
      </c>
      <c r="E775" s="0" t="s">
        <v>763</v>
      </c>
    </row>
    <row r="776" customFormat="false" ht="15" hidden="false" customHeight="false" outlineLevel="0" collapsed="false">
      <c r="A776" s="0" t="s">
        <v>740</v>
      </c>
      <c r="B776" s="0" t="s">
        <v>1398</v>
      </c>
      <c r="C776" s="0" t="s">
        <v>762</v>
      </c>
      <c r="D776" s="0" t="s">
        <v>98</v>
      </c>
      <c r="E776" s="0" t="s">
        <v>763</v>
      </c>
    </row>
    <row r="777" customFormat="false" ht="15" hidden="false" customHeight="false" outlineLevel="0" collapsed="false">
      <c r="A777" s="0" t="s">
        <v>740</v>
      </c>
      <c r="B777" s="0" t="s">
        <v>1399</v>
      </c>
      <c r="C777" s="0" t="s">
        <v>762</v>
      </c>
      <c r="D777" s="0" t="s">
        <v>98</v>
      </c>
      <c r="E777" s="0" t="s">
        <v>763</v>
      </c>
    </row>
    <row r="778" customFormat="false" ht="15" hidden="false" customHeight="false" outlineLevel="0" collapsed="false">
      <c r="A778" s="0" t="s">
        <v>740</v>
      </c>
      <c r="B778" s="0" t="s">
        <v>1400</v>
      </c>
      <c r="C778" s="0" t="s">
        <v>762</v>
      </c>
      <c r="D778" s="0" t="s">
        <v>98</v>
      </c>
      <c r="E778" s="0" t="s">
        <v>763</v>
      </c>
    </row>
    <row r="779" customFormat="false" ht="15" hidden="false" customHeight="false" outlineLevel="0" collapsed="false">
      <c r="A779" s="0" t="s">
        <v>740</v>
      </c>
      <c r="B779" s="0" t="s">
        <v>1401</v>
      </c>
      <c r="C779" s="0" t="s">
        <v>762</v>
      </c>
      <c r="D779" s="0" t="s">
        <v>98</v>
      </c>
      <c r="E779" s="0" t="s">
        <v>763</v>
      </c>
    </row>
    <row r="780" customFormat="false" ht="15" hidden="false" customHeight="false" outlineLevel="0" collapsed="false">
      <c r="A780" s="0" t="s">
        <v>740</v>
      </c>
      <c r="B780" s="0" t="s">
        <v>1402</v>
      </c>
      <c r="C780" s="0" t="s">
        <v>762</v>
      </c>
      <c r="D780" s="0" t="s">
        <v>98</v>
      </c>
      <c r="E780" s="0" t="s">
        <v>763</v>
      </c>
    </row>
    <row r="781" customFormat="false" ht="15" hidden="false" customHeight="false" outlineLevel="0" collapsed="false">
      <c r="A781" s="0" t="s">
        <v>740</v>
      </c>
      <c r="B781" s="0" t="s">
        <v>1403</v>
      </c>
      <c r="C781" s="0" t="s">
        <v>762</v>
      </c>
      <c r="D781" s="0" t="s">
        <v>98</v>
      </c>
      <c r="E781" s="0" t="s">
        <v>763</v>
      </c>
    </row>
    <row r="782" customFormat="false" ht="15" hidden="false" customHeight="false" outlineLevel="0" collapsed="false">
      <c r="A782" s="0" t="s">
        <v>740</v>
      </c>
      <c r="B782" s="0" t="s">
        <v>1404</v>
      </c>
      <c r="C782" s="0" t="s">
        <v>762</v>
      </c>
      <c r="D782" s="0" t="s">
        <v>98</v>
      </c>
      <c r="E782" s="0" t="s">
        <v>763</v>
      </c>
    </row>
    <row r="783" customFormat="false" ht="15" hidden="false" customHeight="false" outlineLevel="0" collapsed="false">
      <c r="A783" s="0" t="s">
        <v>740</v>
      </c>
      <c r="B783" s="0" t="s">
        <v>1405</v>
      </c>
      <c r="C783" s="0" t="s">
        <v>762</v>
      </c>
      <c r="D783" s="0" t="s">
        <v>98</v>
      </c>
      <c r="E783" s="0" t="s">
        <v>763</v>
      </c>
    </row>
    <row r="784" customFormat="false" ht="15" hidden="false" customHeight="false" outlineLevel="0" collapsed="false">
      <c r="A784" s="0" t="s">
        <v>740</v>
      </c>
      <c r="B784" s="0" t="s">
        <v>1406</v>
      </c>
      <c r="C784" s="0" t="s">
        <v>762</v>
      </c>
      <c r="D784" s="0" t="s">
        <v>98</v>
      </c>
      <c r="E784" s="0" t="s">
        <v>763</v>
      </c>
    </row>
    <row r="785" customFormat="false" ht="15" hidden="false" customHeight="false" outlineLevel="0" collapsed="false">
      <c r="A785" s="0" t="s">
        <v>740</v>
      </c>
      <c r="B785" s="0" t="s">
        <v>1407</v>
      </c>
      <c r="C785" s="0" t="s">
        <v>762</v>
      </c>
      <c r="D785" s="0" t="s">
        <v>98</v>
      </c>
      <c r="E785" s="0" t="s">
        <v>763</v>
      </c>
    </row>
    <row r="786" customFormat="false" ht="15" hidden="false" customHeight="false" outlineLevel="0" collapsed="false">
      <c r="A786" s="0" t="s">
        <v>740</v>
      </c>
      <c r="B786" s="0" t="s">
        <v>1408</v>
      </c>
      <c r="C786" s="0" t="s">
        <v>762</v>
      </c>
      <c r="D786" s="0" t="s">
        <v>98</v>
      </c>
      <c r="E786" s="0" t="s">
        <v>763</v>
      </c>
    </row>
    <row r="787" customFormat="false" ht="15" hidden="false" customHeight="false" outlineLevel="0" collapsed="false">
      <c r="A787" s="0" t="s">
        <v>740</v>
      </c>
      <c r="B787" s="0" t="s">
        <v>1409</v>
      </c>
      <c r="C787" s="0" t="s">
        <v>762</v>
      </c>
      <c r="D787" s="0" t="s">
        <v>98</v>
      </c>
      <c r="E787" s="0" t="s">
        <v>763</v>
      </c>
    </row>
    <row r="788" customFormat="false" ht="15" hidden="false" customHeight="false" outlineLevel="0" collapsed="false">
      <c r="A788" s="0" t="s">
        <v>740</v>
      </c>
      <c r="B788" s="0" t="s">
        <v>1410</v>
      </c>
      <c r="C788" s="0" t="s">
        <v>762</v>
      </c>
      <c r="D788" s="0" t="s">
        <v>93</v>
      </c>
      <c r="E788" s="0" t="s">
        <v>1411</v>
      </c>
    </row>
    <row r="789" customFormat="false" ht="15" hidden="false" customHeight="false" outlineLevel="0" collapsed="false">
      <c r="A789" s="0" t="s">
        <v>740</v>
      </c>
      <c r="B789" s="0" t="s">
        <v>1412</v>
      </c>
      <c r="C789" s="0" t="s">
        <v>762</v>
      </c>
      <c r="D789" s="0" t="s">
        <v>93</v>
      </c>
    </row>
    <row r="790" customFormat="false" ht="15" hidden="false" customHeight="false" outlineLevel="0" collapsed="false">
      <c r="A790" s="0" t="s">
        <v>740</v>
      </c>
      <c r="B790" s="0" t="s">
        <v>1413</v>
      </c>
      <c r="C790" s="0" t="s">
        <v>1414</v>
      </c>
      <c r="D790" s="0" t="s">
        <v>93</v>
      </c>
    </row>
    <row r="791" customFormat="false" ht="15" hidden="false" customHeight="false" outlineLevel="0" collapsed="false">
      <c r="A791" s="0" t="s">
        <v>740</v>
      </c>
      <c r="B791" s="0" t="s">
        <v>1415</v>
      </c>
      <c r="C791" s="0" t="s">
        <v>1414</v>
      </c>
      <c r="D791" s="0" t="s">
        <v>93</v>
      </c>
      <c r="E791" s="0" t="s">
        <v>788</v>
      </c>
    </row>
    <row r="792" customFormat="false" ht="15" hidden="false" customHeight="false" outlineLevel="0" collapsed="false">
      <c r="A792" s="0" t="s">
        <v>740</v>
      </c>
      <c r="B792" s="0" t="s">
        <v>1416</v>
      </c>
      <c r="C792" s="0" t="s">
        <v>580</v>
      </c>
      <c r="D792" s="0" t="s">
        <v>93</v>
      </c>
    </row>
    <row r="793" customFormat="false" ht="15" hidden="false" customHeight="false" outlineLevel="0" collapsed="false">
      <c r="A793" s="0" t="s">
        <v>740</v>
      </c>
      <c r="B793" s="0" t="s">
        <v>1417</v>
      </c>
      <c r="C793" s="0" t="s">
        <v>580</v>
      </c>
      <c r="D793" s="0" t="s">
        <v>93</v>
      </c>
      <c r="E793" s="0" t="s">
        <v>909</v>
      </c>
    </row>
    <row r="794" customFormat="false" ht="15" hidden="false" customHeight="false" outlineLevel="0" collapsed="false">
      <c r="A794" s="0" t="s">
        <v>740</v>
      </c>
      <c r="B794" s="0" t="s">
        <v>1418</v>
      </c>
      <c r="C794" s="0" t="s">
        <v>1419</v>
      </c>
      <c r="D794" s="0" t="s">
        <v>93</v>
      </c>
    </row>
    <row r="795" customFormat="false" ht="15" hidden="false" customHeight="false" outlineLevel="0" collapsed="false">
      <c r="A795" s="0" t="s">
        <v>740</v>
      </c>
      <c r="B795" s="0" t="s">
        <v>1420</v>
      </c>
      <c r="C795" s="0" t="s">
        <v>1419</v>
      </c>
      <c r="D795" s="0" t="s">
        <v>93</v>
      </c>
      <c r="E795" s="0" t="s">
        <v>914</v>
      </c>
    </row>
    <row r="796" customFormat="false" ht="15" hidden="false" customHeight="false" outlineLevel="0" collapsed="false">
      <c r="A796" s="0" t="s">
        <v>740</v>
      </c>
      <c r="B796" s="0" t="s">
        <v>1421</v>
      </c>
      <c r="C796" s="0" t="s">
        <v>1419</v>
      </c>
      <c r="D796" s="0" t="s">
        <v>93</v>
      </c>
      <c r="E796" s="0" t="s">
        <v>914</v>
      </c>
    </row>
    <row r="797" customFormat="false" ht="15" hidden="false" customHeight="false" outlineLevel="0" collapsed="false">
      <c r="A797" s="0" t="s">
        <v>740</v>
      </c>
      <c r="B797" s="0" t="s">
        <v>1422</v>
      </c>
      <c r="C797" s="0" t="s">
        <v>1419</v>
      </c>
      <c r="D797" s="0" t="s">
        <v>93</v>
      </c>
      <c r="E797" s="0" t="s">
        <v>914</v>
      </c>
    </row>
    <row r="798" customFormat="false" ht="15" hidden="false" customHeight="false" outlineLevel="0" collapsed="false">
      <c r="A798" s="0" t="s">
        <v>740</v>
      </c>
      <c r="B798" s="0" t="s">
        <v>1423</v>
      </c>
      <c r="C798" s="0" t="s">
        <v>1424</v>
      </c>
      <c r="D798" s="0" t="s">
        <v>93</v>
      </c>
    </row>
    <row r="799" customFormat="false" ht="15" hidden="false" customHeight="false" outlineLevel="0" collapsed="false">
      <c r="A799" s="0" t="s">
        <v>740</v>
      </c>
      <c r="B799" s="0" t="s">
        <v>1425</v>
      </c>
      <c r="C799" s="0" t="s">
        <v>1424</v>
      </c>
      <c r="D799" s="0" t="s">
        <v>93</v>
      </c>
      <c r="E799" s="0" t="s">
        <v>922</v>
      </c>
    </row>
    <row r="800" customFormat="false" ht="15" hidden="false" customHeight="false" outlineLevel="0" collapsed="false">
      <c r="A800" s="0" t="s">
        <v>740</v>
      </c>
      <c r="B800" s="0" t="s">
        <v>1426</v>
      </c>
      <c r="C800" s="0" t="s">
        <v>1424</v>
      </c>
      <c r="D800" s="0" t="s">
        <v>93</v>
      </c>
      <c r="E800" s="0" t="s">
        <v>922</v>
      </c>
    </row>
    <row r="801" customFormat="false" ht="15" hidden="false" customHeight="false" outlineLevel="0" collapsed="false">
      <c r="A801" s="0" t="s">
        <v>740</v>
      </c>
      <c r="B801" s="0" t="s">
        <v>1427</v>
      </c>
      <c r="C801" s="0" t="s">
        <v>1424</v>
      </c>
      <c r="D801" s="0" t="s">
        <v>93</v>
      </c>
      <c r="E801" s="0" t="s">
        <v>922</v>
      </c>
    </row>
    <row r="802" customFormat="false" ht="15" hidden="false" customHeight="false" outlineLevel="0" collapsed="false">
      <c r="A802" s="0" t="s">
        <v>740</v>
      </c>
      <c r="B802" s="0" t="s">
        <v>1428</v>
      </c>
      <c r="C802" s="0" t="s">
        <v>560</v>
      </c>
      <c r="D802" s="0" t="s">
        <v>93</v>
      </c>
    </row>
    <row r="803" customFormat="false" ht="15" hidden="false" customHeight="false" outlineLevel="0" collapsed="false">
      <c r="A803" s="0" t="s">
        <v>740</v>
      </c>
      <c r="B803" s="0" t="s">
        <v>1429</v>
      </c>
      <c r="C803" s="0" t="s">
        <v>762</v>
      </c>
      <c r="D803" s="0" t="s">
        <v>98</v>
      </c>
      <c r="E803" s="0" t="s">
        <v>763</v>
      </c>
    </row>
    <row r="804" customFormat="false" ht="15" hidden="false" customHeight="false" outlineLevel="0" collapsed="false">
      <c r="A804" s="0" t="s">
        <v>740</v>
      </c>
      <c r="B804" s="0" t="s">
        <v>1430</v>
      </c>
      <c r="C804" s="0" t="s">
        <v>762</v>
      </c>
      <c r="D804" s="0" t="s">
        <v>98</v>
      </c>
      <c r="E804" s="0" t="s">
        <v>763</v>
      </c>
    </row>
    <row r="805" customFormat="false" ht="15" hidden="false" customHeight="false" outlineLevel="0" collapsed="false">
      <c r="A805" s="0" t="s">
        <v>740</v>
      </c>
      <c r="B805" s="0" t="s">
        <v>1431</v>
      </c>
      <c r="C805" s="0" t="s">
        <v>762</v>
      </c>
      <c r="D805" s="0" t="s">
        <v>98</v>
      </c>
      <c r="E805" s="0" t="s">
        <v>763</v>
      </c>
    </row>
    <row r="806" customFormat="false" ht="15" hidden="false" customHeight="false" outlineLevel="0" collapsed="false">
      <c r="A806" s="0" t="s">
        <v>740</v>
      </c>
      <c r="B806" s="0" t="s">
        <v>1432</v>
      </c>
      <c r="C806" s="0" t="s">
        <v>762</v>
      </c>
      <c r="D806" s="0" t="s">
        <v>98</v>
      </c>
      <c r="E806" s="0" t="s">
        <v>763</v>
      </c>
    </row>
    <row r="807" customFormat="false" ht="15" hidden="false" customHeight="false" outlineLevel="0" collapsed="false">
      <c r="A807" s="0" t="s">
        <v>740</v>
      </c>
      <c r="B807" s="0" t="s">
        <v>1433</v>
      </c>
      <c r="C807" s="0" t="s">
        <v>762</v>
      </c>
      <c r="D807" s="0" t="s">
        <v>98</v>
      </c>
      <c r="E807" s="0" t="s">
        <v>763</v>
      </c>
    </row>
    <row r="808" customFormat="false" ht="15" hidden="false" customHeight="false" outlineLevel="0" collapsed="false">
      <c r="A808" s="0" t="s">
        <v>740</v>
      </c>
      <c r="B808" s="0" t="s">
        <v>1434</v>
      </c>
      <c r="C808" s="0" t="s">
        <v>762</v>
      </c>
      <c r="D808" s="0" t="s">
        <v>98</v>
      </c>
      <c r="E808" s="0" t="s">
        <v>763</v>
      </c>
    </row>
    <row r="809" customFormat="false" ht="15" hidden="false" customHeight="false" outlineLevel="0" collapsed="false">
      <c r="A809" s="0" t="s">
        <v>740</v>
      </c>
      <c r="B809" s="0" t="s">
        <v>1435</v>
      </c>
      <c r="C809" s="0" t="s">
        <v>762</v>
      </c>
      <c r="D809" s="0" t="s">
        <v>98</v>
      </c>
      <c r="E809" s="0" t="s">
        <v>763</v>
      </c>
    </row>
    <row r="810" customFormat="false" ht="15" hidden="false" customHeight="false" outlineLevel="0" collapsed="false">
      <c r="A810" s="0" t="s">
        <v>740</v>
      </c>
      <c r="B810" s="0" t="s">
        <v>1436</v>
      </c>
      <c r="C810" s="0" t="s">
        <v>762</v>
      </c>
      <c r="D810" s="0" t="s">
        <v>98</v>
      </c>
      <c r="E810" s="0" t="s">
        <v>763</v>
      </c>
    </row>
    <row r="811" customFormat="false" ht="15" hidden="false" customHeight="false" outlineLevel="0" collapsed="false">
      <c r="A811" s="0" t="s">
        <v>740</v>
      </c>
      <c r="B811" s="0" t="s">
        <v>1437</v>
      </c>
      <c r="C811" s="0" t="s">
        <v>762</v>
      </c>
      <c r="D811" s="0" t="s">
        <v>98</v>
      </c>
      <c r="E811" s="0" t="s">
        <v>763</v>
      </c>
    </row>
    <row r="812" customFormat="false" ht="15" hidden="false" customHeight="false" outlineLevel="0" collapsed="false">
      <c r="A812" s="0" t="s">
        <v>740</v>
      </c>
      <c r="B812" s="0" t="s">
        <v>1438</v>
      </c>
      <c r="C812" s="0" t="s">
        <v>762</v>
      </c>
      <c r="D812" s="0" t="s">
        <v>98</v>
      </c>
      <c r="E812" s="0" t="s">
        <v>763</v>
      </c>
    </row>
    <row r="813" customFormat="false" ht="15" hidden="false" customHeight="false" outlineLevel="0" collapsed="false">
      <c r="A813" s="0" t="s">
        <v>740</v>
      </c>
      <c r="B813" s="0" t="s">
        <v>1439</v>
      </c>
      <c r="C813" s="0" t="s">
        <v>762</v>
      </c>
      <c r="D813" s="0" t="s">
        <v>98</v>
      </c>
      <c r="E813" s="0" t="s">
        <v>763</v>
      </c>
    </row>
    <row r="814" customFormat="false" ht="15" hidden="false" customHeight="false" outlineLevel="0" collapsed="false">
      <c r="A814" s="0" t="s">
        <v>740</v>
      </c>
      <c r="B814" s="0" t="s">
        <v>1440</v>
      </c>
      <c r="C814" s="0" t="s">
        <v>762</v>
      </c>
      <c r="D814" s="0" t="s">
        <v>98</v>
      </c>
      <c r="E814" s="0" t="s">
        <v>763</v>
      </c>
    </row>
    <row r="815" customFormat="false" ht="15" hidden="false" customHeight="false" outlineLevel="0" collapsed="false">
      <c r="A815" s="0" t="s">
        <v>740</v>
      </c>
      <c r="B815" s="0" t="s">
        <v>1441</v>
      </c>
      <c r="C815" s="0" t="s">
        <v>762</v>
      </c>
      <c r="D815" s="0" t="s">
        <v>98</v>
      </c>
      <c r="E815" s="0" t="s">
        <v>763</v>
      </c>
    </row>
    <row r="816" customFormat="false" ht="15" hidden="false" customHeight="false" outlineLevel="0" collapsed="false">
      <c r="A816" s="0" t="s">
        <v>740</v>
      </c>
      <c r="B816" s="0" t="s">
        <v>1442</v>
      </c>
      <c r="C816" s="0" t="s">
        <v>1414</v>
      </c>
      <c r="D816" s="0" t="s">
        <v>93</v>
      </c>
      <c r="E816" s="0" t="s">
        <v>1411</v>
      </c>
    </row>
    <row r="817" customFormat="false" ht="15" hidden="false" customHeight="false" outlineLevel="0" collapsed="false">
      <c r="A817" s="0" t="s">
        <v>740</v>
      </c>
      <c r="B817" s="0" t="s">
        <v>1443</v>
      </c>
      <c r="C817" s="0" t="s">
        <v>580</v>
      </c>
      <c r="D817" s="0" t="s">
        <v>93</v>
      </c>
    </row>
    <row r="818" customFormat="false" ht="15" hidden="false" customHeight="false" outlineLevel="0" collapsed="false">
      <c r="A818" s="0" t="s">
        <v>740</v>
      </c>
      <c r="B818" s="0" t="s">
        <v>1444</v>
      </c>
      <c r="C818" s="0" t="s">
        <v>580</v>
      </c>
      <c r="D818" s="0" t="s">
        <v>93</v>
      </c>
    </row>
    <row r="819" customFormat="false" ht="15" hidden="false" customHeight="false" outlineLevel="0" collapsed="false">
      <c r="A819" s="0" t="s">
        <v>740</v>
      </c>
      <c r="B819" s="0" t="s">
        <v>1445</v>
      </c>
      <c r="C819" s="0" t="s">
        <v>580</v>
      </c>
      <c r="D819" s="0" t="s">
        <v>93</v>
      </c>
      <c r="E819" s="0" t="s">
        <v>788</v>
      </c>
    </row>
    <row r="820" customFormat="false" ht="15" hidden="false" customHeight="false" outlineLevel="0" collapsed="false">
      <c r="A820" s="0" t="s">
        <v>740</v>
      </c>
      <c r="B820" s="0" t="s">
        <v>1446</v>
      </c>
      <c r="C820" s="0" t="s">
        <v>1419</v>
      </c>
      <c r="D820" s="0" t="s">
        <v>93</v>
      </c>
    </row>
    <row r="821" customFormat="false" ht="15" hidden="false" customHeight="false" outlineLevel="0" collapsed="false">
      <c r="A821" s="0" t="s">
        <v>740</v>
      </c>
      <c r="B821" s="0" t="s">
        <v>1447</v>
      </c>
      <c r="C821" s="0" t="s">
        <v>1419</v>
      </c>
      <c r="D821" s="0" t="s">
        <v>93</v>
      </c>
      <c r="E821" s="0" t="s">
        <v>909</v>
      </c>
    </row>
    <row r="822" customFormat="false" ht="15" hidden="false" customHeight="false" outlineLevel="0" collapsed="false">
      <c r="A822" s="0" t="s">
        <v>740</v>
      </c>
      <c r="B822" s="0" t="s">
        <v>1448</v>
      </c>
      <c r="C822" s="0" t="s">
        <v>911</v>
      </c>
      <c r="D822" s="0" t="s">
        <v>93</v>
      </c>
    </row>
    <row r="823" customFormat="false" ht="15" hidden="false" customHeight="false" outlineLevel="0" collapsed="false">
      <c r="A823" s="0" t="s">
        <v>740</v>
      </c>
      <c r="B823" s="0" t="s">
        <v>1449</v>
      </c>
      <c r="C823" s="0" t="s">
        <v>911</v>
      </c>
      <c r="D823" s="0" t="s">
        <v>93</v>
      </c>
      <c r="E823" s="0" t="s">
        <v>914</v>
      </c>
    </row>
    <row r="824" customFormat="false" ht="15" hidden="false" customHeight="false" outlineLevel="0" collapsed="false">
      <c r="A824" s="0" t="s">
        <v>740</v>
      </c>
      <c r="B824" s="0" t="s">
        <v>1450</v>
      </c>
      <c r="C824" s="0" t="s">
        <v>911</v>
      </c>
      <c r="D824" s="0" t="s">
        <v>93</v>
      </c>
      <c r="E824" s="0" t="s">
        <v>914</v>
      </c>
    </row>
    <row r="825" customFormat="false" ht="15" hidden="false" customHeight="false" outlineLevel="0" collapsed="false">
      <c r="A825" s="0" t="s">
        <v>740</v>
      </c>
      <c r="B825" s="0" t="s">
        <v>1451</v>
      </c>
      <c r="C825" s="0" t="s">
        <v>911</v>
      </c>
      <c r="D825" s="0" t="s">
        <v>93</v>
      </c>
      <c r="E825" s="0" t="s">
        <v>914</v>
      </c>
    </row>
    <row r="826" customFormat="false" ht="15" hidden="false" customHeight="false" outlineLevel="0" collapsed="false">
      <c r="A826" s="0" t="s">
        <v>740</v>
      </c>
      <c r="B826" s="0" t="s">
        <v>1452</v>
      </c>
      <c r="C826" s="0" t="s">
        <v>560</v>
      </c>
      <c r="D826" s="0" t="s">
        <v>93</v>
      </c>
    </row>
    <row r="827" customFormat="false" ht="15" hidden="false" customHeight="false" outlineLevel="0" collapsed="false">
      <c r="A827" s="0" t="s">
        <v>740</v>
      </c>
      <c r="B827" s="0" t="s">
        <v>1453</v>
      </c>
      <c r="C827" s="0" t="s">
        <v>560</v>
      </c>
      <c r="D827" s="0" t="s">
        <v>93</v>
      </c>
      <c r="E827" s="0" t="s">
        <v>922</v>
      </c>
    </row>
    <row r="828" customFormat="false" ht="15" hidden="false" customHeight="false" outlineLevel="0" collapsed="false">
      <c r="A828" s="0" t="s">
        <v>740</v>
      </c>
      <c r="B828" s="0" t="s">
        <v>1454</v>
      </c>
      <c r="C828" s="0" t="s">
        <v>560</v>
      </c>
      <c r="D828" s="0" t="s">
        <v>93</v>
      </c>
      <c r="E828" s="0" t="s">
        <v>922</v>
      </c>
    </row>
    <row r="829" customFormat="false" ht="15" hidden="false" customHeight="false" outlineLevel="0" collapsed="false">
      <c r="A829" s="0" t="s">
        <v>740</v>
      </c>
      <c r="B829" s="0" t="s">
        <v>1455</v>
      </c>
      <c r="C829" s="0" t="s">
        <v>560</v>
      </c>
      <c r="D829" s="0" t="s">
        <v>93</v>
      </c>
      <c r="E829" s="0" t="s">
        <v>922</v>
      </c>
    </row>
    <row r="830" customFormat="false" ht="15" hidden="false" customHeight="false" outlineLevel="0" collapsed="false">
      <c r="A830" s="0" t="s">
        <v>740</v>
      </c>
      <c r="B830" s="0" t="s">
        <v>1456</v>
      </c>
      <c r="C830" s="0" t="s">
        <v>560</v>
      </c>
      <c r="D830" s="0" t="s">
        <v>93</v>
      </c>
    </row>
    <row r="831" customFormat="false" ht="15" hidden="false" customHeight="false" outlineLevel="0" collapsed="false">
      <c r="A831" s="0" t="s">
        <v>740</v>
      </c>
      <c r="B831" s="0" t="s">
        <v>1457</v>
      </c>
      <c r="C831" s="0" t="s">
        <v>1458</v>
      </c>
      <c r="D831" s="0" t="s">
        <v>98</v>
      </c>
      <c r="E831" s="0" t="s">
        <v>826</v>
      </c>
    </row>
    <row r="832" customFormat="false" ht="15" hidden="false" customHeight="false" outlineLevel="0" collapsed="false">
      <c r="A832" s="0" t="s">
        <v>740</v>
      </c>
      <c r="B832" s="0" t="s">
        <v>1459</v>
      </c>
      <c r="C832" s="0" t="s">
        <v>1460</v>
      </c>
      <c r="D832" s="0" t="s">
        <v>98</v>
      </c>
      <c r="E832" s="0" t="s">
        <v>826</v>
      </c>
    </row>
    <row r="833" customFormat="false" ht="15" hidden="false" customHeight="false" outlineLevel="0" collapsed="false">
      <c r="A833" s="0" t="s">
        <v>740</v>
      </c>
      <c r="B833" s="0" t="s">
        <v>1461</v>
      </c>
      <c r="C833" s="0" t="s">
        <v>1462</v>
      </c>
      <c r="D833" s="0" t="s">
        <v>98</v>
      </c>
      <c r="E833" s="0" t="s">
        <v>826</v>
      </c>
    </row>
    <row r="834" customFormat="false" ht="15" hidden="false" customHeight="false" outlineLevel="0" collapsed="false">
      <c r="A834" s="0" t="s">
        <v>740</v>
      </c>
      <c r="B834" s="0" t="s">
        <v>1463</v>
      </c>
      <c r="C834" s="0" t="s">
        <v>1464</v>
      </c>
      <c r="D834" s="0" t="s">
        <v>98</v>
      </c>
      <c r="E834" s="0" t="s">
        <v>826</v>
      </c>
    </row>
    <row r="835" customFormat="false" ht="15" hidden="false" customHeight="false" outlineLevel="0" collapsed="false">
      <c r="A835" s="0" t="s">
        <v>740</v>
      </c>
      <c r="B835" s="0" t="s">
        <v>1465</v>
      </c>
      <c r="C835" s="0" t="s">
        <v>1466</v>
      </c>
      <c r="D835" s="0" t="s">
        <v>98</v>
      </c>
      <c r="E835" s="0" t="s">
        <v>826</v>
      </c>
    </row>
    <row r="836" customFormat="false" ht="15" hidden="false" customHeight="false" outlineLevel="0" collapsed="false">
      <c r="A836" s="0" t="s">
        <v>740</v>
      </c>
      <c r="B836" s="0" t="s">
        <v>1467</v>
      </c>
      <c r="C836" s="0" t="s">
        <v>1468</v>
      </c>
      <c r="D836" s="0" t="s">
        <v>98</v>
      </c>
      <c r="E836" s="0" t="s">
        <v>826</v>
      </c>
    </row>
    <row r="837" customFormat="false" ht="15" hidden="false" customHeight="false" outlineLevel="0" collapsed="false">
      <c r="A837" s="0" t="s">
        <v>740</v>
      </c>
      <c r="B837" s="0" t="s">
        <v>1469</v>
      </c>
      <c r="C837" s="0" t="s">
        <v>1470</v>
      </c>
      <c r="D837" s="0" t="s">
        <v>98</v>
      </c>
      <c r="E837" s="0" t="s">
        <v>826</v>
      </c>
    </row>
    <row r="838" customFormat="false" ht="15" hidden="false" customHeight="false" outlineLevel="0" collapsed="false">
      <c r="A838" s="0" t="s">
        <v>740</v>
      </c>
      <c r="B838" s="0" t="s">
        <v>1471</v>
      </c>
      <c r="C838" s="0" t="s">
        <v>1472</v>
      </c>
      <c r="D838" s="0" t="s">
        <v>98</v>
      </c>
      <c r="E838" s="0" t="s">
        <v>826</v>
      </c>
    </row>
    <row r="839" customFormat="false" ht="15" hidden="false" customHeight="false" outlineLevel="0" collapsed="false">
      <c r="A839" s="0" t="s">
        <v>740</v>
      </c>
      <c r="B839" s="0" t="s">
        <v>1473</v>
      </c>
      <c r="C839" s="0" t="s">
        <v>1474</v>
      </c>
      <c r="D839" s="0" t="s">
        <v>98</v>
      </c>
      <c r="E839" s="0" t="s">
        <v>826</v>
      </c>
    </row>
    <row r="840" customFormat="false" ht="15" hidden="false" customHeight="false" outlineLevel="0" collapsed="false">
      <c r="A840" s="0" t="s">
        <v>740</v>
      </c>
      <c r="B840" s="0" t="s">
        <v>1475</v>
      </c>
      <c r="C840" s="0" t="s">
        <v>1476</v>
      </c>
      <c r="D840" s="0" t="s">
        <v>98</v>
      </c>
      <c r="E840" s="0" t="s">
        <v>826</v>
      </c>
    </row>
    <row r="841" customFormat="false" ht="15" hidden="false" customHeight="false" outlineLevel="0" collapsed="false">
      <c r="A841" s="0" t="s">
        <v>740</v>
      </c>
      <c r="B841" s="0" t="s">
        <v>1477</v>
      </c>
      <c r="C841" s="0" t="s">
        <v>1478</v>
      </c>
      <c r="D841" s="0" t="s">
        <v>98</v>
      </c>
      <c r="E841" s="0" t="s">
        <v>826</v>
      </c>
    </row>
    <row r="842" customFormat="false" ht="15" hidden="false" customHeight="false" outlineLevel="0" collapsed="false">
      <c r="A842" s="0" t="s">
        <v>740</v>
      </c>
      <c r="B842" s="0" t="s">
        <v>1479</v>
      </c>
      <c r="C842" s="0" t="s">
        <v>1480</v>
      </c>
      <c r="D842" s="0" t="s">
        <v>98</v>
      </c>
      <c r="E842" s="0" t="s">
        <v>826</v>
      </c>
    </row>
    <row r="843" customFormat="false" ht="15" hidden="false" customHeight="false" outlineLevel="0" collapsed="false">
      <c r="A843" s="0" t="s">
        <v>740</v>
      </c>
      <c r="B843" s="0" t="s">
        <v>1481</v>
      </c>
      <c r="C843" s="0" t="s">
        <v>1482</v>
      </c>
      <c r="D843" s="0" t="s">
        <v>98</v>
      </c>
      <c r="E843" s="0" t="s">
        <v>826</v>
      </c>
    </row>
    <row r="844" customFormat="false" ht="15" hidden="false" customHeight="false" outlineLevel="0" collapsed="false">
      <c r="A844" s="0" t="s">
        <v>740</v>
      </c>
      <c r="B844" s="0" t="s">
        <v>1483</v>
      </c>
      <c r="C844" s="0" t="s">
        <v>1484</v>
      </c>
      <c r="D844" s="0" t="s">
        <v>98</v>
      </c>
      <c r="E844" s="0" t="s">
        <v>826</v>
      </c>
    </row>
    <row r="845" customFormat="false" ht="15" hidden="false" customHeight="false" outlineLevel="0" collapsed="false">
      <c r="A845" s="0" t="s">
        <v>740</v>
      </c>
      <c r="B845" s="0" t="s">
        <v>1485</v>
      </c>
      <c r="C845" s="0" t="s">
        <v>1486</v>
      </c>
      <c r="D845" s="0" t="s">
        <v>98</v>
      </c>
      <c r="E845" s="0" t="s">
        <v>826</v>
      </c>
    </row>
    <row r="846" customFormat="false" ht="15" hidden="false" customHeight="false" outlineLevel="0" collapsed="false">
      <c r="A846" s="0" t="s">
        <v>740</v>
      </c>
      <c r="B846" s="0" t="s">
        <v>1487</v>
      </c>
      <c r="C846" s="0" t="s">
        <v>1488</v>
      </c>
      <c r="D846" s="0" t="s">
        <v>98</v>
      </c>
      <c r="E846" s="0" t="s">
        <v>826</v>
      </c>
    </row>
    <row r="847" customFormat="false" ht="15" hidden="false" customHeight="false" outlineLevel="0" collapsed="false">
      <c r="A847" s="0" t="s">
        <v>740</v>
      </c>
      <c r="B847" s="0" t="s">
        <v>1489</v>
      </c>
      <c r="C847" s="0" t="s">
        <v>1490</v>
      </c>
      <c r="D847" s="0" t="s">
        <v>98</v>
      </c>
      <c r="E847" s="0" t="s">
        <v>826</v>
      </c>
    </row>
    <row r="848" customFormat="false" ht="15" hidden="false" customHeight="false" outlineLevel="0" collapsed="false">
      <c r="A848" s="0" t="s">
        <v>740</v>
      </c>
      <c r="B848" s="0" t="s">
        <v>1491</v>
      </c>
      <c r="C848" s="0" t="s">
        <v>1492</v>
      </c>
      <c r="D848" s="0" t="s">
        <v>98</v>
      </c>
      <c r="E848" s="0" t="s">
        <v>826</v>
      </c>
    </row>
    <row r="849" customFormat="false" ht="15" hidden="false" customHeight="false" outlineLevel="0" collapsed="false">
      <c r="A849" s="0" t="s">
        <v>740</v>
      </c>
      <c r="B849" s="0" t="s">
        <v>1493</v>
      </c>
      <c r="C849" s="0" t="s">
        <v>1494</v>
      </c>
      <c r="D849" s="0" t="s">
        <v>98</v>
      </c>
      <c r="E849" s="0" t="s">
        <v>826</v>
      </c>
    </row>
    <row r="850" customFormat="false" ht="15" hidden="false" customHeight="false" outlineLevel="0" collapsed="false">
      <c r="A850" s="0" t="s">
        <v>740</v>
      </c>
      <c r="B850" s="0" t="s">
        <v>1495</v>
      </c>
      <c r="C850" s="0" t="s">
        <v>1496</v>
      </c>
      <c r="D850" s="0" t="s">
        <v>98</v>
      </c>
      <c r="E850" s="0" t="s">
        <v>826</v>
      </c>
    </row>
    <row r="851" customFormat="false" ht="15" hidden="false" customHeight="false" outlineLevel="0" collapsed="false">
      <c r="A851" s="0" t="s">
        <v>740</v>
      </c>
      <c r="B851" s="0" t="s">
        <v>1497</v>
      </c>
      <c r="C851" s="0" t="s">
        <v>1498</v>
      </c>
      <c r="D851" s="0" t="s">
        <v>98</v>
      </c>
      <c r="E851" s="0" t="s">
        <v>826</v>
      </c>
    </row>
    <row r="852" customFormat="false" ht="15" hidden="false" customHeight="false" outlineLevel="0" collapsed="false">
      <c r="A852" s="0" t="s">
        <v>740</v>
      </c>
      <c r="B852" s="0" t="s">
        <v>1499</v>
      </c>
      <c r="C852" s="0" t="s">
        <v>1500</v>
      </c>
      <c r="D852" s="0" t="s">
        <v>98</v>
      </c>
      <c r="E852" s="0" t="s">
        <v>826</v>
      </c>
    </row>
    <row r="853" customFormat="false" ht="15" hidden="false" customHeight="false" outlineLevel="0" collapsed="false">
      <c r="A853" s="0" t="s">
        <v>740</v>
      </c>
      <c r="B853" s="0" t="s">
        <v>1501</v>
      </c>
      <c r="C853" s="0" t="s">
        <v>1502</v>
      </c>
      <c r="D853" s="0" t="s">
        <v>98</v>
      </c>
      <c r="E853" s="0" t="s">
        <v>826</v>
      </c>
    </row>
    <row r="854" customFormat="false" ht="15" hidden="false" customHeight="false" outlineLevel="0" collapsed="false">
      <c r="A854" s="0" t="s">
        <v>740</v>
      </c>
      <c r="B854" s="0" t="s">
        <v>1503</v>
      </c>
      <c r="C854" s="0" t="s">
        <v>1504</v>
      </c>
      <c r="D854" s="0" t="s">
        <v>98</v>
      </c>
      <c r="E854" s="0" t="s">
        <v>826</v>
      </c>
    </row>
    <row r="855" customFormat="false" ht="15" hidden="false" customHeight="false" outlineLevel="0" collapsed="false">
      <c r="A855" s="0" t="s">
        <v>740</v>
      </c>
      <c r="B855" s="0" t="s">
        <v>1505</v>
      </c>
      <c r="C855" s="0" t="s">
        <v>1506</v>
      </c>
      <c r="D855" s="0" t="s">
        <v>98</v>
      </c>
      <c r="E855" s="0" t="s">
        <v>826</v>
      </c>
    </row>
    <row r="856" customFormat="false" ht="15" hidden="false" customHeight="false" outlineLevel="0" collapsed="false">
      <c r="A856" s="0" t="s">
        <v>740</v>
      </c>
      <c r="B856" s="0" t="s">
        <v>1507</v>
      </c>
      <c r="C856" s="0" t="s">
        <v>1508</v>
      </c>
      <c r="D856" s="0" t="s">
        <v>98</v>
      </c>
      <c r="E856" s="0" t="s">
        <v>826</v>
      </c>
    </row>
    <row r="857" customFormat="false" ht="15" hidden="false" customHeight="false" outlineLevel="0" collapsed="false">
      <c r="A857" s="0" t="s">
        <v>740</v>
      </c>
      <c r="B857" s="0" t="s">
        <v>1509</v>
      </c>
      <c r="C857" s="0" t="s">
        <v>1510</v>
      </c>
      <c r="D857" s="0" t="s">
        <v>98</v>
      </c>
      <c r="E857" s="0" t="s">
        <v>826</v>
      </c>
    </row>
    <row r="858" customFormat="false" ht="15" hidden="false" customHeight="false" outlineLevel="0" collapsed="false">
      <c r="A858" s="0" t="s">
        <v>740</v>
      </c>
      <c r="B858" s="0" t="s">
        <v>1511</v>
      </c>
      <c r="C858" s="0" t="s">
        <v>1512</v>
      </c>
      <c r="D858" s="0" t="s">
        <v>98</v>
      </c>
      <c r="E858" s="0" t="s">
        <v>826</v>
      </c>
    </row>
    <row r="859" customFormat="false" ht="15" hidden="false" customHeight="false" outlineLevel="0" collapsed="false">
      <c r="A859" s="0" t="s">
        <v>740</v>
      </c>
      <c r="B859" s="0" t="s">
        <v>1513</v>
      </c>
      <c r="C859" s="0" t="s">
        <v>355</v>
      </c>
      <c r="D859" s="0" t="s">
        <v>86</v>
      </c>
      <c r="E859" s="0" t="s">
        <v>1514</v>
      </c>
    </row>
    <row r="860" customFormat="false" ht="15" hidden="false" customHeight="false" outlineLevel="0" collapsed="false">
      <c r="A860" s="0" t="s">
        <v>740</v>
      </c>
      <c r="B860" s="0" t="s">
        <v>1515</v>
      </c>
      <c r="C860" s="0" t="s">
        <v>570</v>
      </c>
      <c r="D860" s="0" t="s">
        <v>86</v>
      </c>
      <c r="E860" s="0" t="s">
        <v>230</v>
      </c>
    </row>
    <row r="861" customFormat="false" ht="15" hidden="false" customHeight="false" outlineLevel="0" collapsed="false">
      <c r="A861" s="0" t="s">
        <v>740</v>
      </c>
      <c r="B861" s="0" t="s">
        <v>1516</v>
      </c>
      <c r="C861" s="0" t="s">
        <v>570</v>
      </c>
      <c r="D861" s="0" t="s">
        <v>86</v>
      </c>
      <c r="E861" s="0" t="s">
        <v>230</v>
      </c>
    </row>
    <row r="862" customFormat="false" ht="15" hidden="false" customHeight="false" outlineLevel="0" collapsed="false">
      <c r="A862" s="0" t="s">
        <v>740</v>
      </c>
      <c r="B862" s="0" t="s">
        <v>1517</v>
      </c>
      <c r="C862" s="0" t="s">
        <v>570</v>
      </c>
      <c r="D862" s="0" t="s">
        <v>86</v>
      </c>
      <c r="E862" s="0" t="s">
        <v>230</v>
      </c>
    </row>
    <row r="863" customFormat="false" ht="15" hidden="false" customHeight="false" outlineLevel="0" collapsed="false">
      <c r="A863" s="0" t="s">
        <v>740</v>
      </c>
      <c r="B863" s="0" t="s">
        <v>1518</v>
      </c>
      <c r="C863" s="0" t="s">
        <v>570</v>
      </c>
      <c r="D863" s="0" t="s">
        <v>86</v>
      </c>
      <c r="E863" s="0" t="s">
        <v>230</v>
      </c>
    </row>
    <row r="864" customFormat="false" ht="15" hidden="false" customHeight="false" outlineLevel="0" collapsed="false">
      <c r="A864" s="0" t="s">
        <v>740</v>
      </c>
      <c r="B864" s="0" t="s">
        <v>1519</v>
      </c>
      <c r="C864" s="0" t="s">
        <v>570</v>
      </c>
      <c r="D864" s="0" t="s">
        <v>86</v>
      </c>
      <c r="E864" s="0" t="s">
        <v>230</v>
      </c>
    </row>
    <row r="865" customFormat="false" ht="15" hidden="false" customHeight="false" outlineLevel="0" collapsed="false">
      <c r="A865" s="0" t="s">
        <v>740</v>
      </c>
      <c r="B865" s="0" t="s">
        <v>1520</v>
      </c>
      <c r="C865" s="0" t="s">
        <v>570</v>
      </c>
      <c r="D865" s="0" t="s">
        <v>86</v>
      </c>
      <c r="E865" s="0" t="s">
        <v>230</v>
      </c>
    </row>
    <row r="866" customFormat="false" ht="15" hidden="false" customHeight="false" outlineLevel="0" collapsed="false">
      <c r="A866" s="0" t="s">
        <v>740</v>
      </c>
      <c r="B866" s="0" t="s">
        <v>1521</v>
      </c>
      <c r="C866" s="0" t="s">
        <v>570</v>
      </c>
      <c r="D866" s="0" t="s">
        <v>86</v>
      </c>
      <c r="E866" s="0" t="s">
        <v>230</v>
      </c>
    </row>
    <row r="867" customFormat="false" ht="15" hidden="false" customHeight="false" outlineLevel="0" collapsed="false">
      <c r="A867" s="0" t="s">
        <v>740</v>
      </c>
      <c r="B867" s="0" t="s">
        <v>1522</v>
      </c>
      <c r="C867" s="0" t="s">
        <v>570</v>
      </c>
      <c r="D867" s="0" t="s">
        <v>744</v>
      </c>
      <c r="E867" s="0" t="s">
        <v>230</v>
      </c>
    </row>
    <row r="868" customFormat="false" ht="15" hidden="false" customHeight="false" outlineLevel="0" collapsed="false">
      <c r="A868" s="0" t="s">
        <v>740</v>
      </c>
      <c r="B868" s="0" t="s">
        <v>1523</v>
      </c>
      <c r="C868" s="0" t="s">
        <v>570</v>
      </c>
      <c r="D868" s="0" t="s">
        <v>744</v>
      </c>
      <c r="E868" s="0" t="s">
        <v>230</v>
      </c>
    </row>
    <row r="869" customFormat="false" ht="15" hidden="false" customHeight="false" outlineLevel="0" collapsed="false">
      <c r="A869" s="0" t="s">
        <v>740</v>
      </c>
      <c r="B869" s="0" t="s">
        <v>1524</v>
      </c>
      <c r="C869" s="0" t="s">
        <v>570</v>
      </c>
      <c r="D869" s="0" t="s">
        <v>744</v>
      </c>
      <c r="E869" s="0" t="s">
        <v>230</v>
      </c>
    </row>
    <row r="870" customFormat="false" ht="15" hidden="false" customHeight="false" outlineLevel="0" collapsed="false">
      <c r="A870" s="0" t="s">
        <v>740</v>
      </c>
      <c r="B870" s="0" t="s">
        <v>1525</v>
      </c>
      <c r="C870" s="0" t="s">
        <v>570</v>
      </c>
      <c r="D870" s="0" t="s">
        <v>744</v>
      </c>
      <c r="E870" s="0" t="s">
        <v>230</v>
      </c>
    </row>
    <row r="871" customFormat="false" ht="15" hidden="false" customHeight="false" outlineLevel="0" collapsed="false">
      <c r="A871" s="0" t="s">
        <v>740</v>
      </c>
      <c r="B871" s="0" t="s">
        <v>1526</v>
      </c>
      <c r="C871" s="0" t="s">
        <v>570</v>
      </c>
      <c r="D871" s="0" t="s">
        <v>744</v>
      </c>
      <c r="E871" s="0" t="s">
        <v>230</v>
      </c>
    </row>
    <row r="872" customFormat="false" ht="15" hidden="false" customHeight="false" outlineLevel="0" collapsed="false">
      <c r="A872" s="0" t="s">
        <v>740</v>
      </c>
      <c r="B872" s="0" t="s">
        <v>1527</v>
      </c>
      <c r="C872" s="0" t="s">
        <v>570</v>
      </c>
      <c r="D872" s="0" t="s">
        <v>744</v>
      </c>
      <c r="E872" s="0" t="s">
        <v>230</v>
      </c>
    </row>
    <row r="873" customFormat="false" ht="15" hidden="false" customHeight="false" outlineLevel="0" collapsed="false">
      <c r="A873" s="0" t="s">
        <v>740</v>
      </c>
      <c r="B873" s="0" t="s">
        <v>1528</v>
      </c>
      <c r="C873" s="0" t="s">
        <v>570</v>
      </c>
      <c r="D873" s="0" t="s">
        <v>744</v>
      </c>
      <c r="E873" s="0" t="s">
        <v>230</v>
      </c>
    </row>
    <row r="874" customFormat="false" ht="15" hidden="false" customHeight="false" outlineLevel="0" collapsed="false">
      <c r="A874" s="0" t="s">
        <v>740</v>
      </c>
      <c r="B874" s="0" t="s">
        <v>1529</v>
      </c>
      <c r="C874" s="0" t="s">
        <v>570</v>
      </c>
      <c r="D874" s="0" t="s">
        <v>744</v>
      </c>
      <c r="E874" s="0" t="s">
        <v>230</v>
      </c>
    </row>
    <row r="875" customFormat="false" ht="15" hidden="false" customHeight="false" outlineLevel="0" collapsed="false">
      <c r="A875" s="0" t="s">
        <v>740</v>
      </c>
      <c r="B875" s="0" t="s">
        <v>1530</v>
      </c>
      <c r="C875" s="0" t="s">
        <v>570</v>
      </c>
      <c r="D875" s="0" t="s">
        <v>744</v>
      </c>
      <c r="E875" s="0" t="s">
        <v>230</v>
      </c>
    </row>
    <row r="876" customFormat="false" ht="15" hidden="false" customHeight="false" outlineLevel="0" collapsed="false">
      <c r="A876" s="0" t="s">
        <v>740</v>
      </c>
      <c r="B876" s="0" t="s">
        <v>1531</v>
      </c>
      <c r="C876" s="0" t="s">
        <v>570</v>
      </c>
      <c r="D876" s="0" t="s">
        <v>744</v>
      </c>
      <c r="E876" s="0" t="s">
        <v>230</v>
      </c>
    </row>
    <row r="877" customFormat="false" ht="15" hidden="false" customHeight="false" outlineLevel="0" collapsed="false">
      <c r="A877" s="0" t="s">
        <v>740</v>
      </c>
      <c r="B877" s="0" t="s">
        <v>1532</v>
      </c>
      <c r="C877" s="0" t="s">
        <v>570</v>
      </c>
      <c r="D877" s="0" t="s">
        <v>744</v>
      </c>
      <c r="E877" s="0" t="s">
        <v>230</v>
      </c>
    </row>
    <row r="878" customFormat="false" ht="15" hidden="false" customHeight="false" outlineLevel="0" collapsed="false">
      <c r="A878" s="0" t="s">
        <v>740</v>
      </c>
      <c r="B878" s="0" t="s">
        <v>1533</v>
      </c>
      <c r="C878" s="0" t="s">
        <v>570</v>
      </c>
      <c r="D878" s="0" t="s">
        <v>744</v>
      </c>
      <c r="E878" s="0" t="s">
        <v>230</v>
      </c>
    </row>
    <row r="879" customFormat="false" ht="15" hidden="false" customHeight="false" outlineLevel="0" collapsed="false">
      <c r="A879" s="0" t="s">
        <v>740</v>
      </c>
      <c r="B879" s="0" t="s">
        <v>1534</v>
      </c>
      <c r="C879" s="0" t="s">
        <v>570</v>
      </c>
      <c r="D879" s="0" t="s">
        <v>744</v>
      </c>
      <c r="E879" s="0" t="s">
        <v>230</v>
      </c>
    </row>
    <row r="880" customFormat="false" ht="15" hidden="false" customHeight="false" outlineLevel="0" collapsed="false">
      <c r="A880" s="0" t="s">
        <v>740</v>
      </c>
      <c r="B880" s="0" t="s">
        <v>1535</v>
      </c>
      <c r="C880" s="0" t="s">
        <v>570</v>
      </c>
      <c r="D880" s="0" t="s">
        <v>744</v>
      </c>
      <c r="E880" s="0" t="s">
        <v>230</v>
      </c>
    </row>
    <row r="881" customFormat="false" ht="15" hidden="false" customHeight="false" outlineLevel="0" collapsed="false">
      <c r="A881" s="0" t="s">
        <v>740</v>
      </c>
      <c r="B881" s="0" t="s">
        <v>1536</v>
      </c>
      <c r="C881" s="0" t="s">
        <v>570</v>
      </c>
      <c r="D881" s="0" t="s">
        <v>744</v>
      </c>
      <c r="E881" s="0" t="s">
        <v>230</v>
      </c>
    </row>
    <row r="882" customFormat="false" ht="15" hidden="false" customHeight="false" outlineLevel="0" collapsed="false">
      <c r="A882" s="0" t="s">
        <v>740</v>
      </c>
      <c r="B882" s="0" t="s">
        <v>1537</v>
      </c>
      <c r="C882" s="0" t="s">
        <v>570</v>
      </c>
      <c r="D882" s="0" t="s">
        <v>744</v>
      </c>
      <c r="E882" s="0" t="s">
        <v>230</v>
      </c>
    </row>
    <row r="883" customFormat="false" ht="15" hidden="false" customHeight="false" outlineLevel="0" collapsed="false">
      <c r="A883" s="0" t="s">
        <v>740</v>
      </c>
      <c r="B883" s="0" t="s">
        <v>1538</v>
      </c>
      <c r="C883" s="0" t="s">
        <v>570</v>
      </c>
      <c r="D883" s="0" t="s">
        <v>744</v>
      </c>
      <c r="E883" s="0" t="s">
        <v>230</v>
      </c>
    </row>
    <row r="884" customFormat="false" ht="15" hidden="false" customHeight="false" outlineLevel="0" collapsed="false">
      <c r="A884" s="0" t="s">
        <v>740</v>
      </c>
      <c r="B884" s="0" t="s">
        <v>1539</v>
      </c>
      <c r="C884" s="0" t="s">
        <v>570</v>
      </c>
      <c r="D884" s="0" t="s">
        <v>744</v>
      </c>
      <c r="E884" s="0" t="s">
        <v>230</v>
      </c>
    </row>
    <row r="885" customFormat="false" ht="15" hidden="false" customHeight="false" outlineLevel="0" collapsed="false">
      <c r="A885" s="0" t="s">
        <v>740</v>
      </c>
      <c r="B885" s="0" t="s">
        <v>1540</v>
      </c>
      <c r="C885" s="0" t="s">
        <v>1159</v>
      </c>
      <c r="D885" s="0" t="s">
        <v>86</v>
      </c>
      <c r="E885" s="0" t="s">
        <v>1541</v>
      </c>
    </row>
    <row r="886" customFormat="false" ht="15" hidden="false" customHeight="false" outlineLevel="0" collapsed="false">
      <c r="A886" s="0" t="s">
        <v>740</v>
      </c>
      <c r="B886" s="0" t="s">
        <v>1542</v>
      </c>
      <c r="C886" s="0" t="s">
        <v>1159</v>
      </c>
      <c r="D886" s="0" t="s">
        <v>86</v>
      </c>
      <c r="E886" s="0" t="s">
        <v>1543</v>
      </c>
    </row>
    <row r="887" customFormat="false" ht="15" hidden="false" customHeight="false" outlineLevel="0" collapsed="false">
      <c r="A887" s="0" t="s">
        <v>740</v>
      </c>
      <c r="B887" s="0" t="s">
        <v>1544</v>
      </c>
      <c r="C887" s="0" t="s">
        <v>1159</v>
      </c>
      <c r="D887" s="0" t="s">
        <v>86</v>
      </c>
      <c r="E887" s="0" t="s">
        <v>1543</v>
      </c>
    </row>
    <row r="888" customFormat="false" ht="15" hidden="false" customHeight="false" outlineLevel="0" collapsed="false">
      <c r="A888" s="0" t="s">
        <v>740</v>
      </c>
      <c r="B888" s="0" t="s">
        <v>1545</v>
      </c>
      <c r="C888" s="0" t="s">
        <v>1159</v>
      </c>
      <c r="D888" s="0" t="s">
        <v>86</v>
      </c>
      <c r="E888" s="0" t="s">
        <v>1543</v>
      </c>
    </row>
    <row r="889" customFormat="false" ht="15" hidden="false" customHeight="false" outlineLevel="0" collapsed="false">
      <c r="A889" s="0" t="s">
        <v>740</v>
      </c>
      <c r="B889" s="0" t="s">
        <v>1546</v>
      </c>
      <c r="C889" s="0" t="s">
        <v>1159</v>
      </c>
      <c r="D889" s="0" t="s">
        <v>86</v>
      </c>
      <c r="E889" s="0" t="s">
        <v>1543</v>
      </c>
    </row>
    <row r="890" customFormat="false" ht="15" hidden="false" customHeight="false" outlineLevel="0" collapsed="false">
      <c r="A890" s="0" t="s">
        <v>740</v>
      </c>
      <c r="B890" s="0" t="s">
        <v>1547</v>
      </c>
      <c r="C890" s="0" t="s">
        <v>1159</v>
      </c>
      <c r="D890" s="0" t="s">
        <v>86</v>
      </c>
      <c r="E890" s="0" t="s">
        <v>1543</v>
      </c>
    </row>
    <row r="891" customFormat="false" ht="15" hidden="false" customHeight="false" outlineLevel="0" collapsed="false">
      <c r="A891" s="0" t="s">
        <v>740</v>
      </c>
      <c r="B891" s="0" t="s">
        <v>1548</v>
      </c>
      <c r="C891" s="0" t="s">
        <v>1159</v>
      </c>
      <c r="D891" s="0" t="s">
        <v>93</v>
      </c>
      <c r="E891" s="0" t="s">
        <v>1549</v>
      </c>
    </row>
    <row r="892" customFormat="false" ht="15" hidden="false" customHeight="false" outlineLevel="0" collapsed="false">
      <c r="A892" s="0" t="s">
        <v>740</v>
      </c>
      <c r="B892" s="0" t="s">
        <v>1550</v>
      </c>
      <c r="C892" s="0" t="s">
        <v>733</v>
      </c>
      <c r="D892" s="0" t="s">
        <v>93</v>
      </c>
      <c r="E892" s="0" t="s">
        <v>1551</v>
      </c>
    </row>
    <row r="893" customFormat="false" ht="15" hidden="false" customHeight="false" outlineLevel="0" collapsed="false">
      <c r="A893" s="0" t="s">
        <v>740</v>
      </c>
      <c r="B893" s="0" t="s">
        <v>1552</v>
      </c>
      <c r="C893" s="0" t="s">
        <v>570</v>
      </c>
      <c r="D893" s="0" t="s">
        <v>86</v>
      </c>
      <c r="E893" s="0" t="s">
        <v>1553</v>
      </c>
    </row>
    <row r="894" customFormat="false" ht="15" hidden="false" customHeight="false" outlineLevel="0" collapsed="false">
      <c r="A894" s="0" t="s">
        <v>740</v>
      </c>
      <c r="B894" s="0" t="s">
        <v>1554</v>
      </c>
      <c r="C894" s="0" t="s">
        <v>570</v>
      </c>
      <c r="D894" s="0" t="s">
        <v>86</v>
      </c>
      <c r="E894" s="0" t="s">
        <v>1555</v>
      </c>
    </row>
    <row r="895" customFormat="false" ht="15" hidden="false" customHeight="false" outlineLevel="0" collapsed="false">
      <c r="A895" s="0" t="s">
        <v>740</v>
      </c>
      <c r="B895" s="0" t="s">
        <v>1556</v>
      </c>
      <c r="C895" s="0" t="s">
        <v>570</v>
      </c>
      <c r="D895" s="0" t="s">
        <v>93</v>
      </c>
      <c r="E895" s="0" t="s">
        <v>1555</v>
      </c>
    </row>
    <row r="896" customFormat="false" ht="15" hidden="false" customHeight="false" outlineLevel="0" collapsed="false">
      <c r="A896" s="0" t="s">
        <v>740</v>
      </c>
      <c r="B896" s="0" t="s">
        <v>1557</v>
      </c>
      <c r="C896" s="0" t="s">
        <v>570</v>
      </c>
      <c r="D896" s="0" t="s">
        <v>93</v>
      </c>
      <c r="E896" s="0" t="s">
        <v>1555</v>
      </c>
    </row>
    <row r="897" customFormat="false" ht="15" hidden="false" customHeight="false" outlineLevel="0" collapsed="false">
      <c r="A897" s="0" t="s">
        <v>740</v>
      </c>
      <c r="B897" s="0" t="s">
        <v>1558</v>
      </c>
      <c r="C897" s="0" t="s">
        <v>570</v>
      </c>
      <c r="D897" s="0" t="s">
        <v>93</v>
      </c>
      <c r="E897" s="0" t="s">
        <v>1555</v>
      </c>
    </row>
    <row r="898" customFormat="false" ht="15" hidden="false" customHeight="false" outlineLevel="0" collapsed="false">
      <c r="A898" s="0" t="s">
        <v>740</v>
      </c>
      <c r="B898" s="0" t="s">
        <v>1559</v>
      </c>
      <c r="C898" s="0" t="s">
        <v>570</v>
      </c>
      <c r="D898" s="0" t="s">
        <v>93</v>
      </c>
      <c r="E898" s="0" t="s">
        <v>1555</v>
      </c>
    </row>
    <row r="899" customFormat="false" ht="15" hidden="false" customHeight="false" outlineLevel="0" collapsed="false">
      <c r="A899" s="0" t="s">
        <v>740</v>
      </c>
      <c r="B899" s="0" t="s">
        <v>1560</v>
      </c>
      <c r="C899" s="0" t="s">
        <v>570</v>
      </c>
      <c r="D899" s="0" t="s">
        <v>93</v>
      </c>
      <c r="E899" s="0" t="s">
        <v>1555</v>
      </c>
    </row>
    <row r="900" customFormat="false" ht="15" hidden="false" customHeight="false" outlineLevel="0" collapsed="false">
      <c r="A900" s="0" t="s">
        <v>740</v>
      </c>
      <c r="B900" s="0" t="s">
        <v>1561</v>
      </c>
      <c r="C900" s="0" t="s">
        <v>570</v>
      </c>
      <c r="D900" s="0" t="s">
        <v>93</v>
      </c>
      <c r="E900" s="0" t="s">
        <v>1555</v>
      </c>
    </row>
    <row r="901" customFormat="false" ht="15" hidden="false" customHeight="false" outlineLevel="0" collapsed="false">
      <c r="A901" s="0" t="s">
        <v>740</v>
      </c>
      <c r="B901" s="0" t="s">
        <v>1562</v>
      </c>
      <c r="C901" s="0" t="s">
        <v>570</v>
      </c>
      <c r="D901" s="0" t="s">
        <v>93</v>
      </c>
      <c r="E901" s="0" t="s">
        <v>1555</v>
      </c>
    </row>
    <row r="902" customFormat="false" ht="15" hidden="false" customHeight="false" outlineLevel="0" collapsed="false">
      <c r="A902" s="0" t="s">
        <v>740</v>
      </c>
      <c r="B902" s="0" t="s">
        <v>1563</v>
      </c>
      <c r="C902" s="0" t="s">
        <v>570</v>
      </c>
      <c r="D902" s="0" t="s">
        <v>93</v>
      </c>
      <c r="E902" s="0" t="s">
        <v>1555</v>
      </c>
    </row>
    <row r="903" customFormat="false" ht="15" hidden="false" customHeight="false" outlineLevel="0" collapsed="false">
      <c r="A903" s="0" t="s">
        <v>740</v>
      </c>
      <c r="B903" s="0" t="s">
        <v>1564</v>
      </c>
      <c r="C903" s="0" t="s">
        <v>570</v>
      </c>
      <c r="D903" s="0" t="s">
        <v>93</v>
      </c>
      <c r="E903" s="0" t="s">
        <v>1555</v>
      </c>
    </row>
    <row r="904" customFormat="false" ht="15" hidden="false" customHeight="false" outlineLevel="0" collapsed="false">
      <c r="A904" s="0" t="s">
        <v>740</v>
      </c>
      <c r="B904" s="0" t="s">
        <v>1565</v>
      </c>
      <c r="C904" s="0" t="s">
        <v>570</v>
      </c>
      <c r="D904" s="0" t="s">
        <v>93</v>
      </c>
      <c r="E904" s="0" t="s">
        <v>1555</v>
      </c>
    </row>
    <row r="905" customFormat="false" ht="15" hidden="false" customHeight="false" outlineLevel="0" collapsed="false">
      <c r="A905" s="0" t="s">
        <v>740</v>
      </c>
      <c r="B905" s="0" t="s">
        <v>1566</v>
      </c>
      <c r="C905" s="0" t="s">
        <v>570</v>
      </c>
      <c r="D905" s="0" t="s">
        <v>93</v>
      </c>
      <c r="E905" s="0" t="s">
        <v>1555</v>
      </c>
    </row>
    <row r="906" customFormat="false" ht="15" hidden="false" customHeight="false" outlineLevel="0" collapsed="false">
      <c r="A906" s="0" t="s">
        <v>740</v>
      </c>
      <c r="B906" s="0" t="s">
        <v>1567</v>
      </c>
      <c r="C906" s="0" t="s">
        <v>570</v>
      </c>
      <c r="D906" s="0" t="s">
        <v>93</v>
      </c>
      <c r="E906" s="0" t="s">
        <v>1555</v>
      </c>
    </row>
    <row r="907" customFormat="false" ht="15" hidden="false" customHeight="false" outlineLevel="0" collapsed="false">
      <c r="A907" s="0" t="s">
        <v>740</v>
      </c>
      <c r="B907" s="0" t="s">
        <v>1568</v>
      </c>
      <c r="C907" s="0" t="s">
        <v>570</v>
      </c>
      <c r="D907" s="0" t="s">
        <v>93</v>
      </c>
      <c r="E907" s="0" t="s">
        <v>1555</v>
      </c>
    </row>
    <row r="908" customFormat="false" ht="15" hidden="false" customHeight="false" outlineLevel="0" collapsed="false">
      <c r="A908" s="0" t="s">
        <v>740</v>
      </c>
      <c r="B908" s="0" t="s">
        <v>1569</v>
      </c>
      <c r="C908" s="0" t="s">
        <v>570</v>
      </c>
      <c r="D908" s="0" t="s">
        <v>93</v>
      </c>
      <c r="E908" s="0" t="s">
        <v>1555</v>
      </c>
    </row>
    <row r="909" customFormat="false" ht="15" hidden="false" customHeight="false" outlineLevel="0" collapsed="false">
      <c r="A909" s="0" t="s">
        <v>740</v>
      </c>
      <c r="B909" s="0" t="s">
        <v>1570</v>
      </c>
      <c r="C909" s="0" t="s">
        <v>570</v>
      </c>
      <c r="D909" s="0" t="s">
        <v>93</v>
      </c>
      <c r="E909" s="0" t="s">
        <v>1555</v>
      </c>
    </row>
    <row r="910" customFormat="false" ht="15" hidden="false" customHeight="false" outlineLevel="0" collapsed="false">
      <c r="A910" s="0" t="s">
        <v>740</v>
      </c>
      <c r="B910" s="0" t="s">
        <v>1571</v>
      </c>
      <c r="C910" s="0" t="s">
        <v>570</v>
      </c>
      <c r="D910" s="0" t="s">
        <v>93</v>
      </c>
      <c r="E910" s="0" t="s">
        <v>1555</v>
      </c>
    </row>
    <row r="911" customFormat="false" ht="15" hidden="false" customHeight="false" outlineLevel="0" collapsed="false">
      <c r="A911" s="0" t="s">
        <v>740</v>
      </c>
      <c r="B911" s="0" t="s">
        <v>1572</v>
      </c>
      <c r="C911" s="0" t="s">
        <v>570</v>
      </c>
      <c r="D911" s="0" t="s">
        <v>93</v>
      </c>
      <c r="E911" s="0" t="s">
        <v>1555</v>
      </c>
    </row>
    <row r="912" customFormat="false" ht="15" hidden="false" customHeight="false" outlineLevel="0" collapsed="false">
      <c r="A912" s="0" t="s">
        <v>740</v>
      </c>
      <c r="B912" s="0" t="s">
        <v>1573</v>
      </c>
      <c r="C912" s="0" t="s">
        <v>570</v>
      </c>
      <c r="D912" s="0" t="s">
        <v>93</v>
      </c>
      <c r="E912" s="0" t="s">
        <v>1555</v>
      </c>
    </row>
    <row r="913" customFormat="false" ht="15" hidden="false" customHeight="false" outlineLevel="0" collapsed="false">
      <c r="A913" s="0" t="s">
        <v>740</v>
      </c>
      <c r="B913" s="0" t="s">
        <v>1574</v>
      </c>
      <c r="C913" s="0" t="s">
        <v>1159</v>
      </c>
      <c r="D913" s="0" t="s">
        <v>86</v>
      </c>
      <c r="E913" s="0" t="s">
        <v>1541</v>
      </c>
    </row>
    <row r="914" customFormat="false" ht="15" hidden="false" customHeight="false" outlineLevel="0" collapsed="false">
      <c r="A914" s="0" t="s">
        <v>740</v>
      </c>
      <c r="B914" s="0" t="s">
        <v>1575</v>
      </c>
      <c r="C914" s="0" t="s">
        <v>1159</v>
      </c>
      <c r="D914" s="0" t="s">
        <v>86</v>
      </c>
      <c r="E914" s="0" t="s">
        <v>1543</v>
      </c>
    </row>
    <row r="915" customFormat="false" ht="15" hidden="false" customHeight="false" outlineLevel="0" collapsed="false">
      <c r="A915" s="0" t="s">
        <v>740</v>
      </c>
      <c r="B915" s="0" t="s">
        <v>1576</v>
      </c>
      <c r="C915" s="0" t="s">
        <v>1159</v>
      </c>
      <c r="D915" s="0" t="s">
        <v>86</v>
      </c>
      <c r="E915" s="0" t="s">
        <v>1543</v>
      </c>
    </row>
    <row r="916" customFormat="false" ht="15" hidden="false" customHeight="false" outlineLevel="0" collapsed="false">
      <c r="A916" s="0" t="s">
        <v>740</v>
      </c>
      <c r="B916" s="0" t="s">
        <v>1577</v>
      </c>
      <c r="C916" s="0" t="s">
        <v>1159</v>
      </c>
      <c r="D916" s="0" t="s">
        <v>86</v>
      </c>
      <c r="E916" s="0" t="s">
        <v>1543</v>
      </c>
    </row>
    <row r="917" customFormat="false" ht="15" hidden="false" customHeight="false" outlineLevel="0" collapsed="false">
      <c r="A917" s="0" t="s">
        <v>740</v>
      </c>
      <c r="B917" s="0" t="s">
        <v>1578</v>
      </c>
      <c r="C917" s="0" t="s">
        <v>1159</v>
      </c>
      <c r="D917" s="0" t="s">
        <v>86</v>
      </c>
      <c r="E917" s="0" t="s">
        <v>1543</v>
      </c>
    </row>
    <row r="918" customFormat="false" ht="15" hidden="false" customHeight="false" outlineLevel="0" collapsed="false">
      <c r="A918" s="0" t="s">
        <v>740</v>
      </c>
      <c r="B918" s="0" t="s">
        <v>1579</v>
      </c>
      <c r="C918" s="0" t="s">
        <v>1159</v>
      </c>
      <c r="D918" s="0" t="s">
        <v>86</v>
      </c>
      <c r="E918" s="0" t="s">
        <v>1543</v>
      </c>
    </row>
    <row r="919" customFormat="false" ht="15" hidden="false" customHeight="false" outlineLevel="0" collapsed="false">
      <c r="A919" s="0" t="s">
        <v>740</v>
      </c>
      <c r="B919" s="0" t="s">
        <v>1580</v>
      </c>
      <c r="C919" s="0" t="s">
        <v>733</v>
      </c>
      <c r="D919" s="0" t="s">
        <v>93</v>
      </c>
      <c r="E919" s="0" t="s">
        <v>1549</v>
      </c>
    </row>
    <row r="920" customFormat="false" ht="15" hidden="false" customHeight="false" outlineLevel="0" collapsed="false">
      <c r="A920" s="0" t="s">
        <v>740</v>
      </c>
      <c r="B920" s="0" t="s">
        <v>1581</v>
      </c>
      <c r="C920" s="0" t="s">
        <v>570</v>
      </c>
      <c r="D920" s="0" t="s">
        <v>93</v>
      </c>
      <c r="E920" s="0" t="s">
        <v>1551</v>
      </c>
    </row>
    <row r="921" customFormat="false" ht="15" hidden="false" customHeight="false" outlineLevel="0" collapsed="false">
      <c r="A921" s="0" t="s">
        <v>740</v>
      </c>
      <c r="B921" s="0" t="s">
        <v>1582</v>
      </c>
      <c r="C921" s="0" t="s">
        <v>570</v>
      </c>
      <c r="D921" s="0" t="s">
        <v>86</v>
      </c>
      <c r="E921" s="0" t="s">
        <v>1553</v>
      </c>
    </row>
    <row r="922" customFormat="false" ht="15" hidden="false" customHeight="false" outlineLevel="0" collapsed="false">
      <c r="A922" s="0" t="s">
        <v>740</v>
      </c>
      <c r="B922" s="0" t="s">
        <v>1583</v>
      </c>
      <c r="C922" s="0" t="s">
        <v>570</v>
      </c>
      <c r="D922" s="0" t="s">
        <v>86</v>
      </c>
      <c r="E922" s="0" t="s">
        <v>1555</v>
      </c>
    </row>
    <row r="923" customFormat="false" ht="15" hidden="false" customHeight="false" outlineLevel="0" collapsed="false">
      <c r="A923" s="0" t="s">
        <v>740</v>
      </c>
      <c r="B923" s="0" t="s">
        <v>1584</v>
      </c>
      <c r="C923" s="0" t="s">
        <v>570</v>
      </c>
      <c r="D923" s="0" t="s">
        <v>93</v>
      </c>
      <c r="E923" s="0" t="s">
        <v>1555</v>
      </c>
    </row>
    <row r="924" customFormat="false" ht="15" hidden="false" customHeight="false" outlineLevel="0" collapsed="false">
      <c r="A924" s="0" t="s">
        <v>740</v>
      </c>
      <c r="B924" s="0" t="s">
        <v>1585</v>
      </c>
      <c r="C924" s="0" t="s">
        <v>570</v>
      </c>
      <c r="D924" s="0" t="s">
        <v>93</v>
      </c>
      <c r="E924" s="0" t="s">
        <v>1555</v>
      </c>
    </row>
    <row r="925" customFormat="false" ht="15" hidden="false" customHeight="false" outlineLevel="0" collapsed="false">
      <c r="A925" s="0" t="s">
        <v>740</v>
      </c>
      <c r="B925" s="0" t="s">
        <v>1586</v>
      </c>
      <c r="C925" s="0" t="s">
        <v>570</v>
      </c>
      <c r="D925" s="0" t="s">
        <v>93</v>
      </c>
      <c r="E925" s="0" t="s">
        <v>1555</v>
      </c>
    </row>
    <row r="926" customFormat="false" ht="15" hidden="false" customHeight="false" outlineLevel="0" collapsed="false">
      <c r="A926" s="0" t="s">
        <v>740</v>
      </c>
      <c r="B926" s="0" t="s">
        <v>1587</v>
      </c>
      <c r="C926" s="0" t="s">
        <v>570</v>
      </c>
      <c r="D926" s="0" t="s">
        <v>93</v>
      </c>
      <c r="E926" s="0" t="s">
        <v>1555</v>
      </c>
    </row>
    <row r="927" customFormat="false" ht="15" hidden="false" customHeight="false" outlineLevel="0" collapsed="false">
      <c r="A927" s="0" t="s">
        <v>740</v>
      </c>
      <c r="B927" s="0" t="s">
        <v>1588</v>
      </c>
      <c r="C927" s="0" t="s">
        <v>570</v>
      </c>
      <c r="D927" s="0" t="s">
        <v>93</v>
      </c>
      <c r="E927" s="0" t="s">
        <v>1555</v>
      </c>
    </row>
    <row r="928" customFormat="false" ht="15" hidden="false" customHeight="false" outlineLevel="0" collapsed="false">
      <c r="A928" s="0" t="s">
        <v>740</v>
      </c>
      <c r="B928" s="0" t="s">
        <v>1589</v>
      </c>
      <c r="C928" s="0" t="s">
        <v>570</v>
      </c>
      <c r="D928" s="0" t="s">
        <v>93</v>
      </c>
      <c r="E928" s="0" t="s">
        <v>1555</v>
      </c>
    </row>
    <row r="929" customFormat="false" ht="15" hidden="false" customHeight="false" outlineLevel="0" collapsed="false">
      <c r="A929" s="0" t="s">
        <v>740</v>
      </c>
      <c r="B929" s="0" t="s">
        <v>1590</v>
      </c>
      <c r="C929" s="0" t="s">
        <v>570</v>
      </c>
      <c r="D929" s="0" t="s">
        <v>93</v>
      </c>
      <c r="E929" s="0" t="s">
        <v>1555</v>
      </c>
    </row>
    <row r="930" customFormat="false" ht="15" hidden="false" customHeight="false" outlineLevel="0" collapsed="false">
      <c r="A930" s="0" t="s">
        <v>740</v>
      </c>
      <c r="B930" s="0" t="s">
        <v>1591</v>
      </c>
      <c r="C930" s="0" t="s">
        <v>570</v>
      </c>
      <c r="D930" s="0" t="s">
        <v>93</v>
      </c>
      <c r="E930" s="0" t="s">
        <v>1555</v>
      </c>
    </row>
    <row r="931" customFormat="false" ht="15" hidden="false" customHeight="false" outlineLevel="0" collapsed="false">
      <c r="A931" s="0" t="s">
        <v>740</v>
      </c>
      <c r="B931" s="0" t="s">
        <v>1592</v>
      </c>
      <c r="C931" s="0" t="s">
        <v>570</v>
      </c>
      <c r="D931" s="0" t="s">
        <v>93</v>
      </c>
      <c r="E931" s="0" t="s">
        <v>1555</v>
      </c>
    </row>
    <row r="932" customFormat="false" ht="15" hidden="false" customHeight="false" outlineLevel="0" collapsed="false">
      <c r="A932" s="0" t="s">
        <v>740</v>
      </c>
      <c r="B932" s="0" t="s">
        <v>1593</v>
      </c>
      <c r="C932" s="0" t="s">
        <v>570</v>
      </c>
      <c r="D932" s="0" t="s">
        <v>93</v>
      </c>
      <c r="E932" s="0" t="s">
        <v>1555</v>
      </c>
    </row>
    <row r="933" customFormat="false" ht="15" hidden="false" customHeight="false" outlineLevel="0" collapsed="false">
      <c r="A933" s="0" t="s">
        <v>740</v>
      </c>
      <c r="B933" s="0" t="s">
        <v>1594</v>
      </c>
      <c r="C933" s="0" t="s">
        <v>570</v>
      </c>
      <c r="D933" s="0" t="s">
        <v>93</v>
      </c>
      <c r="E933" s="0" t="s">
        <v>1555</v>
      </c>
    </row>
    <row r="934" customFormat="false" ht="15" hidden="false" customHeight="false" outlineLevel="0" collapsed="false">
      <c r="A934" s="0" t="s">
        <v>740</v>
      </c>
      <c r="B934" s="0" t="s">
        <v>1595</v>
      </c>
      <c r="C934" s="0" t="s">
        <v>570</v>
      </c>
      <c r="D934" s="0" t="s">
        <v>93</v>
      </c>
      <c r="E934" s="0" t="s">
        <v>1555</v>
      </c>
    </row>
    <row r="935" customFormat="false" ht="15" hidden="false" customHeight="false" outlineLevel="0" collapsed="false">
      <c r="A935" s="0" t="s">
        <v>740</v>
      </c>
      <c r="B935" s="0" t="s">
        <v>1596</v>
      </c>
      <c r="C935" s="0" t="s">
        <v>570</v>
      </c>
      <c r="D935" s="0" t="s">
        <v>93</v>
      </c>
      <c r="E935" s="0" t="s">
        <v>1555</v>
      </c>
    </row>
    <row r="936" customFormat="false" ht="15" hidden="false" customHeight="false" outlineLevel="0" collapsed="false">
      <c r="A936" s="0" t="s">
        <v>740</v>
      </c>
      <c r="B936" s="0" t="s">
        <v>1597</v>
      </c>
      <c r="C936" s="0" t="s">
        <v>570</v>
      </c>
      <c r="D936" s="0" t="s">
        <v>93</v>
      </c>
      <c r="E936" s="0" t="s">
        <v>1555</v>
      </c>
    </row>
    <row r="937" customFormat="false" ht="15" hidden="false" customHeight="false" outlineLevel="0" collapsed="false">
      <c r="A937" s="0" t="s">
        <v>740</v>
      </c>
      <c r="B937" s="0" t="s">
        <v>1598</v>
      </c>
      <c r="C937" s="0" t="s">
        <v>570</v>
      </c>
      <c r="D937" s="0" t="s">
        <v>93</v>
      </c>
      <c r="E937" s="0" t="s">
        <v>1555</v>
      </c>
    </row>
    <row r="938" customFormat="false" ht="15" hidden="false" customHeight="false" outlineLevel="0" collapsed="false">
      <c r="A938" s="0" t="s">
        <v>740</v>
      </c>
      <c r="B938" s="0" t="s">
        <v>1599</v>
      </c>
      <c r="C938" s="0" t="s">
        <v>570</v>
      </c>
      <c r="D938" s="0" t="s">
        <v>93</v>
      </c>
      <c r="E938" s="0" t="s">
        <v>1555</v>
      </c>
    </row>
    <row r="939" customFormat="false" ht="15" hidden="false" customHeight="false" outlineLevel="0" collapsed="false">
      <c r="A939" s="0" t="s">
        <v>740</v>
      </c>
      <c r="B939" s="0" t="s">
        <v>1600</v>
      </c>
      <c r="C939" s="0" t="s">
        <v>570</v>
      </c>
      <c r="D939" s="0" t="s">
        <v>93</v>
      </c>
      <c r="E939" s="0" t="s">
        <v>1555</v>
      </c>
    </row>
    <row r="940" customFormat="false" ht="15" hidden="false" customHeight="false" outlineLevel="0" collapsed="false">
      <c r="A940" s="0" t="s">
        <v>740</v>
      </c>
      <c r="B940" s="0" t="s">
        <v>1601</v>
      </c>
      <c r="C940" s="0" t="s">
        <v>570</v>
      </c>
      <c r="D940" s="0" t="s">
        <v>93</v>
      </c>
      <c r="E940" s="0" t="s">
        <v>1555</v>
      </c>
    </row>
    <row r="941" customFormat="false" ht="15" hidden="false" customHeight="false" outlineLevel="0" collapsed="false">
      <c r="A941" s="0" t="s">
        <v>740</v>
      </c>
      <c r="B941" s="0" t="s">
        <v>1602</v>
      </c>
      <c r="C941" s="0" t="s">
        <v>1603</v>
      </c>
      <c r="D941" s="0" t="s">
        <v>98</v>
      </c>
      <c r="E941" s="0" t="s">
        <v>826</v>
      </c>
    </row>
    <row r="942" customFormat="false" ht="15" hidden="false" customHeight="false" outlineLevel="0" collapsed="false">
      <c r="A942" s="0" t="s">
        <v>740</v>
      </c>
      <c r="B942" s="0" t="s">
        <v>1604</v>
      </c>
      <c r="C942" s="0" t="s">
        <v>1605</v>
      </c>
      <c r="D942" s="0" t="s">
        <v>98</v>
      </c>
      <c r="E942" s="0" t="s">
        <v>826</v>
      </c>
    </row>
    <row r="943" customFormat="false" ht="15" hidden="false" customHeight="false" outlineLevel="0" collapsed="false">
      <c r="A943" s="0" t="s">
        <v>740</v>
      </c>
      <c r="B943" s="0" t="s">
        <v>1606</v>
      </c>
      <c r="C943" s="0" t="s">
        <v>1607</v>
      </c>
      <c r="D943" s="0" t="s">
        <v>98</v>
      </c>
      <c r="E943" s="0" t="s">
        <v>826</v>
      </c>
    </row>
    <row r="944" customFormat="false" ht="15" hidden="false" customHeight="false" outlineLevel="0" collapsed="false">
      <c r="A944" s="0" t="s">
        <v>740</v>
      </c>
      <c r="B944" s="0" t="s">
        <v>1608</v>
      </c>
      <c r="C944" s="0" t="s">
        <v>1609</v>
      </c>
      <c r="D944" s="0" t="s">
        <v>98</v>
      </c>
      <c r="E944" s="0" t="s">
        <v>826</v>
      </c>
    </row>
    <row r="945" customFormat="false" ht="15" hidden="false" customHeight="false" outlineLevel="0" collapsed="false">
      <c r="A945" s="0" t="s">
        <v>740</v>
      </c>
      <c r="B945" s="0" t="s">
        <v>1610</v>
      </c>
      <c r="C945" s="0" t="s">
        <v>1611</v>
      </c>
      <c r="D945" s="0" t="s">
        <v>98</v>
      </c>
      <c r="E945" s="0" t="s">
        <v>826</v>
      </c>
    </row>
    <row r="946" customFormat="false" ht="15" hidden="false" customHeight="false" outlineLevel="0" collapsed="false">
      <c r="A946" s="0" t="s">
        <v>740</v>
      </c>
      <c r="B946" s="0" t="s">
        <v>1612</v>
      </c>
      <c r="C946" s="0" t="s">
        <v>1613</v>
      </c>
      <c r="D946" s="0" t="s">
        <v>98</v>
      </c>
      <c r="E946" s="0" t="s">
        <v>826</v>
      </c>
    </row>
    <row r="947" customFormat="false" ht="15" hidden="false" customHeight="false" outlineLevel="0" collapsed="false">
      <c r="A947" s="0" t="s">
        <v>740</v>
      </c>
      <c r="B947" s="0" t="s">
        <v>1614</v>
      </c>
      <c r="C947" s="0" t="s">
        <v>1615</v>
      </c>
      <c r="D947" s="0" t="s">
        <v>98</v>
      </c>
      <c r="E947" s="0" t="s">
        <v>826</v>
      </c>
    </row>
    <row r="948" customFormat="false" ht="15" hidden="false" customHeight="false" outlineLevel="0" collapsed="false">
      <c r="A948" s="0" t="s">
        <v>740</v>
      </c>
      <c r="B948" s="0" t="s">
        <v>1616</v>
      </c>
      <c r="C948" s="0" t="s">
        <v>1617</v>
      </c>
      <c r="D948" s="0" t="s">
        <v>98</v>
      </c>
      <c r="E948" s="0" t="s">
        <v>826</v>
      </c>
    </row>
    <row r="949" customFormat="false" ht="15" hidden="false" customHeight="false" outlineLevel="0" collapsed="false">
      <c r="A949" s="0" t="s">
        <v>740</v>
      </c>
      <c r="B949" s="0" t="s">
        <v>1618</v>
      </c>
      <c r="C949" s="0" t="s">
        <v>1619</v>
      </c>
      <c r="D949" s="0" t="s">
        <v>98</v>
      </c>
      <c r="E949" s="0" t="s">
        <v>826</v>
      </c>
    </row>
    <row r="950" customFormat="false" ht="15" hidden="false" customHeight="false" outlineLevel="0" collapsed="false">
      <c r="A950" s="0" t="s">
        <v>740</v>
      </c>
      <c r="B950" s="0" t="s">
        <v>1620</v>
      </c>
      <c r="C950" s="0" t="s">
        <v>1621</v>
      </c>
      <c r="D950" s="0" t="s">
        <v>98</v>
      </c>
      <c r="E950" s="0" t="s">
        <v>826</v>
      </c>
    </row>
    <row r="951" customFormat="false" ht="15" hidden="false" customHeight="false" outlineLevel="0" collapsed="false">
      <c r="A951" s="0" t="s">
        <v>740</v>
      </c>
      <c r="B951" s="0" t="s">
        <v>1622</v>
      </c>
      <c r="C951" s="0" t="s">
        <v>1623</v>
      </c>
      <c r="D951" s="0" t="s">
        <v>98</v>
      </c>
      <c r="E951" s="0" t="s">
        <v>826</v>
      </c>
    </row>
    <row r="952" customFormat="false" ht="15" hidden="false" customHeight="false" outlineLevel="0" collapsed="false">
      <c r="A952" s="0" t="s">
        <v>740</v>
      </c>
      <c r="B952" s="0" t="s">
        <v>1624</v>
      </c>
      <c r="C952" s="0" t="s">
        <v>1625</v>
      </c>
      <c r="D952" s="0" t="s">
        <v>98</v>
      </c>
      <c r="E952" s="0" t="s">
        <v>826</v>
      </c>
    </row>
    <row r="953" customFormat="false" ht="15" hidden="false" customHeight="false" outlineLevel="0" collapsed="false">
      <c r="A953" s="0" t="s">
        <v>740</v>
      </c>
      <c r="B953" s="0" t="s">
        <v>1626</v>
      </c>
      <c r="C953" s="0" t="s">
        <v>1627</v>
      </c>
      <c r="D953" s="0" t="s">
        <v>98</v>
      </c>
      <c r="E953" s="0" t="s">
        <v>826</v>
      </c>
    </row>
    <row r="954" customFormat="false" ht="15" hidden="false" customHeight="false" outlineLevel="0" collapsed="false">
      <c r="A954" s="0" t="s">
        <v>740</v>
      </c>
      <c r="B954" s="0" t="s">
        <v>1628</v>
      </c>
      <c r="C954" s="0" t="s">
        <v>1629</v>
      </c>
      <c r="D954" s="0" t="s">
        <v>98</v>
      </c>
      <c r="E954" s="0" t="s">
        <v>826</v>
      </c>
    </row>
    <row r="955" customFormat="false" ht="15" hidden="false" customHeight="false" outlineLevel="0" collapsed="false">
      <c r="A955" s="0" t="s">
        <v>740</v>
      </c>
      <c r="B955" s="0" t="s">
        <v>1630</v>
      </c>
      <c r="C955" s="0" t="s">
        <v>1631</v>
      </c>
      <c r="D955" s="0" t="s">
        <v>98</v>
      </c>
      <c r="E955" s="0" t="s">
        <v>826</v>
      </c>
    </row>
    <row r="956" customFormat="false" ht="15" hidden="false" customHeight="false" outlineLevel="0" collapsed="false">
      <c r="A956" s="0" t="s">
        <v>740</v>
      </c>
      <c r="B956" s="0" t="s">
        <v>1632</v>
      </c>
      <c r="C956" s="0" t="s">
        <v>1633</v>
      </c>
      <c r="D956" s="0" t="s">
        <v>98</v>
      </c>
      <c r="E956" s="0" t="s">
        <v>826</v>
      </c>
    </row>
    <row r="957" customFormat="false" ht="15" hidden="false" customHeight="false" outlineLevel="0" collapsed="false">
      <c r="A957" s="0" t="s">
        <v>740</v>
      </c>
      <c r="B957" s="0" t="s">
        <v>1634</v>
      </c>
      <c r="C957" s="0" t="s">
        <v>1635</v>
      </c>
      <c r="D957" s="0" t="s">
        <v>98</v>
      </c>
      <c r="E957" s="0" t="s">
        <v>826</v>
      </c>
    </row>
    <row r="958" customFormat="false" ht="15" hidden="false" customHeight="false" outlineLevel="0" collapsed="false">
      <c r="A958" s="0" t="s">
        <v>740</v>
      </c>
      <c r="B958" s="0" t="s">
        <v>1636</v>
      </c>
      <c r="C958" s="0" t="s">
        <v>1637</v>
      </c>
      <c r="D958" s="0" t="s">
        <v>98</v>
      </c>
      <c r="E958" s="0" t="s">
        <v>826</v>
      </c>
    </row>
    <row r="959" customFormat="false" ht="15" hidden="false" customHeight="false" outlineLevel="0" collapsed="false">
      <c r="A959" s="0" t="s">
        <v>740</v>
      </c>
      <c r="B959" s="0" t="s">
        <v>1638</v>
      </c>
      <c r="C959" s="0" t="s">
        <v>1639</v>
      </c>
      <c r="D959" s="0" t="s">
        <v>98</v>
      </c>
      <c r="E959" s="0" t="s">
        <v>826</v>
      </c>
    </row>
    <row r="960" customFormat="false" ht="15" hidden="false" customHeight="false" outlineLevel="0" collapsed="false">
      <c r="A960" s="0" t="s">
        <v>740</v>
      </c>
      <c r="B960" s="0" t="s">
        <v>1640</v>
      </c>
      <c r="C960" s="0" t="s">
        <v>1641</v>
      </c>
      <c r="D960" s="0" t="s">
        <v>98</v>
      </c>
      <c r="E960" s="0" t="s">
        <v>826</v>
      </c>
    </row>
    <row r="961" customFormat="false" ht="15" hidden="false" customHeight="false" outlineLevel="0" collapsed="false">
      <c r="A961" s="0" t="s">
        <v>740</v>
      </c>
      <c r="B961" s="0" t="s">
        <v>1642</v>
      </c>
      <c r="C961" s="0" t="s">
        <v>1643</v>
      </c>
      <c r="D961" s="0" t="s">
        <v>98</v>
      </c>
      <c r="E961" s="0" t="s">
        <v>826</v>
      </c>
    </row>
    <row r="962" customFormat="false" ht="15" hidden="false" customHeight="false" outlineLevel="0" collapsed="false">
      <c r="A962" s="0" t="s">
        <v>740</v>
      </c>
      <c r="B962" s="0" t="s">
        <v>1644</v>
      </c>
      <c r="C962" s="0" t="s">
        <v>1645</v>
      </c>
      <c r="D962" s="0" t="s">
        <v>98</v>
      </c>
      <c r="E962" s="0" t="s">
        <v>826</v>
      </c>
    </row>
    <row r="963" customFormat="false" ht="15" hidden="false" customHeight="false" outlineLevel="0" collapsed="false">
      <c r="A963" s="0" t="s">
        <v>740</v>
      </c>
      <c r="B963" s="0" t="s">
        <v>1646</v>
      </c>
      <c r="C963" s="0" t="s">
        <v>1647</v>
      </c>
      <c r="D963" s="0" t="s">
        <v>98</v>
      </c>
      <c r="E963" s="0" t="s">
        <v>826</v>
      </c>
    </row>
    <row r="964" customFormat="false" ht="15" hidden="false" customHeight="false" outlineLevel="0" collapsed="false">
      <c r="A964" s="0" t="s">
        <v>740</v>
      </c>
      <c r="B964" s="0" t="s">
        <v>1648</v>
      </c>
      <c r="C964" s="0" t="s">
        <v>1649</v>
      </c>
      <c r="D964" s="0" t="s">
        <v>98</v>
      </c>
      <c r="E964" s="0" t="s">
        <v>826</v>
      </c>
    </row>
    <row r="965" customFormat="false" ht="15" hidden="false" customHeight="false" outlineLevel="0" collapsed="false">
      <c r="A965" s="0" t="s">
        <v>740</v>
      </c>
      <c r="B965" s="0" t="s">
        <v>1650</v>
      </c>
      <c r="C965" s="0" t="s">
        <v>1651</v>
      </c>
      <c r="D965" s="0" t="s">
        <v>98</v>
      </c>
      <c r="E965" s="0" t="s">
        <v>826</v>
      </c>
    </row>
    <row r="966" customFormat="false" ht="15" hidden="false" customHeight="false" outlineLevel="0" collapsed="false">
      <c r="A966" s="0" t="s">
        <v>740</v>
      </c>
      <c r="B966" s="0" t="s">
        <v>1652</v>
      </c>
      <c r="C966" s="0" t="s">
        <v>1653</v>
      </c>
      <c r="D966" s="0" t="s">
        <v>98</v>
      </c>
      <c r="E966" s="0" t="s">
        <v>826</v>
      </c>
    </row>
    <row r="967" customFormat="false" ht="15" hidden="false" customHeight="false" outlineLevel="0" collapsed="false">
      <c r="A967" s="0" t="s">
        <v>740</v>
      </c>
      <c r="B967" s="0" t="s">
        <v>1654</v>
      </c>
      <c r="C967" s="0" t="s">
        <v>1655</v>
      </c>
      <c r="D967" s="0" t="s">
        <v>98</v>
      </c>
      <c r="E967" s="0" t="s">
        <v>826</v>
      </c>
    </row>
    <row r="968" customFormat="false" ht="15" hidden="false" customHeight="false" outlineLevel="0" collapsed="false">
      <c r="A968" s="0" t="s">
        <v>740</v>
      </c>
      <c r="B968" s="0" t="s">
        <v>1656</v>
      </c>
      <c r="C968" s="0" t="s">
        <v>1657</v>
      </c>
      <c r="D968" s="0" t="s">
        <v>98</v>
      </c>
      <c r="E968" s="0" t="s">
        <v>826</v>
      </c>
    </row>
    <row r="969" customFormat="false" ht="15" hidden="false" customHeight="false" outlineLevel="0" collapsed="false">
      <c r="A969" s="0" t="s">
        <v>740</v>
      </c>
      <c r="B969" s="0" t="s">
        <v>1658</v>
      </c>
      <c r="C969" s="0" t="s">
        <v>570</v>
      </c>
      <c r="D969" s="0" t="s">
        <v>86</v>
      </c>
      <c r="E969" s="0" t="s">
        <v>1659</v>
      </c>
    </row>
    <row r="970" customFormat="false" ht="15" hidden="false" customHeight="false" outlineLevel="0" collapsed="false">
      <c r="A970" s="0" t="s">
        <v>740</v>
      </c>
      <c r="B970" s="0" t="s">
        <v>1660</v>
      </c>
      <c r="C970" s="0" t="s">
        <v>580</v>
      </c>
      <c r="D970" s="0" t="s">
        <v>86</v>
      </c>
      <c r="E970" s="0" t="s">
        <v>236</v>
      </c>
    </row>
    <row r="971" customFormat="false" ht="15" hidden="false" customHeight="false" outlineLevel="0" collapsed="false">
      <c r="A971" s="0" t="s">
        <v>740</v>
      </c>
      <c r="B971" s="0" t="s">
        <v>1661</v>
      </c>
      <c r="C971" s="0" t="s">
        <v>580</v>
      </c>
      <c r="D971" s="0" t="s">
        <v>744</v>
      </c>
      <c r="E971" s="0" t="s">
        <v>236</v>
      </c>
    </row>
    <row r="972" customFormat="false" ht="15" hidden="false" customHeight="false" outlineLevel="0" collapsed="false">
      <c r="A972" s="0" t="s">
        <v>740</v>
      </c>
      <c r="B972" s="0" t="s">
        <v>1662</v>
      </c>
      <c r="C972" s="0" t="s">
        <v>580</v>
      </c>
      <c r="D972" s="0" t="s">
        <v>744</v>
      </c>
      <c r="E972" s="0" t="s">
        <v>236</v>
      </c>
    </row>
    <row r="973" customFormat="false" ht="15" hidden="false" customHeight="false" outlineLevel="0" collapsed="false">
      <c r="A973" s="0" t="s">
        <v>740</v>
      </c>
      <c r="B973" s="0" t="s">
        <v>1663</v>
      </c>
      <c r="C973" s="0" t="s">
        <v>580</v>
      </c>
      <c r="D973" s="0" t="s">
        <v>744</v>
      </c>
      <c r="E973" s="0" t="s">
        <v>236</v>
      </c>
    </row>
    <row r="974" customFormat="false" ht="15" hidden="false" customHeight="false" outlineLevel="0" collapsed="false">
      <c r="A974" s="0" t="s">
        <v>740</v>
      </c>
      <c r="B974" s="0" t="s">
        <v>1664</v>
      </c>
      <c r="C974" s="0" t="s">
        <v>580</v>
      </c>
      <c r="D974" s="0" t="s">
        <v>744</v>
      </c>
      <c r="E974" s="0" t="s">
        <v>236</v>
      </c>
    </row>
    <row r="975" customFormat="false" ht="15" hidden="false" customHeight="false" outlineLevel="0" collapsed="false">
      <c r="A975" s="0" t="s">
        <v>740</v>
      </c>
      <c r="B975" s="0" t="s">
        <v>1665</v>
      </c>
      <c r="C975" s="0" t="s">
        <v>580</v>
      </c>
      <c r="D975" s="0" t="s">
        <v>744</v>
      </c>
      <c r="E975" s="0" t="s">
        <v>236</v>
      </c>
    </row>
    <row r="976" customFormat="false" ht="15" hidden="false" customHeight="false" outlineLevel="0" collapsed="false">
      <c r="A976" s="0" t="s">
        <v>740</v>
      </c>
      <c r="B976" s="0" t="s">
        <v>1666</v>
      </c>
      <c r="C976" s="0" t="s">
        <v>580</v>
      </c>
      <c r="D976" s="0" t="s">
        <v>744</v>
      </c>
      <c r="E976" s="0" t="s">
        <v>236</v>
      </c>
    </row>
    <row r="977" customFormat="false" ht="15" hidden="false" customHeight="false" outlineLevel="0" collapsed="false">
      <c r="A977" s="0" t="s">
        <v>740</v>
      </c>
      <c r="B977" s="0" t="s">
        <v>1667</v>
      </c>
      <c r="C977" s="0" t="s">
        <v>580</v>
      </c>
      <c r="D977" s="0" t="s">
        <v>744</v>
      </c>
      <c r="E977" s="0" t="s">
        <v>236</v>
      </c>
    </row>
    <row r="978" customFormat="false" ht="15" hidden="false" customHeight="false" outlineLevel="0" collapsed="false">
      <c r="A978" s="0" t="s">
        <v>740</v>
      </c>
      <c r="B978" s="0" t="s">
        <v>1668</v>
      </c>
      <c r="C978" s="0" t="s">
        <v>580</v>
      </c>
      <c r="D978" s="0" t="s">
        <v>744</v>
      </c>
      <c r="E978" s="0" t="s">
        <v>236</v>
      </c>
    </row>
    <row r="979" customFormat="false" ht="15" hidden="false" customHeight="false" outlineLevel="0" collapsed="false">
      <c r="A979" s="0" t="s">
        <v>740</v>
      </c>
      <c r="B979" s="0" t="s">
        <v>1669</v>
      </c>
      <c r="C979" s="0" t="s">
        <v>580</v>
      </c>
      <c r="D979" s="0" t="s">
        <v>744</v>
      </c>
      <c r="E979" s="0" t="s">
        <v>236</v>
      </c>
    </row>
    <row r="980" customFormat="false" ht="15" hidden="false" customHeight="false" outlineLevel="0" collapsed="false">
      <c r="A980" s="0" t="s">
        <v>740</v>
      </c>
      <c r="B980" s="0" t="s">
        <v>1670</v>
      </c>
      <c r="C980" s="0" t="s">
        <v>580</v>
      </c>
      <c r="D980" s="0" t="s">
        <v>744</v>
      </c>
      <c r="E980" s="0" t="s">
        <v>236</v>
      </c>
    </row>
    <row r="981" customFormat="false" ht="15" hidden="false" customHeight="false" outlineLevel="0" collapsed="false">
      <c r="A981" s="0" t="s">
        <v>740</v>
      </c>
      <c r="B981" s="0" t="s">
        <v>1671</v>
      </c>
      <c r="C981" s="0" t="s">
        <v>580</v>
      </c>
      <c r="D981" s="0" t="s">
        <v>744</v>
      </c>
      <c r="E981" s="0" t="s">
        <v>236</v>
      </c>
    </row>
    <row r="982" customFormat="false" ht="15" hidden="false" customHeight="false" outlineLevel="0" collapsed="false">
      <c r="A982" s="0" t="s">
        <v>740</v>
      </c>
      <c r="B982" s="0" t="s">
        <v>1672</v>
      </c>
      <c r="C982" s="0" t="s">
        <v>580</v>
      </c>
      <c r="D982" s="0" t="s">
        <v>744</v>
      </c>
      <c r="E982" s="0" t="s">
        <v>236</v>
      </c>
    </row>
    <row r="983" customFormat="false" ht="15" hidden="false" customHeight="false" outlineLevel="0" collapsed="false">
      <c r="A983" s="0" t="s">
        <v>740</v>
      </c>
      <c r="B983" s="0" t="s">
        <v>1673</v>
      </c>
      <c r="C983" s="0" t="s">
        <v>580</v>
      </c>
      <c r="D983" s="0" t="s">
        <v>744</v>
      </c>
      <c r="E983" s="0" t="s">
        <v>236</v>
      </c>
    </row>
    <row r="984" customFormat="false" ht="15" hidden="false" customHeight="false" outlineLevel="0" collapsed="false">
      <c r="A984" s="0" t="s">
        <v>740</v>
      </c>
      <c r="B984" s="0" t="s">
        <v>1674</v>
      </c>
      <c r="C984" s="0" t="s">
        <v>580</v>
      </c>
      <c r="D984" s="0" t="s">
        <v>744</v>
      </c>
      <c r="E984" s="0" t="s">
        <v>236</v>
      </c>
    </row>
    <row r="985" customFormat="false" ht="15" hidden="false" customHeight="false" outlineLevel="0" collapsed="false">
      <c r="A985" s="0" t="s">
        <v>740</v>
      </c>
      <c r="B985" s="0" t="s">
        <v>1675</v>
      </c>
      <c r="C985" s="0" t="s">
        <v>580</v>
      </c>
      <c r="D985" s="0" t="s">
        <v>744</v>
      </c>
      <c r="E985" s="0" t="s">
        <v>236</v>
      </c>
    </row>
    <row r="986" customFormat="false" ht="15" hidden="false" customHeight="false" outlineLevel="0" collapsed="false">
      <c r="A986" s="0" t="s">
        <v>740</v>
      </c>
      <c r="B986" s="0" t="s">
        <v>1676</v>
      </c>
      <c r="C986" s="0" t="s">
        <v>580</v>
      </c>
      <c r="D986" s="0" t="s">
        <v>744</v>
      </c>
      <c r="E986" s="0" t="s">
        <v>236</v>
      </c>
    </row>
    <row r="987" customFormat="false" ht="15" hidden="false" customHeight="false" outlineLevel="0" collapsed="false">
      <c r="A987" s="0" t="s">
        <v>740</v>
      </c>
      <c r="B987" s="0" t="s">
        <v>1677</v>
      </c>
      <c r="C987" s="0" t="s">
        <v>580</v>
      </c>
      <c r="D987" s="0" t="s">
        <v>744</v>
      </c>
      <c r="E987" s="0" t="s">
        <v>236</v>
      </c>
    </row>
    <row r="988" customFormat="false" ht="15" hidden="false" customHeight="false" outlineLevel="0" collapsed="false">
      <c r="A988" s="0" t="s">
        <v>740</v>
      </c>
      <c r="B988" s="0" t="s">
        <v>1678</v>
      </c>
      <c r="C988" s="0" t="s">
        <v>580</v>
      </c>
      <c r="D988" s="0" t="s">
        <v>744</v>
      </c>
      <c r="E988" s="0" t="s">
        <v>236</v>
      </c>
    </row>
    <row r="989" customFormat="false" ht="15" hidden="false" customHeight="false" outlineLevel="0" collapsed="false">
      <c r="A989" s="0" t="s">
        <v>740</v>
      </c>
      <c r="B989" s="0" t="s">
        <v>1679</v>
      </c>
      <c r="C989" s="0" t="s">
        <v>762</v>
      </c>
      <c r="D989" s="0" t="s">
        <v>98</v>
      </c>
      <c r="E989" s="0" t="s">
        <v>763</v>
      </c>
    </row>
    <row r="990" customFormat="false" ht="15" hidden="false" customHeight="false" outlineLevel="0" collapsed="false">
      <c r="A990" s="0" t="s">
        <v>740</v>
      </c>
      <c r="B990" s="0" t="s">
        <v>1680</v>
      </c>
      <c r="C990" s="0" t="s">
        <v>762</v>
      </c>
      <c r="D990" s="0" t="s">
        <v>98</v>
      </c>
      <c r="E990" s="0" t="s">
        <v>763</v>
      </c>
    </row>
    <row r="991" customFormat="false" ht="15" hidden="false" customHeight="false" outlineLevel="0" collapsed="false">
      <c r="A991" s="0" t="s">
        <v>740</v>
      </c>
      <c r="B991" s="0" t="s">
        <v>1681</v>
      </c>
      <c r="C991" s="0" t="s">
        <v>762</v>
      </c>
      <c r="D991" s="0" t="s">
        <v>98</v>
      </c>
      <c r="E991" s="0" t="s">
        <v>763</v>
      </c>
    </row>
    <row r="992" customFormat="false" ht="15" hidden="false" customHeight="false" outlineLevel="0" collapsed="false">
      <c r="A992" s="0" t="s">
        <v>740</v>
      </c>
      <c r="B992" s="0" t="s">
        <v>1682</v>
      </c>
      <c r="C992" s="0" t="s">
        <v>762</v>
      </c>
      <c r="D992" s="0" t="s">
        <v>98</v>
      </c>
      <c r="E992" s="0" t="s">
        <v>763</v>
      </c>
    </row>
    <row r="993" customFormat="false" ht="15" hidden="false" customHeight="false" outlineLevel="0" collapsed="false">
      <c r="A993" s="0" t="s">
        <v>740</v>
      </c>
      <c r="B993" s="0" t="s">
        <v>1683</v>
      </c>
      <c r="C993" s="0" t="s">
        <v>762</v>
      </c>
      <c r="D993" s="0" t="s">
        <v>98</v>
      </c>
      <c r="E993" s="0" t="s">
        <v>763</v>
      </c>
    </row>
    <row r="994" customFormat="false" ht="15" hidden="false" customHeight="false" outlineLevel="0" collapsed="false">
      <c r="A994" s="0" t="s">
        <v>740</v>
      </c>
      <c r="B994" s="0" t="s">
        <v>1684</v>
      </c>
      <c r="C994" s="0" t="s">
        <v>762</v>
      </c>
      <c r="D994" s="0" t="s">
        <v>98</v>
      </c>
      <c r="E994" s="0" t="s">
        <v>763</v>
      </c>
    </row>
    <row r="995" customFormat="false" ht="15" hidden="false" customHeight="false" outlineLevel="0" collapsed="false">
      <c r="A995" s="0" t="s">
        <v>740</v>
      </c>
      <c r="B995" s="0" t="s">
        <v>1685</v>
      </c>
      <c r="C995" s="0" t="s">
        <v>762</v>
      </c>
      <c r="D995" s="0" t="s">
        <v>98</v>
      </c>
      <c r="E995" s="0" t="s">
        <v>763</v>
      </c>
    </row>
    <row r="996" customFormat="false" ht="15" hidden="false" customHeight="false" outlineLevel="0" collapsed="false">
      <c r="A996" s="0" t="s">
        <v>740</v>
      </c>
      <c r="B996" s="0" t="s">
        <v>1686</v>
      </c>
      <c r="C996" s="0" t="s">
        <v>762</v>
      </c>
      <c r="D996" s="0" t="s">
        <v>98</v>
      </c>
      <c r="E996" s="0" t="s">
        <v>763</v>
      </c>
    </row>
    <row r="997" customFormat="false" ht="15" hidden="false" customHeight="false" outlineLevel="0" collapsed="false">
      <c r="A997" s="0" t="s">
        <v>740</v>
      </c>
      <c r="B997" s="0" t="s">
        <v>1687</v>
      </c>
      <c r="C997" s="0" t="s">
        <v>762</v>
      </c>
      <c r="D997" s="0" t="s">
        <v>98</v>
      </c>
      <c r="E997" s="0" t="s">
        <v>763</v>
      </c>
    </row>
    <row r="998" customFormat="false" ht="15" hidden="false" customHeight="false" outlineLevel="0" collapsed="false">
      <c r="A998" s="0" t="s">
        <v>740</v>
      </c>
      <c r="B998" s="0" t="s">
        <v>1688</v>
      </c>
      <c r="C998" s="0" t="s">
        <v>762</v>
      </c>
      <c r="D998" s="0" t="s">
        <v>98</v>
      </c>
      <c r="E998" s="0" t="s">
        <v>763</v>
      </c>
    </row>
    <row r="999" customFormat="false" ht="15" hidden="false" customHeight="false" outlineLevel="0" collapsed="false">
      <c r="A999" s="0" t="s">
        <v>740</v>
      </c>
      <c r="B999" s="0" t="s">
        <v>1689</v>
      </c>
      <c r="C999" s="0" t="s">
        <v>762</v>
      </c>
      <c r="D999" s="0" t="s">
        <v>98</v>
      </c>
      <c r="E999" s="0" t="s">
        <v>763</v>
      </c>
    </row>
    <row r="1000" customFormat="false" ht="15" hidden="false" customHeight="false" outlineLevel="0" collapsed="false">
      <c r="A1000" s="0" t="s">
        <v>740</v>
      </c>
      <c r="B1000" s="0" t="s">
        <v>1690</v>
      </c>
      <c r="C1000" s="0" t="s">
        <v>762</v>
      </c>
      <c r="D1000" s="0" t="s">
        <v>98</v>
      </c>
      <c r="E1000" s="0" t="s">
        <v>763</v>
      </c>
    </row>
    <row r="1001" customFormat="false" ht="15" hidden="false" customHeight="false" outlineLevel="0" collapsed="false">
      <c r="A1001" s="0" t="s">
        <v>740</v>
      </c>
      <c r="B1001" s="0" t="s">
        <v>1691</v>
      </c>
      <c r="C1001" s="0" t="s">
        <v>762</v>
      </c>
      <c r="D1001" s="0" t="s">
        <v>98</v>
      </c>
      <c r="E1001" s="0" t="s">
        <v>763</v>
      </c>
    </row>
    <row r="1002" customFormat="false" ht="15" hidden="false" customHeight="false" outlineLevel="0" collapsed="false">
      <c r="A1002" s="0" t="s">
        <v>740</v>
      </c>
      <c r="B1002" s="0" t="s">
        <v>1692</v>
      </c>
      <c r="C1002" s="0" t="s">
        <v>762</v>
      </c>
      <c r="D1002" s="0" t="s">
        <v>98</v>
      </c>
      <c r="E1002" s="0" t="s">
        <v>763</v>
      </c>
    </row>
    <row r="1003" customFormat="false" ht="15" hidden="false" customHeight="false" outlineLevel="0" collapsed="false">
      <c r="A1003" s="0" t="s">
        <v>740</v>
      </c>
      <c r="B1003" s="0" t="s">
        <v>1693</v>
      </c>
      <c r="C1003" s="0" t="s">
        <v>762</v>
      </c>
      <c r="D1003" s="0" t="s">
        <v>98</v>
      </c>
      <c r="E1003" s="0" t="s">
        <v>763</v>
      </c>
    </row>
    <row r="1004" customFormat="false" ht="15" hidden="false" customHeight="false" outlineLevel="0" collapsed="false">
      <c r="A1004" s="0" t="s">
        <v>740</v>
      </c>
      <c r="B1004" s="0" t="s">
        <v>1694</v>
      </c>
      <c r="C1004" s="0" t="s">
        <v>762</v>
      </c>
      <c r="D1004" s="0" t="s">
        <v>93</v>
      </c>
      <c r="E1004" s="0" t="s">
        <v>1695</v>
      </c>
    </row>
    <row r="1005" customFormat="false" ht="15" hidden="false" customHeight="false" outlineLevel="0" collapsed="false">
      <c r="A1005" s="0" t="s">
        <v>740</v>
      </c>
      <c r="B1005" s="0" t="s">
        <v>1696</v>
      </c>
      <c r="C1005" s="0" t="s">
        <v>1414</v>
      </c>
      <c r="D1005" s="0" t="s">
        <v>93</v>
      </c>
    </row>
    <row r="1006" customFormat="false" ht="15" hidden="false" customHeight="false" outlineLevel="0" collapsed="false">
      <c r="A1006" s="0" t="s">
        <v>740</v>
      </c>
      <c r="B1006" s="0" t="s">
        <v>1697</v>
      </c>
      <c r="C1006" s="0" t="s">
        <v>580</v>
      </c>
      <c r="D1006" s="0" t="s">
        <v>93</v>
      </c>
    </row>
    <row r="1007" customFormat="false" ht="15" hidden="false" customHeight="false" outlineLevel="0" collapsed="false">
      <c r="A1007" s="0" t="s">
        <v>740</v>
      </c>
      <c r="B1007" s="0" t="s">
        <v>1698</v>
      </c>
      <c r="C1007" s="0" t="s">
        <v>580</v>
      </c>
      <c r="D1007" s="0" t="s">
        <v>93</v>
      </c>
      <c r="E1007" s="0" t="s">
        <v>909</v>
      </c>
    </row>
    <row r="1008" customFormat="false" ht="15" hidden="false" customHeight="false" outlineLevel="0" collapsed="false">
      <c r="A1008" s="0" t="s">
        <v>740</v>
      </c>
      <c r="B1008" s="0" t="s">
        <v>1699</v>
      </c>
      <c r="C1008" s="0" t="s">
        <v>580</v>
      </c>
      <c r="D1008" s="0" t="s">
        <v>93</v>
      </c>
      <c r="E1008" s="0" t="s">
        <v>909</v>
      </c>
    </row>
    <row r="1009" customFormat="false" ht="15" hidden="false" customHeight="false" outlineLevel="0" collapsed="false">
      <c r="A1009" s="0" t="s">
        <v>740</v>
      </c>
      <c r="B1009" s="0" t="s">
        <v>1700</v>
      </c>
      <c r="C1009" s="0" t="s">
        <v>580</v>
      </c>
      <c r="D1009" s="0" t="s">
        <v>93</v>
      </c>
      <c r="E1009" s="0" t="s">
        <v>909</v>
      </c>
    </row>
    <row r="1010" customFormat="false" ht="15" hidden="false" customHeight="false" outlineLevel="0" collapsed="false">
      <c r="A1010" s="0" t="s">
        <v>740</v>
      </c>
      <c r="B1010" s="0" t="s">
        <v>1701</v>
      </c>
      <c r="C1010" s="0" t="s">
        <v>580</v>
      </c>
      <c r="D1010" s="0" t="s">
        <v>93</v>
      </c>
      <c r="E1010" s="0" t="s">
        <v>909</v>
      </c>
    </row>
    <row r="1011" customFormat="false" ht="15" hidden="false" customHeight="false" outlineLevel="0" collapsed="false">
      <c r="A1011" s="0" t="s">
        <v>740</v>
      </c>
      <c r="B1011" s="0" t="s">
        <v>1702</v>
      </c>
      <c r="C1011" s="0" t="s">
        <v>580</v>
      </c>
      <c r="D1011" s="0" t="s">
        <v>93</v>
      </c>
      <c r="E1011" s="0" t="s">
        <v>909</v>
      </c>
    </row>
    <row r="1012" customFormat="false" ht="15" hidden="false" customHeight="false" outlineLevel="0" collapsed="false">
      <c r="A1012" s="0" t="s">
        <v>740</v>
      </c>
      <c r="B1012" s="0" t="s">
        <v>1703</v>
      </c>
      <c r="C1012" s="0" t="s">
        <v>580</v>
      </c>
      <c r="D1012" s="0" t="s">
        <v>93</v>
      </c>
      <c r="E1012" s="0" t="s">
        <v>909</v>
      </c>
    </row>
    <row r="1013" customFormat="false" ht="15" hidden="false" customHeight="false" outlineLevel="0" collapsed="false">
      <c r="A1013" s="0" t="s">
        <v>740</v>
      </c>
      <c r="B1013" s="0" t="s">
        <v>1704</v>
      </c>
      <c r="C1013" s="0" t="s">
        <v>580</v>
      </c>
      <c r="D1013" s="0" t="s">
        <v>93</v>
      </c>
      <c r="E1013" s="0" t="s">
        <v>909</v>
      </c>
    </row>
    <row r="1014" customFormat="false" ht="15" hidden="false" customHeight="false" outlineLevel="0" collapsed="false">
      <c r="A1014" s="0" t="s">
        <v>740</v>
      </c>
      <c r="B1014" s="0" t="s">
        <v>1705</v>
      </c>
      <c r="C1014" s="0" t="s">
        <v>580</v>
      </c>
      <c r="D1014" s="0" t="s">
        <v>93</v>
      </c>
      <c r="E1014" s="0" t="s">
        <v>909</v>
      </c>
    </row>
    <row r="1015" customFormat="false" ht="15" hidden="false" customHeight="false" outlineLevel="0" collapsed="false">
      <c r="A1015" s="0" t="s">
        <v>740</v>
      </c>
      <c r="B1015" s="0" t="s">
        <v>1706</v>
      </c>
      <c r="C1015" s="0" t="s">
        <v>580</v>
      </c>
      <c r="D1015" s="0" t="s">
        <v>93</v>
      </c>
      <c r="E1015" s="0" t="s">
        <v>909</v>
      </c>
    </row>
    <row r="1016" customFormat="false" ht="15" hidden="false" customHeight="false" outlineLevel="0" collapsed="false">
      <c r="A1016" s="0" t="s">
        <v>740</v>
      </c>
      <c r="B1016" s="0" t="s">
        <v>1707</v>
      </c>
      <c r="C1016" s="0" t="s">
        <v>580</v>
      </c>
      <c r="D1016" s="0" t="s">
        <v>93</v>
      </c>
      <c r="E1016" s="0" t="s">
        <v>909</v>
      </c>
    </row>
    <row r="1017" customFormat="false" ht="15" hidden="false" customHeight="false" outlineLevel="0" collapsed="false">
      <c r="A1017" s="0" t="s">
        <v>740</v>
      </c>
      <c r="B1017" s="0" t="s">
        <v>1708</v>
      </c>
      <c r="C1017" s="0" t="s">
        <v>762</v>
      </c>
      <c r="D1017" s="0" t="s">
        <v>98</v>
      </c>
      <c r="E1017" s="0" t="s">
        <v>763</v>
      </c>
    </row>
    <row r="1018" customFormat="false" ht="15" hidden="false" customHeight="false" outlineLevel="0" collapsed="false">
      <c r="A1018" s="0" t="s">
        <v>740</v>
      </c>
      <c r="B1018" s="0" t="s">
        <v>1709</v>
      </c>
      <c r="C1018" s="0" t="s">
        <v>762</v>
      </c>
      <c r="D1018" s="0" t="s">
        <v>98</v>
      </c>
      <c r="E1018" s="0" t="s">
        <v>763</v>
      </c>
    </row>
    <row r="1019" customFormat="false" ht="15" hidden="false" customHeight="false" outlineLevel="0" collapsed="false">
      <c r="A1019" s="0" t="s">
        <v>740</v>
      </c>
      <c r="B1019" s="0" t="s">
        <v>1710</v>
      </c>
      <c r="C1019" s="0" t="s">
        <v>762</v>
      </c>
      <c r="D1019" s="0" t="s">
        <v>98</v>
      </c>
      <c r="E1019" s="0" t="s">
        <v>763</v>
      </c>
    </row>
    <row r="1020" customFormat="false" ht="15" hidden="false" customHeight="false" outlineLevel="0" collapsed="false">
      <c r="A1020" s="0" t="s">
        <v>740</v>
      </c>
      <c r="B1020" s="0" t="s">
        <v>1711</v>
      </c>
      <c r="C1020" s="0" t="s">
        <v>762</v>
      </c>
      <c r="D1020" s="0" t="s">
        <v>98</v>
      </c>
      <c r="E1020" s="0" t="s">
        <v>763</v>
      </c>
    </row>
    <row r="1021" customFormat="false" ht="15" hidden="false" customHeight="false" outlineLevel="0" collapsed="false">
      <c r="A1021" s="0" t="s">
        <v>740</v>
      </c>
      <c r="B1021" s="0" t="s">
        <v>1712</v>
      </c>
      <c r="C1021" s="0" t="s">
        <v>762</v>
      </c>
      <c r="D1021" s="0" t="s">
        <v>98</v>
      </c>
      <c r="E1021" s="0" t="s">
        <v>763</v>
      </c>
    </row>
    <row r="1022" customFormat="false" ht="15" hidden="false" customHeight="false" outlineLevel="0" collapsed="false">
      <c r="A1022" s="0" t="s">
        <v>740</v>
      </c>
      <c r="B1022" s="0" t="s">
        <v>1713</v>
      </c>
      <c r="C1022" s="0" t="s">
        <v>762</v>
      </c>
      <c r="D1022" s="0" t="s">
        <v>98</v>
      </c>
      <c r="E1022" s="0" t="s">
        <v>763</v>
      </c>
    </row>
    <row r="1023" customFormat="false" ht="15" hidden="false" customHeight="false" outlineLevel="0" collapsed="false">
      <c r="A1023" s="0" t="s">
        <v>740</v>
      </c>
      <c r="B1023" s="0" t="s">
        <v>1714</v>
      </c>
      <c r="C1023" s="0" t="s">
        <v>762</v>
      </c>
      <c r="D1023" s="0" t="s">
        <v>98</v>
      </c>
      <c r="E1023" s="0" t="s">
        <v>763</v>
      </c>
    </row>
    <row r="1024" customFormat="false" ht="15" hidden="false" customHeight="false" outlineLevel="0" collapsed="false">
      <c r="A1024" s="0" t="s">
        <v>740</v>
      </c>
      <c r="B1024" s="0" t="s">
        <v>1715</v>
      </c>
      <c r="C1024" s="0" t="s">
        <v>762</v>
      </c>
      <c r="D1024" s="0" t="s">
        <v>98</v>
      </c>
      <c r="E1024" s="0" t="s">
        <v>763</v>
      </c>
    </row>
    <row r="1025" customFormat="false" ht="15" hidden="false" customHeight="false" outlineLevel="0" collapsed="false">
      <c r="A1025" s="0" t="s">
        <v>740</v>
      </c>
      <c r="B1025" s="0" t="s">
        <v>1716</v>
      </c>
      <c r="C1025" s="0" t="s">
        <v>762</v>
      </c>
      <c r="D1025" s="0" t="s">
        <v>98</v>
      </c>
      <c r="E1025" s="0" t="s">
        <v>763</v>
      </c>
    </row>
    <row r="1026" customFormat="false" ht="15" hidden="false" customHeight="false" outlineLevel="0" collapsed="false">
      <c r="A1026" s="0" t="s">
        <v>740</v>
      </c>
      <c r="B1026" s="0" t="s">
        <v>1717</v>
      </c>
      <c r="C1026" s="0" t="s">
        <v>762</v>
      </c>
      <c r="D1026" s="0" t="s">
        <v>98</v>
      </c>
      <c r="E1026" s="0" t="s">
        <v>763</v>
      </c>
    </row>
    <row r="1027" customFormat="false" ht="15" hidden="false" customHeight="false" outlineLevel="0" collapsed="false">
      <c r="A1027" s="0" t="s">
        <v>740</v>
      </c>
      <c r="B1027" s="0" t="s">
        <v>1718</v>
      </c>
      <c r="C1027" s="0" t="s">
        <v>762</v>
      </c>
      <c r="D1027" s="0" t="s">
        <v>98</v>
      </c>
      <c r="E1027" s="0" t="s">
        <v>763</v>
      </c>
    </row>
    <row r="1028" customFormat="false" ht="15" hidden="false" customHeight="false" outlineLevel="0" collapsed="false">
      <c r="A1028" s="0" t="s">
        <v>740</v>
      </c>
      <c r="B1028" s="0" t="s">
        <v>1719</v>
      </c>
      <c r="C1028" s="0" t="s">
        <v>762</v>
      </c>
      <c r="D1028" s="0" t="s">
        <v>98</v>
      </c>
      <c r="E1028" s="0" t="s">
        <v>763</v>
      </c>
    </row>
    <row r="1029" customFormat="false" ht="15" hidden="false" customHeight="false" outlineLevel="0" collapsed="false">
      <c r="A1029" s="0" t="s">
        <v>740</v>
      </c>
      <c r="B1029" s="0" t="s">
        <v>1720</v>
      </c>
      <c r="C1029" s="0" t="s">
        <v>762</v>
      </c>
      <c r="D1029" s="0" t="s">
        <v>98</v>
      </c>
      <c r="E1029" s="0" t="s">
        <v>763</v>
      </c>
    </row>
    <row r="1030" customFormat="false" ht="15" hidden="false" customHeight="false" outlineLevel="0" collapsed="false">
      <c r="A1030" s="0" t="s">
        <v>740</v>
      </c>
      <c r="B1030" s="0" t="s">
        <v>1721</v>
      </c>
      <c r="C1030" s="0" t="s">
        <v>762</v>
      </c>
      <c r="D1030" s="0" t="s">
        <v>98</v>
      </c>
      <c r="E1030" s="0" t="s">
        <v>763</v>
      </c>
    </row>
    <row r="1031" customFormat="false" ht="15" hidden="false" customHeight="false" outlineLevel="0" collapsed="false">
      <c r="A1031" s="0" t="s">
        <v>740</v>
      </c>
      <c r="B1031" s="0" t="s">
        <v>1722</v>
      </c>
      <c r="C1031" s="0" t="s">
        <v>762</v>
      </c>
      <c r="D1031" s="0" t="s">
        <v>98</v>
      </c>
      <c r="E1031" s="0" t="s">
        <v>763</v>
      </c>
    </row>
    <row r="1032" customFormat="false" ht="15" hidden="false" customHeight="false" outlineLevel="0" collapsed="false">
      <c r="A1032" s="0" t="s">
        <v>740</v>
      </c>
      <c r="B1032" s="0" t="s">
        <v>1723</v>
      </c>
      <c r="C1032" s="0" t="s">
        <v>1414</v>
      </c>
      <c r="D1032" s="0" t="s">
        <v>93</v>
      </c>
      <c r="E1032" s="0" t="s">
        <v>1695</v>
      </c>
    </row>
    <row r="1033" customFormat="false" ht="15" hidden="false" customHeight="false" outlineLevel="0" collapsed="false">
      <c r="A1033" s="0" t="s">
        <v>740</v>
      </c>
      <c r="B1033" s="0" t="s">
        <v>1724</v>
      </c>
      <c r="C1033" s="0" t="s">
        <v>580</v>
      </c>
      <c r="D1033" s="0" t="s">
        <v>93</v>
      </c>
    </row>
    <row r="1034" customFormat="false" ht="15" hidden="false" customHeight="false" outlineLevel="0" collapsed="false">
      <c r="A1034" s="0" t="s">
        <v>740</v>
      </c>
      <c r="B1034" s="0" t="s">
        <v>1725</v>
      </c>
      <c r="C1034" s="0" t="s">
        <v>580</v>
      </c>
      <c r="D1034" s="0" t="s">
        <v>93</v>
      </c>
    </row>
    <row r="1035" customFormat="false" ht="15" hidden="false" customHeight="false" outlineLevel="0" collapsed="false">
      <c r="A1035" s="0" t="s">
        <v>740</v>
      </c>
      <c r="B1035" s="0" t="s">
        <v>1726</v>
      </c>
      <c r="C1035" s="0" t="s">
        <v>580</v>
      </c>
      <c r="D1035" s="0" t="s">
        <v>93</v>
      </c>
      <c r="E1035" s="0" t="s">
        <v>909</v>
      </c>
    </row>
    <row r="1036" customFormat="false" ht="15" hidden="false" customHeight="false" outlineLevel="0" collapsed="false">
      <c r="A1036" s="0" t="s">
        <v>740</v>
      </c>
      <c r="B1036" s="0" t="s">
        <v>1727</v>
      </c>
      <c r="C1036" s="0" t="s">
        <v>580</v>
      </c>
      <c r="D1036" s="0" t="s">
        <v>93</v>
      </c>
      <c r="E1036" s="0" t="s">
        <v>909</v>
      </c>
    </row>
    <row r="1037" customFormat="false" ht="15" hidden="false" customHeight="false" outlineLevel="0" collapsed="false">
      <c r="A1037" s="0" t="s">
        <v>740</v>
      </c>
      <c r="B1037" s="0" t="s">
        <v>1728</v>
      </c>
      <c r="C1037" s="0" t="s">
        <v>580</v>
      </c>
      <c r="D1037" s="0" t="s">
        <v>93</v>
      </c>
      <c r="E1037" s="0" t="s">
        <v>909</v>
      </c>
    </row>
    <row r="1038" customFormat="false" ht="15" hidden="false" customHeight="false" outlineLevel="0" collapsed="false">
      <c r="A1038" s="0" t="s">
        <v>740</v>
      </c>
      <c r="B1038" s="0" t="s">
        <v>1729</v>
      </c>
      <c r="C1038" s="0" t="s">
        <v>580</v>
      </c>
      <c r="D1038" s="0" t="s">
        <v>93</v>
      </c>
      <c r="E1038" s="0" t="s">
        <v>909</v>
      </c>
    </row>
    <row r="1039" customFormat="false" ht="15" hidden="false" customHeight="false" outlineLevel="0" collapsed="false">
      <c r="A1039" s="0" t="s">
        <v>740</v>
      </c>
      <c r="B1039" s="0" t="s">
        <v>1730</v>
      </c>
      <c r="C1039" s="0" t="s">
        <v>580</v>
      </c>
      <c r="D1039" s="0" t="s">
        <v>93</v>
      </c>
      <c r="E1039" s="0" t="s">
        <v>909</v>
      </c>
    </row>
    <row r="1040" customFormat="false" ht="15" hidden="false" customHeight="false" outlineLevel="0" collapsed="false">
      <c r="A1040" s="0" t="s">
        <v>740</v>
      </c>
      <c r="B1040" s="0" t="s">
        <v>1731</v>
      </c>
      <c r="C1040" s="0" t="s">
        <v>580</v>
      </c>
      <c r="D1040" s="0" t="s">
        <v>93</v>
      </c>
      <c r="E1040" s="0" t="s">
        <v>909</v>
      </c>
    </row>
    <row r="1041" customFormat="false" ht="15" hidden="false" customHeight="false" outlineLevel="0" collapsed="false">
      <c r="A1041" s="0" t="s">
        <v>740</v>
      </c>
      <c r="B1041" s="0" t="s">
        <v>1732</v>
      </c>
      <c r="C1041" s="0" t="s">
        <v>580</v>
      </c>
      <c r="D1041" s="0" t="s">
        <v>93</v>
      </c>
      <c r="E1041" s="0" t="s">
        <v>909</v>
      </c>
    </row>
    <row r="1042" customFormat="false" ht="15" hidden="false" customHeight="false" outlineLevel="0" collapsed="false">
      <c r="A1042" s="0" t="s">
        <v>740</v>
      </c>
      <c r="B1042" s="0" t="s">
        <v>1733</v>
      </c>
      <c r="C1042" s="0" t="s">
        <v>580</v>
      </c>
      <c r="D1042" s="0" t="s">
        <v>93</v>
      </c>
      <c r="E1042" s="0" t="s">
        <v>909</v>
      </c>
    </row>
    <row r="1043" customFormat="false" ht="15" hidden="false" customHeight="false" outlineLevel="0" collapsed="false">
      <c r="A1043" s="0" t="s">
        <v>740</v>
      </c>
      <c r="B1043" s="0" t="s">
        <v>1734</v>
      </c>
      <c r="C1043" s="0" t="s">
        <v>580</v>
      </c>
      <c r="D1043" s="0" t="s">
        <v>93</v>
      </c>
      <c r="E1043" s="0" t="s">
        <v>909</v>
      </c>
    </row>
    <row r="1044" customFormat="false" ht="15" hidden="false" customHeight="false" outlineLevel="0" collapsed="false">
      <c r="A1044" s="0" t="s">
        <v>740</v>
      </c>
      <c r="B1044" s="0" t="s">
        <v>1735</v>
      </c>
      <c r="C1044" s="0" t="s">
        <v>580</v>
      </c>
      <c r="D1044" s="0" t="s">
        <v>93</v>
      </c>
      <c r="E1044" s="0" t="s">
        <v>909</v>
      </c>
    </row>
    <row r="1045" customFormat="false" ht="15" hidden="false" customHeight="false" outlineLevel="0" collapsed="false">
      <c r="A1045" s="0" t="s">
        <v>740</v>
      </c>
      <c r="B1045" s="0" t="s">
        <v>1736</v>
      </c>
      <c r="C1045" s="0" t="s">
        <v>1737</v>
      </c>
      <c r="D1045" s="0" t="s">
        <v>98</v>
      </c>
      <c r="E1045" s="0" t="s">
        <v>826</v>
      </c>
    </row>
    <row r="1046" customFormat="false" ht="15" hidden="false" customHeight="false" outlineLevel="0" collapsed="false">
      <c r="A1046" s="0" t="s">
        <v>740</v>
      </c>
      <c r="B1046" s="0" t="s">
        <v>1738</v>
      </c>
      <c r="C1046" s="0" t="s">
        <v>1739</v>
      </c>
      <c r="D1046" s="0" t="s">
        <v>98</v>
      </c>
      <c r="E1046" s="0" t="s">
        <v>826</v>
      </c>
    </row>
    <row r="1047" customFormat="false" ht="15" hidden="false" customHeight="false" outlineLevel="0" collapsed="false">
      <c r="A1047" s="0" t="s">
        <v>740</v>
      </c>
      <c r="B1047" s="0" t="s">
        <v>1740</v>
      </c>
      <c r="C1047" s="0" t="s">
        <v>1741</v>
      </c>
      <c r="D1047" s="0" t="s">
        <v>98</v>
      </c>
      <c r="E1047" s="0" t="s">
        <v>826</v>
      </c>
    </row>
    <row r="1048" customFormat="false" ht="15" hidden="false" customHeight="false" outlineLevel="0" collapsed="false">
      <c r="A1048" s="0" t="s">
        <v>740</v>
      </c>
      <c r="B1048" s="0" t="s">
        <v>1742</v>
      </c>
      <c r="C1048" s="0" t="s">
        <v>1743</v>
      </c>
      <c r="D1048" s="0" t="s">
        <v>98</v>
      </c>
      <c r="E1048" s="0" t="s">
        <v>826</v>
      </c>
    </row>
    <row r="1049" customFormat="false" ht="15" hidden="false" customHeight="false" outlineLevel="0" collapsed="false">
      <c r="A1049" s="0" t="s">
        <v>740</v>
      </c>
      <c r="B1049" s="0" t="s">
        <v>1744</v>
      </c>
      <c r="C1049" s="0" t="s">
        <v>1745</v>
      </c>
      <c r="D1049" s="0" t="s">
        <v>98</v>
      </c>
      <c r="E1049" s="0" t="s">
        <v>826</v>
      </c>
    </row>
    <row r="1050" customFormat="false" ht="15" hidden="false" customHeight="false" outlineLevel="0" collapsed="false">
      <c r="A1050" s="0" t="s">
        <v>740</v>
      </c>
      <c r="B1050" s="0" t="s">
        <v>1746</v>
      </c>
      <c r="C1050" s="0" t="s">
        <v>1747</v>
      </c>
      <c r="D1050" s="0" t="s">
        <v>98</v>
      </c>
      <c r="E1050" s="0" t="s">
        <v>826</v>
      </c>
    </row>
    <row r="1051" customFormat="false" ht="15" hidden="false" customHeight="false" outlineLevel="0" collapsed="false">
      <c r="A1051" s="0" t="s">
        <v>740</v>
      </c>
      <c r="B1051" s="0" t="s">
        <v>1748</v>
      </c>
      <c r="C1051" s="0" t="s">
        <v>1749</v>
      </c>
      <c r="D1051" s="0" t="s">
        <v>98</v>
      </c>
      <c r="E1051" s="0" t="s">
        <v>826</v>
      </c>
    </row>
    <row r="1052" customFormat="false" ht="15" hidden="false" customHeight="false" outlineLevel="0" collapsed="false">
      <c r="A1052" s="0" t="s">
        <v>740</v>
      </c>
      <c r="B1052" s="0" t="s">
        <v>1750</v>
      </c>
      <c r="C1052" s="0" t="s">
        <v>1751</v>
      </c>
      <c r="D1052" s="0" t="s">
        <v>98</v>
      </c>
      <c r="E1052" s="0" t="s">
        <v>826</v>
      </c>
    </row>
    <row r="1053" customFormat="false" ht="15" hidden="false" customHeight="false" outlineLevel="0" collapsed="false">
      <c r="A1053" s="0" t="s">
        <v>740</v>
      </c>
      <c r="B1053" s="0" t="s">
        <v>1752</v>
      </c>
      <c r="C1053" s="0" t="s">
        <v>1753</v>
      </c>
      <c r="D1053" s="0" t="s">
        <v>98</v>
      </c>
      <c r="E1053" s="0" t="s">
        <v>826</v>
      </c>
    </row>
    <row r="1054" customFormat="false" ht="15" hidden="false" customHeight="false" outlineLevel="0" collapsed="false">
      <c r="A1054" s="0" t="s">
        <v>740</v>
      </c>
      <c r="B1054" s="0" t="s">
        <v>1754</v>
      </c>
      <c r="C1054" s="0" t="s">
        <v>1755</v>
      </c>
      <c r="D1054" s="0" t="s">
        <v>98</v>
      </c>
      <c r="E1054" s="0" t="s">
        <v>826</v>
      </c>
    </row>
    <row r="1055" customFormat="false" ht="15" hidden="false" customHeight="false" outlineLevel="0" collapsed="false">
      <c r="A1055" s="0" t="s">
        <v>740</v>
      </c>
      <c r="B1055" s="0" t="s">
        <v>1756</v>
      </c>
      <c r="C1055" s="0" t="s">
        <v>1757</v>
      </c>
      <c r="D1055" s="0" t="s">
        <v>98</v>
      </c>
      <c r="E1055" s="0" t="s">
        <v>826</v>
      </c>
    </row>
    <row r="1056" customFormat="false" ht="15" hidden="false" customHeight="false" outlineLevel="0" collapsed="false">
      <c r="A1056" s="0" t="s">
        <v>740</v>
      </c>
      <c r="B1056" s="0" t="s">
        <v>1758</v>
      </c>
      <c r="C1056" s="0" t="s">
        <v>1759</v>
      </c>
      <c r="D1056" s="0" t="s">
        <v>98</v>
      </c>
      <c r="E1056" s="0" t="s">
        <v>826</v>
      </c>
    </row>
    <row r="1057" customFormat="false" ht="15" hidden="false" customHeight="false" outlineLevel="0" collapsed="false">
      <c r="A1057" s="0" t="s">
        <v>740</v>
      </c>
      <c r="B1057" s="0" t="s">
        <v>1760</v>
      </c>
      <c r="C1057" s="0" t="s">
        <v>1761</v>
      </c>
      <c r="D1057" s="0" t="s">
        <v>98</v>
      </c>
      <c r="E1057" s="0" t="s">
        <v>826</v>
      </c>
    </row>
    <row r="1058" customFormat="false" ht="15" hidden="false" customHeight="false" outlineLevel="0" collapsed="false">
      <c r="A1058" s="0" t="s">
        <v>740</v>
      </c>
      <c r="B1058" s="0" t="s">
        <v>1762</v>
      </c>
      <c r="C1058" s="0" t="s">
        <v>1763</v>
      </c>
      <c r="D1058" s="0" t="s">
        <v>98</v>
      </c>
      <c r="E1058" s="0" t="s">
        <v>826</v>
      </c>
    </row>
    <row r="1059" customFormat="false" ht="15" hidden="false" customHeight="false" outlineLevel="0" collapsed="false">
      <c r="A1059" s="0" t="s">
        <v>740</v>
      </c>
      <c r="B1059" s="0" t="s">
        <v>1764</v>
      </c>
      <c r="C1059" s="0" t="s">
        <v>1765</v>
      </c>
      <c r="D1059" s="0" t="s">
        <v>98</v>
      </c>
      <c r="E1059" s="0" t="s">
        <v>826</v>
      </c>
    </row>
    <row r="1060" customFormat="false" ht="15" hidden="false" customHeight="false" outlineLevel="0" collapsed="false">
      <c r="A1060" s="0" t="s">
        <v>740</v>
      </c>
      <c r="B1060" s="0" t="s">
        <v>1766</v>
      </c>
      <c r="C1060" s="0" t="s">
        <v>1767</v>
      </c>
      <c r="D1060" s="0" t="s">
        <v>98</v>
      </c>
      <c r="E1060" s="0" t="s">
        <v>826</v>
      </c>
    </row>
    <row r="1061" customFormat="false" ht="15" hidden="false" customHeight="false" outlineLevel="0" collapsed="false">
      <c r="A1061" s="0" t="s">
        <v>740</v>
      </c>
      <c r="B1061" s="0" t="s">
        <v>1768</v>
      </c>
      <c r="C1061" s="0" t="s">
        <v>1769</v>
      </c>
      <c r="D1061" s="0" t="s">
        <v>98</v>
      </c>
      <c r="E1061" s="0" t="s">
        <v>826</v>
      </c>
    </row>
    <row r="1062" customFormat="false" ht="15" hidden="false" customHeight="false" outlineLevel="0" collapsed="false">
      <c r="A1062" s="0" t="s">
        <v>740</v>
      </c>
      <c r="B1062" s="0" t="s">
        <v>1770</v>
      </c>
      <c r="C1062" s="0" t="s">
        <v>1771</v>
      </c>
      <c r="D1062" s="0" t="s">
        <v>98</v>
      </c>
      <c r="E1062" s="0" t="s">
        <v>826</v>
      </c>
    </row>
    <row r="1063" customFormat="false" ht="15" hidden="false" customHeight="false" outlineLevel="0" collapsed="false">
      <c r="A1063" s="0" t="s">
        <v>740</v>
      </c>
      <c r="B1063" s="0" t="s">
        <v>1772</v>
      </c>
      <c r="C1063" s="0" t="s">
        <v>1773</v>
      </c>
      <c r="D1063" s="0" t="s">
        <v>98</v>
      </c>
      <c r="E1063" s="0" t="s">
        <v>826</v>
      </c>
    </row>
    <row r="1064" customFormat="false" ht="15" hidden="false" customHeight="false" outlineLevel="0" collapsed="false">
      <c r="A1064" s="0" t="s">
        <v>740</v>
      </c>
      <c r="B1064" s="0" t="s">
        <v>1774</v>
      </c>
      <c r="C1064" s="0" t="s">
        <v>1775</v>
      </c>
      <c r="D1064" s="0" t="s">
        <v>98</v>
      </c>
      <c r="E1064" s="0" t="s">
        <v>826</v>
      </c>
    </row>
    <row r="1065" customFormat="false" ht="15" hidden="false" customHeight="false" outlineLevel="0" collapsed="false">
      <c r="A1065" s="0" t="s">
        <v>740</v>
      </c>
      <c r="B1065" s="0" t="s">
        <v>1776</v>
      </c>
      <c r="C1065" s="0" t="s">
        <v>1777</v>
      </c>
      <c r="D1065" s="0" t="s">
        <v>98</v>
      </c>
      <c r="E1065" s="0" t="s">
        <v>826</v>
      </c>
    </row>
    <row r="1066" customFormat="false" ht="15" hidden="false" customHeight="false" outlineLevel="0" collapsed="false">
      <c r="A1066" s="0" t="s">
        <v>740</v>
      </c>
      <c r="B1066" s="0" t="s">
        <v>1778</v>
      </c>
      <c r="C1066" s="0" t="s">
        <v>1779</v>
      </c>
      <c r="D1066" s="0" t="s">
        <v>98</v>
      </c>
      <c r="E1066" s="0" t="s">
        <v>826</v>
      </c>
    </row>
    <row r="1067" customFormat="false" ht="15" hidden="false" customHeight="false" outlineLevel="0" collapsed="false">
      <c r="A1067" s="0" t="s">
        <v>740</v>
      </c>
      <c r="B1067" s="0" t="s">
        <v>1780</v>
      </c>
      <c r="C1067" s="0" t="s">
        <v>1781</v>
      </c>
      <c r="D1067" s="0" t="s">
        <v>98</v>
      </c>
      <c r="E1067" s="0" t="s">
        <v>826</v>
      </c>
    </row>
    <row r="1068" customFormat="false" ht="15" hidden="false" customHeight="false" outlineLevel="0" collapsed="false">
      <c r="A1068" s="0" t="s">
        <v>740</v>
      </c>
      <c r="B1068" s="0" t="s">
        <v>1782</v>
      </c>
      <c r="C1068" s="0" t="s">
        <v>1783</v>
      </c>
      <c r="D1068" s="0" t="s">
        <v>98</v>
      </c>
      <c r="E1068" s="0" t="s">
        <v>826</v>
      </c>
    </row>
    <row r="1069" customFormat="false" ht="15" hidden="false" customHeight="false" outlineLevel="0" collapsed="false">
      <c r="A1069" s="0" t="s">
        <v>740</v>
      </c>
      <c r="B1069" s="0" t="s">
        <v>1784</v>
      </c>
      <c r="C1069" s="0" t="s">
        <v>1785</v>
      </c>
      <c r="D1069" s="0" t="s">
        <v>98</v>
      </c>
      <c r="E1069" s="0" t="s">
        <v>826</v>
      </c>
    </row>
    <row r="1070" customFormat="false" ht="15" hidden="false" customHeight="false" outlineLevel="0" collapsed="false">
      <c r="A1070" s="0" t="s">
        <v>740</v>
      </c>
      <c r="B1070" s="0" t="s">
        <v>1786</v>
      </c>
      <c r="C1070" s="0" t="s">
        <v>1787</v>
      </c>
      <c r="D1070" s="0" t="s">
        <v>98</v>
      </c>
      <c r="E1070" s="0" t="s">
        <v>826</v>
      </c>
    </row>
    <row r="1071" customFormat="false" ht="15" hidden="false" customHeight="false" outlineLevel="0" collapsed="false">
      <c r="A1071" s="0" t="s">
        <v>740</v>
      </c>
      <c r="B1071" s="0" t="s">
        <v>1788</v>
      </c>
      <c r="C1071" s="0" t="s">
        <v>1789</v>
      </c>
      <c r="D1071" s="0" t="s">
        <v>98</v>
      </c>
      <c r="E1071" s="0" t="s">
        <v>826</v>
      </c>
    </row>
    <row r="1072" customFormat="false" ht="15" hidden="false" customHeight="false" outlineLevel="0" collapsed="false">
      <c r="A1072" s="0" t="s">
        <v>740</v>
      </c>
      <c r="B1072" s="0" t="s">
        <v>1790</v>
      </c>
      <c r="C1072" s="0" t="s">
        <v>1791</v>
      </c>
      <c r="D1072" s="0" t="s">
        <v>98</v>
      </c>
      <c r="E1072" s="0" t="s">
        <v>826</v>
      </c>
    </row>
    <row r="1073" customFormat="false" ht="15" hidden="false" customHeight="false" outlineLevel="0" collapsed="false">
      <c r="A1073" s="0" t="s">
        <v>740</v>
      </c>
      <c r="B1073" s="0" t="s">
        <v>1792</v>
      </c>
      <c r="C1073" s="0" t="s">
        <v>356</v>
      </c>
      <c r="D1073" s="0" t="s">
        <v>86</v>
      </c>
      <c r="E1073" s="0" t="s">
        <v>1793</v>
      </c>
    </row>
    <row r="1074" customFormat="false" ht="15" hidden="false" customHeight="false" outlineLevel="0" collapsed="false">
      <c r="A1074" s="0" t="s">
        <v>740</v>
      </c>
      <c r="B1074" s="0" t="s">
        <v>1794</v>
      </c>
      <c r="C1074" s="0" t="s">
        <v>590</v>
      </c>
      <c r="D1074" s="0" t="s">
        <v>86</v>
      </c>
      <c r="E1074" s="0" t="s">
        <v>242</v>
      </c>
    </row>
    <row r="1075" customFormat="false" ht="15" hidden="false" customHeight="false" outlineLevel="0" collapsed="false">
      <c r="A1075" s="0" t="s">
        <v>740</v>
      </c>
      <c r="B1075" s="0" t="s">
        <v>1795</v>
      </c>
      <c r="C1075" s="0" t="s">
        <v>590</v>
      </c>
      <c r="D1075" s="0" t="s">
        <v>86</v>
      </c>
      <c r="E1075" s="0" t="s">
        <v>242</v>
      </c>
    </row>
    <row r="1076" customFormat="false" ht="15" hidden="false" customHeight="false" outlineLevel="0" collapsed="false">
      <c r="A1076" s="0" t="s">
        <v>740</v>
      </c>
      <c r="B1076" s="0" t="s">
        <v>1796</v>
      </c>
      <c r="C1076" s="0" t="s">
        <v>590</v>
      </c>
      <c r="D1076" s="0" t="s">
        <v>86</v>
      </c>
      <c r="E1076" s="0" t="s">
        <v>242</v>
      </c>
    </row>
    <row r="1077" customFormat="false" ht="15" hidden="false" customHeight="false" outlineLevel="0" collapsed="false">
      <c r="A1077" s="0" t="s">
        <v>740</v>
      </c>
      <c r="B1077" s="0" t="s">
        <v>1797</v>
      </c>
      <c r="C1077" s="0" t="s">
        <v>590</v>
      </c>
      <c r="D1077" s="0" t="s">
        <v>86</v>
      </c>
      <c r="E1077" s="0" t="s">
        <v>242</v>
      </c>
    </row>
    <row r="1078" customFormat="false" ht="15" hidden="false" customHeight="false" outlineLevel="0" collapsed="false">
      <c r="A1078" s="0" t="s">
        <v>740</v>
      </c>
      <c r="B1078" s="0" t="s">
        <v>1798</v>
      </c>
      <c r="C1078" s="0" t="s">
        <v>590</v>
      </c>
      <c r="D1078" s="0" t="s">
        <v>86</v>
      </c>
      <c r="E1078" s="0" t="s">
        <v>242</v>
      </c>
    </row>
    <row r="1079" customFormat="false" ht="15" hidden="false" customHeight="false" outlineLevel="0" collapsed="false">
      <c r="A1079" s="0" t="s">
        <v>740</v>
      </c>
      <c r="B1079" s="0" t="s">
        <v>1799</v>
      </c>
      <c r="C1079" s="0" t="s">
        <v>590</v>
      </c>
      <c r="D1079" s="0" t="s">
        <v>86</v>
      </c>
      <c r="E1079" s="0" t="s">
        <v>242</v>
      </c>
    </row>
    <row r="1080" customFormat="false" ht="15" hidden="false" customHeight="false" outlineLevel="0" collapsed="false">
      <c r="A1080" s="0" t="s">
        <v>740</v>
      </c>
      <c r="B1080" s="0" t="s">
        <v>1800</v>
      </c>
      <c r="C1080" s="0" t="s">
        <v>590</v>
      </c>
      <c r="D1080" s="0" t="s">
        <v>86</v>
      </c>
      <c r="E1080" s="0" t="s">
        <v>242</v>
      </c>
    </row>
    <row r="1081" customFormat="false" ht="15" hidden="false" customHeight="false" outlineLevel="0" collapsed="false">
      <c r="A1081" s="0" t="s">
        <v>740</v>
      </c>
      <c r="B1081" s="0" t="s">
        <v>1801</v>
      </c>
      <c r="C1081" s="0" t="s">
        <v>590</v>
      </c>
      <c r="D1081" s="0" t="s">
        <v>744</v>
      </c>
      <c r="E1081" s="0" t="s">
        <v>242</v>
      </c>
    </row>
    <row r="1082" customFormat="false" ht="15" hidden="false" customHeight="false" outlineLevel="0" collapsed="false">
      <c r="A1082" s="0" t="s">
        <v>740</v>
      </c>
      <c r="B1082" s="0" t="s">
        <v>1802</v>
      </c>
      <c r="C1082" s="0" t="s">
        <v>590</v>
      </c>
      <c r="D1082" s="0" t="s">
        <v>744</v>
      </c>
      <c r="E1082" s="0" t="s">
        <v>242</v>
      </c>
    </row>
    <row r="1083" customFormat="false" ht="15" hidden="false" customHeight="false" outlineLevel="0" collapsed="false">
      <c r="A1083" s="0" t="s">
        <v>740</v>
      </c>
      <c r="B1083" s="0" t="s">
        <v>1803</v>
      </c>
      <c r="C1083" s="0" t="s">
        <v>590</v>
      </c>
      <c r="D1083" s="0" t="s">
        <v>744</v>
      </c>
      <c r="E1083" s="0" t="s">
        <v>242</v>
      </c>
    </row>
    <row r="1084" customFormat="false" ht="15" hidden="false" customHeight="false" outlineLevel="0" collapsed="false">
      <c r="A1084" s="0" t="s">
        <v>740</v>
      </c>
      <c r="B1084" s="0" t="s">
        <v>1804</v>
      </c>
      <c r="C1084" s="0" t="s">
        <v>590</v>
      </c>
      <c r="D1084" s="0" t="s">
        <v>744</v>
      </c>
      <c r="E1084" s="0" t="s">
        <v>242</v>
      </c>
    </row>
    <row r="1085" customFormat="false" ht="15" hidden="false" customHeight="false" outlineLevel="0" collapsed="false">
      <c r="A1085" s="0" t="s">
        <v>740</v>
      </c>
      <c r="B1085" s="0" t="s">
        <v>1805</v>
      </c>
      <c r="C1085" s="0" t="s">
        <v>590</v>
      </c>
      <c r="D1085" s="0" t="s">
        <v>744</v>
      </c>
      <c r="E1085" s="0" t="s">
        <v>242</v>
      </c>
    </row>
    <row r="1086" customFormat="false" ht="15" hidden="false" customHeight="false" outlineLevel="0" collapsed="false">
      <c r="A1086" s="0" t="s">
        <v>740</v>
      </c>
      <c r="B1086" s="0" t="s">
        <v>1806</v>
      </c>
      <c r="C1086" s="0" t="s">
        <v>590</v>
      </c>
      <c r="D1086" s="0" t="s">
        <v>744</v>
      </c>
      <c r="E1086" s="0" t="s">
        <v>242</v>
      </c>
    </row>
    <row r="1087" customFormat="false" ht="15" hidden="false" customHeight="false" outlineLevel="0" collapsed="false">
      <c r="A1087" s="0" t="s">
        <v>740</v>
      </c>
      <c r="B1087" s="0" t="s">
        <v>1807</v>
      </c>
      <c r="C1087" s="0" t="s">
        <v>590</v>
      </c>
      <c r="D1087" s="0" t="s">
        <v>744</v>
      </c>
      <c r="E1087" s="0" t="s">
        <v>242</v>
      </c>
    </row>
    <row r="1088" customFormat="false" ht="15" hidden="false" customHeight="false" outlineLevel="0" collapsed="false">
      <c r="A1088" s="0" t="s">
        <v>740</v>
      </c>
      <c r="B1088" s="0" t="s">
        <v>1808</v>
      </c>
      <c r="C1088" s="0" t="s">
        <v>590</v>
      </c>
      <c r="D1088" s="0" t="s">
        <v>744</v>
      </c>
      <c r="E1088" s="0" t="s">
        <v>242</v>
      </c>
    </row>
    <row r="1089" customFormat="false" ht="15" hidden="false" customHeight="false" outlineLevel="0" collapsed="false">
      <c r="A1089" s="0" t="s">
        <v>740</v>
      </c>
      <c r="B1089" s="0" t="s">
        <v>1809</v>
      </c>
      <c r="C1089" s="0" t="s">
        <v>590</v>
      </c>
      <c r="D1089" s="0" t="s">
        <v>744</v>
      </c>
      <c r="E1089" s="0" t="s">
        <v>242</v>
      </c>
    </row>
    <row r="1090" customFormat="false" ht="15" hidden="false" customHeight="false" outlineLevel="0" collapsed="false">
      <c r="A1090" s="0" t="s">
        <v>740</v>
      </c>
      <c r="B1090" s="0" t="s">
        <v>1810</v>
      </c>
      <c r="C1090" s="0" t="s">
        <v>590</v>
      </c>
      <c r="D1090" s="0" t="s">
        <v>744</v>
      </c>
      <c r="E1090" s="0" t="s">
        <v>242</v>
      </c>
    </row>
    <row r="1091" customFormat="false" ht="15" hidden="false" customHeight="false" outlineLevel="0" collapsed="false">
      <c r="A1091" s="0" t="s">
        <v>740</v>
      </c>
      <c r="B1091" s="0" t="s">
        <v>1811</v>
      </c>
      <c r="C1091" s="0" t="s">
        <v>590</v>
      </c>
      <c r="D1091" s="0" t="s">
        <v>744</v>
      </c>
      <c r="E1091" s="0" t="s">
        <v>242</v>
      </c>
    </row>
    <row r="1092" customFormat="false" ht="15" hidden="false" customHeight="false" outlineLevel="0" collapsed="false">
      <c r="A1092" s="0" t="s">
        <v>740</v>
      </c>
      <c r="B1092" s="0" t="s">
        <v>1812</v>
      </c>
      <c r="C1092" s="0" t="s">
        <v>590</v>
      </c>
      <c r="D1092" s="0" t="s">
        <v>744</v>
      </c>
      <c r="E1092" s="0" t="s">
        <v>242</v>
      </c>
    </row>
    <row r="1093" customFormat="false" ht="15" hidden="false" customHeight="false" outlineLevel="0" collapsed="false">
      <c r="A1093" s="0" t="s">
        <v>740</v>
      </c>
      <c r="B1093" s="0" t="s">
        <v>1813</v>
      </c>
      <c r="C1093" s="0" t="s">
        <v>590</v>
      </c>
      <c r="D1093" s="0" t="s">
        <v>744</v>
      </c>
      <c r="E1093" s="0" t="s">
        <v>242</v>
      </c>
    </row>
    <row r="1094" customFormat="false" ht="15" hidden="false" customHeight="false" outlineLevel="0" collapsed="false">
      <c r="A1094" s="0" t="s">
        <v>740</v>
      </c>
      <c r="B1094" s="0" t="s">
        <v>1814</v>
      </c>
      <c r="C1094" s="0" t="s">
        <v>590</v>
      </c>
      <c r="D1094" s="0" t="s">
        <v>744</v>
      </c>
      <c r="E1094" s="0" t="s">
        <v>242</v>
      </c>
    </row>
    <row r="1095" customFormat="false" ht="15" hidden="false" customHeight="false" outlineLevel="0" collapsed="false">
      <c r="A1095" s="0" t="s">
        <v>740</v>
      </c>
      <c r="B1095" s="0" t="s">
        <v>1815</v>
      </c>
      <c r="C1095" s="0" t="s">
        <v>590</v>
      </c>
      <c r="D1095" s="0" t="s">
        <v>744</v>
      </c>
      <c r="E1095" s="0" t="s">
        <v>242</v>
      </c>
    </row>
    <row r="1096" customFormat="false" ht="15" hidden="false" customHeight="false" outlineLevel="0" collapsed="false">
      <c r="A1096" s="0" t="s">
        <v>740</v>
      </c>
      <c r="B1096" s="0" t="s">
        <v>1816</v>
      </c>
      <c r="C1096" s="0" t="s">
        <v>590</v>
      </c>
      <c r="D1096" s="0" t="s">
        <v>744</v>
      </c>
      <c r="E1096" s="0" t="s">
        <v>242</v>
      </c>
    </row>
    <row r="1097" customFormat="false" ht="15" hidden="false" customHeight="false" outlineLevel="0" collapsed="false">
      <c r="A1097" s="0" t="s">
        <v>740</v>
      </c>
      <c r="B1097" s="0" t="s">
        <v>1817</v>
      </c>
      <c r="C1097" s="0" t="s">
        <v>590</v>
      </c>
      <c r="D1097" s="0" t="s">
        <v>744</v>
      </c>
      <c r="E1097" s="0" t="s">
        <v>242</v>
      </c>
    </row>
    <row r="1098" customFormat="false" ht="15" hidden="false" customHeight="false" outlineLevel="0" collapsed="false">
      <c r="A1098" s="0" t="s">
        <v>740</v>
      </c>
      <c r="B1098" s="0" t="s">
        <v>1818</v>
      </c>
      <c r="C1098" s="0" t="s">
        <v>590</v>
      </c>
      <c r="D1098" s="0" t="s">
        <v>744</v>
      </c>
      <c r="E1098" s="0" t="s">
        <v>242</v>
      </c>
    </row>
    <row r="1099" customFormat="false" ht="15" hidden="false" customHeight="false" outlineLevel="0" collapsed="false">
      <c r="A1099" s="0" t="s">
        <v>740</v>
      </c>
      <c r="B1099" s="0" t="s">
        <v>1819</v>
      </c>
      <c r="C1099" s="0" t="s">
        <v>762</v>
      </c>
      <c r="D1099" s="0" t="s">
        <v>98</v>
      </c>
      <c r="E1099" s="0" t="s">
        <v>763</v>
      </c>
    </row>
    <row r="1100" customFormat="false" ht="15" hidden="false" customHeight="false" outlineLevel="0" collapsed="false">
      <c r="A1100" s="0" t="s">
        <v>740</v>
      </c>
      <c r="B1100" s="0" t="s">
        <v>1820</v>
      </c>
      <c r="C1100" s="0" t="s">
        <v>762</v>
      </c>
      <c r="D1100" s="0" t="s">
        <v>98</v>
      </c>
      <c r="E1100" s="0" t="s">
        <v>763</v>
      </c>
    </row>
    <row r="1101" customFormat="false" ht="15" hidden="false" customHeight="false" outlineLevel="0" collapsed="false">
      <c r="A1101" s="0" t="s">
        <v>740</v>
      </c>
      <c r="B1101" s="0" t="s">
        <v>1821</v>
      </c>
      <c r="C1101" s="0" t="s">
        <v>762</v>
      </c>
      <c r="D1101" s="0" t="s">
        <v>98</v>
      </c>
      <c r="E1101" s="0" t="s">
        <v>763</v>
      </c>
    </row>
    <row r="1102" customFormat="false" ht="15" hidden="false" customHeight="false" outlineLevel="0" collapsed="false">
      <c r="A1102" s="0" t="s">
        <v>740</v>
      </c>
      <c r="B1102" s="0" t="s">
        <v>1822</v>
      </c>
      <c r="C1102" s="0" t="s">
        <v>762</v>
      </c>
      <c r="D1102" s="0" t="s">
        <v>98</v>
      </c>
      <c r="E1102" s="0" t="s">
        <v>763</v>
      </c>
    </row>
    <row r="1103" customFormat="false" ht="15" hidden="false" customHeight="false" outlineLevel="0" collapsed="false">
      <c r="A1103" s="0" t="s">
        <v>740</v>
      </c>
      <c r="B1103" s="0" t="s">
        <v>1823</v>
      </c>
      <c r="C1103" s="0" t="s">
        <v>600</v>
      </c>
      <c r="D1103" s="0" t="s">
        <v>93</v>
      </c>
      <c r="E1103" s="0" t="s">
        <v>1824</v>
      </c>
    </row>
    <row r="1104" customFormat="false" ht="15" hidden="false" customHeight="false" outlineLevel="0" collapsed="false">
      <c r="A1104" s="0" t="s">
        <v>740</v>
      </c>
      <c r="B1104" s="0" t="s">
        <v>1825</v>
      </c>
      <c r="C1104" s="0" t="s">
        <v>600</v>
      </c>
      <c r="D1104" s="0" t="s">
        <v>93</v>
      </c>
      <c r="E1104" s="0" t="s">
        <v>1826</v>
      </c>
    </row>
    <row r="1105" customFormat="false" ht="15" hidden="false" customHeight="false" outlineLevel="0" collapsed="false">
      <c r="A1105" s="0" t="s">
        <v>740</v>
      </c>
      <c r="B1105" s="0" t="s">
        <v>1827</v>
      </c>
      <c r="C1105" s="0" t="s">
        <v>600</v>
      </c>
      <c r="D1105" s="0" t="s">
        <v>93</v>
      </c>
      <c r="E1105" s="0" t="s">
        <v>1828</v>
      </c>
    </row>
    <row r="1106" customFormat="false" ht="15" hidden="false" customHeight="false" outlineLevel="0" collapsed="false">
      <c r="A1106" s="0" t="s">
        <v>740</v>
      </c>
      <c r="B1106" s="0" t="s">
        <v>1829</v>
      </c>
      <c r="C1106" s="0" t="s">
        <v>600</v>
      </c>
      <c r="D1106" s="0" t="s">
        <v>93</v>
      </c>
      <c r="E1106" s="0" t="s">
        <v>1830</v>
      </c>
    </row>
    <row r="1107" customFormat="false" ht="15" hidden="false" customHeight="false" outlineLevel="0" collapsed="false">
      <c r="A1107" s="0" t="s">
        <v>740</v>
      </c>
      <c r="B1107" s="0" t="s">
        <v>1831</v>
      </c>
      <c r="C1107" s="0" t="s">
        <v>600</v>
      </c>
      <c r="D1107" s="0" t="s">
        <v>93</v>
      </c>
      <c r="E1107" s="0" t="s">
        <v>1832</v>
      </c>
    </row>
    <row r="1108" customFormat="false" ht="15" hidden="false" customHeight="false" outlineLevel="0" collapsed="false">
      <c r="A1108" s="0" t="s">
        <v>740</v>
      </c>
      <c r="B1108" s="0" t="s">
        <v>1833</v>
      </c>
      <c r="C1108" s="0" t="s">
        <v>600</v>
      </c>
      <c r="D1108" s="0" t="s">
        <v>93</v>
      </c>
      <c r="E1108" s="0" t="s">
        <v>1832</v>
      </c>
    </row>
    <row r="1109" customFormat="false" ht="15" hidden="false" customHeight="false" outlineLevel="0" collapsed="false">
      <c r="A1109" s="0" t="s">
        <v>740</v>
      </c>
      <c r="B1109" s="0" t="s">
        <v>1834</v>
      </c>
      <c r="C1109" s="0" t="s">
        <v>600</v>
      </c>
      <c r="D1109" s="0" t="s">
        <v>93</v>
      </c>
      <c r="E1109" s="0" t="s">
        <v>1832</v>
      </c>
    </row>
    <row r="1110" customFormat="false" ht="15" hidden="false" customHeight="false" outlineLevel="0" collapsed="false">
      <c r="A1110" s="0" t="s">
        <v>740</v>
      </c>
      <c r="B1110" s="0" t="s">
        <v>1835</v>
      </c>
      <c r="C1110" s="0" t="s">
        <v>600</v>
      </c>
      <c r="D1110" s="0" t="s">
        <v>93</v>
      </c>
      <c r="E1110" s="0" t="s">
        <v>1832</v>
      </c>
    </row>
    <row r="1111" customFormat="false" ht="15" hidden="false" customHeight="false" outlineLevel="0" collapsed="false">
      <c r="A1111" s="0" t="s">
        <v>740</v>
      </c>
      <c r="B1111" s="0" t="s">
        <v>1836</v>
      </c>
      <c r="C1111" s="0" t="s">
        <v>600</v>
      </c>
      <c r="D1111" s="0" t="s">
        <v>93</v>
      </c>
      <c r="E1111" s="0" t="s">
        <v>1832</v>
      </c>
    </row>
    <row r="1112" customFormat="false" ht="15" hidden="false" customHeight="false" outlineLevel="0" collapsed="false">
      <c r="A1112" s="0" t="s">
        <v>740</v>
      </c>
      <c r="B1112" s="0" t="s">
        <v>1837</v>
      </c>
      <c r="C1112" s="0" t="s">
        <v>600</v>
      </c>
      <c r="D1112" s="0" t="s">
        <v>93</v>
      </c>
      <c r="E1112" s="0" t="s">
        <v>1832</v>
      </c>
    </row>
    <row r="1113" customFormat="false" ht="15" hidden="false" customHeight="false" outlineLevel="0" collapsed="false">
      <c r="A1113" s="0" t="s">
        <v>740</v>
      </c>
      <c r="B1113" s="0" t="s">
        <v>1838</v>
      </c>
      <c r="C1113" s="0" t="s">
        <v>600</v>
      </c>
      <c r="D1113" s="0" t="s">
        <v>93</v>
      </c>
      <c r="E1113" s="0" t="s">
        <v>1832</v>
      </c>
    </row>
    <row r="1114" customFormat="false" ht="15" hidden="false" customHeight="false" outlineLevel="0" collapsed="false">
      <c r="A1114" s="0" t="s">
        <v>740</v>
      </c>
      <c r="B1114" s="0" t="s">
        <v>1839</v>
      </c>
      <c r="C1114" s="0" t="s">
        <v>1840</v>
      </c>
      <c r="D1114" s="0" t="s">
        <v>93</v>
      </c>
      <c r="E1114" s="0" t="s">
        <v>1841</v>
      </c>
    </row>
    <row r="1115" customFormat="false" ht="15" hidden="false" customHeight="false" outlineLevel="0" collapsed="false">
      <c r="A1115" s="0" t="s">
        <v>740</v>
      </c>
      <c r="B1115" s="0" t="s">
        <v>1842</v>
      </c>
      <c r="C1115" s="0" t="s">
        <v>1840</v>
      </c>
      <c r="D1115" s="0" t="s">
        <v>93</v>
      </c>
      <c r="E1115" s="0" t="s">
        <v>788</v>
      </c>
    </row>
    <row r="1116" customFormat="false" ht="15" hidden="false" customHeight="false" outlineLevel="0" collapsed="false">
      <c r="A1116" s="0" t="s">
        <v>740</v>
      </c>
      <c r="B1116" s="0" t="s">
        <v>1843</v>
      </c>
      <c r="C1116" s="0" t="s">
        <v>1840</v>
      </c>
      <c r="D1116" s="0" t="s">
        <v>93</v>
      </c>
      <c r="E1116" s="0" t="s">
        <v>788</v>
      </c>
    </row>
    <row r="1117" customFormat="false" ht="15" hidden="false" customHeight="false" outlineLevel="0" collapsed="false">
      <c r="A1117" s="0" t="s">
        <v>740</v>
      </c>
      <c r="B1117" s="0" t="s">
        <v>1844</v>
      </c>
      <c r="C1117" s="0" t="s">
        <v>1840</v>
      </c>
      <c r="D1117" s="0" t="s">
        <v>93</v>
      </c>
      <c r="E1117" s="0" t="s">
        <v>788</v>
      </c>
    </row>
    <row r="1118" customFormat="false" ht="15" hidden="false" customHeight="false" outlineLevel="0" collapsed="false">
      <c r="A1118" s="0" t="s">
        <v>740</v>
      </c>
      <c r="B1118" s="0" t="s">
        <v>1845</v>
      </c>
      <c r="C1118" s="0" t="s">
        <v>1840</v>
      </c>
      <c r="D1118" s="0" t="s">
        <v>93</v>
      </c>
      <c r="E1118" s="0" t="s">
        <v>788</v>
      </c>
    </row>
    <row r="1119" customFormat="false" ht="15" hidden="false" customHeight="false" outlineLevel="0" collapsed="false">
      <c r="A1119" s="0" t="s">
        <v>740</v>
      </c>
      <c r="B1119" s="0" t="s">
        <v>1846</v>
      </c>
      <c r="C1119" s="0" t="s">
        <v>1840</v>
      </c>
      <c r="D1119" s="0" t="s">
        <v>93</v>
      </c>
      <c r="E1119" s="0" t="s">
        <v>788</v>
      </c>
    </row>
    <row r="1120" customFormat="false" ht="15" hidden="false" customHeight="false" outlineLevel="0" collapsed="false">
      <c r="A1120" s="0" t="s">
        <v>740</v>
      </c>
      <c r="B1120" s="0" t="s">
        <v>1847</v>
      </c>
      <c r="C1120" s="0" t="s">
        <v>1840</v>
      </c>
      <c r="D1120" s="0" t="s">
        <v>93</v>
      </c>
      <c r="E1120" s="0" t="s">
        <v>788</v>
      </c>
    </row>
    <row r="1121" customFormat="false" ht="15" hidden="false" customHeight="false" outlineLevel="0" collapsed="false">
      <c r="A1121" s="0" t="s">
        <v>740</v>
      </c>
      <c r="B1121" s="0" t="s">
        <v>1848</v>
      </c>
      <c r="C1121" s="0" t="s">
        <v>1840</v>
      </c>
      <c r="D1121" s="0" t="s">
        <v>93</v>
      </c>
      <c r="E1121" s="0" t="s">
        <v>788</v>
      </c>
    </row>
    <row r="1122" customFormat="false" ht="15" hidden="false" customHeight="false" outlineLevel="0" collapsed="false">
      <c r="A1122" s="0" t="s">
        <v>740</v>
      </c>
      <c r="B1122" s="0" t="s">
        <v>1849</v>
      </c>
      <c r="C1122" s="0" t="s">
        <v>1840</v>
      </c>
      <c r="D1122" s="0" t="s">
        <v>93</v>
      </c>
      <c r="E1122" s="0" t="s">
        <v>788</v>
      </c>
    </row>
    <row r="1123" customFormat="false" ht="15" hidden="false" customHeight="false" outlineLevel="0" collapsed="false">
      <c r="A1123" s="0" t="s">
        <v>740</v>
      </c>
      <c r="B1123" s="0" t="s">
        <v>1850</v>
      </c>
      <c r="C1123" s="0" t="s">
        <v>1840</v>
      </c>
      <c r="D1123" s="0" t="s">
        <v>93</v>
      </c>
      <c r="E1123" s="0" t="s">
        <v>788</v>
      </c>
    </row>
    <row r="1124" customFormat="false" ht="15" hidden="false" customHeight="false" outlineLevel="0" collapsed="false">
      <c r="A1124" s="0" t="s">
        <v>740</v>
      </c>
      <c r="B1124" s="0" t="s">
        <v>1851</v>
      </c>
      <c r="C1124" s="0" t="s">
        <v>1840</v>
      </c>
      <c r="D1124" s="0" t="s">
        <v>93</v>
      </c>
      <c r="E1124" s="0" t="s">
        <v>788</v>
      </c>
    </row>
    <row r="1125" customFormat="false" ht="15" hidden="false" customHeight="false" outlineLevel="0" collapsed="false">
      <c r="A1125" s="0" t="s">
        <v>740</v>
      </c>
      <c r="B1125" s="0" t="s">
        <v>1852</v>
      </c>
      <c r="C1125" s="0" t="s">
        <v>1840</v>
      </c>
      <c r="D1125" s="0" t="s">
        <v>93</v>
      </c>
      <c r="E1125" s="0" t="s">
        <v>788</v>
      </c>
    </row>
    <row r="1126" customFormat="false" ht="15" hidden="false" customHeight="false" outlineLevel="0" collapsed="false">
      <c r="A1126" s="0" t="s">
        <v>740</v>
      </c>
      <c r="B1126" s="0" t="s">
        <v>1853</v>
      </c>
      <c r="C1126" s="0" t="s">
        <v>1840</v>
      </c>
      <c r="D1126" s="0" t="s">
        <v>93</v>
      </c>
      <c r="E1126" s="0" t="s">
        <v>788</v>
      </c>
    </row>
    <row r="1127" customFormat="false" ht="15" hidden="false" customHeight="false" outlineLevel="0" collapsed="false">
      <c r="A1127" s="0" t="s">
        <v>740</v>
      </c>
      <c r="B1127" s="0" t="s">
        <v>1854</v>
      </c>
      <c r="C1127" s="0" t="s">
        <v>762</v>
      </c>
      <c r="D1127" s="0" t="s">
        <v>98</v>
      </c>
      <c r="E1127" s="0" t="s">
        <v>763</v>
      </c>
    </row>
    <row r="1128" customFormat="false" ht="15" hidden="false" customHeight="false" outlineLevel="0" collapsed="false">
      <c r="A1128" s="0" t="s">
        <v>740</v>
      </c>
      <c r="B1128" s="0" t="s">
        <v>1855</v>
      </c>
      <c r="C1128" s="0" t="s">
        <v>762</v>
      </c>
      <c r="D1128" s="0" t="s">
        <v>98</v>
      </c>
      <c r="E1128" s="0" t="s">
        <v>763</v>
      </c>
    </row>
    <row r="1129" customFormat="false" ht="15" hidden="false" customHeight="false" outlineLevel="0" collapsed="false">
      <c r="A1129" s="0" t="s">
        <v>740</v>
      </c>
      <c r="B1129" s="0" t="s">
        <v>1856</v>
      </c>
      <c r="C1129" s="0" t="s">
        <v>762</v>
      </c>
      <c r="D1129" s="0" t="s">
        <v>98</v>
      </c>
      <c r="E1129" s="0" t="s">
        <v>763</v>
      </c>
    </row>
    <row r="1130" customFormat="false" ht="15" hidden="false" customHeight="false" outlineLevel="0" collapsed="false">
      <c r="A1130" s="0" t="s">
        <v>740</v>
      </c>
      <c r="B1130" s="0" t="s">
        <v>1857</v>
      </c>
      <c r="C1130" s="0" t="s">
        <v>762</v>
      </c>
      <c r="D1130" s="0" t="s">
        <v>98</v>
      </c>
      <c r="E1130" s="0" t="s">
        <v>763</v>
      </c>
    </row>
    <row r="1131" customFormat="false" ht="15" hidden="false" customHeight="false" outlineLevel="0" collapsed="false">
      <c r="A1131" s="0" t="s">
        <v>740</v>
      </c>
      <c r="B1131" s="0" t="s">
        <v>1858</v>
      </c>
      <c r="C1131" s="0" t="s">
        <v>1859</v>
      </c>
      <c r="D1131" s="0" t="s">
        <v>93</v>
      </c>
      <c r="E1131" s="0" t="s">
        <v>1824</v>
      </c>
    </row>
    <row r="1132" customFormat="false" ht="15" hidden="false" customHeight="false" outlineLevel="0" collapsed="false">
      <c r="A1132" s="0" t="s">
        <v>740</v>
      </c>
      <c r="B1132" s="0" t="s">
        <v>1860</v>
      </c>
      <c r="C1132" s="0" t="s">
        <v>1859</v>
      </c>
      <c r="D1132" s="0" t="s">
        <v>93</v>
      </c>
      <c r="E1132" s="0" t="s">
        <v>1826</v>
      </c>
    </row>
    <row r="1133" customFormat="false" ht="15" hidden="false" customHeight="false" outlineLevel="0" collapsed="false">
      <c r="A1133" s="0" t="s">
        <v>740</v>
      </c>
      <c r="B1133" s="0" t="s">
        <v>1861</v>
      </c>
      <c r="C1133" s="0" t="s">
        <v>1859</v>
      </c>
      <c r="D1133" s="0" t="s">
        <v>93</v>
      </c>
      <c r="E1133" s="0" t="s">
        <v>1828</v>
      </c>
    </row>
    <row r="1134" customFormat="false" ht="15" hidden="false" customHeight="false" outlineLevel="0" collapsed="false">
      <c r="A1134" s="0" t="s">
        <v>740</v>
      </c>
      <c r="B1134" s="0" t="s">
        <v>1862</v>
      </c>
      <c r="C1134" s="0" t="s">
        <v>1414</v>
      </c>
      <c r="D1134" s="0" t="s">
        <v>93</v>
      </c>
      <c r="E1134" s="0" t="s">
        <v>1830</v>
      </c>
    </row>
    <row r="1135" customFormat="false" ht="15" hidden="false" customHeight="false" outlineLevel="0" collapsed="false">
      <c r="A1135" s="0" t="s">
        <v>740</v>
      </c>
      <c r="B1135" s="0" t="s">
        <v>1863</v>
      </c>
      <c r="C1135" s="0" t="s">
        <v>1414</v>
      </c>
      <c r="D1135" s="0" t="s">
        <v>93</v>
      </c>
      <c r="E1135" s="0" t="s">
        <v>1832</v>
      </c>
    </row>
    <row r="1136" customFormat="false" ht="15" hidden="false" customHeight="false" outlineLevel="0" collapsed="false">
      <c r="A1136" s="0" t="s">
        <v>740</v>
      </c>
      <c r="B1136" s="0" t="s">
        <v>1864</v>
      </c>
      <c r="C1136" s="0" t="s">
        <v>1414</v>
      </c>
      <c r="D1136" s="0" t="s">
        <v>93</v>
      </c>
      <c r="E1136" s="0" t="s">
        <v>1832</v>
      </c>
    </row>
    <row r="1137" customFormat="false" ht="15" hidden="false" customHeight="false" outlineLevel="0" collapsed="false">
      <c r="A1137" s="0" t="s">
        <v>740</v>
      </c>
      <c r="B1137" s="0" t="s">
        <v>1865</v>
      </c>
      <c r="C1137" s="0" t="s">
        <v>1414</v>
      </c>
      <c r="D1137" s="0" t="s">
        <v>93</v>
      </c>
      <c r="E1137" s="0" t="s">
        <v>1832</v>
      </c>
    </row>
    <row r="1138" customFormat="false" ht="15" hidden="false" customHeight="false" outlineLevel="0" collapsed="false">
      <c r="A1138" s="0" t="s">
        <v>740</v>
      </c>
      <c r="B1138" s="0" t="s">
        <v>1866</v>
      </c>
      <c r="C1138" s="0" t="s">
        <v>1414</v>
      </c>
      <c r="D1138" s="0" t="s">
        <v>93</v>
      </c>
      <c r="E1138" s="0" t="s">
        <v>1832</v>
      </c>
    </row>
    <row r="1139" customFormat="false" ht="15" hidden="false" customHeight="false" outlineLevel="0" collapsed="false">
      <c r="A1139" s="0" t="s">
        <v>740</v>
      </c>
      <c r="B1139" s="0" t="s">
        <v>1867</v>
      </c>
      <c r="C1139" s="0" t="s">
        <v>1414</v>
      </c>
      <c r="D1139" s="0" t="s">
        <v>93</v>
      </c>
      <c r="E1139" s="0" t="s">
        <v>1832</v>
      </c>
    </row>
    <row r="1140" customFormat="false" ht="15" hidden="false" customHeight="false" outlineLevel="0" collapsed="false">
      <c r="A1140" s="0" t="s">
        <v>740</v>
      </c>
      <c r="B1140" s="0" t="s">
        <v>1868</v>
      </c>
      <c r="C1140" s="0" t="s">
        <v>1414</v>
      </c>
      <c r="D1140" s="0" t="s">
        <v>93</v>
      </c>
      <c r="E1140" s="0" t="s">
        <v>1832</v>
      </c>
    </row>
    <row r="1141" customFormat="false" ht="15" hidden="false" customHeight="false" outlineLevel="0" collapsed="false">
      <c r="A1141" s="0" t="s">
        <v>740</v>
      </c>
      <c r="B1141" s="0" t="s">
        <v>1869</v>
      </c>
      <c r="C1141" s="0" t="s">
        <v>1414</v>
      </c>
      <c r="D1141" s="0" t="s">
        <v>93</v>
      </c>
      <c r="E1141" s="0" t="s">
        <v>1832</v>
      </c>
    </row>
    <row r="1142" customFormat="false" ht="15" hidden="false" customHeight="false" outlineLevel="0" collapsed="false">
      <c r="A1142" s="0" t="s">
        <v>740</v>
      </c>
      <c r="B1142" s="0" t="s">
        <v>1870</v>
      </c>
      <c r="C1142" s="0" t="s">
        <v>590</v>
      </c>
      <c r="D1142" s="0" t="s">
        <v>93</v>
      </c>
      <c r="E1142" s="0" t="s">
        <v>1841</v>
      </c>
    </row>
    <row r="1143" customFormat="false" ht="15" hidden="false" customHeight="false" outlineLevel="0" collapsed="false">
      <c r="A1143" s="0" t="s">
        <v>740</v>
      </c>
      <c r="B1143" s="0" t="s">
        <v>1871</v>
      </c>
      <c r="C1143" s="0" t="s">
        <v>590</v>
      </c>
      <c r="D1143" s="0" t="s">
        <v>93</v>
      </c>
      <c r="E1143" s="0" t="s">
        <v>788</v>
      </c>
    </row>
    <row r="1144" customFormat="false" ht="15" hidden="false" customHeight="false" outlineLevel="0" collapsed="false">
      <c r="A1144" s="0" t="s">
        <v>740</v>
      </c>
      <c r="B1144" s="0" t="s">
        <v>1872</v>
      </c>
      <c r="C1144" s="0" t="s">
        <v>590</v>
      </c>
      <c r="D1144" s="0" t="s">
        <v>93</v>
      </c>
      <c r="E1144" s="0" t="s">
        <v>788</v>
      </c>
    </row>
    <row r="1145" customFormat="false" ht="15" hidden="false" customHeight="false" outlineLevel="0" collapsed="false">
      <c r="A1145" s="0" t="s">
        <v>740</v>
      </c>
      <c r="B1145" s="0" t="s">
        <v>1873</v>
      </c>
      <c r="C1145" s="0" t="s">
        <v>590</v>
      </c>
      <c r="D1145" s="0" t="s">
        <v>93</v>
      </c>
      <c r="E1145" s="0" t="s">
        <v>788</v>
      </c>
    </row>
    <row r="1146" customFormat="false" ht="15" hidden="false" customHeight="false" outlineLevel="0" collapsed="false">
      <c r="A1146" s="0" t="s">
        <v>740</v>
      </c>
      <c r="B1146" s="0" t="s">
        <v>1874</v>
      </c>
      <c r="C1146" s="0" t="s">
        <v>590</v>
      </c>
      <c r="D1146" s="0" t="s">
        <v>93</v>
      </c>
      <c r="E1146" s="0" t="s">
        <v>788</v>
      </c>
    </row>
    <row r="1147" customFormat="false" ht="15" hidden="false" customHeight="false" outlineLevel="0" collapsed="false">
      <c r="A1147" s="0" t="s">
        <v>740</v>
      </c>
      <c r="B1147" s="0" t="s">
        <v>1875</v>
      </c>
      <c r="C1147" s="0" t="s">
        <v>590</v>
      </c>
      <c r="D1147" s="0" t="s">
        <v>93</v>
      </c>
      <c r="E1147" s="0" t="s">
        <v>788</v>
      </c>
    </row>
    <row r="1148" customFormat="false" ht="15" hidden="false" customHeight="false" outlineLevel="0" collapsed="false">
      <c r="A1148" s="0" t="s">
        <v>740</v>
      </c>
      <c r="B1148" s="0" t="s">
        <v>1876</v>
      </c>
      <c r="C1148" s="0" t="s">
        <v>590</v>
      </c>
      <c r="D1148" s="0" t="s">
        <v>93</v>
      </c>
      <c r="E1148" s="0" t="s">
        <v>788</v>
      </c>
    </row>
    <row r="1149" customFormat="false" ht="15" hidden="false" customHeight="false" outlineLevel="0" collapsed="false">
      <c r="A1149" s="0" t="s">
        <v>740</v>
      </c>
      <c r="B1149" s="0" t="s">
        <v>1877</v>
      </c>
      <c r="C1149" s="0" t="s">
        <v>590</v>
      </c>
      <c r="D1149" s="0" t="s">
        <v>93</v>
      </c>
      <c r="E1149" s="0" t="s">
        <v>788</v>
      </c>
    </row>
    <row r="1150" customFormat="false" ht="15" hidden="false" customHeight="false" outlineLevel="0" collapsed="false">
      <c r="A1150" s="0" t="s">
        <v>740</v>
      </c>
      <c r="B1150" s="0" t="s">
        <v>1878</v>
      </c>
      <c r="C1150" s="0" t="s">
        <v>590</v>
      </c>
      <c r="D1150" s="0" t="s">
        <v>93</v>
      </c>
      <c r="E1150" s="0" t="s">
        <v>788</v>
      </c>
    </row>
    <row r="1151" customFormat="false" ht="15" hidden="false" customHeight="false" outlineLevel="0" collapsed="false">
      <c r="A1151" s="0" t="s">
        <v>740</v>
      </c>
      <c r="B1151" s="0" t="s">
        <v>1879</v>
      </c>
      <c r="C1151" s="0" t="s">
        <v>590</v>
      </c>
      <c r="D1151" s="0" t="s">
        <v>93</v>
      </c>
      <c r="E1151" s="0" t="s">
        <v>788</v>
      </c>
    </row>
    <row r="1152" customFormat="false" ht="15" hidden="false" customHeight="false" outlineLevel="0" collapsed="false">
      <c r="A1152" s="0" t="s">
        <v>740</v>
      </c>
      <c r="B1152" s="0" t="s">
        <v>1880</v>
      </c>
      <c r="C1152" s="0" t="s">
        <v>590</v>
      </c>
      <c r="D1152" s="0" t="s">
        <v>93</v>
      </c>
      <c r="E1152" s="0" t="s">
        <v>788</v>
      </c>
    </row>
    <row r="1153" customFormat="false" ht="15" hidden="false" customHeight="false" outlineLevel="0" collapsed="false">
      <c r="A1153" s="0" t="s">
        <v>740</v>
      </c>
      <c r="B1153" s="0" t="s">
        <v>1881</v>
      </c>
      <c r="C1153" s="0" t="s">
        <v>590</v>
      </c>
      <c r="D1153" s="0" t="s">
        <v>93</v>
      </c>
      <c r="E1153" s="0" t="s">
        <v>788</v>
      </c>
    </row>
    <row r="1154" customFormat="false" ht="15" hidden="false" customHeight="false" outlineLevel="0" collapsed="false">
      <c r="A1154" s="0" t="s">
        <v>740</v>
      </c>
      <c r="B1154" s="0" t="s">
        <v>1882</v>
      </c>
      <c r="C1154" s="0" t="s">
        <v>590</v>
      </c>
      <c r="D1154" s="0" t="s">
        <v>93</v>
      </c>
      <c r="E1154" s="0" t="s">
        <v>788</v>
      </c>
    </row>
    <row r="1155" customFormat="false" ht="15" hidden="false" customHeight="false" outlineLevel="0" collapsed="false">
      <c r="A1155" s="0" t="s">
        <v>740</v>
      </c>
      <c r="B1155" s="0" t="s">
        <v>1883</v>
      </c>
      <c r="C1155" s="0" t="s">
        <v>1884</v>
      </c>
      <c r="D1155" s="0" t="s">
        <v>98</v>
      </c>
      <c r="E1155" s="0" t="s">
        <v>826</v>
      </c>
    </row>
    <row r="1156" customFormat="false" ht="15" hidden="false" customHeight="false" outlineLevel="0" collapsed="false">
      <c r="A1156" s="0" t="s">
        <v>740</v>
      </c>
      <c r="B1156" s="0" t="s">
        <v>1885</v>
      </c>
      <c r="C1156" s="0" t="s">
        <v>1886</v>
      </c>
      <c r="D1156" s="0" t="s">
        <v>98</v>
      </c>
      <c r="E1156" s="0" t="s">
        <v>826</v>
      </c>
    </row>
    <row r="1157" customFormat="false" ht="15" hidden="false" customHeight="false" outlineLevel="0" collapsed="false">
      <c r="A1157" s="0" t="s">
        <v>740</v>
      </c>
      <c r="B1157" s="0" t="s">
        <v>1887</v>
      </c>
      <c r="C1157" s="0" t="s">
        <v>1888</v>
      </c>
      <c r="D1157" s="0" t="s">
        <v>98</v>
      </c>
      <c r="E1157" s="0" t="s">
        <v>826</v>
      </c>
    </row>
    <row r="1158" customFormat="false" ht="15" hidden="false" customHeight="false" outlineLevel="0" collapsed="false">
      <c r="A1158" s="0" t="s">
        <v>740</v>
      </c>
      <c r="B1158" s="0" t="s">
        <v>1889</v>
      </c>
      <c r="C1158" s="0" t="s">
        <v>1890</v>
      </c>
      <c r="D1158" s="0" t="s">
        <v>98</v>
      </c>
      <c r="E1158" s="0" t="s">
        <v>826</v>
      </c>
    </row>
    <row r="1159" customFormat="false" ht="15" hidden="false" customHeight="false" outlineLevel="0" collapsed="false">
      <c r="A1159" s="0" t="s">
        <v>740</v>
      </c>
      <c r="B1159" s="0" t="s">
        <v>1891</v>
      </c>
      <c r="C1159" s="0" t="s">
        <v>1892</v>
      </c>
      <c r="D1159" s="0" t="s">
        <v>98</v>
      </c>
      <c r="E1159" s="0" t="s">
        <v>826</v>
      </c>
    </row>
    <row r="1160" customFormat="false" ht="15" hidden="false" customHeight="false" outlineLevel="0" collapsed="false">
      <c r="A1160" s="0" t="s">
        <v>740</v>
      </c>
      <c r="B1160" s="0" t="s">
        <v>1893</v>
      </c>
      <c r="C1160" s="0" t="s">
        <v>1894</v>
      </c>
      <c r="D1160" s="0" t="s">
        <v>98</v>
      </c>
      <c r="E1160" s="0" t="s">
        <v>826</v>
      </c>
    </row>
    <row r="1161" customFormat="false" ht="15" hidden="false" customHeight="false" outlineLevel="0" collapsed="false">
      <c r="A1161" s="0" t="s">
        <v>740</v>
      </c>
      <c r="B1161" s="0" t="s">
        <v>1895</v>
      </c>
      <c r="C1161" s="0" t="s">
        <v>1896</v>
      </c>
      <c r="D1161" s="0" t="s">
        <v>98</v>
      </c>
      <c r="E1161" s="0" t="s">
        <v>826</v>
      </c>
    </row>
    <row r="1162" customFormat="false" ht="15" hidden="false" customHeight="false" outlineLevel="0" collapsed="false">
      <c r="A1162" s="0" t="s">
        <v>740</v>
      </c>
      <c r="B1162" s="0" t="s">
        <v>1897</v>
      </c>
      <c r="C1162" s="0" t="s">
        <v>1898</v>
      </c>
      <c r="D1162" s="0" t="s">
        <v>98</v>
      </c>
      <c r="E1162" s="0" t="s">
        <v>826</v>
      </c>
    </row>
    <row r="1163" customFormat="false" ht="15" hidden="false" customHeight="false" outlineLevel="0" collapsed="false">
      <c r="A1163" s="0" t="s">
        <v>740</v>
      </c>
      <c r="B1163" s="0" t="s">
        <v>1899</v>
      </c>
      <c r="C1163" s="0" t="s">
        <v>1900</v>
      </c>
      <c r="D1163" s="0" t="s">
        <v>98</v>
      </c>
      <c r="E1163" s="0" t="s">
        <v>826</v>
      </c>
    </row>
    <row r="1164" customFormat="false" ht="15" hidden="false" customHeight="false" outlineLevel="0" collapsed="false">
      <c r="A1164" s="0" t="s">
        <v>740</v>
      </c>
      <c r="B1164" s="0" t="s">
        <v>1901</v>
      </c>
      <c r="C1164" s="0" t="s">
        <v>1902</v>
      </c>
      <c r="D1164" s="0" t="s">
        <v>98</v>
      </c>
      <c r="E1164" s="0" t="s">
        <v>826</v>
      </c>
    </row>
    <row r="1165" customFormat="false" ht="15" hidden="false" customHeight="false" outlineLevel="0" collapsed="false">
      <c r="A1165" s="0" t="s">
        <v>740</v>
      </c>
      <c r="B1165" s="0" t="s">
        <v>1903</v>
      </c>
      <c r="C1165" s="0" t="s">
        <v>1904</v>
      </c>
      <c r="D1165" s="0" t="s">
        <v>98</v>
      </c>
      <c r="E1165" s="0" t="s">
        <v>826</v>
      </c>
    </row>
    <row r="1166" customFormat="false" ht="15" hidden="false" customHeight="false" outlineLevel="0" collapsed="false">
      <c r="A1166" s="0" t="s">
        <v>740</v>
      </c>
      <c r="B1166" s="0" t="s">
        <v>1905</v>
      </c>
      <c r="C1166" s="0" t="s">
        <v>1906</v>
      </c>
      <c r="D1166" s="0" t="s">
        <v>98</v>
      </c>
      <c r="E1166" s="0" t="s">
        <v>826</v>
      </c>
    </row>
    <row r="1167" customFormat="false" ht="15" hidden="false" customHeight="false" outlineLevel="0" collapsed="false">
      <c r="A1167" s="0" t="s">
        <v>740</v>
      </c>
      <c r="B1167" s="0" t="s">
        <v>1907</v>
      </c>
      <c r="C1167" s="0" t="s">
        <v>1908</v>
      </c>
      <c r="D1167" s="0" t="s">
        <v>98</v>
      </c>
      <c r="E1167" s="0" t="s">
        <v>826</v>
      </c>
    </row>
    <row r="1168" customFormat="false" ht="15" hidden="false" customHeight="false" outlineLevel="0" collapsed="false">
      <c r="A1168" s="0" t="s">
        <v>740</v>
      </c>
      <c r="B1168" s="0" t="s">
        <v>1909</v>
      </c>
      <c r="C1168" s="0" t="s">
        <v>1910</v>
      </c>
      <c r="D1168" s="0" t="s">
        <v>98</v>
      </c>
      <c r="E1168" s="0" t="s">
        <v>826</v>
      </c>
    </row>
    <row r="1169" customFormat="false" ht="15" hidden="false" customHeight="false" outlineLevel="0" collapsed="false">
      <c r="A1169" s="0" t="s">
        <v>740</v>
      </c>
      <c r="B1169" s="0" t="s">
        <v>1911</v>
      </c>
      <c r="C1169" s="0" t="s">
        <v>1912</v>
      </c>
      <c r="D1169" s="0" t="s">
        <v>98</v>
      </c>
      <c r="E1169" s="0" t="s">
        <v>826</v>
      </c>
    </row>
    <row r="1170" customFormat="false" ht="15" hidden="false" customHeight="false" outlineLevel="0" collapsed="false">
      <c r="A1170" s="0" t="s">
        <v>740</v>
      </c>
      <c r="B1170" s="0" t="s">
        <v>1913</v>
      </c>
      <c r="C1170" s="0" t="s">
        <v>1914</v>
      </c>
      <c r="D1170" s="0" t="s">
        <v>98</v>
      </c>
      <c r="E1170" s="0" t="s">
        <v>826</v>
      </c>
    </row>
    <row r="1171" customFormat="false" ht="15" hidden="false" customHeight="false" outlineLevel="0" collapsed="false">
      <c r="A1171" s="0" t="s">
        <v>740</v>
      </c>
      <c r="B1171" s="0" t="s">
        <v>1915</v>
      </c>
      <c r="C1171" s="0" t="s">
        <v>1916</v>
      </c>
      <c r="D1171" s="0" t="s">
        <v>98</v>
      </c>
      <c r="E1171" s="0" t="s">
        <v>826</v>
      </c>
    </row>
    <row r="1172" customFormat="false" ht="15" hidden="false" customHeight="false" outlineLevel="0" collapsed="false">
      <c r="A1172" s="0" t="s">
        <v>740</v>
      </c>
      <c r="B1172" s="0" t="s">
        <v>1917</v>
      </c>
      <c r="C1172" s="0" t="s">
        <v>1918</v>
      </c>
      <c r="D1172" s="0" t="s">
        <v>98</v>
      </c>
      <c r="E1172" s="0" t="s">
        <v>826</v>
      </c>
    </row>
    <row r="1173" customFormat="false" ht="15" hidden="false" customHeight="false" outlineLevel="0" collapsed="false">
      <c r="A1173" s="0" t="s">
        <v>740</v>
      </c>
      <c r="B1173" s="0" t="s">
        <v>1919</v>
      </c>
      <c r="C1173" s="0" t="s">
        <v>1920</v>
      </c>
      <c r="D1173" s="0" t="s">
        <v>98</v>
      </c>
      <c r="E1173" s="0" t="s">
        <v>826</v>
      </c>
    </row>
    <row r="1174" customFormat="false" ht="15" hidden="false" customHeight="false" outlineLevel="0" collapsed="false">
      <c r="A1174" s="0" t="s">
        <v>740</v>
      </c>
      <c r="B1174" s="0" t="s">
        <v>1921</v>
      </c>
      <c r="C1174" s="0" t="s">
        <v>1922</v>
      </c>
      <c r="D1174" s="0" t="s">
        <v>98</v>
      </c>
      <c r="E1174" s="0" t="s">
        <v>826</v>
      </c>
    </row>
    <row r="1175" customFormat="false" ht="15" hidden="false" customHeight="false" outlineLevel="0" collapsed="false">
      <c r="A1175" s="0" t="s">
        <v>740</v>
      </c>
      <c r="B1175" s="0" t="s">
        <v>1923</v>
      </c>
      <c r="C1175" s="0" t="s">
        <v>1924</v>
      </c>
      <c r="D1175" s="0" t="s">
        <v>98</v>
      </c>
      <c r="E1175" s="0" t="s">
        <v>826</v>
      </c>
    </row>
    <row r="1176" customFormat="false" ht="15" hidden="false" customHeight="false" outlineLevel="0" collapsed="false">
      <c r="A1176" s="0" t="s">
        <v>740</v>
      </c>
      <c r="B1176" s="0" t="s">
        <v>1925</v>
      </c>
      <c r="C1176" s="0" t="s">
        <v>1926</v>
      </c>
      <c r="D1176" s="0" t="s">
        <v>98</v>
      </c>
      <c r="E1176" s="0" t="s">
        <v>826</v>
      </c>
    </row>
    <row r="1177" customFormat="false" ht="15" hidden="false" customHeight="false" outlineLevel="0" collapsed="false">
      <c r="A1177" s="0" t="s">
        <v>740</v>
      </c>
      <c r="B1177" s="0" t="s">
        <v>1927</v>
      </c>
      <c r="C1177" s="0" t="s">
        <v>1928</v>
      </c>
      <c r="D1177" s="0" t="s">
        <v>98</v>
      </c>
      <c r="E1177" s="0" t="s">
        <v>826</v>
      </c>
    </row>
    <row r="1178" customFormat="false" ht="15" hidden="false" customHeight="false" outlineLevel="0" collapsed="false">
      <c r="A1178" s="0" t="s">
        <v>740</v>
      </c>
      <c r="B1178" s="0" t="s">
        <v>1929</v>
      </c>
      <c r="C1178" s="0" t="s">
        <v>1930</v>
      </c>
      <c r="D1178" s="0" t="s">
        <v>98</v>
      </c>
      <c r="E1178" s="0" t="s">
        <v>826</v>
      </c>
    </row>
    <row r="1179" customFormat="false" ht="15" hidden="false" customHeight="false" outlineLevel="0" collapsed="false">
      <c r="A1179" s="0" t="s">
        <v>740</v>
      </c>
      <c r="B1179" s="0" t="s">
        <v>1931</v>
      </c>
      <c r="C1179" s="0" t="s">
        <v>1932</v>
      </c>
      <c r="D1179" s="0" t="s">
        <v>98</v>
      </c>
      <c r="E1179" s="0" t="s">
        <v>826</v>
      </c>
    </row>
    <row r="1180" customFormat="false" ht="15" hidden="false" customHeight="false" outlineLevel="0" collapsed="false">
      <c r="A1180" s="0" t="s">
        <v>740</v>
      </c>
      <c r="B1180" s="0" t="s">
        <v>1933</v>
      </c>
      <c r="C1180" s="0" t="s">
        <v>1934</v>
      </c>
      <c r="D1180" s="0" t="s">
        <v>98</v>
      </c>
      <c r="E1180" s="0" t="s">
        <v>826</v>
      </c>
    </row>
    <row r="1181" customFormat="false" ht="15" hidden="false" customHeight="false" outlineLevel="0" collapsed="false">
      <c r="A1181" s="0" t="s">
        <v>740</v>
      </c>
      <c r="B1181" s="0" t="s">
        <v>1935</v>
      </c>
      <c r="C1181" s="0" t="s">
        <v>1936</v>
      </c>
      <c r="D1181" s="0" t="s">
        <v>98</v>
      </c>
      <c r="E1181" s="0" t="s">
        <v>826</v>
      </c>
    </row>
    <row r="1182" customFormat="false" ht="15" hidden="false" customHeight="false" outlineLevel="0" collapsed="false">
      <c r="A1182" s="0" t="s">
        <v>740</v>
      </c>
      <c r="B1182" s="0" t="s">
        <v>1937</v>
      </c>
      <c r="C1182" s="0" t="s">
        <v>1938</v>
      </c>
      <c r="D1182" s="0" t="s">
        <v>98</v>
      </c>
      <c r="E1182" s="0" t="s">
        <v>826</v>
      </c>
    </row>
    <row r="1183" customFormat="false" ht="15" hidden="false" customHeight="false" outlineLevel="0" collapsed="false">
      <c r="A1183" s="0" t="s">
        <v>740</v>
      </c>
      <c r="B1183" s="0" t="s">
        <v>1939</v>
      </c>
      <c r="C1183" s="0" t="s">
        <v>600</v>
      </c>
      <c r="D1183" s="0" t="s">
        <v>86</v>
      </c>
      <c r="E1183" s="0" t="s">
        <v>1940</v>
      </c>
    </row>
    <row r="1184" customFormat="false" ht="15" hidden="false" customHeight="false" outlineLevel="0" collapsed="false">
      <c r="A1184" s="0" t="s">
        <v>740</v>
      </c>
      <c r="B1184" s="0" t="s">
        <v>1941</v>
      </c>
      <c r="C1184" s="0" t="s">
        <v>600</v>
      </c>
      <c r="D1184" s="0" t="s">
        <v>86</v>
      </c>
      <c r="E1184" s="0" t="s">
        <v>247</v>
      </c>
    </row>
    <row r="1185" customFormat="false" ht="15" hidden="false" customHeight="false" outlineLevel="0" collapsed="false">
      <c r="A1185" s="0" t="s">
        <v>740</v>
      </c>
      <c r="B1185" s="0" t="s">
        <v>1942</v>
      </c>
      <c r="C1185" s="0" t="s">
        <v>600</v>
      </c>
      <c r="D1185" s="0" t="s">
        <v>86</v>
      </c>
      <c r="E1185" s="0" t="s">
        <v>247</v>
      </c>
    </row>
    <row r="1186" customFormat="false" ht="15" hidden="false" customHeight="false" outlineLevel="0" collapsed="false">
      <c r="A1186" s="0" t="s">
        <v>740</v>
      </c>
      <c r="B1186" s="0" t="s">
        <v>1943</v>
      </c>
      <c r="C1186" s="0" t="s">
        <v>600</v>
      </c>
      <c r="D1186" s="0" t="s">
        <v>86</v>
      </c>
      <c r="E1186" s="0" t="s">
        <v>247</v>
      </c>
    </row>
    <row r="1187" customFormat="false" ht="15" hidden="false" customHeight="false" outlineLevel="0" collapsed="false">
      <c r="A1187" s="0" t="s">
        <v>740</v>
      </c>
      <c r="B1187" s="0" t="s">
        <v>1944</v>
      </c>
      <c r="C1187" s="0" t="s">
        <v>600</v>
      </c>
      <c r="D1187" s="0" t="s">
        <v>86</v>
      </c>
      <c r="E1187" s="0" t="s">
        <v>247</v>
      </c>
    </row>
    <row r="1188" customFormat="false" ht="15" hidden="false" customHeight="false" outlineLevel="0" collapsed="false">
      <c r="A1188" s="0" t="s">
        <v>740</v>
      </c>
      <c r="B1188" s="0" t="s">
        <v>1945</v>
      </c>
      <c r="C1188" s="0" t="s">
        <v>600</v>
      </c>
      <c r="D1188" s="0" t="s">
        <v>86</v>
      </c>
      <c r="E1188" s="0" t="s">
        <v>247</v>
      </c>
    </row>
    <row r="1189" customFormat="false" ht="15" hidden="false" customHeight="false" outlineLevel="0" collapsed="false">
      <c r="A1189" s="0" t="s">
        <v>740</v>
      </c>
      <c r="B1189" s="0" t="s">
        <v>1946</v>
      </c>
      <c r="C1189" s="0" t="s">
        <v>600</v>
      </c>
      <c r="D1189" s="0" t="s">
        <v>86</v>
      </c>
      <c r="E1189" s="0" t="s">
        <v>247</v>
      </c>
    </row>
    <row r="1190" customFormat="false" ht="15" hidden="false" customHeight="false" outlineLevel="0" collapsed="false">
      <c r="A1190" s="0" t="s">
        <v>740</v>
      </c>
      <c r="B1190" s="0" t="s">
        <v>1947</v>
      </c>
      <c r="C1190" s="0" t="s">
        <v>600</v>
      </c>
      <c r="D1190" s="0" t="s">
        <v>86</v>
      </c>
      <c r="E1190" s="0" t="s">
        <v>247</v>
      </c>
    </row>
    <row r="1191" customFormat="false" ht="15" hidden="false" customHeight="false" outlineLevel="0" collapsed="false">
      <c r="A1191" s="0" t="s">
        <v>740</v>
      </c>
      <c r="B1191" s="0" t="s">
        <v>1948</v>
      </c>
      <c r="C1191" s="0" t="s">
        <v>600</v>
      </c>
      <c r="D1191" s="0" t="s">
        <v>86</v>
      </c>
      <c r="E1191" s="0" t="s">
        <v>247</v>
      </c>
    </row>
    <row r="1192" customFormat="false" ht="15" hidden="false" customHeight="false" outlineLevel="0" collapsed="false">
      <c r="A1192" s="0" t="s">
        <v>740</v>
      </c>
      <c r="B1192" s="0" t="s">
        <v>1949</v>
      </c>
      <c r="C1192" s="0" t="s">
        <v>600</v>
      </c>
      <c r="D1192" s="0" t="s">
        <v>744</v>
      </c>
      <c r="E1192" s="0" t="s">
        <v>247</v>
      </c>
    </row>
    <row r="1193" customFormat="false" ht="15" hidden="false" customHeight="false" outlineLevel="0" collapsed="false">
      <c r="A1193" s="0" t="s">
        <v>740</v>
      </c>
      <c r="B1193" s="0" t="s">
        <v>1950</v>
      </c>
      <c r="C1193" s="0" t="s">
        <v>600</v>
      </c>
      <c r="D1193" s="0" t="s">
        <v>744</v>
      </c>
      <c r="E1193" s="0" t="s">
        <v>247</v>
      </c>
    </row>
    <row r="1194" customFormat="false" ht="15" hidden="false" customHeight="false" outlineLevel="0" collapsed="false">
      <c r="A1194" s="0" t="s">
        <v>740</v>
      </c>
      <c r="B1194" s="0" t="s">
        <v>1951</v>
      </c>
      <c r="C1194" s="0" t="s">
        <v>600</v>
      </c>
      <c r="D1194" s="0" t="s">
        <v>744</v>
      </c>
      <c r="E1194" s="0" t="s">
        <v>247</v>
      </c>
    </row>
    <row r="1195" customFormat="false" ht="15" hidden="false" customHeight="false" outlineLevel="0" collapsed="false">
      <c r="A1195" s="0" t="s">
        <v>740</v>
      </c>
      <c r="B1195" s="0" t="s">
        <v>1952</v>
      </c>
      <c r="C1195" s="0" t="s">
        <v>600</v>
      </c>
      <c r="D1195" s="0" t="s">
        <v>744</v>
      </c>
      <c r="E1195" s="0" t="s">
        <v>247</v>
      </c>
    </row>
    <row r="1196" customFormat="false" ht="15" hidden="false" customHeight="false" outlineLevel="0" collapsed="false">
      <c r="A1196" s="0" t="s">
        <v>740</v>
      </c>
      <c r="B1196" s="0" t="s">
        <v>1953</v>
      </c>
      <c r="C1196" s="0" t="s">
        <v>600</v>
      </c>
      <c r="D1196" s="0" t="s">
        <v>744</v>
      </c>
      <c r="E1196" s="0" t="s">
        <v>247</v>
      </c>
    </row>
    <row r="1197" customFormat="false" ht="15" hidden="false" customHeight="false" outlineLevel="0" collapsed="false">
      <c r="A1197" s="0" t="s">
        <v>740</v>
      </c>
      <c r="B1197" s="0" t="s">
        <v>1954</v>
      </c>
      <c r="C1197" s="0" t="s">
        <v>600</v>
      </c>
      <c r="D1197" s="0" t="s">
        <v>744</v>
      </c>
      <c r="E1197" s="0" t="s">
        <v>247</v>
      </c>
    </row>
    <row r="1198" customFormat="false" ht="15" hidden="false" customHeight="false" outlineLevel="0" collapsed="false">
      <c r="A1198" s="0" t="s">
        <v>740</v>
      </c>
      <c r="B1198" s="0" t="s">
        <v>1955</v>
      </c>
      <c r="C1198" s="0" t="s">
        <v>600</v>
      </c>
      <c r="D1198" s="0" t="s">
        <v>744</v>
      </c>
      <c r="E1198" s="0" t="s">
        <v>247</v>
      </c>
    </row>
    <row r="1199" customFormat="false" ht="15" hidden="false" customHeight="false" outlineLevel="0" collapsed="false">
      <c r="A1199" s="0" t="s">
        <v>740</v>
      </c>
      <c r="B1199" s="0" t="s">
        <v>1956</v>
      </c>
      <c r="C1199" s="0" t="s">
        <v>600</v>
      </c>
      <c r="D1199" s="0" t="s">
        <v>744</v>
      </c>
      <c r="E1199" s="0" t="s">
        <v>247</v>
      </c>
    </row>
    <row r="1200" customFormat="false" ht="15" hidden="false" customHeight="false" outlineLevel="0" collapsed="false">
      <c r="A1200" s="0" t="s">
        <v>740</v>
      </c>
      <c r="B1200" s="0" t="s">
        <v>1957</v>
      </c>
      <c r="C1200" s="0" t="s">
        <v>600</v>
      </c>
      <c r="D1200" s="0" t="s">
        <v>744</v>
      </c>
      <c r="E1200" s="0" t="s">
        <v>247</v>
      </c>
    </row>
    <row r="1201" customFormat="false" ht="15" hidden="false" customHeight="false" outlineLevel="0" collapsed="false">
      <c r="A1201" s="0" t="s">
        <v>740</v>
      </c>
      <c r="B1201" s="0" t="s">
        <v>1958</v>
      </c>
      <c r="C1201" s="0" t="s">
        <v>600</v>
      </c>
      <c r="D1201" s="0" t="s">
        <v>744</v>
      </c>
      <c r="E1201" s="0" t="s">
        <v>247</v>
      </c>
    </row>
    <row r="1202" customFormat="false" ht="15" hidden="false" customHeight="false" outlineLevel="0" collapsed="false">
      <c r="A1202" s="0" t="s">
        <v>740</v>
      </c>
      <c r="B1202" s="0" t="s">
        <v>1959</v>
      </c>
      <c r="C1202" s="0" t="s">
        <v>600</v>
      </c>
      <c r="D1202" s="0" t="s">
        <v>744</v>
      </c>
      <c r="E1202" s="0" t="s">
        <v>247</v>
      </c>
    </row>
    <row r="1203" customFormat="false" ht="15" hidden="false" customHeight="false" outlineLevel="0" collapsed="false">
      <c r="A1203" s="0" t="s">
        <v>740</v>
      </c>
      <c r="B1203" s="0" t="s">
        <v>1960</v>
      </c>
      <c r="C1203" s="0" t="s">
        <v>600</v>
      </c>
      <c r="D1203" s="0" t="s">
        <v>744</v>
      </c>
      <c r="E1203" s="0" t="s">
        <v>247</v>
      </c>
    </row>
    <row r="1204" customFormat="false" ht="15" hidden="false" customHeight="false" outlineLevel="0" collapsed="false">
      <c r="A1204" s="0" t="s">
        <v>740</v>
      </c>
      <c r="B1204" s="0" t="s">
        <v>1961</v>
      </c>
      <c r="C1204" s="0" t="s">
        <v>600</v>
      </c>
      <c r="D1204" s="0" t="s">
        <v>744</v>
      </c>
      <c r="E1204" s="0" t="s">
        <v>247</v>
      </c>
    </row>
    <row r="1205" customFormat="false" ht="15" hidden="false" customHeight="false" outlineLevel="0" collapsed="false">
      <c r="A1205" s="0" t="s">
        <v>740</v>
      </c>
      <c r="B1205" s="0" t="s">
        <v>1962</v>
      </c>
      <c r="C1205" s="0" t="s">
        <v>600</v>
      </c>
      <c r="D1205" s="0" t="s">
        <v>744</v>
      </c>
      <c r="E1205" s="0" t="s">
        <v>247</v>
      </c>
    </row>
    <row r="1206" customFormat="false" ht="15" hidden="false" customHeight="false" outlineLevel="0" collapsed="false">
      <c r="A1206" s="0" t="s">
        <v>740</v>
      </c>
      <c r="B1206" s="0" t="s">
        <v>1963</v>
      </c>
      <c r="C1206" s="0" t="s">
        <v>600</v>
      </c>
      <c r="D1206" s="0" t="s">
        <v>744</v>
      </c>
      <c r="E1206" s="0" t="s">
        <v>247</v>
      </c>
    </row>
    <row r="1207" customFormat="false" ht="15" hidden="false" customHeight="false" outlineLevel="0" collapsed="false">
      <c r="A1207" s="0" t="s">
        <v>740</v>
      </c>
      <c r="B1207" s="0" t="s">
        <v>1964</v>
      </c>
      <c r="C1207" s="0" t="s">
        <v>600</v>
      </c>
      <c r="D1207" s="0" t="s">
        <v>744</v>
      </c>
      <c r="E1207" s="0" t="s">
        <v>247</v>
      </c>
    </row>
    <row r="1208" customFormat="false" ht="15" hidden="false" customHeight="false" outlineLevel="0" collapsed="false">
      <c r="A1208" s="0" t="s">
        <v>740</v>
      </c>
      <c r="B1208" s="0" t="s">
        <v>1965</v>
      </c>
      <c r="C1208" s="0" t="s">
        <v>600</v>
      </c>
      <c r="D1208" s="0" t="s">
        <v>744</v>
      </c>
      <c r="E1208" s="0" t="s">
        <v>247</v>
      </c>
    </row>
    <row r="1209" customFormat="false" ht="15" hidden="false" customHeight="false" outlineLevel="0" collapsed="false">
      <c r="A1209" s="0" t="s">
        <v>740</v>
      </c>
      <c r="B1209" s="0" t="s">
        <v>1966</v>
      </c>
      <c r="C1209" s="0" t="s">
        <v>600</v>
      </c>
      <c r="D1209" s="0" t="s">
        <v>744</v>
      </c>
      <c r="E1209" s="0" t="s">
        <v>247</v>
      </c>
    </row>
    <row r="1210" customFormat="false" ht="15" hidden="false" customHeight="false" outlineLevel="0" collapsed="false">
      <c r="A1210" s="0" t="s">
        <v>740</v>
      </c>
      <c r="B1210" s="0" t="s">
        <v>1967</v>
      </c>
      <c r="C1210" s="0" t="s">
        <v>762</v>
      </c>
      <c r="D1210" s="0" t="s">
        <v>98</v>
      </c>
      <c r="E1210" s="0" t="s">
        <v>763</v>
      </c>
    </row>
    <row r="1211" customFormat="false" ht="15" hidden="false" customHeight="false" outlineLevel="0" collapsed="false">
      <c r="A1211" s="0" t="s">
        <v>740</v>
      </c>
      <c r="B1211" s="0" t="s">
        <v>1968</v>
      </c>
      <c r="C1211" s="0" t="s">
        <v>762</v>
      </c>
      <c r="D1211" s="0" t="s">
        <v>98</v>
      </c>
      <c r="E1211" s="0" t="s">
        <v>763</v>
      </c>
    </row>
    <row r="1212" customFormat="false" ht="15" hidden="false" customHeight="false" outlineLevel="0" collapsed="false">
      <c r="A1212" s="0" t="s">
        <v>740</v>
      </c>
      <c r="B1212" s="0" t="s">
        <v>1969</v>
      </c>
      <c r="C1212" s="0" t="s">
        <v>762</v>
      </c>
      <c r="D1212" s="0" t="s">
        <v>98</v>
      </c>
      <c r="E1212" s="0" t="s">
        <v>763</v>
      </c>
    </row>
    <row r="1213" customFormat="false" ht="15" hidden="false" customHeight="false" outlineLevel="0" collapsed="false">
      <c r="A1213" s="0" t="s">
        <v>740</v>
      </c>
      <c r="B1213" s="0" t="s">
        <v>1970</v>
      </c>
      <c r="C1213" s="0" t="s">
        <v>600</v>
      </c>
      <c r="D1213" s="0" t="s">
        <v>93</v>
      </c>
      <c r="E1213" s="0" t="s">
        <v>1971</v>
      </c>
    </row>
    <row r="1214" customFormat="false" ht="15" hidden="false" customHeight="false" outlineLevel="0" collapsed="false">
      <c r="A1214" s="0" t="s">
        <v>740</v>
      </c>
      <c r="B1214" s="0" t="s">
        <v>1972</v>
      </c>
      <c r="C1214" s="0" t="s">
        <v>600</v>
      </c>
      <c r="D1214" s="0" t="s">
        <v>93</v>
      </c>
      <c r="E1214" s="0" t="s">
        <v>1973</v>
      </c>
    </row>
    <row r="1215" customFormat="false" ht="15" hidden="false" customHeight="false" outlineLevel="0" collapsed="false">
      <c r="A1215" s="0" t="s">
        <v>740</v>
      </c>
      <c r="B1215" s="0" t="s">
        <v>1974</v>
      </c>
      <c r="C1215" s="0" t="s">
        <v>600</v>
      </c>
      <c r="D1215" s="0" t="s">
        <v>93</v>
      </c>
      <c r="E1215" s="0" t="s">
        <v>1973</v>
      </c>
    </row>
    <row r="1216" customFormat="false" ht="15" hidden="false" customHeight="false" outlineLevel="0" collapsed="false">
      <c r="A1216" s="0" t="s">
        <v>740</v>
      </c>
      <c r="B1216" s="0" t="s">
        <v>1975</v>
      </c>
      <c r="C1216" s="0" t="s">
        <v>600</v>
      </c>
      <c r="D1216" s="0" t="s">
        <v>93</v>
      </c>
      <c r="E1216" s="0" t="s">
        <v>1973</v>
      </c>
    </row>
    <row r="1217" customFormat="false" ht="15" hidden="false" customHeight="false" outlineLevel="0" collapsed="false">
      <c r="A1217" s="0" t="s">
        <v>740</v>
      </c>
      <c r="B1217" s="0" t="s">
        <v>1976</v>
      </c>
      <c r="C1217" s="0" t="s">
        <v>600</v>
      </c>
      <c r="D1217" s="0" t="s">
        <v>93</v>
      </c>
      <c r="E1217" s="0" t="s">
        <v>1973</v>
      </c>
    </row>
    <row r="1218" customFormat="false" ht="15" hidden="false" customHeight="false" outlineLevel="0" collapsed="false">
      <c r="A1218" s="0" t="s">
        <v>740</v>
      </c>
      <c r="B1218" s="0" t="s">
        <v>1977</v>
      </c>
      <c r="C1218" s="0" t="s">
        <v>600</v>
      </c>
      <c r="D1218" s="0" t="s">
        <v>93</v>
      </c>
      <c r="E1218" s="0" t="s">
        <v>1973</v>
      </c>
    </row>
    <row r="1219" customFormat="false" ht="15" hidden="false" customHeight="false" outlineLevel="0" collapsed="false">
      <c r="A1219" s="0" t="s">
        <v>740</v>
      </c>
      <c r="B1219" s="0" t="s">
        <v>1978</v>
      </c>
      <c r="C1219" s="0" t="s">
        <v>600</v>
      </c>
      <c r="D1219" s="0" t="s">
        <v>93</v>
      </c>
      <c r="E1219" s="0" t="s">
        <v>1973</v>
      </c>
    </row>
    <row r="1220" customFormat="false" ht="15" hidden="false" customHeight="false" outlineLevel="0" collapsed="false">
      <c r="A1220" s="0" t="s">
        <v>740</v>
      </c>
      <c r="B1220" s="0" t="s">
        <v>1979</v>
      </c>
      <c r="C1220" s="0" t="s">
        <v>600</v>
      </c>
      <c r="D1220" s="0" t="s">
        <v>93</v>
      </c>
      <c r="E1220" s="0" t="s">
        <v>1973</v>
      </c>
    </row>
    <row r="1221" customFormat="false" ht="15" hidden="false" customHeight="false" outlineLevel="0" collapsed="false">
      <c r="A1221" s="0" t="s">
        <v>740</v>
      </c>
      <c r="B1221" s="0" t="s">
        <v>1980</v>
      </c>
      <c r="C1221" s="0" t="s">
        <v>600</v>
      </c>
      <c r="D1221" s="0" t="s">
        <v>93</v>
      </c>
      <c r="E1221" s="0" t="s">
        <v>1973</v>
      </c>
    </row>
    <row r="1222" customFormat="false" ht="15" hidden="false" customHeight="false" outlineLevel="0" collapsed="false">
      <c r="A1222" s="0" t="s">
        <v>740</v>
      </c>
      <c r="B1222" s="0" t="s">
        <v>1981</v>
      </c>
      <c r="C1222" s="0" t="s">
        <v>600</v>
      </c>
      <c r="D1222" s="0" t="s">
        <v>93</v>
      </c>
      <c r="E1222" s="0" t="s">
        <v>1973</v>
      </c>
    </row>
    <row r="1223" customFormat="false" ht="15" hidden="false" customHeight="false" outlineLevel="0" collapsed="false">
      <c r="A1223" s="0" t="s">
        <v>740</v>
      </c>
      <c r="B1223" s="0" t="s">
        <v>1982</v>
      </c>
      <c r="C1223" s="0" t="s">
        <v>600</v>
      </c>
      <c r="D1223" s="0" t="s">
        <v>93</v>
      </c>
      <c r="E1223" s="0" t="s">
        <v>1973</v>
      </c>
    </row>
    <row r="1224" customFormat="false" ht="15" hidden="false" customHeight="false" outlineLevel="0" collapsed="false">
      <c r="A1224" s="0" t="s">
        <v>740</v>
      </c>
      <c r="B1224" s="0" t="s">
        <v>1983</v>
      </c>
      <c r="C1224" s="0" t="s">
        <v>600</v>
      </c>
      <c r="D1224" s="0" t="s">
        <v>93</v>
      </c>
      <c r="E1224" s="0" t="s">
        <v>1973</v>
      </c>
    </row>
    <row r="1225" customFormat="false" ht="15" hidden="false" customHeight="false" outlineLevel="0" collapsed="false">
      <c r="A1225" s="0" t="s">
        <v>740</v>
      </c>
      <c r="B1225" s="0" t="s">
        <v>1984</v>
      </c>
      <c r="C1225" s="0" t="s">
        <v>600</v>
      </c>
      <c r="D1225" s="0" t="s">
        <v>93</v>
      </c>
      <c r="E1225" s="0" t="s">
        <v>1973</v>
      </c>
    </row>
    <row r="1226" customFormat="false" ht="15" hidden="false" customHeight="false" outlineLevel="0" collapsed="false">
      <c r="A1226" s="0" t="s">
        <v>740</v>
      </c>
      <c r="B1226" s="0" t="s">
        <v>1985</v>
      </c>
      <c r="C1226" s="0" t="s">
        <v>600</v>
      </c>
      <c r="D1226" s="0" t="s">
        <v>93</v>
      </c>
      <c r="E1226" s="0" t="s">
        <v>1973</v>
      </c>
    </row>
    <row r="1227" customFormat="false" ht="15" hidden="false" customHeight="false" outlineLevel="0" collapsed="false">
      <c r="A1227" s="0" t="s">
        <v>740</v>
      </c>
      <c r="B1227" s="0" t="s">
        <v>1986</v>
      </c>
      <c r="C1227" s="0" t="s">
        <v>600</v>
      </c>
      <c r="D1227" s="0" t="s">
        <v>93</v>
      </c>
      <c r="E1227" s="0" t="s">
        <v>1973</v>
      </c>
    </row>
    <row r="1228" customFormat="false" ht="15" hidden="false" customHeight="false" outlineLevel="0" collapsed="false">
      <c r="A1228" s="0" t="s">
        <v>740</v>
      </c>
      <c r="B1228" s="0" t="s">
        <v>1987</v>
      </c>
      <c r="C1228" s="0" t="s">
        <v>600</v>
      </c>
      <c r="D1228" s="0" t="s">
        <v>93</v>
      </c>
      <c r="E1228" s="0" t="s">
        <v>1973</v>
      </c>
    </row>
    <row r="1229" customFormat="false" ht="15" hidden="false" customHeight="false" outlineLevel="0" collapsed="false">
      <c r="A1229" s="0" t="s">
        <v>740</v>
      </c>
      <c r="B1229" s="0" t="s">
        <v>1988</v>
      </c>
      <c r="C1229" s="0" t="s">
        <v>600</v>
      </c>
      <c r="D1229" s="0" t="s">
        <v>93</v>
      </c>
      <c r="E1229" s="0" t="s">
        <v>1973</v>
      </c>
    </row>
    <row r="1230" customFormat="false" ht="15" hidden="false" customHeight="false" outlineLevel="0" collapsed="false">
      <c r="A1230" s="0" t="s">
        <v>740</v>
      </c>
      <c r="B1230" s="0" t="s">
        <v>1989</v>
      </c>
      <c r="C1230" s="0" t="s">
        <v>600</v>
      </c>
      <c r="D1230" s="0" t="s">
        <v>93</v>
      </c>
      <c r="E1230" s="0" t="s">
        <v>1973</v>
      </c>
    </row>
    <row r="1231" customFormat="false" ht="15" hidden="false" customHeight="false" outlineLevel="0" collapsed="false">
      <c r="A1231" s="0" t="s">
        <v>740</v>
      </c>
      <c r="B1231" s="0" t="s">
        <v>1990</v>
      </c>
      <c r="C1231" s="0" t="s">
        <v>600</v>
      </c>
      <c r="D1231" s="0" t="s">
        <v>93</v>
      </c>
      <c r="E1231" s="0" t="s">
        <v>1973</v>
      </c>
    </row>
    <row r="1232" customFormat="false" ht="15" hidden="false" customHeight="false" outlineLevel="0" collapsed="false">
      <c r="A1232" s="0" t="s">
        <v>740</v>
      </c>
      <c r="B1232" s="0" t="s">
        <v>1991</v>
      </c>
      <c r="C1232" s="0" t="s">
        <v>600</v>
      </c>
      <c r="D1232" s="0" t="s">
        <v>93</v>
      </c>
      <c r="E1232" s="0" t="s">
        <v>1973</v>
      </c>
    </row>
    <row r="1233" customFormat="false" ht="15" hidden="false" customHeight="false" outlineLevel="0" collapsed="false">
      <c r="A1233" s="0" t="s">
        <v>740</v>
      </c>
      <c r="B1233" s="0" t="s">
        <v>1992</v>
      </c>
      <c r="C1233" s="0" t="s">
        <v>600</v>
      </c>
      <c r="D1233" s="0" t="s">
        <v>93</v>
      </c>
      <c r="E1233" s="0" t="s">
        <v>1973</v>
      </c>
    </row>
    <row r="1234" customFormat="false" ht="15" hidden="false" customHeight="false" outlineLevel="0" collapsed="false">
      <c r="A1234" s="0" t="s">
        <v>740</v>
      </c>
      <c r="B1234" s="0" t="s">
        <v>1993</v>
      </c>
      <c r="C1234" s="0" t="s">
        <v>600</v>
      </c>
      <c r="D1234" s="0" t="s">
        <v>93</v>
      </c>
      <c r="E1234" s="0" t="s">
        <v>1973</v>
      </c>
    </row>
    <row r="1235" customFormat="false" ht="15" hidden="false" customHeight="false" outlineLevel="0" collapsed="false">
      <c r="A1235" s="0" t="s">
        <v>740</v>
      </c>
      <c r="B1235" s="0" t="s">
        <v>1994</v>
      </c>
      <c r="C1235" s="0" t="s">
        <v>600</v>
      </c>
      <c r="D1235" s="0" t="s">
        <v>93</v>
      </c>
      <c r="E1235" s="0" t="s">
        <v>1973</v>
      </c>
    </row>
    <row r="1236" customFormat="false" ht="15" hidden="false" customHeight="false" outlineLevel="0" collapsed="false">
      <c r="A1236" s="0" t="s">
        <v>740</v>
      </c>
      <c r="B1236" s="0" t="s">
        <v>1995</v>
      </c>
      <c r="C1236" s="0" t="s">
        <v>600</v>
      </c>
      <c r="D1236" s="0" t="s">
        <v>93</v>
      </c>
      <c r="E1236" s="0" t="s">
        <v>1973</v>
      </c>
    </row>
    <row r="1237" customFormat="false" ht="15" hidden="false" customHeight="false" outlineLevel="0" collapsed="false">
      <c r="A1237" s="0" t="s">
        <v>740</v>
      </c>
      <c r="B1237" s="0" t="s">
        <v>1996</v>
      </c>
      <c r="C1237" s="0" t="s">
        <v>600</v>
      </c>
      <c r="D1237" s="0" t="s">
        <v>93</v>
      </c>
      <c r="E1237" s="0" t="s">
        <v>1973</v>
      </c>
    </row>
    <row r="1238" customFormat="false" ht="15" hidden="false" customHeight="false" outlineLevel="0" collapsed="false">
      <c r="A1238" s="0" t="s">
        <v>740</v>
      </c>
      <c r="B1238" s="0" t="s">
        <v>1997</v>
      </c>
      <c r="C1238" s="0" t="s">
        <v>762</v>
      </c>
      <c r="D1238" s="0" t="s">
        <v>98</v>
      </c>
      <c r="E1238" s="0" t="s">
        <v>763</v>
      </c>
    </row>
    <row r="1239" customFormat="false" ht="15" hidden="false" customHeight="false" outlineLevel="0" collapsed="false">
      <c r="A1239" s="0" t="s">
        <v>740</v>
      </c>
      <c r="B1239" s="0" t="s">
        <v>1998</v>
      </c>
      <c r="C1239" s="0" t="s">
        <v>762</v>
      </c>
      <c r="D1239" s="0" t="s">
        <v>98</v>
      </c>
      <c r="E1239" s="0" t="s">
        <v>763</v>
      </c>
    </row>
    <row r="1240" customFormat="false" ht="15" hidden="false" customHeight="false" outlineLevel="0" collapsed="false">
      <c r="A1240" s="0" t="s">
        <v>740</v>
      </c>
      <c r="B1240" s="0" t="s">
        <v>1999</v>
      </c>
      <c r="C1240" s="0" t="s">
        <v>762</v>
      </c>
      <c r="D1240" s="0" t="s">
        <v>98</v>
      </c>
      <c r="E1240" s="0" t="s">
        <v>763</v>
      </c>
    </row>
    <row r="1241" customFormat="false" ht="15" hidden="false" customHeight="false" outlineLevel="0" collapsed="false">
      <c r="A1241" s="0" t="s">
        <v>740</v>
      </c>
      <c r="B1241" s="0" t="s">
        <v>2000</v>
      </c>
      <c r="C1241" s="0" t="s">
        <v>600</v>
      </c>
      <c r="D1241" s="0" t="s">
        <v>93</v>
      </c>
      <c r="E1241" s="0" t="s">
        <v>1971</v>
      </c>
    </row>
    <row r="1242" customFormat="false" ht="15" hidden="false" customHeight="false" outlineLevel="0" collapsed="false">
      <c r="A1242" s="0" t="s">
        <v>740</v>
      </c>
      <c r="B1242" s="0" t="s">
        <v>2001</v>
      </c>
      <c r="C1242" s="0" t="s">
        <v>600</v>
      </c>
      <c r="D1242" s="0" t="s">
        <v>93</v>
      </c>
      <c r="E1242" s="0" t="s">
        <v>1973</v>
      </c>
    </row>
    <row r="1243" customFormat="false" ht="15" hidden="false" customHeight="false" outlineLevel="0" collapsed="false">
      <c r="A1243" s="0" t="s">
        <v>740</v>
      </c>
      <c r="B1243" s="0" t="s">
        <v>2002</v>
      </c>
      <c r="C1243" s="0" t="s">
        <v>600</v>
      </c>
      <c r="D1243" s="0" t="s">
        <v>93</v>
      </c>
      <c r="E1243" s="0" t="s">
        <v>1973</v>
      </c>
    </row>
    <row r="1244" customFormat="false" ht="15" hidden="false" customHeight="false" outlineLevel="0" collapsed="false">
      <c r="A1244" s="0" t="s">
        <v>740</v>
      </c>
      <c r="B1244" s="0" t="s">
        <v>2003</v>
      </c>
      <c r="C1244" s="0" t="s">
        <v>600</v>
      </c>
      <c r="D1244" s="0" t="s">
        <v>93</v>
      </c>
      <c r="E1244" s="0" t="s">
        <v>1973</v>
      </c>
    </row>
    <row r="1245" customFormat="false" ht="15" hidden="false" customHeight="false" outlineLevel="0" collapsed="false">
      <c r="A1245" s="0" t="s">
        <v>740</v>
      </c>
      <c r="B1245" s="0" t="s">
        <v>2004</v>
      </c>
      <c r="C1245" s="0" t="s">
        <v>600</v>
      </c>
      <c r="D1245" s="0" t="s">
        <v>93</v>
      </c>
      <c r="E1245" s="0" t="s">
        <v>1973</v>
      </c>
    </row>
    <row r="1246" customFormat="false" ht="15" hidden="false" customHeight="false" outlineLevel="0" collapsed="false">
      <c r="A1246" s="0" t="s">
        <v>740</v>
      </c>
      <c r="B1246" s="0" t="s">
        <v>2005</v>
      </c>
      <c r="C1246" s="0" t="s">
        <v>600</v>
      </c>
      <c r="D1246" s="0" t="s">
        <v>93</v>
      </c>
      <c r="E1246" s="0" t="s">
        <v>1973</v>
      </c>
    </row>
    <row r="1247" customFormat="false" ht="15" hidden="false" customHeight="false" outlineLevel="0" collapsed="false">
      <c r="A1247" s="0" t="s">
        <v>740</v>
      </c>
      <c r="B1247" s="0" t="s">
        <v>2006</v>
      </c>
      <c r="C1247" s="0" t="s">
        <v>600</v>
      </c>
      <c r="D1247" s="0" t="s">
        <v>93</v>
      </c>
      <c r="E1247" s="0" t="s">
        <v>1973</v>
      </c>
    </row>
    <row r="1248" customFormat="false" ht="15" hidden="false" customHeight="false" outlineLevel="0" collapsed="false">
      <c r="A1248" s="0" t="s">
        <v>740</v>
      </c>
      <c r="B1248" s="0" t="s">
        <v>2007</v>
      </c>
      <c r="C1248" s="0" t="s">
        <v>600</v>
      </c>
      <c r="D1248" s="0" t="s">
        <v>93</v>
      </c>
      <c r="E1248" s="0" t="s">
        <v>1973</v>
      </c>
    </row>
    <row r="1249" customFormat="false" ht="15" hidden="false" customHeight="false" outlineLevel="0" collapsed="false">
      <c r="A1249" s="0" t="s">
        <v>740</v>
      </c>
      <c r="B1249" s="0" t="s">
        <v>2008</v>
      </c>
      <c r="C1249" s="0" t="s">
        <v>600</v>
      </c>
      <c r="D1249" s="0" t="s">
        <v>93</v>
      </c>
      <c r="E1249" s="0" t="s">
        <v>1973</v>
      </c>
    </row>
    <row r="1250" customFormat="false" ht="15" hidden="false" customHeight="false" outlineLevel="0" collapsed="false">
      <c r="A1250" s="0" t="s">
        <v>740</v>
      </c>
      <c r="B1250" s="0" t="s">
        <v>2009</v>
      </c>
      <c r="C1250" s="0" t="s">
        <v>600</v>
      </c>
      <c r="D1250" s="0" t="s">
        <v>93</v>
      </c>
      <c r="E1250" s="0" t="s">
        <v>1973</v>
      </c>
    </row>
    <row r="1251" customFormat="false" ht="15" hidden="false" customHeight="false" outlineLevel="0" collapsed="false">
      <c r="A1251" s="0" t="s">
        <v>740</v>
      </c>
      <c r="B1251" s="0" t="s">
        <v>2010</v>
      </c>
      <c r="C1251" s="0" t="s">
        <v>600</v>
      </c>
      <c r="D1251" s="0" t="s">
        <v>93</v>
      </c>
      <c r="E1251" s="0" t="s">
        <v>1973</v>
      </c>
    </row>
    <row r="1252" customFormat="false" ht="15" hidden="false" customHeight="false" outlineLevel="0" collapsed="false">
      <c r="A1252" s="0" t="s">
        <v>740</v>
      </c>
      <c r="B1252" s="0" t="s">
        <v>2011</v>
      </c>
      <c r="C1252" s="0" t="s">
        <v>600</v>
      </c>
      <c r="D1252" s="0" t="s">
        <v>93</v>
      </c>
      <c r="E1252" s="0" t="s">
        <v>1973</v>
      </c>
    </row>
    <row r="1253" customFormat="false" ht="15" hidden="false" customHeight="false" outlineLevel="0" collapsed="false">
      <c r="A1253" s="0" t="s">
        <v>740</v>
      </c>
      <c r="B1253" s="0" t="s">
        <v>2012</v>
      </c>
      <c r="C1253" s="0" t="s">
        <v>600</v>
      </c>
      <c r="D1253" s="0" t="s">
        <v>93</v>
      </c>
      <c r="E1253" s="0" t="s">
        <v>1973</v>
      </c>
    </row>
    <row r="1254" customFormat="false" ht="15" hidden="false" customHeight="false" outlineLevel="0" collapsed="false">
      <c r="A1254" s="0" t="s">
        <v>740</v>
      </c>
      <c r="B1254" s="0" t="s">
        <v>2013</v>
      </c>
      <c r="C1254" s="0" t="s">
        <v>600</v>
      </c>
      <c r="D1254" s="0" t="s">
        <v>93</v>
      </c>
      <c r="E1254" s="0" t="s">
        <v>1973</v>
      </c>
    </row>
    <row r="1255" customFormat="false" ht="15" hidden="false" customHeight="false" outlineLevel="0" collapsed="false">
      <c r="A1255" s="0" t="s">
        <v>740</v>
      </c>
      <c r="B1255" s="0" t="s">
        <v>2014</v>
      </c>
      <c r="C1255" s="0" t="s">
        <v>600</v>
      </c>
      <c r="D1255" s="0" t="s">
        <v>93</v>
      </c>
      <c r="E1255" s="0" t="s">
        <v>1973</v>
      </c>
    </row>
    <row r="1256" customFormat="false" ht="15" hidden="false" customHeight="false" outlineLevel="0" collapsed="false">
      <c r="A1256" s="0" t="s">
        <v>740</v>
      </c>
      <c r="B1256" s="0" t="s">
        <v>2015</v>
      </c>
      <c r="C1256" s="0" t="s">
        <v>600</v>
      </c>
      <c r="D1256" s="0" t="s">
        <v>93</v>
      </c>
      <c r="E1256" s="0" t="s">
        <v>1973</v>
      </c>
    </row>
    <row r="1257" customFormat="false" ht="15" hidden="false" customHeight="false" outlineLevel="0" collapsed="false">
      <c r="A1257" s="0" t="s">
        <v>740</v>
      </c>
      <c r="B1257" s="0" t="s">
        <v>2016</v>
      </c>
      <c r="C1257" s="0" t="s">
        <v>600</v>
      </c>
      <c r="D1257" s="0" t="s">
        <v>93</v>
      </c>
      <c r="E1257" s="0" t="s">
        <v>1973</v>
      </c>
    </row>
    <row r="1258" customFormat="false" ht="15" hidden="false" customHeight="false" outlineLevel="0" collapsed="false">
      <c r="A1258" s="0" t="s">
        <v>740</v>
      </c>
      <c r="B1258" s="0" t="s">
        <v>2017</v>
      </c>
      <c r="C1258" s="0" t="s">
        <v>600</v>
      </c>
      <c r="D1258" s="0" t="s">
        <v>93</v>
      </c>
      <c r="E1258" s="0" t="s">
        <v>1973</v>
      </c>
    </row>
    <row r="1259" customFormat="false" ht="15" hidden="false" customHeight="false" outlineLevel="0" collapsed="false">
      <c r="A1259" s="0" t="s">
        <v>740</v>
      </c>
      <c r="B1259" s="0" t="s">
        <v>2018</v>
      </c>
      <c r="C1259" s="0" t="s">
        <v>600</v>
      </c>
      <c r="D1259" s="0" t="s">
        <v>93</v>
      </c>
      <c r="E1259" s="0" t="s">
        <v>1973</v>
      </c>
    </row>
    <row r="1260" customFormat="false" ht="15" hidden="false" customHeight="false" outlineLevel="0" collapsed="false">
      <c r="A1260" s="0" t="s">
        <v>740</v>
      </c>
      <c r="B1260" s="0" t="s">
        <v>2019</v>
      </c>
      <c r="C1260" s="0" t="s">
        <v>600</v>
      </c>
      <c r="D1260" s="0" t="s">
        <v>93</v>
      </c>
      <c r="E1260" s="0" t="s">
        <v>1973</v>
      </c>
    </row>
    <row r="1261" customFormat="false" ht="15" hidden="false" customHeight="false" outlineLevel="0" collapsed="false">
      <c r="A1261" s="0" t="s">
        <v>740</v>
      </c>
      <c r="B1261" s="0" t="s">
        <v>2020</v>
      </c>
      <c r="C1261" s="0" t="s">
        <v>600</v>
      </c>
      <c r="D1261" s="0" t="s">
        <v>93</v>
      </c>
      <c r="E1261" s="0" t="s">
        <v>1973</v>
      </c>
    </row>
    <row r="1262" customFormat="false" ht="15" hidden="false" customHeight="false" outlineLevel="0" collapsed="false">
      <c r="A1262" s="0" t="s">
        <v>740</v>
      </c>
      <c r="B1262" s="0" t="s">
        <v>2021</v>
      </c>
      <c r="C1262" s="0" t="s">
        <v>600</v>
      </c>
      <c r="D1262" s="0" t="s">
        <v>93</v>
      </c>
      <c r="E1262" s="0" t="s">
        <v>1973</v>
      </c>
    </row>
    <row r="1263" customFormat="false" ht="15" hidden="false" customHeight="false" outlineLevel="0" collapsed="false">
      <c r="A1263" s="0" t="s">
        <v>740</v>
      </c>
      <c r="B1263" s="0" t="s">
        <v>2022</v>
      </c>
      <c r="C1263" s="0" t="s">
        <v>600</v>
      </c>
      <c r="D1263" s="0" t="s">
        <v>93</v>
      </c>
      <c r="E1263" s="0" t="s">
        <v>1973</v>
      </c>
    </row>
    <row r="1264" customFormat="false" ht="15" hidden="false" customHeight="false" outlineLevel="0" collapsed="false">
      <c r="A1264" s="0" t="s">
        <v>740</v>
      </c>
      <c r="B1264" s="0" t="s">
        <v>2023</v>
      </c>
      <c r="C1264" s="0" t="s">
        <v>600</v>
      </c>
      <c r="D1264" s="0" t="s">
        <v>93</v>
      </c>
      <c r="E1264" s="0" t="s">
        <v>1973</v>
      </c>
    </row>
    <row r="1265" customFormat="false" ht="15" hidden="false" customHeight="false" outlineLevel="0" collapsed="false">
      <c r="A1265" s="0" t="s">
        <v>740</v>
      </c>
      <c r="B1265" s="0" t="s">
        <v>2024</v>
      </c>
      <c r="C1265" s="0" t="s">
        <v>600</v>
      </c>
      <c r="D1265" s="0" t="s">
        <v>93</v>
      </c>
      <c r="E1265" s="0" t="s">
        <v>1973</v>
      </c>
    </row>
    <row r="1266" customFormat="false" ht="15" hidden="false" customHeight="false" outlineLevel="0" collapsed="false">
      <c r="A1266" s="0" t="s">
        <v>740</v>
      </c>
      <c r="B1266" s="0" t="s">
        <v>2025</v>
      </c>
      <c r="C1266" s="0" t="s">
        <v>2026</v>
      </c>
      <c r="D1266" s="0" t="s">
        <v>98</v>
      </c>
      <c r="E1266" s="0" t="s">
        <v>826</v>
      </c>
    </row>
    <row r="1267" customFormat="false" ht="15" hidden="false" customHeight="false" outlineLevel="0" collapsed="false">
      <c r="A1267" s="0" t="s">
        <v>740</v>
      </c>
      <c r="B1267" s="0" t="s">
        <v>2027</v>
      </c>
      <c r="C1267" s="0" t="s">
        <v>2028</v>
      </c>
      <c r="D1267" s="0" t="s">
        <v>98</v>
      </c>
      <c r="E1267" s="0" t="s">
        <v>826</v>
      </c>
    </row>
    <row r="1268" customFormat="false" ht="15" hidden="false" customHeight="false" outlineLevel="0" collapsed="false">
      <c r="A1268" s="0" t="s">
        <v>740</v>
      </c>
      <c r="B1268" s="0" t="s">
        <v>2029</v>
      </c>
      <c r="C1268" s="0" t="s">
        <v>2030</v>
      </c>
      <c r="D1268" s="0" t="s">
        <v>98</v>
      </c>
      <c r="E1268" s="0" t="s">
        <v>826</v>
      </c>
    </row>
    <row r="1269" customFormat="false" ht="15" hidden="false" customHeight="false" outlineLevel="0" collapsed="false">
      <c r="A1269" s="0" t="s">
        <v>740</v>
      </c>
      <c r="B1269" s="0" t="s">
        <v>2031</v>
      </c>
      <c r="C1269" s="0" t="s">
        <v>2032</v>
      </c>
      <c r="D1269" s="0" t="s">
        <v>98</v>
      </c>
      <c r="E1269" s="0" t="s">
        <v>826</v>
      </c>
    </row>
    <row r="1270" customFormat="false" ht="15" hidden="false" customHeight="false" outlineLevel="0" collapsed="false">
      <c r="A1270" s="0" t="s">
        <v>740</v>
      </c>
      <c r="B1270" s="0" t="s">
        <v>2033</v>
      </c>
      <c r="C1270" s="0" t="s">
        <v>2034</v>
      </c>
      <c r="D1270" s="0" t="s">
        <v>98</v>
      </c>
      <c r="E1270" s="0" t="s">
        <v>826</v>
      </c>
    </row>
    <row r="1271" customFormat="false" ht="15" hidden="false" customHeight="false" outlineLevel="0" collapsed="false">
      <c r="A1271" s="0" t="s">
        <v>740</v>
      </c>
      <c r="B1271" s="0" t="s">
        <v>2035</v>
      </c>
      <c r="C1271" s="0" t="s">
        <v>2036</v>
      </c>
      <c r="D1271" s="0" t="s">
        <v>98</v>
      </c>
      <c r="E1271" s="0" t="s">
        <v>826</v>
      </c>
    </row>
    <row r="1272" customFormat="false" ht="15" hidden="false" customHeight="false" outlineLevel="0" collapsed="false">
      <c r="A1272" s="0" t="s">
        <v>740</v>
      </c>
      <c r="B1272" s="0" t="s">
        <v>2037</v>
      </c>
      <c r="C1272" s="0" t="s">
        <v>2038</v>
      </c>
      <c r="D1272" s="0" t="s">
        <v>98</v>
      </c>
      <c r="E1272" s="0" t="s">
        <v>826</v>
      </c>
    </row>
    <row r="1273" customFormat="false" ht="15" hidden="false" customHeight="false" outlineLevel="0" collapsed="false">
      <c r="A1273" s="0" t="s">
        <v>740</v>
      </c>
      <c r="B1273" s="0" t="s">
        <v>2039</v>
      </c>
      <c r="C1273" s="0" t="s">
        <v>2040</v>
      </c>
      <c r="D1273" s="0" t="s">
        <v>98</v>
      </c>
      <c r="E1273" s="0" t="s">
        <v>826</v>
      </c>
    </row>
    <row r="1274" customFormat="false" ht="15" hidden="false" customHeight="false" outlineLevel="0" collapsed="false">
      <c r="A1274" s="0" t="s">
        <v>740</v>
      </c>
      <c r="B1274" s="0" t="s">
        <v>2041</v>
      </c>
      <c r="C1274" s="0" t="s">
        <v>2042</v>
      </c>
      <c r="D1274" s="0" t="s">
        <v>98</v>
      </c>
      <c r="E1274" s="0" t="s">
        <v>826</v>
      </c>
    </row>
    <row r="1275" customFormat="false" ht="15" hidden="false" customHeight="false" outlineLevel="0" collapsed="false">
      <c r="A1275" s="0" t="s">
        <v>740</v>
      </c>
      <c r="B1275" s="0" t="s">
        <v>2043</v>
      </c>
      <c r="C1275" s="0" t="s">
        <v>2044</v>
      </c>
      <c r="D1275" s="0" t="s">
        <v>98</v>
      </c>
      <c r="E1275" s="0" t="s">
        <v>826</v>
      </c>
    </row>
    <row r="1276" customFormat="false" ht="15" hidden="false" customHeight="false" outlineLevel="0" collapsed="false">
      <c r="A1276" s="0" t="s">
        <v>740</v>
      </c>
      <c r="B1276" s="0" t="s">
        <v>2045</v>
      </c>
      <c r="C1276" s="0" t="s">
        <v>2046</v>
      </c>
      <c r="D1276" s="0" t="s">
        <v>98</v>
      </c>
      <c r="E1276" s="0" t="s">
        <v>826</v>
      </c>
    </row>
    <row r="1277" customFormat="false" ht="15" hidden="false" customHeight="false" outlineLevel="0" collapsed="false">
      <c r="A1277" s="0" t="s">
        <v>740</v>
      </c>
      <c r="B1277" s="0" t="s">
        <v>2047</v>
      </c>
      <c r="C1277" s="0" t="s">
        <v>2048</v>
      </c>
      <c r="D1277" s="0" t="s">
        <v>98</v>
      </c>
      <c r="E1277" s="0" t="s">
        <v>826</v>
      </c>
    </row>
    <row r="1278" customFormat="false" ht="15" hidden="false" customHeight="false" outlineLevel="0" collapsed="false">
      <c r="A1278" s="0" t="s">
        <v>740</v>
      </c>
      <c r="B1278" s="0" t="s">
        <v>2049</v>
      </c>
      <c r="C1278" s="0" t="s">
        <v>2050</v>
      </c>
      <c r="D1278" s="0" t="s">
        <v>98</v>
      </c>
      <c r="E1278" s="0" t="s">
        <v>826</v>
      </c>
    </row>
    <row r="1279" customFormat="false" ht="15" hidden="false" customHeight="false" outlineLevel="0" collapsed="false">
      <c r="A1279" s="0" t="s">
        <v>740</v>
      </c>
      <c r="B1279" s="0" t="s">
        <v>2051</v>
      </c>
      <c r="C1279" s="0" t="s">
        <v>2052</v>
      </c>
      <c r="D1279" s="0" t="s">
        <v>98</v>
      </c>
      <c r="E1279" s="0" t="s">
        <v>826</v>
      </c>
    </row>
    <row r="1280" customFormat="false" ht="15" hidden="false" customHeight="false" outlineLevel="0" collapsed="false">
      <c r="A1280" s="0" t="s">
        <v>740</v>
      </c>
      <c r="B1280" s="0" t="s">
        <v>2053</v>
      </c>
      <c r="C1280" s="0" t="s">
        <v>2054</v>
      </c>
      <c r="D1280" s="0" t="s">
        <v>98</v>
      </c>
      <c r="E1280" s="0" t="s">
        <v>826</v>
      </c>
    </row>
    <row r="1281" customFormat="false" ht="15" hidden="false" customHeight="false" outlineLevel="0" collapsed="false">
      <c r="A1281" s="0" t="s">
        <v>740</v>
      </c>
      <c r="B1281" s="0" t="s">
        <v>2055</v>
      </c>
      <c r="C1281" s="0" t="s">
        <v>2056</v>
      </c>
      <c r="D1281" s="0" t="s">
        <v>98</v>
      </c>
      <c r="E1281" s="0" t="s">
        <v>826</v>
      </c>
    </row>
    <row r="1282" customFormat="false" ht="15" hidden="false" customHeight="false" outlineLevel="0" collapsed="false">
      <c r="A1282" s="0" t="s">
        <v>740</v>
      </c>
      <c r="B1282" s="0" t="s">
        <v>2057</v>
      </c>
      <c r="C1282" s="0" t="s">
        <v>2058</v>
      </c>
      <c r="D1282" s="0" t="s">
        <v>98</v>
      </c>
      <c r="E1282" s="0" t="s">
        <v>826</v>
      </c>
    </row>
    <row r="1283" customFormat="false" ht="15" hidden="false" customHeight="false" outlineLevel="0" collapsed="false">
      <c r="A1283" s="0" t="s">
        <v>740</v>
      </c>
      <c r="B1283" s="0" t="s">
        <v>2059</v>
      </c>
      <c r="C1283" s="0" t="s">
        <v>2060</v>
      </c>
      <c r="D1283" s="0" t="s">
        <v>98</v>
      </c>
      <c r="E1283" s="0" t="s">
        <v>826</v>
      </c>
    </row>
    <row r="1284" customFormat="false" ht="15" hidden="false" customHeight="false" outlineLevel="0" collapsed="false">
      <c r="A1284" s="0" t="s">
        <v>740</v>
      </c>
      <c r="B1284" s="0" t="s">
        <v>2061</v>
      </c>
      <c r="C1284" s="0" t="s">
        <v>2062</v>
      </c>
      <c r="D1284" s="0" t="s">
        <v>98</v>
      </c>
      <c r="E1284" s="0" t="s">
        <v>826</v>
      </c>
    </row>
    <row r="1285" customFormat="false" ht="15" hidden="false" customHeight="false" outlineLevel="0" collapsed="false">
      <c r="A1285" s="0" t="s">
        <v>740</v>
      </c>
      <c r="B1285" s="0" t="s">
        <v>2063</v>
      </c>
      <c r="C1285" s="0" t="s">
        <v>2064</v>
      </c>
      <c r="D1285" s="0" t="s">
        <v>98</v>
      </c>
      <c r="E1285" s="0" t="s">
        <v>826</v>
      </c>
    </row>
    <row r="1286" customFormat="false" ht="15" hidden="false" customHeight="false" outlineLevel="0" collapsed="false">
      <c r="A1286" s="0" t="s">
        <v>740</v>
      </c>
      <c r="B1286" s="0" t="s">
        <v>2065</v>
      </c>
      <c r="C1286" s="0" t="s">
        <v>2066</v>
      </c>
      <c r="D1286" s="0" t="s">
        <v>98</v>
      </c>
      <c r="E1286" s="0" t="s">
        <v>826</v>
      </c>
    </row>
    <row r="1287" customFormat="false" ht="15" hidden="false" customHeight="false" outlineLevel="0" collapsed="false">
      <c r="A1287" s="0" t="s">
        <v>740</v>
      </c>
      <c r="B1287" s="0" t="s">
        <v>2067</v>
      </c>
      <c r="C1287" s="0" t="s">
        <v>2068</v>
      </c>
      <c r="D1287" s="0" t="s">
        <v>98</v>
      </c>
      <c r="E1287" s="0" t="s">
        <v>826</v>
      </c>
    </row>
    <row r="1288" customFormat="false" ht="15" hidden="false" customHeight="false" outlineLevel="0" collapsed="false">
      <c r="A1288" s="0" t="s">
        <v>740</v>
      </c>
      <c r="B1288" s="0" t="s">
        <v>2069</v>
      </c>
      <c r="C1288" s="0" t="s">
        <v>2070</v>
      </c>
      <c r="D1288" s="0" t="s">
        <v>98</v>
      </c>
      <c r="E1288" s="0" t="s">
        <v>826</v>
      </c>
    </row>
    <row r="1289" customFormat="false" ht="15" hidden="false" customHeight="false" outlineLevel="0" collapsed="false">
      <c r="A1289" s="0" t="s">
        <v>740</v>
      </c>
      <c r="B1289" s="0" t="s">
        <v>2071</v>
      </c>
      <c r="C1289" s="0" t="s">
        <v>2072</v>
      </c>
      <c r="D1289" s="0" t="s">
        <v>98</v>
      </c>
      <c r="E1289" s="0" t="s">
        <v>826</v>
      </c>
    </row>
    <row r="1290" customFormat="false" ht="15" hidden="false" customHeight="false" outlineLevel="0" collapsed="false">
      <c r="A1290" s="0" t="s">
        <v>740</v>
      </c>
      <c r="B1290" s="0" t="s">
        <v>2073</v>
      </c>
      <c r="C1290" s="0" t="s">
        <v>2074</v>
      </c>
      <c r="D1290" s="0" t="s">
        <v>98</v>
      </c>
      <c r="E1290" s="0" t="s">
        <v>826</v>
      </c>
    </row>
    <row r="1291" customFormat="false" ht="15" hidden="false" customHeight="false" outlineLevel="0" collapsed="false">
      <c r="A1291" s="0" t="s">
        <v>740</v>
      </c>
      <c r="B1291" s="0" t="s">
        <v>2075</v>
      </c>
      <c r="C1291" s="0" t="s">
        <v>2076</v>
      </c>
      <c r="D1291" s="0" t="s">
        <v>98</v>
      </c>
      <c r="E1291" s="0" t="s">
        <v>826</v>
      </c>
    </row>
    <row r="1292" customFormat="false" ht="15" hidden="false" customHeight="false" outlineLevel="0" collapsed="false">
      <c r="A1292" s="0" t="s">
        <v>740</v>
      </c>
      <c r="B1292" s="0" t="s">
        <v>2077</v>
      </c>
      <c r="C1292" s="0" t="s">
        <v>2078</v>
      </c>
      <c r="D1292" s="0" t="s">
        <v>98</v>
      </c>
      <c r="E1292" s="0" t="s">
        <v>826</v>
      </c>
    </row>
    <row r="1293" customFormat="false" ht="15" hidden="false" customHeight="false" outlineLevel="0" collapsed="false">
      <c r="A1293" s="0" t="s">
        <v>740</v>
      </c>
      <c r="B1293" s="0" t="s">
        <v>2079</v>
      </c>
      <c r="C1293" s="0" t="s">
        <v>2080</v>
      </c>
      <c r="D1293" s="0" t="s">
        <v>98</v>
      </c>
      <c r="E1293" s="0" t="s">
        <v>826</v>
      </c>
    </row>
    <row r="1294" customFormat="false" ht="15" hidden="false" customHeight="false" outlineLevel="0" collapsed="false">
      <c r="A1294" s="0" t="s">
        <v>740</v>
      </c>
      <c r="B1294" s="0" t="s">
        <v>2081</v>
      </c>
      <c r="C1294" s="0" t="s">
        <v>610</v>
      </c>
      <c r="D1294" s="0" t="s">
        <v>86</v>
      </c>
      <c r="E1294" s="0" t="s">
        <v>251</v>
      </c>
    </row>
    <row r="1295" customFormat="false" ht="15" hidden="false" customHeight="false" outlineLevel="0" collapsed="false">
      <c r="A1295" s="0" t="s">
        <v>740</v>
      </c>
      <c r="B1295" s="0" t="s">
        <v>2082</v>
      </c>
      <c r="C1295" s="0" t="s">
        <v>610</v>
      </c>
      <c r="D1295" s="0" t="s">
        <v>86</v>
      </c>
      <c r="E1295" s="0" t="s">
        <v>251</v>
      </c>
    </row>
    <row r="1296" customFormat="false" ht="15" hidden="false" customHeight="false" outlineLevel="0" collapsed="false">
      <c r="A1296" s="0" t="s">
        <v>740</v>
      </c>
      <c r="B1296" s="0" t="s">
        <v>2083</v>
      </c>
      <c r="C1296" s="0" t="s">
        <v>610</v>
      </c>
      <c r="D1296" s="0" t="s">
        <v>86</v>
      </c>
      <c r="E1296" s="0" t="s">
        <v>251</v>
      </c>
    </row>
    <row r="1297" customFormat="false" ht="15" hidden="false" customHeight="false" outlineLevel="0" collapsed="false">
      <c r="A1297" s="0" t="s">
        <v>740</v>
      </c>
      <c r="B1297" s="0" t="s">
        <v>2084</v>
      </c>
      <c r="C1297" s="0" t="s">
        <v>610</v>
      </c>
      <c r="D1297" s="0" t="s">
        <v>86</v>
      </c>
      <c r="E1297" s="0" t="s">
        <v>251</v>
      </c>
    </row>
    <row r="1298" customFormat="false" ht="15" hidden="false" customHeight="false" outlineLevel="0" collapsed="false">
      <c r="A1298" s="0" t="s">
        <v>740</v>
      </c>
      <c r="B1298" s="0" t="s">
        <v>2085</v>
      </c>
      <c r="C1298" s="0" t="s">
        <v>610</v>
      </c>
      <c r="D1298" s="0" t="s">
        <v>86</v>
      </c>
      <c r="E1298" s="0" t="s">
        <v>251</v>
      </c>
    </row>
    <row r="1299" customFormat="false" ht="15" hidden="false" customHeight="false" outlineLevel="0" collapsed="false">
      <c r="A1299" s="0" t="s">
        <v>740</v>
      </c>
      <c r="B1299" s="0" t="s">
        <v>2086</v>
      </c>
      <c r="C1299" s="0" t="s">
        <v>610</v>
      </c>
      <c r="D1299" s="0" t="s">
        <v>86</v>
      </c>
      <c r="E1299" s="0" t="s">
        <v>251</v>
      </c>
    </row>
    <row r="1300" customFormat="false" ht="15" hidden="false" customHeight="false" outlineLevel="0" collapsed="false">
      <c r="A1300" s="0" t="s">
        <v>740</v>
      </c>
      <c r="B1300" s="0" t="s">
        <v>2087</v>
      </c>
      <c r="C1300" s="0" t="s">
        <v>610</v>
      </c>
      <c r="D1300" s="0" t="s">
        <v>86</v>
      </c>
      <c r="E1300" s="0" t="s">
        <v>251</v>
      </c>
    </row>
    <row r="1301" customFormat="false" ht="15" hidden="false" customHeight="false" outlineLevel="0" collapsed="false">
      <c r="A1301" s="0" t="s">
        <v>740</v>
      </c>
      <c r="B1301" s="0" t="s">
        <v>2088</v>
      </c>
      <c r="C1301" s="0" t="s">
        <v>610</v>
      </c>
      <c r="D1301" s="0" t="s">
        <v>744</v>
      </c>
      <c r="E1301" s="0" t="s">
        <v>251</v>
      </c>
    </row>
    <row r="1302" customFormat="false" ht="15" hidden="false" customHeight="false" outlineLevel="0" collapsed="false">
      <c r="A1302" s="0" t="s">
        <v>740</v>
      </c>
      <c r="B1302" s="0" t="s">
        <v>2089</v>
      </c>
      <c r="C1302" s="0" t="s">
        <v>610</v>
      </c>
      <c r="D1302" s="0" t="s">
        <v>744</v>
      </c>
      <c r="E1302" s="0" t="s">
        <v>251</v>
      </c>
    </row>
    <row r="1303" customFormat="false" ht="15" hidden="false" customHeight="false" outlineLevel="0" collapsed="false">
      <c r="A1303" s="0" t="s">
        <v>740</v>
      </c>
      <c r="B1303" s="0" t="s">
        <v>2090</v>
      </c>
      <c r="C1303" s="0" t="s">
        <v>610</v>
      </c>
      <c r="D1303" s="0" t="s">
        <v>744</v>
      </c>
      <c r="E1303" s="0" t="s">
        <v>251</v>
      </c>
    </row>
    <row r="1304" customFormat="false" ht="15" hidden="false" customHeight="false" outlineLevel="0" collapsed="false">
      <c r="A1304" s="0" t="s">
        <v>740</v>
      </c>
      <c r="B1304" s="0" t="s">
        <v>2091</v>
      </c>
      <c r="C1304" s="0" t="s">
        <v>610</v>
      </c>
      <c r="D1304" s="0" t="s">
        <v>744</v>
      </c>
      <c r="E1304" s="0" t="s">
        <v>251</v>
      </c>
    </row>
    <row r="1305" customFormat="false" ht="15" hidden="false" customHeight="false" outlineLevel="0" collapsed="false">
      <c r="A1305" s="0" t="s">
        <v>740</v>
      </c>
      <c r="B1305" s="0" t="s">
        <v>2092</v>
      </c>
      <c r="C1305" s="0" t="s">
        <v>610</v>
      </c>
      <c r="D1305" s="0" t="s">
        <v>744</v>
      </c>
      <c r="E1305" s="0" t="s">
        <v>251</v>
      </c>
    </row>
    <row r="1306" customFormat="false" ht="15" hidden="false" customHeight="false" outlineLevel="0" collapsed="false">
      <c r="A1306" s="0" t="s">
        <v>740</v>
      </c>
      <c r="B1306" s="0" t="s">
        <v>2093</v>
      </c>
      <c r="C1306" s="0" t="s">
        <v>610</v>
      </c>
      <c r="D1306" s="0" t="s">
        <v>744</v>
      </c>
      <c r="E1306" s="0" t="s">
        <v>251</v>
      </c>
    </row>
    <row r="1307" customFormat="false" ht="15" hidden="false" customHeight="false" outlineLevel="0" collapsed="false">
      <c r="A1307" s="0" t="s">
        <v>740</v>
      </c>
      <c r="B1307" s="0" t="s">
        <v>2094</v>
      </c>
      <c r="C1307" s="0" t="s">
        <v>610</v>
      </c>
      <c r="D1307" s="0" t="s">
        <v>744</v>
      </c>
      <c r="E1307" s="0" t="s">
        <v>251</v>
      </c>
    </row>
    <row r="1308" customFormat="false" ht="15" hidden="false" customHeight="false" outlineLevel="0" collapsed="false">
      <c r="A1308" s="0" t="s">
        <v>740</v>
      </c>
      <c r="B1308" s="0" t="s">
        <v>2095</v>
      </c>
      <c r="C1308" s="0" t="s">
        <v>610</v>
      </c>
      <c r="D1308" s="0" t="s">
        <v>744</v>
      </c>
      <c r="E1308" s="0" t="s">
        <v>251</v>
      </c>
    </row>
    <row r="1309" customFormat="false" ht="15" hidden="false" customHeight="false" outlineLevel="0" collapsed="false">
      <c r="A1309" s="0" t="s">
        <v>740</v>
      </c>
      <c r="B1309" s="0" t="s">
        <v>2096</v>
      </c>
      <c r="C1309" s="0" t="s">
        <v>610</v>
      </c>
      <c r="D1309" s="0" t="s">
        <v>744</v>
      </c>
      <c r="E1309" s="0" t="s">
        <v>251</v>
      </c>
    </row>
    <row r="1310" customFormat="false" ht="15" hidden="false" customHeight="false" outlineLevel="0" collapsed="false">
      <c r="A1310" s="0" t="s">
        <v>740</v>
      </c>
      <c r="B1310" s="0" t="s">
        <v>2097</v>
      </c>
      <c r="C1310" s="0" t="s">
        <v>610</v>
      </c>
      <c r="D1310" s="0" t="s">
        <v>744</v>
      </c>
      <c r="E1310" s="0" t="s">
        <v>251</v>
      </c>
    </row>
    <row r="1311" customFormat="false" ht="15" hidden="false" customHeight="false" outlineLevel="0" collapsed="false">
      <c r="A1311" s="0" t="s">
        <v>740</v>
      </c>
      <c r="B1311" s="0" t="s">
        <v>2098</v>
      </c>
      <c r="C1311" s="0" t="s">
        <v>610</v>
      </c>
      <c r="D1311" s="0" t="s">
        <v>744</v>
      </c>
      <c r="E1311" s="0" t="s">
        <v>251</v>
      </c>
    </row>
    <row r="1312" customFormat="false" ht="15" hidden="false" customHeight="false" outlineLevel="0" collapsed="false">
      <c r="A1312" s="0" t="s">
        <v>740</v>
      </c>
      <c r="B1312" s="0" t="s">
        <v>2099</v>
      </c>
      <c r="C1312" s="0" t="s">
        <v>610</v>
      </c>
      <c r="D1312" s="0" t="s">
        <v>744</v>
      </c>
      <c r="E1312" s="0" t="s">
        <v>251</v>
      </c>
    </row>
    <row r="1313" customFormat="false" ht="15" hidden="false" customHeight="false" outlineLevel="0" collapsed="false">
      <c r="A1313" s="0" t="s">
        <v>740</v>
      </c>
      <c r="B1313" s="0" t="s">
        <v>2100</v>
      </c>
      <c r="C1313" s="0" t="s">
        <v>610</v>
      </c>
      <c r="D1313" s="0" t="s">
        <v>744</v>
      </c>
      <c r="E1313" s="0" t="s">
        <v>251</v>
      </c>
    </row>
    <row r="1314" customFormat="false" ht="15" hidden="false" customHeight="false" outlineLevel="0" collapsed="false">
      <c r="A1314" s="0" t="s">
        <v>740</v>
      </c>
      <c r="B1314" s="0" t="s">
        <v>2101</v>
      </c>
      <c r="C1314" s="0" t="s">
        <v>610</v>
      </c>
      <c r="D1314" s="0" t="s">
        <v>744</v>
      </c>
      <c r="E1314" s="0" t="s">
        <v>251</v>
      </c>
    </row>
    <row r="1315" customFormat="false" ht="15" hidden="false" customHeight="false" outlineLevel="0" collapsed="false">
      <c r="A1315" s="0" t="s">
        <v>740</v>
      </c>
      <c r="B1315" s="0" t="s">
        <v>2102</v>
      </c>
      <c r="C1315" s="0" t="s">
        <v>610</v>
      </c>
      <c r="D1315" s="0" t="s">
        <v>744</v>
      </c>
      <c r="E1315" s="0" t="s">
        <v>251</v>
      </c>
    </row>
    <row r="1316" customFormat="false" ht="15" hidden="false" customHeight="false" outlineLevel="0" collapsed="false">
      <c r="A1316" s="0" t="s">
        <v>740</v>
      </c>
      <c r="B1316" s="0" t="s">
        <v>2103</v>
      </c>
      <c r="C1316" s="0" t="s">
        <v>610</v>
      </c>
      <c r="D1316" s="0" t="s">
        <v>744</v>
      </c>
      <c r="E1316" s="0" t="s">
        <v>251</v>
      </c>
    </row>
    <row r="1317" customFormat="false" ht="15" hidden="false" customHeight="false" outlineLevel="0" collapsed="false">
      <c r="A1317" s="0" t="s">
        <v>740</v>
      </c>
      <c r="B1317" s="0" t="s">
        <v>2104</v>
      </c>
      <c r="C1317" s="0" t="s">
        <v>610</v>
      </c>
      <c r="D1317" s="0" t="s">
        <v>744</v>
      </c>
      <c r="E1317" s="0" t="s">
        <v>251</v>
      </c>
    </row>
    <row r="1318" customFormat="false" ht="15" hidden="false" customHeight="false" outlineLevel="0" collapsed="false">
      <c r="A1318" s="0" t="s">
        <v>740</v>
      </c>
      <c r="B1318" s="0" t="s">
        <v>2105</v>
      </c>
      <c r="C1318" s="0" t="s">
        <v>610</v>
      </c>
      <c r="D1318" s="0" t="s">
        <v>744</v>
      </c>
      <c r="E1318" s="0" t="s">
        <v>251</v>
      </c>
    </row>
    <row r="1319" customFormat="false" ht="15" hidden="false" customHeight="false" outlineLevel="0" collapsed="false">
      <c r="A1319" s="0" t="s">
        <v>740</v>
      </c>
      <c r="B1319" s="0" t="s">
        <v>2106</v>
      </c>
      <c r="C1319" s="0" t="s">
        <v>762</v>
      </c>
      <c r="D1319" s="0" t="s">
        <v>98</v>
      </c>
      <c r="E1319" s="0" t="s">
        <v>763</v>
      </c>
    </row>
    <row r="1320" customFormat="false" ht="15" hidden="false" customHeight="false" outlineLevel="0" collapsed="false">
      <c r="A1320" s="0" t="s">
        <v>740</v>
      </c>
      <c r="B1320" s="0" t="s">
        <v>2107</v>
      </c>
      <c r="C1320" s="0" t="s">
        <v>762</v>
      </c>
      <c r="D1320" s="0" t="s">
        <v>98</v>
      </c>
      <c r="E1320" s="0" t="s">
        <v>763</v>
      </c>
    </row>
    <row r="1321" customFormat="false" ht="15" hidden="false" customHeight="false" outlineLevel="0" collapsed="false">
      <c r="A1321" s="0" t="s">
        <v>740</v>
      </c>
      <c r="B1321" s="0" t="s">
        <v>2108</v>
      </c>
      <c r="C1321" s="0" t="s">
        <v>762</v>
      </c>
      <c r="D1321" s="0" t="s">
        <v>98</v>
      </c>
      <c r="E1321" s="0" t="s">
        <v>763</v>
      </c>
    </row>
    <row r="1322" customFormat="false" ht="15" hidden="false" customHeight="false" outlineLevel="0" collapsed="false">
      <c r="A1322" s="0" t="s">
        <v>740</v>
      </c>
      <c r="B1322" s="0" t="s">
        <v>2109</v>
      </c>
      <c r="C1322" s="0" t="s">
        <v>762</v>
      </c>
      <c r="D1322" s="0" t="s">
        <v>98</v>
      </c>
      <c r="E1322" s="0" t="s">
        <v>763</v>
      </c>
    </row>
    <row r="1323" customFormat="false" ht="15" hidden="false" customHeight="false" outlineLevel="0" collapsed="false">
      <c r="A1323" s="0" t="s">
        <v>740</v>
      </c>
      <c r="B1323" s="0" t="s">
        <v>2110</v>
      </c>
      <c r="C1323" s="0" t="s">
        <v>610</v>
      </c>
      <c r="D1323" s="0" t="s">
        <v>86</v>
      </c>
      <c r="E1323" s="0" t="s">
        <v>2111</v>
      </c>
    </row>
    <row r="1324" customFormat="false" ht="15" hidden="false" customHeight="false" outlineLevel="0" collapsed="false">
      <c r="A1324" s="0" t="s">
        <v>740</v>
      </c>
      <c r="B1324" s="0" t="s">
        <v>2112</v>
      </c>
      <c r="C1324" s="0" t="s">
        <v>610</v>
      </c>
      <c r="D1324" s="0" t="s">
        <v>86</v>
      </c>
      <c r="E1324" s="0" t="s">
        <v>2113</v>
      </c>
    </row>
    <row r="1325" customFormat="false" ht="15" hidden="false" customHeight="false" outlineLevel="0" collapsed="false">
      <c r="A1325" s="0" t="s">
        <v>740</v>
      </c>
      <c r="B1325" s="0" t="s">
        <v>2114</v>
      </c>
      <c r="C1325" s="0" t="s">
        <v>610</v>
      </c>
      <c r="D1325" s="0" t="s">
        <v>86</v>
      </c>
      <c r="E1325" s="0" t="s">
        <v>2113</v>
      </c>
    </row>
    <row r="1326" customFormat="false" ht="15" hidden="false" customHeight="false" outlineLevel="0" collapsed="false">
      <c r="A1326" s="0" t="s">
        <v>740</v>
      </c>
      <c r="B1326" s="0" t="s">
        <v>2115</v>
      </c>
      <c r="C1326" s="0" t="s">
        <v>610</v>
      </c>
      <c r="D1326" s="0" t="s">
        <v>86</v>
      </c>
      <c r="E1326" s="0" t="s">
        <v>2113</v>
      </c>
    </row>
    <row r="1327" customFormat="false" ht="15" hidden="false" customHeight="false" outlineLevel="0" collapsed="false">
      <c r="A1327" s="0" t="s">
        <v>740</v>
      </c>
      <c r="B1327" s="0" t="s">
        <v>2116</v>
      </c>
      <c r="C1327" s="0" t="s">
        <v>610</v>
      </c>
      <c r="D1327" s="0" t="s">
        <v>86</v>
      </c>
      <c r="E1327" s="0" t="s">
        <v>2113</v>
      </c>
    </row>
    <row r="1328" customFormat="false" ht="15" hidden="false" customHeight="false" outlineLevel="0" collapsed="false">
      <c r="A1328" s="0" t="s">
        <v>740</v>
      </c>
      <c r="B1328" s="0" t="s">
        <v>2117</v>
      </c>
      <c r="C1328" s="0" t="s">
        <v>610</v>
      </c>
      <c r="D1328" s="0" t="s">
        <v>86</v>
      </c>
      <c r="E1328" s="0" t="s">
        <v>2113</v>
      </c>
    </row>
    <row r="1329" customFormat="false" ht="15" hidden="false" customHeight="false" outlineLevel="0" collapsed="false">
      <c r="A1329" s="0" t="s">
        <v>740</v>
      </c>
      <c r="B1329" s="0" t="s">
        <v>2118</v>
      </c>
      <c r="C1329" s="0" t="s">
        <v>610</v>
      </c>
      <c r="D1329" s="0" t="s">
        <v>93</v>
      </c>
      <c r="E1329" s="0" t="s">
        <v>2113</v>
      </c>
    </row>
    <row r="1330" customFormat="false" ht="15" hidden="false" customHeight="false" outlineLevel="0" collapsed="false">
      <c r="A1330" s="0" t="s">
        <v>740</v>
      </c>
      <c r="B1330" s="0" t="s">
        <v>2119</v>
      </c>
      <c r="C1330" s="0" t="s">
        <v>610</v>
      </c>
      <c r="D1330" s="0" t="s">
        <v>93</v>
      </c>
      <c r="E1330" s="0" t="s">
        <v>2113</v>
      </c>
    </row>
    <row r="1331" customFormat="false" ht="15" hidden="false" customHeight="false" outlineLevel="0" collapsed="false">
      <c r="A1331" s="0" t="s">
        <v>740</v>
      </c>
      <c r="B1331" s="0" t="s">
        <v>2120</v>
      </c>
      <c r="C1331" s="0" t="s">
        <v>610</v>
      </c>
      <c r="D1331" s="0" t="s">
        <v>93</v>
      </c>
      <c r="E1331" s="0" t="s">
        <v>2113</v>
      </c>
    </row>
    <row r="1332" customFormat="false" ht="15" hidden="false" customHeight="false" outlineLevel="0" collapsed="false">
      <c r="A1332" s="0" t="s">
        <v>740</v>
      </c>
      <c r="B1332" s="0" t="s">
        <v>2121</v>
      </c>
      <c r="C1332" s="0" t="s">
        <v>610</v>
      </c>
      <c r="D1332" s="0" t="s">
        <v>93</v>
      </c>
      <c r="E1332" s="0" t="s">
        <v>2113</v>
      </c>
    </row>
    <row r="1333" customFormat="false" ht="15" hidden="false" customHeight="false" outlineLevel="0" collapsed="false">
      <c r="A1333" s="0" t="s">
        <v>740</v>
      </c>
      <c r="B1333" s="0" t="s">
        <v>2122</v>
      </c>
      <c r="C1333" s="0" t="s">
        <v>610</v>
      </c>
      <c r="D1333" s="0" t="s">
        <v>93</v>
      </c>
      <c r="E1333" s="0" t="s">
        <v>2113</v>
      </c>
    </row>
    <row r="1334" customFormat="false" ht="15" hidden="false" customHeight="false" outlineLevel="0" collapsed="false">
      <c r="A1334" s="0" t="s">
        <v>740</v>
      </c>
      <c r="B1334" s="0" t="s">
        <v>2123</v>
      </c>
      <c r="C1334" s="0" t="s">
        <v>610</v>
      </c>
      <c r="D1334" s="0" t="s">
        <v>93</v>
      </c>
      <c r="E1334" s="0" t="s">
        <v>2113</v>
      </c>
    </row>
    <row r="1335" customFormat="false" ht="15" hidden="false" customHeight="false" outlineLevel="0" collapsed="false">
      <c r="A1335" s="0" t="s">
        <v>740</v>
      </c>
      <c r="B1335" s="0" t="s">
        <v>2124</v>
      </c>
      <c r="C1335" s="0" t="s">
        <v>610</v>
      </c>
      <c r="D1335" s="0" t="s">
        <v>93</v>
      </c>
      <c r="E1335" s="0" t="s">
        <v>2113</v>
      </c>
    </row>
    <row r="1336" customFormat="false" ht="15" hidden="false" customHeight="false" outlineLevel="0" collapsed="false">
      <c r="A1336" s="0" t="s">
        <v>740</v>
      </c>
      <c r="B1336" s="0" t="s">
        <v>2125</v>
      </c>
      <c r="C1336" s="0" t="s">
        <v>610</v>
      </c>
      <c r="D1336" s="0" t="s">
        <v>93</v>
      </c>
      <c r="E1336" s="0" t="s">
        <v>2113</v>
      </c>
    </row>
    <row r="1337" customFormat="false" ht="15" hidden="false" customHeight="false" outlineLevel="0" collapsed="false">
      <c r="A1337" s="0" t="s">
        <v>740</v>
      </c>
      <c r="B1337" s="0" t="s">
        <v>2126</v>
      </c>
      <c r="C1337" s="0" t="s">
        <v>610</v>
      </c>
      <c r="D1337" s="0" t="s">
        <v>93</v>
      </c>
      <c r="E1337" s="0" t="s">
        <v>2113</v>
      </c>
    </row>
    <row r="1338" customFormat="false" ht="15" hidden="false" customHeight="false" outlineLevel="0" collapsed="false">
      <c r="A1338" s="0" t="s">
        <v>740</v>
      </c>
      <c r="B1338" s="0" t="s">
        <v>2127</v>
      </c>
      <c r="C1338" s="0" t="s">
        <v>610</v>
      </c>
      <c r="D1338" s="0" t="s">
        <v>93</v>
      </c>
      <c r="E1338" s="0" t="s">
        <v>2113</v>
      </c>
    </row>
    <row r="1339" customFormat="false" ht="15" hidden="false" customHeight="false" outlineLevel="0" collapsed="false">
      <c r="A1339" s="0" t="s">
        <v>740</v>
      </c>
      <c r="B1339" s="0" t="s">
        <v>2128</v>
      </c>
      <c r="C1339" s="0" t="s">
        <v>610</v>
      </c>
      <c r="D1339" s="0" t="s">
        <v>93</v>
      </c>
      <c r="E1339" s="0" t="s">
        <v>2113</v>
      </c>
    </row>
    <row r="1340" customFormat="false" ht="15" hidden="false" customHeight="false" outlineLevel="0" collapsed="false">
      <c r="A1340" s="0" t="s">
        <v>740</v>
      </c>
      <c r="B1340" s="0" t="s">
        <v>2129</v>
      </c>
      <c r="C1340" s="0" t="s">
        <v>610</v>
      </c>
      <c r="D1340" s="0" t="s">
        <v>93</v>
      </c>
      <c r="E1340" s="0" t="s">
        <v>2113</v>
      </c>
    </row>
    <row r="1341" customFormat="false" ht="15" hidden="false" customHeight="false" outlineLevel="0" collapsed="false">
      <c r="A1341" s="0" t="s">
        <v>740</v>
      </c>
      <c r="B1341" s="0" t="s">
        <v>2130</v>
      </c>
      <c r="C1341" s="0" t="s">
        <v>610</v>
      </c>
      <c r="D1341" s="0" t="s">
        <v>93</v>
      </c>
      <c r="E1341" s="0" t="s">
        <v>2113</v>
      </c>
    </row>
    <row r="1342" customFormat="false" ht="15" hidden="false" customHeight="false" outlineLevel="0" collapsed="false">
      <c r="A1342" s="0" t="s">
        <v>740</v>
      </c>
      <c r="B1342" s="0" t="s">
        <v>2131</v>
      </c>
      <c r="C1342" s="0" t="s">
        <v>610</v>
      </c>
      <c r="D1342" s="0" t="s">
        <v>93</v>
      </c>
      <c r="E1342" s="0" t="s">
        <v>2113</v>
      </c>
    </row>
    <row r="1343" customFormat="false" ht="15" hidden="false" customHeight="false" outlineLevel="0" collapsed="false">
      <c r="A1343" s="0" t="s">
        <v>740</v>
      </c>
      <c r="B1343" s="0" t="s">
        <v>2132</v>
      </c>
      <c r="C1343" s="0" t="s">
        <v>610</v>
      </c>
      <c r="D1343" s="0" t="s">
        <v>93</v>
      </c>
      <c r="E1343" s="0" t="s">
        <v>2113</v>
      </c>
    </row>
    <row r="1344" customFormat="false" ht="15" hidden="false" customHeight="false" outlineLevel="0" collapsed="false">
      <c r="A1344" s="0" t="s">
        <v>740</v>
      </c>
      <c r="B1344" s="0" t="s">
        <v>2133</v>
      </c>
      <c r="C1344" s="0" t="s">
        <v>610</v>
      </c>
      <c r="D1344" s="0" t="s">
        <v>93</v>
      </c>
      <c r="E1344" s="0" t="s">
        <v>2113</v>
      </c>
    </row>
    <row r="1345" customFormat="false" ht="15" hidden="false" customHeight="false" outlineLevel="0" collapsed="false">
      <c r="A1345" s="0" t="s">
        <v>740</v>
      </c>
      <c r="B1345" s="0" t="s">
        <v>2134</v>
      </c>
      <c r="C1345" s="0" t="s">
        <v>610</v>
      </c>
      <c r="D1345" s="0" t="s">
        <v>93</v>
      </c>
      <c r="E1345" s="0" t="s">
        <v>2113</v>
      </c>
    </row>
    <row r="1346" customFormat="false" ht="15" hidden="false" customHeight="false" outlineLevel="0" collapsed="false">
      <c r="A1346" s="0" t="s">
        <v>740</v>
      </c>
      <c r="B1346" s="0" t="s">
        <v>2135</v>
      </c>
      <c r="C1346" s="0" t="s">
        <v>610</v>
      </c>
      <c r="D1346" s="0" t="s">
        <v>93</v>
      </c>
      <c r="E1346" s="0" t="s">
        <v>2113</v>
      </c>
    </row>
    <row r="1347" customFormat="false" ht="15" hidden="false" customHeight="false" outlineLevel="0" collapsed="false">
      <c r="A1347" s="0" t="s">
        <v>740</v>
      </c>
      <c r="B1347" s="0" t="s">
        <v>2136</v>
      </c>
      <c r="C1347" s="0" t="s">
        <v>762</v>
      </c>
      <c r="D1347" s="0" t="s">
        <v>98</v>
      </c>
      <c r="E1347" s="0" t="s">
        <v>763</v>
      </c>
    </row>
    <row r="1348" customFormat="false" ht="15" hidden="false" customHeight="false" outlineLevel="0" collapsed="false">
      <c r="A1348" s="0" t="s">
        <v>740</v>
      </c>
      <c r="B1348" s="0" t="s">
        <v>2137</v>
      </c>
      <c r="C1348" s="0" t="s">
        <v>762</v>
      </c>
      <c r="D1348" s="0" t="s">
        <v>98</v>
      </c>
      <c r="E1348" s="0" t="s">
        <v>763</v>
      </c>
    </row>
    <row r="1349" customFormat="false" ht="15" hidden="false" customHeight="false" outlineLevel="0" collapsed="false">
      <c r="A1349" s="0" t="s">
        <v>740</v>
      </c>
      <c r="B1349" s="0" t="s">
        <v>2138</v>
      </c>
      <c r="C1349" s="0" t="s">
        <v>762</v>
      </c>
      <c r="D1349" s="0" t="s">
        <v>98</v>
      </c>
      <c r="E1349" s="0" t="s">
        <v>763</v>
      </c>
    </row>
    <row r="1350" customFormat="false" ht="15" hidden="false" customHeight="false" outlineLevel="0" collapsed="false">
      <c r="A1350" s="0" t="s">
        <v>740</v>
      </c>
      <c r="B1350" s="0" t="s">
        <v>2139</v>
      </c>
      <c r="C1350" s="0" t="s">
        <v>762</v>
      </c>
      <c r="D1350" s="0" t="s">
        <v>98</v>
      </c>
      <c r="E1350" s="0" t="s">
        <v>763</v>
      </c>
    </row>
    <row r="1351" customFormat="false" ht="15" hidden="false" customHeight="false" outlineLevel="0" collapsed="false">
      <c r="A1351" s="0" t="s">
        <v>740</v>
      </c>
      <c r="B1351" s="0" t="s">
        <v>2140</v>
      </c>
      <c r="C1351" s="0" t="s">
        <v>610</v>
      </c>
      <c r="D1351" s="0" t="s">
        <v>86</v>
      </c>
      <c r="E1351" s="0" t="s">
        <v>2111</v>
      </c>
    </row>
    <row r="1352" customFormat="false" ht="15" hidden="false" customHeight="false" outlineLevel="0" collapsed="false">
      <c r="A1352" s="0" t="s">
        <v>740</v>
      </c>
      <c r="B1352" s="0" t="s">
        <v>2141</v>
      </c>
      <c r="C1352" s="0" t="s">
        <v>610</v>
      </c>
      <c r="D1352" s="0" t="s">
        <v>86</v>
      </c>
      <c r="E1352" s="0" t="s">
        <v>2113</v>
      </c>
    </row>
    <row r="1353" customFormat="false" ht="15" hidden="false" customHeight="false" outlineLevel="0" collapsed="false">
      <c r="A1353" s="0" t="s">
        <v>740</v>
      </c>
      <c r="B1353" s="0" t="s">
        <v>2142</v>
      </c>
      <c r="C1353" s="0" t="s">
        <v>610</v>
      </c>
      <c r="D1353" s="0" t="s">
        <v>86</v>
      </c>
      <c r="E1353" s="0" t="s">
        <v>2113</v>
      </c>
    </row>
    <row r="1354" customFormat="false" ht="15" hidden="false" customHeight="false" outlineLevel="0" collapsed="false">
      <c r="A1354" s="0" t="s">
        <v>740</v>
      </c>
      <c r="B1354" s="0" t="s">
        <v>2143</v>
      </c>
      <c r="C1354" s="0" t="s">
        <v>610</v>
      </c>
      <c r="D1354" s="0" t="s">
        <v>86</v>
      </c>
      <c r="E1354" s="0" t="s">
        <v>2113</v>
      </c>
    </row>
    <row r="1355" customFormat="false" ht="15" hidden="false" customHeight="false" outlineLevel="0" collapsed="false">
      <c r="A1355" s="0" t="s">
        <v>740</v>
      </c>
      <c r="B1355" s="0" t="s">
        <v>2144</v>
      </c>
      <c r="C1355" s="0" t="s">
        <v>610</v>
      </c>
      <c r="D1355" s="0" t="s">
        <v>86</v>
      </c>
      <c r="E1355" s="0" t="s">
        <v>2113</v>
      </c>
    </row>
    <row r="1356" customFormat="false" ht="15" hidden="false" customHeight="false" outlineLevel="0" collapsed="false">
      <c r="A1356" s="0" t="s">
        <v>740</v>
      </c>
      <c r="B1356" s="0" t="s">
        <v>2145</v>
      </c>
      <c r="C1356" s="0" t="s">
        <v>610</v>
      </c>
      <c r="D1356" s="0" t="s">
        <v>86</v>
      </c>
      <c r="E1356" s="0" t="s">
        <v>2113</v>
      </c>
    </row>
    <row r="1357" customFormat="false" ht="15" hidden="false" customHeight="false" outlineLevel="0" collapsed="false">
      <c r="A1357" s="0" t="s">
        <v>740</v>
      </c>
      <c r="B1357" s="0" t="s">
        <v>2146</v>
      </c>
      <c r="C1357" s="0" t="s">
        <v>610</v>
      </c>
      <c r="D1357" s="0" t="s">
        <v>93</v>
      </c>
      <c r="E1357" s="0" t="s">
        <v>2113</v>
      </c>
    </row>
    <row r="1358" customFormat="false" ht="15" hidden="false" customHeight="false" outlineLevel="0" collapsed="false">
      <c r="A1358" s="0" t="s">
        <v>740</v>
      </c>
      <c r="B1358" s="0" t="s">
        <v>2147</v>
      </c>
      <c r="C1358" s="0" t="s">
        <v>610</v>
      </c>
      <c r="D1358" s="0" t="s">
        <v>93</v>
      </c>
      <c r="E1358" s="0" t="s">
        <v>2113</v>
      </c>
    </row>
    <row r="1359" customFormat="false" ht="15" hidden="false" customHeight="false" outlineLevel="0" collapsed="false">
      <c r="A1359" s="0" t="s">
        <v>740</v>
      </c>
      <c r="B1359" s="0" t="s">
        <v>2148</v>
      </c>
      <c r="C1359" s="0" t="s">
        <v>610</v>
      </c>
      <c r="D1359" s="0" t="s">
        <v>93</v>
      </c>
      <c r="E1359" s="0" t="s">
        <v>2113</v>
      </c>
    </row>
    <row r="1360" customFormat="false" ht="15" hidden="false" customHeight="false" outlineLevel="0" collapsed="false">
      <c r="A1360" s="0" t="s">
        <v>740</v>
      </c>
      <c r="B1360" s="0" t="s">
        <v>2149</v>
      </c>
      <c r="C1360" s="0" t="s">
        <v>610</v>
      </c>
      <c r="D1360" s="0" t="s">
        <v>93</v>
      </c>
      <c r="E1360" s="0" t="s">
        <v>2113</v>
      </c>
    </row>
    <row r="1361" customFormat="false" ht="15" hidden="false" customHeight="false" outlineLevel="0" collapsed="false">
      <c r="A1361" s="0" t="s">
        <v>740</v>
      </c>
      <c r="B1361" s="0" t="s">
        <v>2150</v>
      </c>
      <c r="C1361" s="0" t="s">
        <v>610</v>
      </c>
      <c r="D1361" s="0" t="s">
        <v>93</v>
      </c>
      <c r="E1361" s="0" t="s">
        <v>2113</v>
      </c>
    </row>
    <row r="1362" customFormat="false" ht="15" hidden="false" customHeight="false" outlineLevel="0" collapsed="false">
      <c r="A1362" s="0" t="s">
        <v>740</v>
      </c>
      <c r="B1362" s="0" t="s">
        <v>2151</v>
      </c>
      <c r="C1362" s="0" t="s">
        <v>610</v>
      </c>
      <c r="D1362" s="0" t="s">
        <v>93</v>
      </c>
      <c r="E1362" s="0" t="s">
        <v>2113</v>
      </c>
    </row>
    <row r="1363" customFormat="false" ht="15" hidden="false" customHeight="false" outlineLevel="0" collapsed="false">
      <c r="A1363" s="0" t="s">
        <v>740</v>
      </c>
      <c r="B1363" s="0" t="s">
        <v>2152</v>
      </c>
      <c r="C1363" s="0" t="s">
        <v>610</v>
      </c>
      <c r="D1363" s="0" t="s">
        <v>93</v>
      </c>
      <c r="E1363" s="0" t="s">
        <v>2113</v>
      </c>
    </row>
    <row r="1364" customFormat="false" ht="15" hidden="false" customHeight="false" outlineLevel="0" collapsed="false">
      <c r="A1364" s="0" t="s">
        <v>740</v>
      </c>
      <c r="B1364" s="0" t="s">
        <v>2153</v>
      </c>
      <c r="C1364" s="0" t="s">
        <v>610</v>
      </c>
      <c r="D1364" s="0" t="s">
        <v>93</v>
      </c>
      <c r="E1364" s="0" t="s">
        <v>2113</v>
      </c>
    </row>
    <row r="1365" customFormat="false" ht="15" hidden="false" customHeight="false" outlineLevel="0" collapsed="false">
      <c r="A1365" s="0" t="s">
        <v>740</v>
      </c>
      <c r="B1365" s="0" t="s">
        <v>2154</v>
      </c>
      <c r="C1365" s="0" t="s">
        <v>610</v>
      </c>
      <c r="D1365" s="0" t="s">
        <v>93</v>
      </c>
      <c r="E1365" s="0" t="s">
        <v>2113</v>
      </c>
    </row>
    <row r="1366" customFormat="false" ht="15" hidden="false" customHeight="false" outlineLevel="0" collapsed="false">
      <c r="A1366" s="0" t="s">
        <v>740</v>
      </c>
      <c r="B1366" s="0" t="s">
        <v>2155</v>
      </c>
      <c r="C1366" s="0" t="s">
        <v>610</v>
      </c>
      <c r="D1366" s="0" t="s">
        <v>93</v>
      </c>
      <c r="E1366" s="0" t="s">
        <v>2113</v>
      </c>
    </row>
    <row r="1367" customFormat="false" ht="15" hidden="false" customHeight="false" outlineLevel="0" collapsed="false">
      <c r="A1367" s="0" t="s">
        <v>740</v>
      </c>
      <c r="B1367" s="0" t="s">
        <v>2156</v>
      </c>
      <c r="C1367" s="0" t="s">
        <v>610</v>
      </c>
      <c r="D1367" s="0" t="s">
        <v>93</v>
      </c>
      <c r="E1367" s="0" t="s">
        <v>2113</v>
      </c>
    </row>
    <row r="1368" customFormat="false" ht="15" hidden="false" customHeight="false" outlineLevel="0" collapsed="false">
      <c r="A1368" s="0" t="s">
        <v>740</v>
      </c>
      <c r="B1368" s="0" t="s">
        <v>2157</v>
      </c>
      <c r="C1368" s="0" t="s">
        <v>610</v>
      </c>
      <c r="D1368" s="0" t="s">
        <v>93</v>
      </c>
      <c r="E1368" s="0" t="s">
        <v>2113</v>
      </c>
    </row>
    <row r="1369" customFormat="false" ht="15" hidden="false" customHeight="false" outlineLevel="0" collapsed="false">
      <c r="A1369" s="0" t="s">
        <v>740</v>
      </c>
      <c r="B1369" s="0" t="s">
        <v>2158</v>
      </c>
      <c r="C1369" s="0" t="s">
        <v>610</v>
      </c>
      <c r="D1369" s="0" t="s">
        <v>93</v>
      </c>
      <c r="E1369" s="0" t="s">
        <v>2113</v>
      </c>
    </row>
    <row r="1370" customFormat="false" ht="15" hidden="false" customHeight="false" outlineLevel="0" collapsed="false">
      <c r="A1370" s="0" t="s">
        <v>740</v>
      </c>
      <c r="B1370" s="0" t="s">
        <v>2159</v>
      </c>
      <c r="C1370" s="0" t="s">
        <v>610</v>
      </c>
      <c r="D1370" s="0" t="s">
        <v>93</v>
      </c>
      <c r="E1370" s="0" t="s">
        <v>2113</v>
      </c>
    </row>
    <row r="1371" customFormat="false" ht="15" hidden="false" customHeight="false" outlineLevel="0" collapsed="false">
      <c r="A1371" s="0" t="s">
        <v>740</v>
      </c>
      <c r="B1371" s="0" t="s">
        <v>2160</v>
      </c>
      <c r="C1371" s="0" t="s">
        <v>610</v>
      </c>
      <c r="D1371" s="0" t="s">
        <v>93</v>
      </c>
      <c r="E1371" s="0" t="s">
        <v>2113</v>
      </c>
    </row>
    <row r="1372" customFormat="false" ht="15" hidden="false" customHeight="false" outlineLevel="0" collapsed="false">
      <c r="A1372" s="0" t="s">
        <v>740</v>
      </c>
      <c r="B1372" s="0" t="s">
        <v>2161</v>
      </c>
      <c r="C1372" s="0" t="s">
        <v>610</v>
      </c>
      <c r="D1372" s="0" t="s">
        <v>93</v>
      </c>
      <c r="E1372" s="0" t="s">
        <v>2113</v>
      </c>
    </row>
    <row r="1373" customFormat="false" ht="15" hidden="false" customHeight="false" outlineLevel="0" collapsed="false">
      <c r="A1373" s="0" t="s">
        <v>740</v>
      </c>
      <c r="B1373" s="0" t="s">
        <v>2162</v>
      </c>
      <c r="C1373" s="0" t="s">
        <v>610</v>
      </c>
      <c r="D1373" s="0" t="s">
        <v>93</v>
      </c>
      <c r="E1373" s="0" t="s">
        <v>2113</v>
      </c>
    </row>
    <row r="1374" customFormat="false" ht="15" hidden="false" customHeight="false" outlineLevel="0" collapsed="false">
      <c r="A1374" s="0" t="s">
        <v>740</v>
      </c>
      <c r="B1374" s="0" t="s">
        <v>2163</v>
      </c>
      <c r="C1374" s="0" t="s">
        <v>610</v>
      </c>
      <c r="D1374" s="0" t="s">
        <v>93</v>
      </c>
      <c r="E1374" s="0" t="s">
        <v>2113</v>
      </c>
    </row>
    <row r="1375" customFormat="false" ht="15" hidden="false" customHeight="false" outlineLevel="0" collapsed="false">
      <c r="A1375" s="0" t="s">
        <v>740</v>
      </c>
      <c r="B1375" s="0" t="s">
        <v>2164</v>
      </c>
      <c r="C1375" s="0" t="s">
        <v>2165</v>
      </c>
      <c r="D1375" s="0" t="s">
        <v>98</v>
      </c>
      <c r="E1375" s="0" t="s">
        <v>826</v>
      </c>
    </row>
    <row r="1376" customFormat="false" ht="15" hidden="false" customHeight="false" outlineLevel="0" collapsed="false">
      <c r="A1376" s="0" t="s">
        <v>740</v>
      </c>
      <c r="B1376" s="0" t="s">
        <v>2166</v>
      </c>
      <c r="C1376" s="0" t="s">
        <v>2167</v>
      </c>
      <c r="D1376" s="0" t="s">
        <v>98</v>
      </c>
      <c r="E1376" s="0" t="s">
        <v>826</v>
      </c>
    </row>
    <row r="1377" customFormat="false" ht="15" hidden="false" customHeight="false" outlineLevel="0" collapsed="false">
      <c r="A1377" s="0" t="s">
        <v>740</v>
      </c>
      <c r="B1377" s="0" t="s">
        <v>2168</v>
      </c>
      <c r="C1377" s="0" t="s">
        <v>2169</v>
      </c>
      <c r="D1377" s="0" t="s">
        <v>98</v>
      </c>
      <c r="E1377" s="0" t="s">
        <v>826</v>
      </c>
    </row>
    <row r="1378" customFormat="false" ht="15" hidden="false" customHeight="false" outlineLevel="0" collapsed="false">
      <c r="A1378" s="0" t="s">
        <v>740</v>
      </c>
      <c r="B1378" s="0" t="s">
        <v>2170</v>
      </c>
      <c r="C1378" s="0" t="s">
        <v>2171</v>
      </c>
      <c r="D1378" s="0" t="s">
        <v>98</v>
      </c>
      <c r="E1378" s="0" t="s">
        <v>826</v>
      </c>
    </row>
    <row r="1379" customFormat="false" ht="15" hidden="false" customHeight="false" outlineLevel="0" collapsed="false">
      <c r="A1379" s="0" t="s">
        <v>740</v>
      </c>
      <c r="B1379" s="0" t="s">
        <v>2172</v>
      </c>
      <c r="C1379" s="0" t="s">
        <v>2173</v>
      </c>
      <c r="D1379" s="0" t="s">
        <v>98</v>
      </c>
      <c r="E1379" s="0" t="s">
        <v>826</v>
      </c>
    </row>
    <row r="1380" customFormat="false" ht="15" hidden="false" customHeight="false" outlineLevel="0" collapsed="false">
      <c r="A1380" s="0" t="s">
        <v>740</v>
      </c>
      <c r="B1380" s="0" t="s">
        <v>2174</v>
      </c>
      <c r="C1380" s="0" t="s">
        <v>2175</v>
      </c>
      <c r="D1380" s="0" t="s">
        <v>98</v>
      </c>
      <c r="E1380" s="0" t="s">
        <v>826</v>
      </c>
    </row>
    <row r="1381" customFormat="false" ht="15" hidden="false" customHeight="false" outlineLevel="0" collapsed="false">
      <c r="A1381" s="0" t="s">
        <v>740</v>
      </c>
      <c r="B1381" s="0" t="s">
        <v>2176</v>
      </c>
      <c r="C1381" s="0" t="s">
        <v>2177</v>
      </c>
      <c r="D1381" s="0" t="s">
        <v>98</v>
      </c>
      <c r="E1381" s="0" t="s">
        <v>826</v>
      </c>
    </row>
    <row r="1382" customFormat="false" ht="15" hidden="false" customHeight="false" outlineLevel="0" collapsed="false">
      <c r="A1382" s="0" t="s">
        <v>740</v>
      </c>
      <c r="B1382" s="0" t="s">
        <v>2178</v>
      </c>
      <c r="C1382" s="0" t="s">
        <v>2179</v>
      </c>
      <c r="D1382" s="0" t="s">
        <v>98</v>
      </c>
      <c r="E1382" s="0" t="s">
        <v>826</v>
      </c>
    </row>
    <row r="1383" customFormat="false" ht="15" hidden="false" customHeight="false" outlineLevel="0" collapsed="false">
      <c r="A1383" s="0" t="s">
        <v>740</v>
      </c>
      <c r="B1383" s="0" t="s">
        <v>2180</v>
      </c>
      <c r="C1383" s="0" t="s">
        <v>2181</v>
      </c>
      <c r="D1383" s="0" t="s">
        <v>98</v>
      </c>
      <c r="E1383" s="0" t="s">
        <v>826</v>
      </c>
    </row>
    <row r="1384" customFormat="false" ht="15" hidden="false" customHeight="false" outlineLevel="0" collapsed="false">
      <c r="A1384" s="0" t="s">
        <v>740</v>
      </c>
      <c r="B1384" s="0" t="s">
        <v>2182</v>
      </c>
      <c r="C1384" s="0" t="s">
        <v>2183</v>
      </c>
      <c r="D1384" s="0" t="s">
        <v>98</v>
      </c>
      <c r="E1384" s="0" t="s">
        <v>826</v>
      </c>
    </row>
    <row r="1385" customFormat="false" ht="15" hidden="false" customHeight="false" outlineLevel="0" collapsed="false">
      <c r="A1385" s="0" t="s">
        <v>740</v>
      </c>
      <c r="B1385" s="0" t="s">
        <v>2184</v>
      </c>
      <c r="C1385" s="0" t="s">
        <v>2185</v>
      </c>
      <c r="D1385" s="0" t="s">
        <v>98</v>
      </c>
      <c r="E1385" s="0" t="s">
        <v>826</v>
      </c>
    </row>
    <row r="1386" customFormat="false" ht="15" hidden="false" customHeight="false" outlineLevel="0" collapsed="false">
      <c r="A1386" s="0" t="s">
        <v>740</v>
      </c>
      <c r="B1386" s="0" t="s">
        <v>2186</v>
      </c>
      <c r="C1386" s="0" t="s">
        <v>2187</v>
      </c>
      <c r="D1386" s="0" t="s">
        <v>98</v>
      </c>
      <c r="E1386" s="0" t="s">
        <v>826</v>
      </c>
    </row>
    <row r="1387" customFormat="false" ht="15" hidden="false" customHeight="false" outlineLevel="0" collapsed="false">
      <c r="A1387" s="0" t="s">
        <v>740</v>
      </c>
      <c r="B1387" s="0" t="s">
        <v>2188</v>
      </c>
      <c r="C1387" s="0" t="s">
        <v>2189</v>
      </c>
      <c r="D1387" s="0" t="s">
        <v>98</v>
      </c>
      <c r="E1387" s="0" t="s">
        <v>826</v>
      </c>
    </row>
    <row r="1388" customFormat="false" ht="15" hidden="false" customHeight="false" outlineLevel="0" collapsed="false">
      <c r="A1388" s="0" t="s">
        <v>740</v>
      </c>
      <c r="B1388" s="0" t="s">
        <v>2190</v>
      </c>
      <c r="C1388" s="0" t="s">
        <v>2191</v>
      </c>
      <c r="D1388" s="0" t="s">
        <v>98</v>
      </c>
      <c r="E1388" s="0" t="s">
        <v>826</v>
      </c>
    </row>
    <row r="1389" customFormat="false" ht="15" hidden="false" customHeight="false" outlineLevel="0" collapsed="false">
      <c r="A1389" s="0" t="s">
        <v>740</v>
      </c>
      <c r="B1389" s="0" t="s">
        <v>2192</v>
      </c>
      <c r="C1389" s="0" t="s">
        <v>2193</v>
      </c>
      <c r="D1389" s="0" t="s">
        <v>98</v>
      </c>
      <c r="E1389" s="0" t="s">
        <v>826</v>
      </c>
    </row>
    <row r="1390" customFormat="false" ht="15" hidden="false" customHeight="false" outlineLevel="0" collapsed="false">
      <c r="A1390" s="0" t="s">
        <v>740</v>
      </c>
      <c r="B1390" s="0" t="s">
        <v>2194</v>
      </c>
      <c r="C1390" s="0" t="s">
        <v>2195</v>
      </c>
      <c r="D1390" s="0" t="s">
        <v>98</v>
      </c>
      <c r="E1390" s="0" t="s">
        <v>826</v>
      </c>
    </row>
    <row r="1391" customFormat="false" ht="15" hidden="false" customHeight="false" outlineLevel="0" collapsed="false">
      <c r="A1391" s="0" t="s">
        <v>740</v>
      </c>
      <c r="B1391" s="0" t="s">
        <v>2196</v>
      </c>
      <c r="C1391" s="0" t="s">
        <v>2197</v>
      </c>
      <c r="D1391" s="0" t="s">
        <v>98</v>
      </c>
      <c r="E1391" s="0" t="s">
        <v>826</v>
      </c>
    </row>
    <row r="1392" customFormat="false" ht="15" hidden="false" customHeight="false" outlineLevel="0" collapsed="false">
      <c r="A1392" s="0" t="s">
        <v>740</v>
      </c>
      <c r="B1392" s="0" t="s">
        <v>2198</v>
      </c>
      <c r="C1392" s="0" t="s">
        <v>2199</v>
      </c>
      <c r="D1392" s="0" t="s">
        <v>98</v>
      </c>
      <c r="E1392" s="0" t="s">
        <v>826</v>
      </c>
    </row>
    <row r="1393" customFormat="false" ht="15" hidden="false" customHeight="false" outlineLevel="0" collapsed="false">
      <c r="A1393" s="0" t="s">
        <v>740</v>
      </c>
      <c r="B1393" s="0" t="s">
        <v>2200</v>
      </c>
      <c r="C1393" s="0" t="s">
        <v>2201</v>
      </c>
      <c r="D1393" s="0" t="s">
        <v>98</v>
      </c>
      <c r="E1393" s="0" t="s">
        <v>826</v>
      </c>
    </row>
    <row r="1394" customFormat="false" ht="15" hidden="false" customHeight="false" outlineLevel="0" collapsed="false">
      <c r="A1394" s="0" t="s">
        <v>740</v>
      </c>
      <c r="B1394" s="0" t="s">
        <v>2202</v>
      </c>
      <c r="C1394" s="0" t="s">
        <v>2203</v>
      </c>
      <c r="D1394" s="0" t="s">
        <v>98</v>
      </c>
      <c r="E1394" s="0" t="s">
        <v>826</v>
      </c>
    </row>
    <row r="1395" customFormat="false" ht="15" hidden="false" customHeight="false" outlineLevel="0" collapsed="false">
      <c r="A1395" s="0" t="s">
        <v>740</v>
      </c>
      <c r="B1395" s="0" t="s">
        <v>2204</v>
      </c>
      <c r="C1395" s="0" t="s">
        <v>2205</v>
      </c>
      <c r="D1395" s="0" t="s">
        <v>98</v>
      </c>
      <c r="E1395" s="0" t="s">
        <v>826</v>
      </c>
    </row>
    <row r="1396" customFormat="false" ht="15" hidden="false" customHeight="false" outlineLevel="0" collapsed="false">
      <c r="A1396" s="0" t="s">
        <v>740</v>
      </c>
      <c r="B1396" s="0" t="s">
        <v>2206</v>
      </c>
      <c r="C1396" s="0" t="s">
        <v>2207</v>
      </c>
      <c r="D1396" s="0" t="s">
        <v>98</v>
      </c>
      <c r="E1396" s="0" t="s">
        <v>826</v>
      </c>
    </row>
    <row r="1397" customFormat="false" ht="15" hidden="false" customHeight="false" outlineLevel="0" collapsed="false">
      <c r="A1397" s="0" t="s">
        <v>740</v>
      </c>
      <c r="B1397" s="0" t="s">
        <v>2208</v>
      </c>
      <c r="C1397" s="0" t="s">
        <v>2209</v>
      </c>
      <c r="D1397" s="0" t="s">
        <v>98</v>
      </c>
      <c r="E1397" s="0" t="s">
        <v>826</v>
      </c>
    </row>
    <row r="1398" customFormat="false" ht="15" hidden="false" customHeight="false" outlineLevel="0" collapsed="false">
      <c r="A1398" s="0" t="s">
        <v>740</v>
      </c>
      <c r="B1398" s="0" t="s">
        <v>2210</v>
      </c>
      <c r="C1398" s="0" t="s">
        <v>2211</v>
      </c>
      <c r="D1398" s="0" t="s">
        <v>98</v>
      </c>
      <c r="E1398" s="0" t="s">
        <v>826</v>
      </c>
    </row>
    <row r="1399" customFormat="false" ht="15" hidden="false" customHeight="false" outlineLevel="0" collapsed="false">
      <c r="A1399" s="0" t="s">
        <v>740</v>
      </c>
      <c r="B1399" s="0" t="s">
        <v>2212</v>
      </c>
      <c r="C1399" s="0" t="s">
        <v>2213</v>
      </c>
      <c r="D1399" s="0" t="s">
        <v>98</v>
      </c>
      <c r="E1399" s="0" t="s">
        <v>826</v>
      </c>
    </row>
    <row r="1400" customFormat="false" ht="15" hidden="false" customHeight="false" outlineLevel="0" collapsed="false">
      <c r="A1400" s="0" t="s">
        <v>740</v>
      </c>
      <c r="B1400" s="0" t="s">
        <v>2214</v>
      </c>
      <c r="C1400" s="0" t="s">
        <v>2215</v>
      </c>
      <c r="D1400" s="0" t="s">
        <v>98</v>
      </c>
      <c r="E1400" s="0" t="s">
        <v>826</v>
      </c>
    </row>
    <row r="1401" customFormat="false" ht="15" hidden="false" customHeight="false" outlineLevel="0" collapsed="false">
      <c r="A1401" s="0" t="s">
        <v>740</v>
      </c>
      <c r="B1401" s="0" t="s">
        <v>2216</v>
      </c>
      <c r="C1401" s="0" t="s">
        <v>2217</v>
      </c>
      <c r="D1401" s="0" t="s">
        <v>98</v>
      </c>
      <c r="E1401" s="0" t="s">
        <v>826</v>
      </c>
    </row>
    <row r="1402" customFormat="false" ht="15" hidden="false" customHeight="false" outlineLevel="0" collapsed="false">
      <c r="A1402" s="0" t="s">
        <v>740</v>
      </c>
      <c r="B1402" s="0" t="s">
        <v>2218</v>
      </c>
      <c r="C1402" s="0" t="s">
        <v>2219</v>
      </c>
      <c r="D1402" s="0" t="s">
        <v>98</v>
      </c>
      <c r="E1402" s="0" t="s">
        <v>826</v>
      </c>
    </row>
    <row r="1403" customFormat="false" ht="15" hidden="false" customHeight="false" outlineLevel="0" collapsed="false">
      <c r="A1403" s="0" t="s">
        <v>740</v>
      </c>
      <c r="B1403" s="0" t="s">
        <v>2220</v>
      </c>
      <c r="C1403" s="0" t="s">
        <v>2221</v>
      </c>
      <c r="D1403" s="0" t="s">
        <v>86</v>
      </c>
      <c r="E1403" s="0" t="s">
        <v>257</v>
      </c>
    </row>
    <row r="1404" customFormat="false" ht="15" hidden="false" customHeight="false" outlineLevel="0" collapsed="false">
      <c r="A1404" s="0" t="s">
        <v>740</v>
      </c>
      <c r="B1404" s="0" t="s">
        <v>2222</v>
      </c>
      <c r="C1404" s="0" t="s">
        <v>2221</v>
      </c>
      <c r="D1404" s="0" t="s">
        <v>86</v>
      </c>
      <c r="E1404" s="0" t="s">
        <v>257</v>
      </c>
    </row>
    <row r="1405" customFormat="false" ht="15" hidden="false" customHeight="false" outlineLevel="0" collapsed="false">
      <c r="A1405" s="0" t="s">
        <v>740</v>
      </c>
      <c r="B1405" s="0" t="s">
        <v>2223</v>
      </c>
      <c r="C1405" s="0" t="s">
        <v>2221</v>
      </c>
      <c r="D1405" s="0" t="s">
        <v>86</v>
      </c>
      <c r="E1405" s="0" t="s">
        <v>257</v>
      </c>
    </row>
    <row r="1406" customFormat="false" ht="15" hidden="false" customHeight="false" outlineLevel="0" collapsed="false">
      <c r="A1406" s="0" t="s">
        <v>740</v>
      </c>
      <c r="B1406" s="0" t="s">
        <v>2224</v>
      </c>
      <c r="C1406" s="0" t="s">
        <v>2221</v>
      </c>
      <c r="D1406" s="0" t="s">
        <v>86</v>
      </c>
      <c r="E1406" s="0" t="s">
        <v>257</v>
      </c>
    </row>
    <row r="1407" customFormat="false" ht="15" hidden="false" customHeight="false" outlineLevel="0" collapsed="false">
      <c r="A1407" s="0" t="s">
        <v>740</v>
      </c>
      <c r="B1407" s="0" t="s">
        <v>2225</v>
      </c>
      <c r="C1407" s="0" t="s">
        <v>620</v>
      </c>
      <c r="D1407" s="0" t="s">
        <v>86</v>
      </c>
      <c r="E1407" s="0" t="s">
        <v>257</v>
      </c>
    </row>
    <row r="1408" customFormat="false" ht="15" hidden="false" customHeight="false" outlineLevel="0" collapsed="false">
      <c r="A1408" s="0" t="s">
        <v>740</v>
      </c>
      <c r="B1408" s="0" t="s">
        <v>2226</v>
      </c>
      <c r="C1408" s="0" t="s">
        <v>620</v>
      </c>
      <c r="D1408" s="0" t="s">
        <v>744</v>
      </c>
      <c r="E1408" s="0" t="s">
        <v>257</v>
      </c>
    </row>
    <row r="1409" customFormat="false" ht="15" hidden="false" customHeight="false" outlineLevel="0" collapsed="false">
      <c r="A1409" s="0" t="s">
        <v>740</v>
      </c>
      <c r="B1409" s="0" t="s">
        <v>2227</v>
      </c>
      <c r="C1409" s="0" t="s">
        <v>620</v>
      </c>
      <c r="D1409" s="0" t="s">
        <v>744</v>
      </c>
      <c r="E1409" s="0" t="s">
        <v>257</v>
      </c>
    </row>
    <row r="1410" customFormat="false" ht="15" hidden="false" customHeight="false" outlineLevel="0" collapsed="false">
      <c r="A1410" s="0" t="s">
        <v>740</v>
      </c>
      <c r="B1410" s="0" t="s">
        <v>2228</v>
      </c>
      <c r="C1410" s="0" t="s">
        <v>620</v>
      </c>
      <c r="D1410" s="0" t="s">
        <v>744</v>
      </c>
      <c r="E1410" s="0" t="s">
        <v>257</v>
      </c>
    </row>
    <row r="1411" customFormat="false" ht="15" hidden="false" customHeight="false" outlineLevel="0" collapsed="false">
      <c r="A1411" s="0" t="s">
        <v>740</v>
      </c>
      <c r="B1411" s="0" t="s">
        <v>2229</v>
      </c>
      <c r="C1411" s="0" t="s">
        <v>620</v>
      </c>
      <c r="D1411" s="0" t="s">
        <v>744</v>
      </c>
      <c r="E1411" s="0" t="s">
        <v>257</v>
      </c>
    </row>
    <row r="1412" customFormat="false" ht="15" hidden="false" customHeight="false" outlineLevel="0" collapsed="false">
      <c r="A1412" s="0" t="s">
        <v>740</v>
      </c>
      <c r="B1412" s="0" t="s">
        <v>2230</v>
      </c>
      <c r="C1412" s="0" t="s">
        <v>620</v>
      </c>
      <c r="D1412" s="0" t="s">
        <v>744</v>
      </c>
      <c r="E1412" s="0" t="s">
        <v>257</v>
      </c>
    </row>
    <row r="1413" customFormat="false" ht="15" hidden="false" customHeight="false" outlineLevel="0" collapsed="false">
      <c r="A1413" s="0" t="s">
        <v>740</v>
      </c>
      <c r="B1413" s="0" t="s">
        <v>2231</v>
      </c>
      <c r="C1413" s="0" t="s">
        <v>620</v>
      </c>
      <c r="D1413" s="0" t="s">
        <v>744</v>
      </c>
      <c r="E1413" s="0" t="s">
        <v>257</v>
      </c>
    </row>
    <row r="1414" customFormat="false" ht="15" hidden="false" customHeight="false" outlineLevel="0" collapsed="false">
      <c r="A1414" s="0" t="s">
        <v>740</v>
      </c>
      <c r="B1414" s="0" t="s">
        <v>2232</v>
      </c>
      <c r="C1414" s="0" t="s">
        <v>620</v>
      </c>
      <c r="D1414" s="0" t="s">
        <v>744</v>
      </c>
      <c r="E1414" s="0" t="s">
        <v>257</v>
      </c>
    </row>
    <row r="1415" customFormat="false" ht="15" hidden="false" customHeight="false" outlineLevel="0" collapsed="false">
      <c r="A1415" s="0" t="s">
        <v>740</v>
      </c>
      <c r="B1415" s="0" t="s">
        <v>2233</v>
      </c>
      <c r="C1415" s="0" t="s">
        <v>620</v>
      </c>
      <c r="D1415" s="0" t="s">
        <v>744</v>
      </c>
      <c r="E1415" s="0" t="s">
        <v>257</v>
      </c>
    </row>
    <row r="1416" customFormat="false" ht="15" hidden="false" customHeight="false" outlineLevel="0" collapsed="false">
      <c r="A1416" s="0" t="s">
        <v>740</v>
      </c>
      <c r="B1416" s="0" t="s">
        <v>2234</v>
      </c>
      <c r="C1416" s="0" t="s">
        <v>620</v>
      </c>
      <c r="D1416" s="0" t="s">
        <v>744</v>
      </c>
      <c r="E1416" s="0" t="s">
        <v>257</v>
      </c>
    </row>
    <row r="1417" customFormat="false" ht="15" hidden="false" customHeight="false" outlineLevel="0" collapsed="false">
      <c r="A1417" s="0" t="s">
        <v>740</v>
      </c>
      <c r="B1417" s="0" t="s">
        <v>2235</v>
      </c>
      <c r="C1417" s="0" t="s">
        <v>620</v>
      </c>
      <c r="D1417" s="0" t="s">
        <v>744</v>
      </c>
      <c r="E1417" s="0" t="s">
        <v>257</v>
      </c>
    </row>
    <row r="1418" customFormat="false" ht="15" hidden="false" customHeight="false" outlineLevel="0" collapsed="false">
      <c r="A1418" s="0" t="s">
        <v>740</v>
      </c>
      <c r="B1418" s="0" t="s">
        <v>2236</v>
      </c>
      <c r="C1418" s="0" t="s">
        <v>620</v>
      </c>
      <c r="D1418" s="0" t="s">
        <v>744</v>
      </c>
      <c r="E1418" s="0" t="s">
        <v>257</v>
      </c>
    </row>
    <row r="1419" customFormat="false" ht="15" hidden="false" customHeight="false" outlineLevel="0" collapsed="false">
      <c r="A1419" s="0" t="s">
        <v>740</v>
      </c>
      <c r="B1419" s="0" t="s">
        <v>2237</v>
      </c>
      <c r="C1419" s="0" t="s">
        <v>620</v>
      </c>
      <c r="D1419" s="0" t="s">
        <v>744</v>
      </c>
      <c r="E1419" s="0" t="s">
        <v>257</v>
      </c>
    </row>
    <row r="1420" customFormat="false" ht="15" hidden="false" customHeight="false" outlineLevel="0" collapsed="false">
      <c r="A1420" s="0" t="s">
        <v>740</v>
      </c>
      <c r="B1420" s="0" t="s">
        <v>2238</v>
      </c>
      <c r="C1420" s="0" t="s">
        <v>620</v>
      </c>
      <c r="D1420" s="0" t="s">
        <v>744</v>
      </c>
      <c r="E1420" s="0" t="s">
        <v>257</v>
      </c>
    </row>
    <row r="1421" customFormat="false" ht="15" hidden="false" customHeight="false" outlineLevel="0" collapsed="false">
      <c r="A1421" s="0" t="s">
        <v>740</v>
      </c>
      <c r="B1421" s="0" t="s">
        <v>2239</v>
      </c>
      <c r="C1421" s="0" t="s">
        <v>620</v>
      </c>
      <c r="D1421" s="0" t="s">
        <v>744</v>
      </c>
      <c r="E1421" s="0" t="s">
        <v>257</v>
      </c>
    </row>
    <row r="1422" customFormat="false" ht="15" hidden="false" customHeight="false" outlineLevel="0" collapsed="false">
      <c r="A1422" s="0" t="s">
        <v>740</v>
      </c>
      <c r="B1422" s="0" t="s">
        <v>2240</v>
      </c>
      <c r="C1422" s="0" t="s">
        <v>620</v>
      </c>
      <c r="D1422" s="0" t="s">
        <v>744</v>
      </c>
      <c r="E1422" s="0" t="s">
        <v>257</v>
      </c>
    </row>
    <row r="1423" customFormat="false" ht="15" hidden="false" customHeight="false" outlineLevel="0" collapsed="false">
      <c r="A1423" s="0" t="s">
        <v>740</v>
      </c>
      <c r="B1423" s="0" t="s">
        <v>2241</v>
      </c>
      <c r="C1423" s="0" t="s">
        <v>620</v>
      </c>
      <c r="D1423" s="0" t="s">
        <v>744</v>
      </c>
      <c r="E1423" s="0" t="s">
        <v>257</v>
      </c>
    </row>
    <row r="1424" customFormat="false" ht="15" hidden="false" customHeight="false" outlineLevel="0" collapsed="false">
      <c r="A1424" s="0" t="s">
        <v>740</v>
      </c>
      <c r="B1424" s="0" t="s">
        <v>2242</v>
      </c>
      <c r="C1424" s="0" t="s">
        <v>620</v>
      </c>
      <c r="D1424" s="0" t="s">
        <v>744</v>
      </c>
      <c r="E1424" s="0" t="s">
        <v>257</v>
      </c>
    </row>
    <row r="1425" customFormat="false" ht="15" hidden="false" customHeight="false" outlineLevel="0" collapsed="false">
      <c r="A1425" s="0" t="s">
        <v>740</v>
      </c>
      <c r="B1425" s="0" t="s">
        <v>2243</v>
      </c>
      <c r="C1425" s="0" t="s">
        <v>620</v>
      </c>
      <c r="D1425" s="0" t="s">
        <v>744</v>
      </c>
      <c r="E1425" s="0" t="s">
        <v>257</v>
      </c>
    </row>
    <row r="1426" customFormat="false" ht="15" hidden="false" customHeight="false" outlineLevel="0" collapsed="false">
      <c r="A1426" s="0" t="s">
        <v>740</v>
      </c>
      <c r="B1426" s="0" t="s">
        <v>2244</v>
      </c>
      <c r="C1426" s="0" t="s">
        <v>762</v>
      </c>
      <c r="D1426" s="0" t="s">
        <v>98</v>
      </c>
      <c r="E1426" s="0" t="s">
        <v>763</v>
      </c>
    </row>
    <row r="1427" customFormat="false" ht="15" hidden="false" customHeight="false" outlineLevel="0" collapsed="false">
      <c r="A1427" s="0" t="s">
        <v>740</v>
      </c>
      <c r="B1427" s="0" t="s">
        <v>2245</v>
      </c>
      <c r="C1427" s="0" t="s">
        <v>762</v>
      </c>
      <c r="D1427" s="0" t="s">
        <v>98</v>
      </c>
      <c r="E1427" s="0" t="s">
        <v>763</v>
      </c>
    </row>
    <row r="1428" customFormat="false" ht="15" hidden="false" customHeight="false" outlineLevel="0" collapsed="false">
      <c r="A1428" s="0" t="s">
        <v>740</v>
      </c>
      <c r="B1428" s="0" t="s">
        <v>2246</v>
      </c>
      <c r="C1428" s="0" t="s">
        <v>762</v>
      </c>
      <c r="D1428" s="0" t="s">
        <v>98</v>
      </c>
      <c r="E1428" s="0" t="s">
        <v>763</v>
      </c>
    </row>
    <row r="1429" customFormat="false" ht="15" hidden="false" customHeight="false" outlineLevel="0" collapsed="false">
      <c r="A1429" s="0" t="s">
        <v>740</v>
      </c>
      <c r="B1429" s="0" t="s">
        <v>2247</v>
      </c>
      <c r="C1429" s="0" t="s">
        <v>762</v>
      </c>
      <c r="D1429" s="0" t="s">
        <v>98</v>
      </c>
      <c r="E1429" s="0" t="s">
        <v>763</v>
      </c>
    </row>
    <row r="1430" customFormat="false" ht="15" hidden="false" customHeight="false" outlineLevel="0" collapsed="false">
      <c r="A1430" s="0" t="s">
        <v>740</v>
      </c>
      <c r="B1430" s="0" t="s">
        <v>2248</v>
      </c>
      <c r="C1430" s="0" t="s">
        <v>762</v>
      </c>
      <c r="D1430" s="0" t="s">
        <v>98</v>
      </c>
      <c r="E1430" s="0" t="s">
        <v>763</v>
      </c>
    </row>
    <row r="1431" customFormat="false" ht="15" hidden="false" customHeight="false" outlineLevel="0" collapsed="false">
      <c r="A1431" s="0" t="s">
        <v>740</v>
      </c>
      <c r="B1431" s="0" t="s">
        <v>2249</v>
      </c>
      <c r="C1431" s="0" t="s">
        <v>762</v>
      </c>
      <c r="D1431" s="0" t="s">
        <v>98</v>
      </c>
      <c r="E1431" s="0" t="s">
        <v>763</v>
      </c>
    </row>
    <row r="1432" customFormat="false" ht="15" hidden="false" customHeight="false" outlineLevel="0" collapsed="false">
      <c r="A1432" s="0" t="s">
        <v>740</v>
      </c>
      <c r="B1432" s="0" t="s">
        <v>2250</v>
      </c>
      <c r="C1432" s="0" t="s">
        <v>762</v>
      </c>
      <c r="D1432" s="0" t="s">
        <v>98</v>
      </c>
      <c r="E1432" s="0" t="s">
        <v>763</v>
      </c>
    </row>
    <row r="1433" customFormat="false" ht="15" hidden="false" customHeight="false" outlineLevel="0" collapsed="false">
      <c r="A1433" s="0" t="s">
        <v>740</v>
      </c>
      <c r="B1433" s="0" t="s">
        <v>2251</v>
      </c>
      <c r="C1433" s="0" t="s">
        <v>2221</v>
      </c>
      <c r="D1433" s="0" t="s">
        <v>86</v>
      </c>
      <c r="E1433" s="0" t="s">
        <v>2252</v>
      </c>
    </row>
    <row r="1434" customFormat="false" ht="15" hidden="false" customHeight="false" outlineLevel="0" collapsed="false">
      <c r="A1434" s="0" t="s">
        <v>740</v>
      </c>
      <c r="B1434" s="0" t="s">
        <v>2253</v>
      </c>
      <c r="C1434" s="0" t="s">
        <v>2221</v>
      </c>
      <c r="D1434" s="0" t="s">
        <v>86</v>
      </c>
      <c r="E1434" s="0" t="s">
        <v>1832</v>
      </c>
    </row>
    <row r="1435" customFormat="false" ht="15" hidden="false" customHeight="false" outlineLevel="0" collapsed="false">
      <c r="A1435" s="0" t="s">
        <v>740</v>
      </c>
      <c r="B1435" s="0" t="s">
        <v>2254</v>
      </c>
      <c r="C1435" s="0" t="s">
        <v>2221</v>
      </c>
      <c r="D1435" s="0" t="s">
        <v>86</v>
      </c>
      <c r="E1435" s="0" t="s">
        <v>1832</v>
      </c>
    </row>
    <row r="1436" customFormat="false" ht="15" hidden="false" customHeight="false" outlineLevel="0" collapsed="false">
      <c r="A1436" s="0" t="s">
        <v>740</v>
      </c>
      <c r="B1436" s="0" t="s">
        <v>2255</v>
      </c>
      <c r="C1436" s="0" t="s">
        <v>2221</v>
      </c>
      <c r="D1436" s="0" t="s">
        <v>93</v>
      </c>
      <c r="E1436" s="0" t="s">
        <v>1832</v>
      </c>
    </row>
    <row r="1437" customFormat="false" ht="15" hidden="false" customHeight="false" outlineLevel="0" collapsed="false">
      <c r="A1437" s="0" t="s">
        <v>740</v>
      </c>
      <c r="B1437" s="0" t="s">
        <v>2256</v>
      </c>
      <c r="C1437" s="0" t="s">
        <v>2221</v>
      </c>
      <c r="D1437" s="0" t="s">
        <v>93</v>
      </c>
      <c r="E1437" s="0" t="s">
        <v>2257</v>
      </c>
    </row>
    <row r="1438" customFormat="false" ht="15" hidden="false" customHeight="false" outlineLevel="0" collapsed="false">
      <c r="A1438" s="0" t="s">
        <v>740</v>
      </c>
      <c r="B1438" s="0" t="s">
        <v>2258</v>
      </c>
      <c r="C1438" s="0" t="s">
        <v>620</v>
      </c>
      <c r="D1438" s="0" t="s">
        <v>93</v>
      </c>
    </row>
    <row r="1439" customFormat="false" ht="15" hidden="false" customHeight="false" outlineLevel="0" collapsed="false">
      <c r="A1439" s="0" t="s">
        <v>740</v>
      </c>
      <c r="B1439" s="0" t="s">
        <v>2259</v>
      </c>
      <c r="C1439" s="0" t="s">
        <v>620</v>
      </c>
      <c r="D1439" s="0" t="s">
        <v>93</v>
      </c>
      <c r="E1439" s="0" t="s">
        <v>2260</v>
      </c>
    </row>
    <row r="1440" customFormat="false" ht="15" hidden="false" customHeight="false" outlineLevel="0" collapsed="false">
      <c r="A1440" s="0" t="s">
        <v>740</v>
      </c>
      <c r="B1440" s="0" t="s">
        <v>2261</v>
      </c>
      <c r="C1440" s="0" t="s">
        <v>620</v>
      </c>
      <c r="D1440" s="0" t="s">
        <v>93</v>
      </c>
      <c r="E1440" s="0" t="s">
        <v>2260</v>
      </c>
    </row>
    <row r="1441" customFormat="false" ht="15" hidden="false" customHeight="false" outlineLevel="0" collapsed="false">
      <c r="A1441" s="0" t="s">
        <v>740</v>
      </c>
      <c r="B1441" s="0" t="s">
        <v>2262</v>
      </c>
      <c r="C1441" s="0" t="s">
        <v>620</v>
      </c>
      <c r="D1441" s="0" t="s">
        <v>93</v>
      </c>
      <c r="E1441" s="0" t="s">
        <v>2260</v>
      </c>
    </row>
    <row r="1442" customFormat="false" ht="15" hidden="false" customHeight="false" outlineLevel="0" collapsed="false">
      <c r="A1442" s="0" t="s">
        <v>740</v>
      </c>
      <c r="B1442" s="0" t="s">
        <v>2263</v>
      </c>
      <c r="C1442" s="0" t="s">
        <v>620</v>
      </c>
      <c r="D1442" s="0" t="s">
        <v>93</v>
      </c>
      <c r="E1442" s="0" t="s">
        <v>2260</v>
      </c>
    </row>
    <row r="1443" customFormat="false" ht="15" hidden="false" customHeight="false" outlineLevel="0" collapsed="false">
      <c r="A1443" s="0" t="s">
        <v>740</v>
      </c>
      <c r="B1443" s="0" t="s">
        <v>2264</v>
      </c>
      <c r="C1443" s="0" t="s">
        <v>620</v>
      </c>
      <c r="D1443" s="0" t="s">
        <v>93</v>
      </c>
      <c r="E1443" s="0" t="s">
        <v>2260</v>
      </c>
    </row>
    <row r="1444" customFormat="false" ht="15" hidden="false" customHeight="false" outlineLevel="0" collapsed="false">
      <c r="A1444" s="0" t="s">
        <v>740</v>
      </c>
      <c r="B1444" s="0" t="s">
        <v>2265</v>
      </c>
      <c r="C1444" s="0" t="s">
        <v>620</v>
      </c>
      <c r="D1444" s="0" t="s">
        <v>93</v>
      </c>
      <c r="E1444" s="0" t="s">
        <v>2260</v>
      </c>
    </row>
    <row r="1445" customFormat="false" ht="15" hidden="false" customHeight="false" outlineLevel="0" collapsed="false">
      <c r="A1445" s="0" t="s">
        <v>740</v>
      </c>
      <c r="B1445" s="0" t="s">
        <v>2266</v>
      </c>
      <c r="C1445" s="0" t="s">
        <v>620</v>
      </c>
      <c r="D1445" s="0" t="s">
        <v>93</v>
      </c>
      <c r="E1445" s="0" t="s">
        <v>2260</v>
      </c>
    </row>
    <row r="1446" customFormat="false" ht="15" hidden="false" customHeight="false" outlineLevel="0" collapsed="false">
      <c r="A1446" s="0" t="s">
        <v>740</v>
      </c>
      <c r="B1446" s="0" t="s">
        <v>2267</v>
      </c>
      <c r="C1446" s="0" t="s">
        <v>620</v>
      </c>
      <c r="D1446" s="0" t="s">
        <v>93</v>
      </c>
      <c r="E1446" s="0" t="s">
        <v>2260</v>
      </c>
    </row>
    <row r="1447" customFormat="false" ht="15" hidden="false" customHeight="false" outlineLevel="0" collapsed="false">
      <c r="A1447" s="0" t="s">
        <v>740</v>
      </c>
      <c r="B1447" s="0" t="s">
        <v>2268</v>
      </c>
      <c r="C1447" s="0" t="s">
        <v>620</v>
      </c>
      <c r="D1447" s="0" t="s">
        <v>93</v>
      </c>
      <c r="E1447" s="0" t="s">
        <v>2260</v>
      </c>
    </row>
    <row r="1448" customFormat="false" ht="15" hidden="false" customHeight="false" outlineLevel="0" collapsed="false">
      <c r="A1448" s="0" t="s">
        <v>740</v>
      </c>
      <c r="B1448" s="0" t="s">
        <v>2269</v>
      </c>
      <c r="C1448" s="0" t="s">
        <v>620</v>
      </c>
      <c r="D1448" s="0" t="s">
        <v>93</v>
      </c>
      <c r="E1448" s="0" t="s">
        <v>2260</v>
      </c>
    </row>
    <row r="1449" customFormat="false" ht="15" hidden="false" customHeight="false" outlineLevel="0" collapsed="false">
      <c r="A1449" s="0" t="s">
        <v>740</v>
      </c>
      <c r="B1449" s="0" t="s">
        <v>2270</v>
      </c>
      <c r="C1449" s="0" t="s">
        <v>620</v>
      </c>
      <c r="D1449" s="0" t="s">
        <v>93</v>
      </c>
      <c r="E1449" s="0" t="s">
        <v>2260</v>
      </c>
    </row>
    <row r="1450" customFormat="false" ht="15" hidden="false" customHeight="false" outlineLevel="0" collapsed="false">
      <c r="A1450" s="0" t="s">
        <v>740</v>
      </c>
      <c r="B1450" s="0" t="s">
        <v>2271</v>
      </c>
      <c r="C1450" s="0" t="s">
        <v>620</v>
      </c>
      <c r="D1450" s="0" t="s">
        <v>93</v>
      </c>
      <c r="E1450" s="0" t="s">
        <v>2260</v>
      </c>
    </row>
    <row r="1451" customFormat="false" ht="15" hidden="false" customHeight="false" outlineLevel="0" collapsed="false">
      <c r="A1451" s="0" t="s">
        <v>740</v>
      </c>
      <c r="B1451" s="0" t="s">
        <v>2272</v>
      </c>
      <c r="C1451" s="0" t="s">
        <v>620</v>
      </c>
      <c r="D1451" s="0" t="s">
        <v>93</v>
      </c>
      <c r="E1451" s="0" t="s">
        <v>2260</v>
      </c>
    </row>
    <row r="1452" customFormat="false" ht="15" hidden="false" customHeight="false" outlineLevel="0" collapsed="false">
      <c r="A1452" s="0" t="s">
        <v>740</v>
      </c>
      <c r="B1452" s="0" t="s">
        <v>2273</v>
      </c>
      <c r="C1452" s="0" t="s">
        <v>620</v>
      </c>
      <c r="D1452" s="0" t="s">
        <v>93</v>
      </c>
      <c r="E1452" s="0" t="s">
        <v>2260</v>
      </c>
    </row>
    <row r="1453" customFormat="false" ht="15" hidden="false" customHeight="false" outlineLevel="0" collapsed="false">
      <c r="A1453" s="0" t="s">
        <v>740</v>
      </c>
      <c r="B1453" s="0" t="s">
        <v>2274</v>
      </c>
      <c r="C1453" s="0" t="s">
        <v>620</v>
      </c>
      <c r="D1453" s="0" t="s">
        <v>93</v>
      </c>
      <c r="E1453" s="0" t="s">
        <v>2260</v>
      </c>
    </row>
    <row r="1454" customFormat="false" ht="15" hidden="false" customHeight="false" outlineLevel="0" collapsed="false">
      <c r="A1454" s="0" t="s">
        <v>740</v>
      </c>
      <c r="B1454" s="0" t="s">
        <v>2275</v>
      </c>
      <c r="C1454" s="0" t="s">
        <v>762</v>
      </c>
      <c r="D1454" s="0" t="s">
        <v>98</v>
      </c>
      <c r="E1454" s="0" t="s">
        <v>763</v>
      </c>
    </row>
    <row r="1455" customFormat="false" ht="15" hidden="false" customHeight="false" outlineLevel="0" collapsed="false">
      <c r="A1455" s="0" t="s">
        <v>740</v>
      </c>
      <c r="B1455" s="0" t="s">
        <v>2276</v>
      </c>
      <c r="C1455" s="0" t="s">
        <v>762</v>
      </c>
      <c r="D1455" s="0" t="s">
        <v>98</v>
      </c>
      <c r="E1455" s="0" t="s">
        <v>763</v>
      </c>
    </row>
    <row r="1456" customFormat="false" ht="15" hidden="false" customHeight="false" outlineLevel="0" collapsed="false">
      <c r="A1456" s="0" t="s">
        <v>740</v>
      </c>
      <c r="B1456" s="0" t="s">
        <v>2277</v>
      </c>
      <c r="C1456" s="0" t="s">
        <v>762</v>
      </c>
      <c r="D1456" s="0" t="s">
        <v>98</v>
      </c>
      <c r="E1456" s="0" t="s">
        <v>763</v>
      </c>
    </row>
    <row r="1457" customFormat="false" ht="15" hidden="false" customHeight="false" outlineLevel="0" collapsed="false">
      <c r="A1457" s="0" t="s">
        <v>740</v>
      </c>
      <c r="B1457" s="0" t="s">
        <v>2278</v>
      </c>
      <c r="C1457" s="0" t="s">
        <v>762</v>
      </c>
      <c r="D1457" s="0" t="s">
        <v>98</v>
      </c>
      <c r="E1457" s="0" t="s">
        <v>763</v>
      </c>
    </row>
    <row r="1458" customFormat="false" ht="15" hidden="false" customHeight="false" outlineLevel="0" collapsed="false">
      <c r="A1458" s="0" t="s">
        <v>740</v>
      </c>
      <c r="B1458" s="0" t="s">
        <v>2279</v>
      </c>
      <c r="C1458" s="0" t="s">
        <v>762</v>
      </c>
      <c r="D1458" s="0" t="s">
        <v>98</v>
      </c>
      <c r="E1458" s="0" t="s">
        <v>763</v>
      </c>
    </row>
    <row r="1459" customFormat="false" ht="15" hidden="false" customHeight="false" outlineLevel="0" collapsed="false">
      <c r="A1459" s="0" t="s">
        <v>740</v>
      </c>
      <c r="B1459" s="0" t="s">
        <v>2280</v>
      </c>
      <c r="C1459" s="0" t="s">
        <v>762</v>
      </c>
      <c r="D1459" s="0" t="s">
        <v>98</v>
      </c>
      <c r="E1459" s="0" t="s">
        <v>763</v>
      </c>
    </row>
    <row r="1460" customFormat="false" ht="15" hidden="false" customHeight="false" outlineLevel="0" collapsed="false">
      <c r="A1460" s="0" t="s">
        <v>740</v>
      </c>
      <c r="B1460" s="0" t="s">
        <v>2281</v>
      </c>
      <c r="C1460" s="0" t="s">
        <v>762</v>
      </c>
      <c r="D1460" s="0" t="s">
        <v>98</v>
      </c>
      <c r="E1460" s="0" t="s">
        <v>763</v>
      </c>
    </row>
    <row r="1461" customFormat="false" ht="15" hidden="false" customHeight="false" outlineLevel="0" collapsed="false">
      <c r="A1461" s="0" t="s">
        <v>740</v>
      </c>
      <c r="B1461" s="0" t="s">
        <v>2282</v>
      </c>
      <c r="C1461" s="0" t="s">
        <v>2221</v>
      </c>
      <c r="D1461" s="0" t="s">
        <v>86</v>
      </c>
      <c r="E1461" s="0" t="s">
        <v>2252</v>
      </c>
    </row>
    <row r="1462" customFormat="false" ht="15" hidden="false" customHeight="false" outlineLevel="0" collapsed="false">
      <c r="A1462" s="0" t="s">
        <v>740</v>
      </c>
      <c r="B1462" s="0" t="s">
        <v>2283</v>
      </c>
      <c r="C1462" s="0" t="s">
        <v>2221</v>
      </c>
      <c r="D1462" s="0" t="s">
        <v>86</v>
      </c>
      <c r="E1462" s="0" t="s">
        <v>1832</v>
      </c>
    </row>
    <row r="1463" customFormat="false" ht="15" hidden="false" customHeight="false" outlineLevel="0" collapsed="false">
      <c r="A1463" s="0" t="s">
        <v>740</v>
      </c>
      <c r="B1463" s="0" t="s">
        <v>2284</v>
      </c>
      <c r="C1463" s="0" t="s">
        <v>2221</v>
      </c>
      <c r="D1463" s="0" t="s">
        <v>86</v>
      </c>
      <c r="E1463" s="0" t="s">
        <v>1832</v>
      </c>
    </row>
    <row r="1464" customFormat="false" ht="15" hidden="false" customHeight="false" outlineLevel="0" collapsed="false">
      <c r="A1464" s="0" t="s">
        <v>740</v>
      </c>
      <c r="B1464" s="0" t="s">
        <v>2285</v>
      </c>
      <c r="C1464" s="0" t="s">
        <v>2221</v>
      </c>
      <c r="D1464" s="0" t="s">
        <v>93</v>
      </c>
      <c r="E1464" s="0" t="s">
        <v>1832</v>
      </c>
    </row>
    <row r="1465" customFormat="false" ht="15" hidden="false" customHeight="false" outlineLevel="0" collapsed="false">
      <c r="A1465" s="0" t="s">
        <v>740</v>
      </c>
      <c r="B1465" s="0" t="s">
        <v>2286</v>
      </c>
      <c r="C1465" s="0" t="s">
        <v>620</v>
      </c>
      <c r="D1465" s="0" t="s">
        <v>93</v>
      </c>
      <c r="E1465" s="0" t="s">
        <v>2257</v>
      </c>
    </row>
    <row r="1466" customFormat="false" ht="15" hidden="false" customHeight="false" outlineLevel="0" collapsed="false">
      <c r="A1466" s="0" t="s">
        <v>740</v>
      </c>
      <c r="B1466" s="0" t="s">
        <v>2287</v>
      </c>
      <c r="C1466" s="0" t="s">
        <v>620</v>
      </c>
      <c r="D1466" s="0" t="s">
        <v>93</v>
      </c>
    </row>
    <row r="1467" customFormat="false" ht="15" hidden="false" customHeight="false" outlineLevel="0" collapsed="false">
      <c r="A1467" s="0" t="s">
        <v>740</v>
      </c>
      <c r="B1467" s="0" t="s">
        <v>2288</v>
      </c>
      <c r="C1467" s="0" t="s">
        <v>620</v>
      </c>
      <c r="D1467" s="0" t="s">
        <v>93</v>
      </c>
      <c r="E1467" s="0" t="s">
        <v>2260</v>
      </c>
    </row>
    <row r="1468" customFormat="false" ht="15" hidden="false" customHeight="false" outlineLevel="0" collapsed="false">
      <c r="A1468" s="0" t="s">
        <v>740</v>
      </c>
      <c r="B1468" s="0" t="s">
        <v>2289</v>
      </c>
      <c r="C1468" s="0" t="s">
        <v>620</v>
      </c>
      <c r="D1468" s="0" t="s">
        <v>93</v>
      </c>
      <c r="E1468" s="0" t="s">
        <v>2260</v>
      </c>
    </row>
    <row r="1469" customFormat="false" ht="15" hidden="false" customHeight="false" outlineLevel="0" collapsed="false">
      <c r="A1469" s="0" t="s">
        <v>740</v>
      </c>
      <c r="B1469" s="0" t="s">
        <v>2290</v>
      </c>
      <c r="C1469" s="0" t="s">
        <v>620</v>
      </c>
      <c r="D1469" s="0" t="s">
        <v>93</v>
      </c>
      <c r="E1469" s="0" t="s">
        <v>2260</v>
      </c>
    </row>
    <row r="1470" customFormat="false" ht="15" hidden="false" customHeight="false" outlineLevel="0" collapsed="false">
      <c r="A1470" s="0" t="s">
        <v>740</v>
      </c>
      <c r="B1470" s="0" t="s">
        <v>2291</v>
      </c>
      <c r="C1470" s="0" t="s">
        <v>620</v>
      </c>
      <c r="D1470" s="0" t="s">
        <v>93</v>
      </c>
      <c r="E1470" s="0" t="s">
        <v>2260</v>
      </c>
    </row>
    <row r="1471" customFormat="false" ht="15" hidden="false" customHeight="false" outlineLevel="0" collapsed="false">
      <c r="A1471" s="0" t="s">
        <v>740</v>
      </c>
      <c r="B1471" s="0" t="s">
        <v>2292</v>
      </c>
      <c r="C1471" s="0" t="s">
        <v>620</v>
      </c>
      <c r="D1471" s="0" t="s">
        <v>93</v>
      </c>
      <c r="E1471" s="0" t="s">
        <v>2260</v>
      </c>
    </row>
    <row r="1472" customFormat="false" ht="15" hidden="false" customHeight="false" outlineLevel="0" collapsed="false">
      <c r="A1472" s="0" t="s">
        <v>740</v>
      </c>
      <c r="B1472" s="0" t="s">
        <v>2293</v>
      </c>
      <c r="C1472" s="0" t="s">
        <v>620</v>
      </c>
      <c r="D1472" s="0" t="s">
        <v>93</v>
      </c>
      <c r="E1472" s="0" t="s">
        <v>2260</v>
      </c>
    </row>
    <row r="1473" customFormat="false" ht="15" hidden="false" customHeight="false" outlineLevel="0" collapsed="false">
      <c r="A1473" s="0" t="s">
        <v>740</v>
      </c>
      <c r="B1473" s="0" t="s">
        <v>2294</v>
      </c>
      <c r="C1473" s="0" t="s">
        <v>620</v>
      </c>
      <c r="D1473" s="0" t="s">
        <v>93</v>
      </c>
      <c r="E1473" s="0" t="s">
        <v>2260</v>
      </c>
    </row>
    <row r="1474" customFormat="false" ht="15" hidden="false" customHeight="false" outlineLevel="0" collapsed="false">
      <c r="A1474" s="0" t="s">
        <v>740</v>
      </c>
      <c r="B1474" s="0" t="s">
        <v>2295</v>
      </c>
      <c r="C1474" s="0" t="s">
        <v>620</v>
      </c>
      <c r="D1474" s="0" t="s">
        <v>93</v>
      </c>
      <c r="E1474" s="0" t="s">
        <v>2260</v>
      </c>
    </row>
    <row r="1475" customFormat="false" ht="15" hidden="false" customHeight="false" outlineLevel="0" collapsed="false">
      <c r="A1475" s="0" t="s">
        <v>740</v>
      </c>
      <c r="B1475" s="0" t="s">
        <v>2296</v>
      </c>
      <c r="C1475" s="0" t="s">
        <v>620</v>
      </c>
      <c r="D1475" s="0" t="s">
        <v>93</v>
      </c>
      <c r="E1475" s="0" t="s">
        <v>2260</v>
      </c>
    </row>
    <row r="1476" customFormat="false" ht="15" hidden="false" customHeight="false" outlineLevel="0" collapsed="false">
      <c r="A1476" s="0" t="s">
        <v>740</v>
      </c>
      <c r="B1476" s="0" t="s">
        <v>2297</v>
      </c>
      <c r="C1476" s="0" t="s">
        <v>620</v>
      </c>
      <c r="D1476" s="0" t="s">
        <v>93</v>
      </c>
      <c r="E1476" s="0" t="s">
        <v>2260</v>
      </c>
    </row>
    <row r="1477" customFormat="false" ht="15" hidden="false" customHeight="false" outlineLevel="0" collapsed="false">
      <c r="A1477" s="0" t="s">
        <v>740</v>
      </c>
      <c r="B1477" s="0" t="s">
        <v>2298</v>
      </c>
      <c r="C1477" s="0" t="s">
        <v>620</v>
      </c>
      <c r="D1477" s="0" t="s">
        <v>93</v>
      </c>
      <c r="E1477" s="0" t="s">
        <v>2260</v>
      </c>
    </row>
    <row r="1478" customFormat="false" ht="15" hidden="false" customHeight="false" outlineLevel="0" collapsed="false">
      <c r="A1478" s="0" t="s">
        <v>740</v>
      </c>
      <c r="B1478" s="0" t="s">
        <v>2299</v>
      </c>
      <c r="C1478" s="0" t="s">
        <v>620</v>
      </c>
      <c r="D1478" s="0" t="s">
        <v>93</v>
      </c>
      <c r="E1478" s="0" t="s">
        <v>2260</v>
      </c>
    </row>
    <row r="1479" customFormat="false" ht="15" hidden="false" customHeight="false" outlineLevel="0" collapsed="false">
      <c r="A1479" s="0" t="s">
        <v>740</v>
      </c>
      <c r="B1479" s="0" t="s">
        <v>2300</v>
      </c>
      <c r="C1479" s="0" t="s">
        <v>620</v>
      </c>
      <c r="D1479" s="0" t="s">
        <v>93</v>
      </c>
      <c r="E1479" s="0" t="s">
        <v>2260</v>
      </c>
    </row>
    <row r="1480" customFormat="false" ht="15" hidden="false" customHeight="false" outlineLevel="0" collapsed="false">
      <c r="A1480" s="0" t="s">
        <v>740</v>
      </c>
      <c r="B1480" s="0" t="s">
        <v>2301</v>
      </c>
      <c r="C1480" s="0" t="s">
        <v>620</v>
      </c>
      <c r="D1480" s="0" t="s">
        <v>93</v>
      </c>
      <c r="E1480" s="0" t="s">
        <v>2260</v>
      </c>
    </row>
    <row r="1481" customFormat="false" ht="15" hidden="false" customHeight="false" outlineLevel="0" collapsed="false">
      <c r="A1481" s="0" t="s">
        <v>740</v>
      </c>
      <c r="B1481" s="0" t="s">
        <v>2302</v>
      </c>
      <c r="C1481" s="0" t="s">
        <v>620</v>
      </c>
      <c r="D1481" s="0" t="s">
        <v>93</v>
      </c>
      <c r="E1481" s="0" t="s">
        <v>2260</v>
      </c>
    </row>
    <row r="1482" customFormat="false" ht="15" hidden="false" customHeight="false" outlineLevel="0" collapsed="false">
      <c r="A1482" s="0" t="s">
        <v>740</v>
      </c>
      <c r="B1482" s="0" t="s">
        <v>2303</v>
      </c>
      <c r="C1482" s="0" t="s">
        <v>2304</v>
      </c>
      <c r="D1482" s="0" t="s">
        <v>98</v>
      </c>
      <c r="E1482" s="0" t="s">
        <v>826</v>
      </c>
    </row>
    <row r="1483" customFormat="false" ht="15" hidden="false" customHeight="false" outlineLevel="0" collapsed="false">
      <c r="A1483" s="0" t="s">
        <v>740</v>
      </c>
      <c r="B1483" s="0" t="s">
        <v>2305</v>
      </c>
      <c r="C1483" s="0" t="s">
        <v>2306</v>
      </c>
      <c r="D1483" s="0" t="s">
        <v>98</v>
      </c>
      <c r="E1483" s="0" t="s">
        <v>826</v>
      </c>
    </row>
    <row r="1484" customFormat="false" ht="15" hidden="false" customHeight="false" outlineLevel="0" collapsed="false">
      <c r="A1484" s="0" t="s">
        <v>740</v>
      </c>
      <c r="B1484" s="0" t="s">
        <v>2307</v>
      </c>
      <c r="C1484" s="0" t="s">
        <v>2308</v>
      </c>
      <c r="D1484" s="0" t="s">
        <v>98</v>
      </c>
      <c r="E1484" s="0" t="s">
        <v>826</v>
      </c>
    </row>
    <row r="1485" customFormat="false" ht="15" hidden="false" customHeight="false" outlineLevel="0" collapsed="false">
      <c r="A1485" s="0" t="s">
        <v>740</v>
      </c>
      <c r="B1485" s="0" t="s">
        <v>2309</v>
      </c>
      <c r="C1485" s="0" t="s">
        <v>2310</v>
      </c>
      <c r="D1485" s="0" t="s">
        <v>98</v>
      </c>
      <c r="E1485" s="0" t="s">
        <v>826</v>
      </c>
    </row>
    <row r="1486" customFormat="false" ht="15" hidden="false" customHeight="false" outlineLevel="0" collapsed="false">
      <c r="A1486" s="0" t="s">
        <v>740</v>
      </c>
      <c r="B1486" s="0" t="s">
        <v>2311</v>
      </c>
      <c r="C1486" s="0" t="s">
        <v>2312</v>
      </c>
      <c r="D1486" s="0" t="s">
        <v>98</v>
      </c>
      <c r="E1486" s="0" t="s">
        <v>826</v>
      </c>
    </row>
    <row r="1487" customFormat="false" ht="15" hidden="false" customHeight="false" outlineLevel="0" collapsed="false">
      <c r="A1487" s="0" t="s">
        <v>740</v>
      </c>
      <c r="B1487" s="0" t="s">
        <v>2313</v>
      </c>
      <c r="C1487" s="0" t="s">
        <v>2314</v>
      </c>
      <c r="D1487" s="0" t="s">
        <v>98</v>
      </c>
      <c r="E1487" s="0" t="s">
        <v>826</v>
      </c>
    </row>
    <row r="1488" customFormat="false" ht="15" hidden="false" customHeight="false" outlineLevel="0" collapsed="false">
      <c r="A1488" s="0" t="s">
        <v>740</v>
      </c>
      <c r="B1488" s="0" t="s">
        <v>2315</v>
      </c>
      <c r="C1488" s="0" t="s">
        <v>2316</v>
      </c>
      <c r="D1488" s="0" t="s">
        <v>98</v>
      </c>
      <c r="E1488" s="0" t="s">
        <v>826</v>
      </c>
    </row>
    <row r="1489" customFormat="false" ht="15" hidden="false" customHeight="false" outlineLevel="0" collapsed="false">
      <c r="A1489" s="0" t="s">
        <v>740</v>
      </c>
      <c r="B1489" s="0" t="s">
        <v>2317</v>
      </c>
      <c r="C1489" s="0" t="s">
        <v>2318</v>
      </c>
      <c r="D1489" s="0" t="s">
        <v>98</v>
      </c>
      <c r="E1489" s="0" t="s">
        <v>826</v>
      </c>
    </row>
    <row r="1490" customFormat="false" ht="15" hidden="false" customHeight="false" outlineLevel="0" collapsed="false">
      <c r="A1490" s="0" t="s">
        <v>740</v>
      </c>
      <c r="B1490" s="0" t="s">
        <v>2319</v>
      </c>
      <c r="C1490" s="0" t="s">
        <v>2320</v>
      </c>
      <c r="D1490" s="0" t="s">
        <v>98</v>
      </c>
      <c r="E1490" s="0" t="s">
        <v>826</v>
      </c>
    </row>
    <row r="1491" customFormat="false" ht="15" hidden="false" customHeight="false" outlineLevel="0" collapsed="false">
      <c r="A1491" s="0" t="s">
        <v>740</v>
      </c>
      <c r="B1491" s="0" t="s">
        <v>2321</v>
      </c>
      <c r="C1491" s="0" t="s">
        <v>2322</v>
      </c>
      <c r="D1491" s="0" t="s">
        <v>98</v>
      </c>
      <c r="E1491" s="0" t="s">
        <v>826</v>
      </c>
    </row>
    <row r="1492" customFormat="false" ht="15" hidden="false" customHeight="false" outlineLevel="0" collapsed="false">
      <c r="A1492" s="0" t="s">
        <v>740</v>
      </c>
      <c r="B1492" s="0" t="s">
        <v>2323</v>
      </c>
      <c r="C1492" s="0" t="s">
        <v>2324</v>
      </c>
      <c r="D1492" s="0" t="s">
        <v>98</v>
      </c>
      <c r="E1492" s="0" t="s">
        <v>826</v>
      </c>
    </row>
    <row r="1493" customFormat="false" ht="15" hidden="false" customHeight="false" outlineLevel="0" collapsed="false">
      <c r="A1493" s="0" t="s">
        <v>740</v>
      </c>
      <c r="B1493" s="0" t="s">
        <v>2325</v>
      </c>
      <c r="C1493" s="0" t="s">
        <v>2326</v>
      </c>
      <c r="D1493" s="0" t="s">
        <v>98</v>
      </c>
      <c r="E1493" s="0" t="s">
        <v>826</v>
      </c>
    </row>
    <row r="1494" customFormat="false" ht="15" hidden="false" customHeight="false" outlineLevel="0" collapsed="false">
      <c r="A1494" s="0" t="s">
        <v>740</v>
      </c>
      <c r="B1494" s="0" t="s">
        <v>2327</v>
      </c>
      <c r="C1494" s="0" t="s">
        <v>2328</v>
      </c>
      <c r="D1494" s="0" t="s">
        <v>98</v>
      </c>
      <c r="E1494" s="0" t="s">
        <v>826</v>
      </c>
    </row>
    <row r="1495" customFormat="false" ht="15" hidden="false" customHeight="false" outlineLevel="0" collapsed="false">
      <c r="A1495" s="0" t="s">
        <v>740</v>
      </c>
      <c r="B1495" s="0" t="s">
        <v>2329</v>
      </c>
      <c r="C1495" s="0" t="s">
        <v>2330</v>
      </c>
      <c r="D1495" s="0" t="s">
        <v>98</v>
      </c>
      <c r="E1495" s="0" t="s">
        <v>826</v>
      </c>
    </row>
    <row r="1496" customFormat="false" ht="15" hidden="false" customHeight="false" outlineLevel="0" collapsed="false">
      <c r="A1496" s="0" t="s">
        <v>740</v>
      </c>
      <c r="B1496" s="0" t="s">
        <v>2331</v>
      </c>
      <c r="C1496" s="0" t="s">
        <v>2332</v>
      </c>
      <c r="D1496" s="0" t="s">
        <v>98</v>
      </c>
      <c r="E1496" s="0" t="s">
        <v>826</v>
      </c>
    </row>
    <row r="1497" customFormat="false" ht="15" hidden="false" customHeight="false" outlineLevel="0" collapsed="false">
      <c r="A1497" s="0" t="s">
        <v>740</v>
      </c>
      <c r="B1497" s="0" t="s">
        <v>2333</v>
      </c>
      <c r="C1497" s="0" t="s">
        <v>2334</v>
      </c>
      <c r="D1497" s="0" t="s">
        <v>98</v>
      </c>
      <c r="E1497" s="0" t="s">
        <v>826</v>
      </c>
    </row>
    <row r="1498" customFormat="false" ht="15" hidden="false" customHeight="false" outlineLevel="0" collapsed="false">
      <c r="A1498" s="0" t="s">
        <v>740</v>
      </c>
      <c r="B1498" s="0" t="s">
        <v>2335</v>
      </c>
      <c r="C1498" s="0" t="s">
        <v>2336</v>
      </c>
      <c r="D1498" s="0" t="s">
        <v>98</v>
      </c>
      <c r="E1498" s="0" t="s">
        <v>826</v>
      </c>
    </row>
    <row r="1499" customFormat="false" ht="15" hidden="false" customHeight="false" outlineLevel="0" collapsed="false">
      <c r="A1499" s="0" t="s">
        <v>740</v>
      </c>
      <c r="B1499" s="0" t="s">
        <v>2337</v>
      </c>
      <c r="C1499" s="0" t="s">
        <v>2338</v>
      </c>
      <c r="D1499" s="0" t="s">
        <v>98</v>
      </c>
      <c r="E1499" s="0" t="s">
        <v>826</v>
      </c>
    </row>
    <row r="1500" customFormat="false" ht="15" hidden="false" customHeight="false" outlineLevel="0" collapsed="false">
      <c r="A1500" s="0" t="s">
        <v>740</v>
      </c>
      <c r="B1500" s="0" t="s">
        <v>2339</v>
      </c>
      <c r="C1500" s="0" t="s">
        <v>2340</v>
      </c>
      <c r="D1500" s="0" t="s">
        <v>98</v>
      </c>
      <c r="E1500" s="0" t="s">
        <v>826</v>
      </c>
    </row>
    <row r="1501" customFormat="false" ht="15" hidden="false" customHeight="false" outlineLevel="0" collapsed="false">
      <c r="A1501" s="0" t="s">
        <v>740</v>
      </c>
      <c r="B1501" s="0" t="s">
        <v>2341</v>
      </c>
      <c r="C1501" s="0" t="s">
        <v>2342</v>
      </c>
      <c r="D1501" s="0" t="s">
        <v>98</v>
      </c>
      <c r="E1501" s="0" t="s">
        <v>826</v>
      </c>
    </row>
    <row r="1502" customFormat="false" ht="15" hidden="false" customHeight="false" outlineLevel="0" collapsed="false">
      <c r="A1502" s="0" t="s">
        <v>740</v>
      </c>
      <c r="B1502" s="0" t="s">
        <v>2343</v>
      </c>
      <c r="C1502" s="0" t="s">
        <v>2344</v>
      </c>
      <c r="D1502" s="0" t="s">
        <v>98</v>
      </c>
      <c r="E1502" s="0" t="s">
        <v>826</v>
      </c>
    </row>
    <row r="1503" customFormat="false" ht="15" hidden="false" customHeight="false" outlineLevel="0" collapsed="false">
      <c r="A1503" s="0" t="s">
        <v>740</v>
      </c>
      <c r="B1503" s="0" t="s">
        <v>2345</v>
      </c>
      <c r="C1503" s="0" t="s">
        <v>2346</v>
      </c>
      <c r="D1503" s="0" t="s">
        <v>98</v>
      </c>
      <c r="E1503" s="0" t="s">
        <v>826</v>
      </c>
    </row>
    <row r="1504" customFormat="false" ht="15" hidden="false" customHeight="false" outlineLevel="0" collapsed="false">
      <c r="A1504" s="0" t="s">
        <v>740</v>
      </c>
      <c r="B1504" s="0" t="s">
        <v>2347</v>
      </c>
      <c r="C1504" s="0" t="s">
        <v>2348</v>
      </c>
      <c r="D1504" s="0" t="s">
        <v>98</v>
      </c>
      <c r="E1504" s="0" t="s">
        <v>826</v>
      </c>
    </row>
    <row r="1505" customFormat="false" ht="15" hidden="false" customHeight="false" outlineLevel="0" collapsed="false">
      <c r="A1505" s="0" t="s">
        <v>740</v>
      </c>
      <c r="B1505" s="0" t="s">
        <v>2349</v>
      </c>
      <c r="C1505" s="0" t="s">
        <v>2350</v>
      </c>
      <c r="D1505" s="0" t="s">
        <v>98</v>
      </c>
      <c r="E1505" s="0" t="s">
        <v>826</v>
      </c>
    </row>
    <row r="1506" customFormat="false" ht="15" hidden="false" customHeight="false" outlineLevel="0" collapsed="false">
      <c r="A1506" s="0" t="s">
        <v>740</v>
      </c>
      <c r="B1506" s="0" t="s">
        <v>2351</v>
      </c>
      <c r="C1506" s="0" t="s">
        <v>2352</v>
      </c>
      <c r="D1506" s="0" t="s">
        <v>98</v>
      </c>
      <c r="E1506" s="0" t="s">
        <v>826</v>
      </c>
    </row>
    <row r="1507" customFormat="false" ht="15" hidden="false" customHeight="false" outlineLevel="0" collapsed="false">
      <c r="A1507" s="0" t="s">
        <v>740</v>
      </c>
      <c r="B1507" s="0" t="s">
        <v>2353</v>
      </c>
      <c r="C1507" s="0" t="s">
        <v>2354</v>
      </c>
      <c r="D1507" s="0" t="s">
        <v>98</v>
      </c>
      <c r="E1507" s="0" t="s">
        <v>826</v>
      </c>
    </row>
    <row r="1508" customFormat="false" ht="15" hidden="false" customHeight="false" outlineLevel="0" collapsed="false">
      <c r="A1508" s="0" t="s">
        <v>740</v>
      </c>
      <c r="B1508" s="0" t="s">
        <v>2355</v>
      </c>
      <c r="C1508" s="0" t="s">
        <v>2356</v>
      </c>
      <c r="D1508" s="0" t="s">
        <v>98</v>
      </c>
      <c r="E1508" s="0" t="s">
        <v>826</v>
      </c>
    </row>
    <row r="1509" customFormat="false" ht="15" hidden="false" customHeight="false" outlineLevel="0" collapsed="false">
      <c r="A1509" s="0" t="s">
        <v>740</v>
      </c>
      <c r="B1509" s="0" t="s">
        <v>2357</v>
      </c>
      <c r="C1509" s="0" t="s">
        <v>2358</v>
      </c>
      <c r="D1509" s="0" t="s">
        <v>98</v>
      </c>
      <c r="E1509" s="0" t="s">
        <v>826</v>
      </c>
    </row>
    <row r="1510" customFormat="false" ht="15" hidden="false" customHeight="false" outlineLevel="0" collapsed="false">
      <c r="A1510" s="0" t="s">
        <v>740</v>
      </c>
      <c r="B1510" s="0" t="s">
        <v>2359</v>
      </c>
      <c r="C1510" s="0" t="s">
        <v>2221</v>
      </c>
      <c r="D1510" s="0" t="s">
        <v>86</v>
      </c>
      <c r="E1510" s="0" t="s">
        <v>2360</v>
      </c>
    </row>
    <row r="1511" customFormat="false" ht="15" hidden="false" customHeight="false" outlineLevel="0" collapsed="false">
      <c r="A1511" s="0" t="s">
        <v>740</v>
      </c>
      <c r="B1511" s="0" t="s">
        <v>2361</v>
      </c>
      <c r="C1511" s="0" t="s">
        <v>620</v>
      </c>
      <c r="D1511" s="0" t="s">
        <v>86</v>
      </c>
      <c r="E1511" s="0" t="s">
        <v>2362</v>
      </c>
    </row>
    <row r="1512" customFormat="false" ht="15" hidden="false" customHeight="false" outlineLevel="0" collapsed="false">
      <c r="A1512" s="0" t="s">
        <v>740</v>
      </c>
      <c r="B1512" s="0" t="s">
        <v>2363</v>
      </c>
      <c r="C1512" s="0" t="s">
        <v>630</v>
      </c>
      <c r="D1512" s="0" t="s">
        <v>86</v>
      </c>
      <c r="E1512" s="0" t="s">
        <v>262</v>
      </c>
    </row>
    <row r="1513" customFormat="false" ht="15" hidden="false" customHeight="false" outlineLevel="0" collapsed="false">
      <c r="A1513" s="0" t="s">
        <v>740</v>
      </c>
      <c r="B1513" s="0" t="s">
        <v>2364</v>
      </c>
      <c r="C1513" s="0" t="s">
        <v>630</v>
      </c>
      <c r="D1513" s="0" t="s">
        <v>744</v>
      </c>
      <c r="E1513" s="0" t="s">
        <v>262</v>
      </c>
    </row>
    <row r="1514" customFormat="false" ht="15" hidden="false" customHeight="false" outlineLevel="0" collapsed="false">
      <c r="A1514" s="0" t="s">
        <v>740</v>
      </c>
      <c r="B1514" s="0" t="s">
        <v>2365</v>
      </c>
      <c r="C1514" s="0" t="s">
        <v>630</v>
      </c>
      <c r="D1514" s="0" t="s">
        <v>744</v>
      </c>
      <c r="E1514" s="0" t="s">
        <v>262</v>
      </c>
    </row>
    <row r="1515" customFormat="false" ht="15" hidden="false" customHeight="false" outlineLevel="0" collapsed="false">
      <c r="A1515" s="0" t="s">
        <v>740</v>
      </c>
      <c r="B1515" s="0" t="s">
        <v>2366</v>
      </c>
      <c r="C1515" s="0" t="s">
        <v>630</v>
      </c>
      <c r="D1515" s="0" t="s">
        <v>744</v>
      </c>
      <c r="E1515" s="0" t="s">
        <v>262</v>
      </c>
    </row>
    <row r="1516" customFormat="false" ht="15" hidden="false" customHeight="false" outlineLevel="0" collapsed="false">
      <c r="A1516" s="0" t="s">
        <v>740</v>
      </c>
      <c r="B1516" s="0" t="s">
        <v>2367</v>
      </c>
      <c r="C1516" s="0" t="s">
        <v>630</v>
      </c>
      <c r="D1516" s="0" t="s">
        <v>744</v>
      </c>
      <c r="E1516" s="0" t="s">
        <v>262</v>
      </c>
    </row>
    <row r="1517" customFormat="false" ht="15" hidden="false" customHeight="false" outlineLevel="0" collapsed="false">
      <c r="A1517" s="0" t="s">
        <v>740</v>
      </c>
      <c r="B1517" s="0" t="s">
        <v>2368</v>
      </c>
      <c r="C1517" s="0" t="s">
        <v>630</v>
      </c>
      <c r="D1517" s="0" t="s">
        <v>744</v>
      </c>
      <c r="E1517" s="0" t="s">
        <v>262</v>
      </c>
    </row>
    <row r="1518" customFormat="false" ht="15" hidden="false" customHeight="false" outlineLevel="0" collapsed="false">
      <c r="A1518" s="0" t="s">
        <v>740</v>
      </c>
      <c r="B1518" s="0" t="s">
        <v>2369</v>
      </c>
      <c r="C1518" s="0" t="s">
        <v>630</v>
      </c>
      <c r="D1518" s="0" t="s">
        <v>744</v>
      </c>
      <c r="E1518" s="0" t="s">
        <v>262</v>
      </c>
    </row>
    <row r="1519" customFormat="false" ht="15" hidden="false" customHeight="false" outlineLevel="0" collapsed="false">
      <c r="A1519" s="0" t="s">
        <v>740</v>
      </c>
      <c r="B1519" s="0" t="s">
        <v>2370</v>
      </c>
      <c r="C1519" s="0" t="s">
        <v>630</v>
      </c>
      <c r="D1519" s="0" t="s">
        <v>744</v>
      </c>
      <c r="E1519" s="0" t="s">
        <v>262</v>
      </c>
    </row>
    <row r="1520" customFormat="false" ht="15" hidden="false" customHeight="false" outlineLevel="0" collapsed="false">
      <c r="A1520" s="0" t="s">
        <v>740</v>
      </c>
      <c r="B1520" s="0" t="s">
        <v>2371</v>
      </c>
      <c r="C1520" s="0" t="s">
        <v>630</v>
      </c>
      <c r="D1520" s="0" t="s">
        <v>744</v>
      </c>
      <c r="E1520" s="0" t="s">
        <v>262</v>
      </c>
    </row>
    <row r="1521" customFormat="false" ht="15" hidden="false" customHeight="false" outlineLevel="0" collapsed="false">
      <c r="A1521" s="0" t="s">
        <v>740</v>
      </c>
      <c r="B1521" s="0" t="s">
        <v>2372</v>
      </c>
      <c r="C1521" s="0" t="s">
        <v>630</v>
      </c>
      <c r="D1521" s="0" t="s">
        <v>744</v>
      </c>
      <c r="E1521" s="0" t="s">
        <v>262</v>
      </c>
    </row>
    <row r="1522" customFormat="false" ht="15" hidden="false" customHeight="false" outlineLevel="0" collapsed="false">
      <c r="A1522" s="0" t="s">
        <v>740</v>
      </c>
      <c r="B1522" s="0" t="s">
        <v>2373</v>
      </c>
      <c r="C1522" s="0" t="s">
        <v>630</v>
      </c>
      <c r="D1522" s="0" t="s">
        <v>744</v>
      </c>
      <c r="E1522" s="0" t="s">
        <v>262</v>
      </c>
    </row>
    <row r="1523" customFormat="false" ht="15" hidden="false" customHeight="false" outlineLevel="0" collapsed="false">
      <c r="A1523" s="0" t="s">
        <v>740</v>
      </c>
      <c r="B1523" s="0" t="s">
        <v>2374</v>
      </c>
      <c r="C1523" s="0" t="s">
        <v>630</v>
      </c>
      <c r="D1523" s="0" t="s">
        <v>744</v>
      </c>
      <c r="E1523" s="0" t="s">
        <v>262</v>
      </c>
    </row>
    <row r="1524" customFormat="false" ht="15" hidden="false" customHeight="false" outlineLevel="0" collapsed="false">
      <c r="A1524" s="0" t="s">
        <v>740</v>
      </c>
      <c r="B1524" s="0" t="s">
        <v>2375</v>
      </c>
      <c r="C1524" s="0" t="s">
        <v>630</v>
      </c>
      <c r="D1524" s="0" t="s">
        <v>744</v>
      </c>
      <c r="E1524" s="0" t="s">
        <v>262</v>
      </c>
    </row>
    <row r="1525" customFormat="false" ht="15" hidden="false" customHeight="false" outlineLevel="0" collapsed="false">
      <c r="A1525" s="0" t="s">
        <v>740</v>
      </c>
      <c r="B1525" s="0" t="s">
        <v>2376</v>
      </c>
      <c r="C1525" s="0" t="s">
        <v>630</v>
      </c>
      <c r="D1525" s="0" t="s">
        <v>744</v>
      </c>
      <c r="E1525" s="0" t="s">
        <v>262</v>
      </c>
    </row>
    <row r="1526" customFormat="false" ht="15" hidden="false" customHeight="false" outlineLevel="0" collapsed="false">
      <c r="A1526" s="0" t="s">
        <v>740</v>
      </c>
      <c r="B1526" s="0" t="s">
        <v>2377</v>
      </c>
      <c r="C1526" s="0" t="s">
        <v>630</v>
      </c>
      <c r="D1526" s="0" t="s">
        <v>744</v>
      </c>
      <c r="E1526" s="0" t="s">
        <v>262</v>
      </c>
    </row>
    <row r="1527" customFormat="false" ht="15" hidden="false" customHeight="false" outlineLevel="0" collapsed="false">
      <c r="A1527" s="0" t="s">
        <v>740</v>
      </c>
      <c r="B1527" s="0" t="s">
        <v>2378</v>
      </c>
      <c r="C1527" s="0" t="s">
        <v>630</v>
      </c>
      <c r="D1527" s="0" t="s">
        <v>744</v>
      </c>
      <c r="E1527" s="0" t="s">
        <v>262</v>
      </c>
    </row>
    <row r="1528" customFormat="false" ht="15" hidden="false" customHeight="false" outlineLevel="0" collapsed="false">
      <c r="A1528" s="0" t="s">
        <v>740</v>
      </c>
      <c r="B1528" s="0" t="s">
        <v>2379</v>
      </c>
      <c r="C1528" s="0" t="s">
        <v>630</v>
      </c>
      <c r="D1528" s="0" t="s">
        <v>744</v>
      </c>
      <c r="E1528" s="0" t="s">
        <v>262</v>
      </c>
    </row>
    <row r="1529" customFormat="false" ht="15" hidden="false" customHeight="false" outlineLevel="0" collapsed="false">
      <c r="A1529" s="0" t="s">
        <v>740</v>
      </c>
      <c r="B1529" s="0" t="s">
        <v>2380</v>
      </c>
      <c r="C1529" s="0" t="s">
        <v>630</v>
      </c>
      <c r="D1529" s="0" t="s">
        <v>744</v>
      </c>
      <c r="E1529" s="0" t="s">
        <v>262</v>
      </c>
    </row>
    <row r="1530" customFormat="false" ht="15" hidden="false" customHeight="false" outlineLevel="0" collapsed="false">
      <c r="A1530" s="0" t="s">
        <v>740</v>
      </c>
      <c r="B1530" s="0" t="s">
        <v>2381</v>
      </c>
      <c r="C1530" s="0" t="s">
        <v>630</v>
      </c>
      <c r="D1530" s="0" t="s">
        <v>744</v>
      </c>
      <c r="E1530" s="0" t="s">
        <v>262</v>
      </c>
    </row>
    <row r="1531" customFormat="false" ht="15" hidden="false" customHeight="false" outlineLevel="0" collapsed="false">
      <c r="A1531" s="0" t="s">
        <v>740</v>
      </c>
      <c r="B1531" s="0" t="s">
        <v>2382</v>
      </c>
      <c r="C1531" s="0" t="s">
        <v>762</v>
      </c>
      <c r="D1531" s="0" t="s">
        <v>98</v>
      </c>
      <c r="E1531" s="0" t="s">
        <v>763</v>
      </c>
    </row>
    <row r="1532" customFormat="false" ht="15" hidden="false" customHeight="false" outlineLevel="0" collapsed="false">
      <c r="A1532" s="0" t="s">
        <v>740</v>
      </c>
      <c r="B1532" s="0" t="s">
        <v>2383</v>
      </c>
      <c r="C1532" s="0" t="s">
        <v>762</v>
      </c>
      <c r="D1532" s="0" t="s">
        <v>98</v>
      </c>
      <c r="E1532" s="0" t="s">
        <v>763</v>
      </c>
    </row>
    <row r="1533" customFormat="false" ht="15" hidden="false" customHeight="false" outlineLevel="0" collapsed="false">
      <c r="A1533" s="0" t="s">
        <v>740</v>
      </c>
      <c r="B1533" s="0" t="s">
        <v>2384</v>
      </c>
      <c r="C1533" s="0" t="s">
        <v>762</v>
      </c>
      <c r="D1533" s="0" t="s">
        <v>98</v>
      </c>
      <c r="E1533" s="0" t="s">
        <v>763</v>
      </c>
    </row>
    <row r="1534" customFormat="false" ht="15" hidden="false" customHeight="false" outlineLevel="0" collapsed="false">
      <c r="A1534" s="0" t="s">
        <v>740</v>
      </c>
      <c r="B1534" s="0" t="s">
        <v>2385</v>
      </c>
      <c r="C1534" s="0" t="s">
        <v>762</v>
      </c>
      <c r="D1534" s="0" t="s">
        <v>98</v>
      </c>
      <c r="E1534" s="0" t="s">
        <v>763</v>
      </c>
    </row>
    <row r="1535" customFormat="false" ht="15" hidden="false" customHeight="false" outlineLevel="0" collapsed="false">
      <c r="A1535" s="0" t="s">
        <v>740</v>
      </c>
      <c r="B1535" s="0" t="s">
        <v>2386</v>
      </c>
      <c r="C1535" s="0" t="s">
        <v>762</v>
      </c>
      <c r="D1535" s="0" t="s">
        <v>98</v>
      </c>
      <c r="E1535" s="0" t="s">
        <v>763</v>
      </c>
    </row>
    <row r="1536" customFormat="false" ht="15" hidden="false" customHeight="false" outlineLevel="0" collapsed="false">
      <c r="A1536" s="0" t="s">
        <v>740</v>
      </c>
      <c r="B1536" s="0" t="s">
        <v>2387</v>
      </c>
      <c r="C1536" s="0" t="s">
        <v>762</v>
      </c>
      <c r="D1536" s="0" t="s">
        <v>98</v>
      </c>
      <c r="E1536" s="0" t="s">
        <v>763</v>
      </c>
    </row>
    <row r="1537" customFormat="false" ht="15" hidden="false" customHeight="false" outlineLevel="0" collapsed="false">
      <c r="A1537" s="0" t="s">
        <v>740</v>
      </c>
      <c r="B1537" s="0" t="s">
        <v>2388</v>
      </c>
      <c r="C1537" s="0" t="s">
        <v>762</v>
      </c>
      <c r="D1537" s="0" t="s">
        <v>98</v>
      </c>
      <c r="E1537" s="0" t="s">
        <v>763</v>
      </c>
    </row>
    <row r="1538" customFormat="false" ht="15" hidden="false" customHeight="false" outlineLevel="0" collapsed="false">
      <c r="A1538" s="0" t="s">
        <v>740</v>
      </c>
      <c r="B1538" s="0" t="s">
        <v>2389</v>
      </c>
      <c r="C1538" s="0" t="s">
        <v>762</v>
      </c>
      <c r="D1538" s="0" t="s">
        <v>98</v>
      </c>
      <c r="E1538" s="0" t="s">
        <v>763</v>
      </c>
    </row>
    <row r="1539" customFormat="false" ht="15" hidden="false" customHeight="false" outlineLevel="0" collapsed="false">
      <c r="A1539" s="0" t="s">
        <v>740</v>
      </c>
      <c r="B1539" s="0" t="s">
        <v>2390</v>
      </c>
      <c r="C1539" s="0" t="s">
        <v>762</v>
      </c>
      <c r="D1539" s="0" t="s">
        <v>98</v>
      </c>
      <c r="E1539" s="0" t="s">
        <v>763</v>
      </c>
    </row>
    <row r="1540" customFormat="false" ht="15" hidden="false" customHeight="false" outlineLevel="0" collapsed="false">
      <c r="A1540" s="0" t="s">
        <v>740</v>
      </c>
      <c r="B1540" s="0" t="s">
        <v>2391</v>
      </c>
      <c r="C1540" s="0" t="s">
        <v>762</v>
      </c>
      <c r="D1540" s="0" t="s">
        <v>98</v>
      </c>
      <c r="E1540" s="0" t="s">
        <v>763</v>
      </c>
    </row>
    <row r="1541" customFormat="false" ht="15" hidden="false" customHeight="false" outlineLevel="0" collapsed="false">
      <c r="A1541" s="0" t="s">
        <v>740</v>
      </c>
      <c r="B1541" s="0" t="s">
        <v>2392</v>
      </c>
      <c r="C1541" s="0" t="s">
        <v>762</v>
      </c>
      <c r="D1541" s="0" t="s">
        <v>98</v>
      </c>
      <c r="E1541" s="0" t="s">
        <v>763</v>
      </c>
    </row>
    <row r="1542" customFormat="false" ht="15" hidden="false" customHeight="false" outlineLevel="0" collapsed="false">
      <c r="A1542" s="0" t="s">
        <v>740</v>
      </c>
      <c r="B1542" s="0" t="s">
        <v>2393</v>
      </c>
      <c r="C1542" s="0" t="s">
        <v>762</v>
      </c>
      <c r="D1542" s="0" t="s">
        <v>93</v>
      </c>
      <c r="E1542" s="0" t="s">
        <v>2394</v>
      </c>
    </row>
    <row r="1543" customFormat="false" ht="15" hidden="false" customHeight="false" outlineLevel="0" collapsed="false">
      <c r="A1543" s="0" t="s">
        <v>740</v>
      </c>
      <c r="B1543" s="0" t="s">
        <v>2395</v>
      </c>
      <c r="C1543" s="0" t="s">
        <v>2396</v>
      </c>
      <c r="D1543" s="0" t="s">
        <v>93</v>
      </c>
      <c r="E1543" s="0" t="s">
        <v>2397</v>
      </c>
    </row>
    <row r="1544" customFormat="false" ht="15" hidden="false" customHeight="false" outlineLevel="0" collapsed="false">
      <c r="A1544" s="0" t="s">
        <v>740</v>
      </c>
      <c r="B1544" s="0" t="s">
        <v>2398</v>
      </c>
      <c r="C1544" s="0" t="s">
        <v>2396</v>
      </c>
      <c r="D1544" s="0" t="s">
        <v>93</v>
      </c>
      <c r="E1544" s="0" t="s">
        <v>2260</v>
      </c>
    </row>
    <row r="1545" customFormat="false" ht="15" hidden="false" customHeight="false" outlineLevel="0" collapsed="false">
      <c r="A1545" s="0" t="s">
        <v>740</v>
      </c>
      <c r="B1545" s="0" t="s">
        <v>2399</v>
      </c>
      <c r="C1545" s="0" t="s">
        <v>630</v>
      </c>
      <c r="D1545" s="0" t="s">
        <v>93</v>
      </c>
    </row>
    <row r="1546" customFormat="false" ht="15" hidden="false" customHeight="false" outlineLevel="0" collapsed="false">
      <c r="A1546" s="0" t="s">
        <v>740</v>
      </c>
      <c r="B1546" s="0" t="s">
        <v>2400</v>
      </c>
      <c r="C1546" s="0" t="s">
        <v>630</v>
      </c>
      <c r="D1546" s="0" t="s">
        <v>93</v>
      </c>
      <c r="E1546" s="0" t="s">
        <v>2401</v>
      </c>
    </row>
    <row r="1547" customFormat="false" ht="15" hidden="false" customHeight="false" outlineLevel="0" collapsed="false">
      <c r="A1547" s="0" t="s">
        <v>740</v>
      </c>
      <c r="B1547" s="0" t="s">
        <v>2402</v>
      </c>
      <c r="C1547" s="0" t="s">
        <v>630</v>
      </c>
      <c r="D1547" s="0" t="s">
        <v>93</v>
      </c>
      <c r="E1547" s="0" t="s">
        <v>2401</v>
      </c>
    </row>
    <row r="1548" customFormat="false" ht="15" hidden="false" customHeight="false" outlineLevel="0" collapsed="false">
      <c r="A1548" s="0" t="s">
        <v>740</v>
      </c>
      <c r="B1548" s="0" t="s">
        <v>2403</v>
      </c>
      <c r="C1548" s="0" t="s">
        <v>630</v>
      </c>
      <c r="D1548" s="0" t="s">
        <v>93</v>
      </c>
      <c r="E1548" s="0" t="s">
        <v>2401</v>
      </c>
    </row>
    <row r="1549" customFormat="false" ht="15" hidden="false" customHeight="false" outlineLevel="0" collapsed="false">
      <c r="A1549" s="0" t="s">
        <v>740</v>
      </c>
      <c r="B1549" s="0" t="s">
        <v>2404</v>
      </c>
      <c r="C1549" s="0" t="s">
        <v>630</v>
      </c>
      <c r="D1549" s="0" t="s">
        <v>93</v>
      </c>
      <c r="E1549" s="0" t="s">
        <v>2401</v>
      </c>
    </row>
    <row r="1550" customFormat="false" ht="15" hidden="false" customHeight="false" outlineLevel="0" collapsed="false">
      <c r="A1550" s="0" t="s">
        <v>740</v>
      </c>
      <c r="B1550" s="0" t="s">
        <v>2405</v>
      </c>
      <c r="C1550" s="0" t="s">
        <v>630</v>
      </c>
      <c r="D1550" s="0" t="s">
        <v>93</v>
      </c>
      <c r="E1550" s="0" t="s">
        <v>2401</v>
      </c>
    </row>
    <row r="1551" customFormat="false" ht="15" hidden="false" customHeight="false" outlineLevel="0" collapsed="false">
      <c r="A1551" s="0" t="s">
        <v>740</v>
      </c>
      <c r="B1551" s="0" t="s">
        <v>2406</v>
      </c>
      <c r="C1551" s="0" t="s">
        <v>630</v>
      </c>
      <c r="D1551" s="0" t="s">
        <v>93</v>
      </c>
      <c r="E1551" s="0" t="s">
        <v>2401</v>
      </c>
    </row>
    <row r="1552" customFormat="false" ht="15" hidden="false" customHeight="false" outlineLevel="0" collapsed="false">
      <c r="A1552" s="0" t="s">
        <v>740</v>
      </c>
      <c r="B1552" s="0" t="s">
        <v>2407</v>
      </c>
      <c r="C1552" s="0" t="s">
        <v>630</v>
      </c>
      <c r="D1552" s="0" t="s">
        <v>93</v>
      </c>
      <c r="E1552" s="0" t="s">
        <v>2401</v>
      </c>
    </row>
    <row r="1553" customFormat="false" ht="15" hidden="false" customHeight="false" outlineLevel="0" collapsed="false">
      <c r="A1553" s="0" t="s">
        <v>740</v>
      </c>
      <c r="B1553" s="0" t="s">
        <v>2408</v>
      </c>
      <c r="C1553" s="0" t="s">
        <v>630</v>
      </c>
      <c r="D1553" s="0" t="s">
        <v>93</v>
      </c>
      <c r="E1553" s="0" t="s">
        <v>2401</v>
      </c>
    </row>
    <row r="1554" customFormat="false" ht="15" hidden="false" customHeight="false" outlineLevel="0" collapsed="false">
      <c r="A1554" s="0" t="s">
        <v>740</v>
      </c>
      <c r="B1554" s="0" t="s">
        <v>2409</v>
      </c>
      <c r="C1554" s="0" t="s">
        <v>630</v>
      </c>
      <c r="D1554" s="0" t="s">
        <v>93</v>
      </c>
      <c r="E1554" s="0" t="s">
        <v>2401</v>
      </c>
    </row>
    <row r="1555" customFormat="false" ht="15" hidden="false" customHeight="false" outlineLevel="0" collapsed="false">
      <c r="A1555" s="0" t="s">
        <v>740</v>
      </c>
      <c r="B1555" s="0" t="s">
        <v>2410</v>
      </c>
      <c r="C1555" s="0" t="s">
        <v>630</v>
      </c>
      <c r="D1555" s="0" t="s">
        <v>93</v>
      </c>
      <c r="E1555" s="0" t="s">
        <v>2401</v>
      </c>
    </row>
    <row r="1556" customFormat="false" ht="15" hidden="false" customHeight="false" outlineLevel="0" collapsed="false">
      <c r="A1556" s="0" t="s">
        <v>740</v>
      </c>
      <c r="B1556" s="0" t="s">
        <v>2411</v>
      </c>
      <c r="C1556" s="0" t="s">
        <v>630</v>
      </c>
      <c r="D1556" s="0" t="s">
        <v>93</v>
      </c>
      <c r="E1556" s="0" t="s">
        <v>2401</v>
      </c>
    </row>
    <row r="1557" customFormat="false" ht="15" hidden="false" customHeight="false" outlineLevel="0" collapsed="false">
      <c r="A1557" s="0" t="s">
        <v>740</v>
      </c>
      <c r="B1557" s="0" t="s">
        <v>2412</v>
      </c>
      <c r="C1557" s="0" t="s">
        <v>630</v>
      </c>
      <c r="D1557" s="0" t="s">
        <v>93</v>
      </c>
      <c r="E1557" s="0" t="s">
        <v>2401</v>
      </c>
    </row>
    <row r="1558" customFormat="false" ht="15" hidden="false" customHeight="false" outlineLevel="0" collapsed="false">
      <c r="A1558" s="0" t="s">
        <v>740</v>
      </c>
      <c r="B1558" s="0" t="s">
        <v>2413</v>
      </c>
      <c r="C1558" s="0" t="s">
        <v>630</v>
      </c>
      <c r="D1558" s="0" t="s">
        <v>93</v>
      </c>
      <c r="E1558" s="0" t="s">
        <v>2401</v>
      </c>
    </row>
    <row r="1559" customFormat="false" ht="15" hidden="false" customHeight="false" outlineLevel="0" collapsed="false">
      <c r="A1559" s="0" t="s">
        <v>740</v>
      </c>
      <c r="B1559" s="0" t="s">
        <v>2414</v>
      </c>
      <c r="C1559" s="0" t="s">
        <v>762</v>
      </c>
      <c r="D1559" s="0" t="s">
        <v>98</v>
      </c>
      <c r="E1559" s="0" t="s">
        <v>763</v>
      </c>
    </row>
    <row r="1560" customFormat="false" ht="15" hidden="false" customHeight="false" outlineLevel="0" collapsed="false">
      <c r="A1560" s="0" t="s">
        <v>740</v>
      </c>
      <c r="B1560" s="0" t="s">
        <v>2415</v>
      </c>
      <c r="C1560" s="0" t="s">
        <v>762</v>
      </c>
      <c r="D1560" s="0" t="s">
        <v>98</v>
      </c>
      <c r="E1560" s="0" t="s">
        <v>763</v>
      </c>
    </row>
    <row r="1561" customFormat="false" ht="15" hidden="false" customHeight="false" outlineLevel="0" collapsed="false">
      <c r="A1561" s="0" t="s">
        <v>740</v>
      </c>
      <c r="B1561" s="0" t="s">
        <v>2416</v>
      </c>
      <c r="C1561" s="0" t="s">
        <v>762</v>
      </c>
      <c r="D1561" s="0" t="s">
        <v>98</v>
      </c>
      <c r="E1561" s="0" t="s">
        <v>763</v>
      </c>
    </row>
    <row r="1562" customFormat="false" ht="15" hidden="false" customHeight="false" outlineLevel="0" collapsed="false">
      <c r="A1562" s="0" t="s">
        <v>740</v>
      </c>
      <c r="B1562" s="0" t="s">
        <v>2417</v>
      </c>
      <c r="C1562" s="0" t="s">
        <v>762</v>
      </c>
      <c r="D1562" s="0" t="s">
        <v>98</v>
      </c>
      <c r="E1562" s="0" t="s">
        <v>763</v>
      </c>
    </row>
    <row r="1563" customFormat="false" ht="15" hidden="false" customHeight="false" outlineLevel="0" collapsed="false">
      <c r="A1563" s="0" t="s">
        <v>740</v>
      </c>
      <c r="B1563" s="0" t="s">
        <v>2418</v>
      </c>
      <c r="C1563" s="0" t="s">
        <v>762</v>
      </c>
      <c r="D1563" s="0" t="s">
        <v>98</v>
      </c>
      <c r="E1563" s="0" t="s">
        <v>763</v>
      </c>
    </row>
    <row r="1564" customFormat="false" ht="15" hidden="false" customHeight="false" outlineLevel="0" collapsed="false">
      <c r="A1564" s="0" t="s">
        <v>740</v>
      </c>
      <c r="B1564" s="0" t="s">
        <v>2419</v>
      </c>
      <c r="C1564" s="0" t="s">
        <v>762</v>
      </c>
      <c r="D1564" s="0" t="s">
        <v>98</v>
      </c>
      <c r="E1564" s="0" t="s">
        <v>763</v>
      </c>
    </row>
    <row r="1565" customFormat="false" ht="15" hidden="false" customHeight="false" outlineLevel="0" collapsed="false">
      <c r="A1565" s="0" t="s">
        <v>740</v>
      </c>
      <c r="B1565" s="0" t="s">
        <v>2420</v>
      </c>
      <c r="C1565" s="0" t="s">
        <v>762</v>
      </c>
      <c r="D1565" s="0" t="s">
        <v>98</v>
      </c>
      <c r="E1565" s="0" t="s">
        <v>763</v>
      </c>
    </row>
    <row r="1566" customFormat="false" ht="15" hidden="false" customHeight="false" outlineLevel="0" collapsed="false">
      <c r="A1566" s="0" t="s">
        <v>740</v>
      </c>
      <c r="B1566" s="0" t="s">
        <v>2421</v>
      </c>
      <c r="C1566" s="0" t="s">
        <v>762</v>
      </c>
      <c r="D1566" s="0" t="s">
        <v>98</v>
      </c>
      <c r="E1566" s="0" t="s">
        <v>763</v>
      </c>
    </row>
    <row r="1567" customFormat="false" ht="15" hidden="false" customHeight="false" outlineLevel="0" collapsed="false">
      <c r="A1567" s="0" t="s">
        <v>740</v>
      </c>
      <c r="B1567" s="0" t="s">
        <v>2422</v>
      </c>
      <c r="C1567" s="0" t="s">
        <v>762</v>
      </c>
      <c r="D1567" s="0" t="s">
        <v>98</v>
      </c>
      <c r="E1567" s="0" t="s">
        <v>763</v>
      </c>
    </row>
    <row r="1568" customFormat="false" ht="15" hidden="false" customHeight="false" outlineLevel="0" collapsed="false">
      <c r="A1568" s="0" t="s">
        <v>740</v>
      </c>
      <c r="B1568" s="0" t="s">
        <v>2423</v>
      </c>
      <c r="C1568" s="0" t="s">
        <v>762</v>
      </c>
      <c r="D1568" s="0" t="s">
        <v>98</v>
      </c>
      <c r="E1568" s="0" t="s">
        <v>763</v>
      </c>
    </row>
    <row r="1569" customFormat="false" ht="15" hidden="false" customHeight="false" outlineLevel="0" collapsed="false">
      <c r="A1569" s="0" t="s">
        <v>740</v>
      </c>
      <c r="B1569" s="0" t="s">
        <v>2424</v>
      </c>
      <c r="C1569" s="0" t="s">
        <v>762</v>
      </c>
      <c r="D1569" s="0" t="s">
        <v>98</v>
      </c>
      <c r="E1569" s="0" t="s">
        <v>763</v>
      </c>
    </row>
    <row r="1570" customFormat="false" ht="15" hidden="false" customHeight="false" outlineLevel="0" collapsed="false">
      <c r="A1570" s="0" t="s">
        <v>740</v>
      </c>
      <c r="B1570" s="0" t="s">
        <v>2425</v>
      </c>
      <c r="C1570" s="0" t="s">
        <v>2396</v>
      </c>
      <c r="D1570" s="0" t="s">
        <v>93</v>
      </c>
      <c r="E1570" s="0" t="s">
        <v>2394</v>
      </c>
    </row>
    <row r="1571" customFormat="false" ht="15" hidden="false" customHeight="false" outlineLevel="0" collapsed="false">
      <c r="A1571" s="0" t="s">
        <v>740</v>
      </c>
      <c r="B1571" s="0" t="s">
        <v>2426</v>
      </c>
      <c r="C1571" s="0" t="s">
        <v>630</v>
      </c>
      <c r="D1571" s="0" t="s">
        <v>93</v>
      </c>
      <c r="E1571" s="0" t="s">
        <v>2397</v>
      </c>
    </row>
    <row r="1572" customFormat="false" ht="15" hidden="false" customHeight="false" outlineLevel="0" collapsed="false">
      <c r="A1572" s="0" t="s">
        <v>740</v>
      </c>
      <c r="B1572" s="0" t="s">
        <v>2427</v>
      </c>
      <c r="C1572" s="0" t="s">
        <v>630</v>
      </c>
      <c r="D1572" s="0" t="s">
        <v>93</v>
      </c>
      <c r="E1572" s="0" t="s">
        <v>2260</v>
      </c>
    </row>
    <row r="1573" customFormat="false" ht="15" hidden="false" customHeight="false" outlineLevel="0" collapsed="false">
      <c r="A1573" s="0" t="s">
        <v>740</v>
      </c>
      <c r="B1573" s="0" t="s">
        <v>2428</v>
      </c>
      <c r="C1573" s="0" t="s">
        <v>630</v>
      </c>
      <c r="D1573" s="0" t="s">
        <v>93</v>
      </c>
    </row>
    <row r="1574" customFormat="false" ht="15" hidden="false" customHeight="false" outlineLevel="0" collapsed="false">
      <c r="A1574" s="0" t="s">
        <v>740</v>
      </c>
      <c r="B1574" s="0" t="s">
        <v>2429</v>
      </c>
      <c r="C1574" s="0" t="s">
        <v>630</v>
      </c>
      <c r="D1574" s="0" t="s">
        <v>93</v>
      </c>
      <c r="E1574" s="0" t="s">
        <v>2401</v>
      </c>
    </row>
    <row r="1575" customFormat="false" ht="15" hidden="false" customHeight="false" outlineLevel="0" collapsed="false">
      <c r="A1575" s="0" t="s">
        <v>740</v>
      </c>
      <c r="B1575" s="0" t="s">
        <v>2430</v>
      </c>
      <c r="C1575" s="0" t="s">
        <v>630</v>
      </c>
      <c r="D1575" s="0" t="s">
        <v>93</v>
      </c>
      <c r="E1575" s="0" t="s">
        <v>2401</v>
      </c>
    </row>
    <row r="1576" customFormat="false" ht="15" hidden="false" customHeight="false" outlineLevel="0" collapsed="false">
      <c r="A1576" s="0" t="s">
        <v>740</v>
      </c>
      <c r="B1576" s="0" t="s">
        <v>2431</v>
      </c>
      <c r="C1576" s="0" t="s">
        <v>630</v>
      </c>
      <c r="D1576" s="0" t="s">
        <v>93</v>
      </c>
      <c r="E1576" s="0" t="s">
        <v>2401</v>
      </c>
    </row>
    <row r="1577" customFormat="false" ht="15" hidden="false" customHeight="false" outlineLevel="0" collapsed="false">
      <c r="A1577" s="0" t="s">
        <v>740</v>
      </c>
      <c r="B1577" s="0" t="s">
        <v>2432</v>
      </c>
      <c r="C1577" s="0" t="s">
        <v>630</v>
      </c>
      <c r="D1577" s="0" t="s">
        <v>93</v>
      </c>
      <c r="E1577" s="0" t="s">
        <v>2401</v>
      </c>
    </row>
    <row r="1578" customFormat="false" ht="15" hidden="false" customHeight="false" outlineLevel="0" collapsed="false">
      <c r="A1578" s="0" t="s">
        <v>740</v>
      </c>
      <c r="B1578" s="0" t="s">
        <v>2433</v>
      </c>
      <c r="C1578" s="0" t="s">
        <v>630</v>
      </c>
      <c r="D1578" s="0" t="s">
        <v>93</v>
      </c>
      <c r="E1578" s="0" t="s">
        <v>2401</v>
      </c>
    </row>
    <row r="1579" customFormat="false" ht="15" hidden="false" customHeight="false" outlineLevel="0" collapsed="false">
      <c r="A1579" s="0" t="s">
        <v>740</v>
      </c>
      <c r="B1579" s="0" t="s">
        <v>2434</v>
      </c>
      <c r="C1579" s="0" t="s">
        <v>630</v>
      </c>
      <c r="D1579" s="0" t="s">
        <v>93</v>
      </c>
      <c r="E1579" s="0" t="s">
        <v>2401</v>
      </c>
    </row>
    <row r="1580" customFormat="false" ht="15" hidden="false" customHeight="false" outlineLevel="0" collapsed="false">
      <c r="A1580" s="0" t="s">
        <v>740</v>
      </c>
      <c r="B1580" s="0" t="s">
        <v>2435</v>
      </c>
      <c r="C1580" s="0" t="s">
        <v>630</v>
      </c>
      <c r="D1580" s="0" t="s">
        <v>93</v>
      </c>
      <c r="E1580" s="0" t="s">
        <v>2401</v>
      </c>
    </row>
    <row r="1581" customFormat="false" ht="15" hidden="false" customHeight="false" outlineLevel="0" collapsed="false">
      <c r="A1581" s="0" t="s">
        <v>740</v>
      </c>
      <c r="B1581" s="0" t="s">
        <v>2436</v>
      </c>
      <c r="C1581" s="0" t="s">
        <v>630</v>
      </c>
      <c r="D1581" s="0" t="s">
        <v>93</v>
      </c>
      <c r="E1581" s="0" t="s">
        <v>2401</v>
      </c>
    </row>
    <row r="1582" customFormat="false" ht="15" hidden="false" customHeight="false" outlineLevel="0" collapsed="false">
      <c r="A1582" s="0" t="s">
        <v>740</v>
      </c>
      <c r="B1582" s="0" t="s">
        <v>2437</v>
      </c>
      <c r="C1582" s="0" t="s">
        <v>630</v>
      </c>
      <c r="D1582" s="0" t="s">
        <v>93</v>
      </c>
      <c r="E1582" s="0" t="s">
        <v>2401</v>
      </c>
    </row>
    <row r="1583" customFormat="false" ht="15" hidden="false" customHeight="false" outlineLevel="0" collapsed="false">
      <c r="A1583" s="0" t="s">
        <v>740</v>
      </c>
      <c r="B1583" s="0" t="s">
        <v>2438</v>
      </c>
      <c r="C1583" s="0" t="s">
        <v>630</v>
      </c>
      <c r="D1583" s="0" t="s">
        <v>93</v>
      </c>
      <c r="E1583" s="0" t="s">
        <v>2401</v>
      </c>
    </row>
    <row r="1584" customFormat="false" ht="15" hidden="false" customHeight="false" outlineLevel="0" collapsed="false">
      <c r="A1584" s="0" t="s">
        <v>740</v>
      </c>
      <c r="B1584" s="0" t="s">
        <v>2439</v>
      </c>
      <c r="C1584" s="0" t="s">
        <v>630</v>
      </c>
      <c r="D1584" s="0" t="s">
        <v>93</v>
      </c>
      <c r="E1584" s="0" t="s">
        <v>2401</v>
      </c>
    </row>
    <row r="1585" customFormat="false" ht="15" hidden="false" customHeight="false" outlineLevel="0" collapsed="false">
      <c r="A1585" s="0" t="s">
        <v>740</v>
      </c>
      <c r="B1585" s="0" t="s">
        <v>2440</v>
      </c>
      <c r="C1585" s="0" t="s">
        <v>630</v>
      </c>
      <c r="D1585" s="0" t="s">
        <v>93</v>
      </c>
      <c r="E1585" s="0" t="s">
        <v>2401</v>
      </c>
    </row>
    <row r="1586" customFormat="false" ht="15" hidden="false" customHeight="false" outlineLevel="0" collapsed="false">
      <c r="A1586" s="0" t="s">
        <v>740</v>
      </c>
      <c r="B1586" s="0" t="s">
        <v>2441</v>
      </c>
      <c r="C1586" s="0" t="s">
        <v>630</v>
      </c>
      <c r="D1586" s="0" t="s">
        <v>93</v>
      </c>
      <c r="E1586" s="0" t="s">
        <v>2401</v>
      </c>
    </row>
    <row r="1587" customFormat="false" ht="15" hidden="false" customHeight="false" outlineLevel="0" collapsed="false">
      <c r="A1587" s="0" t="s">
        <v>740</v>
      </c>
      <c r="B1587" s="0" t="s">
        <v>2442</v>
      </c>
      <c r="C1587" s="0" t="s">
        <v>2443</v>
      </c>
      <c r="D1587" s="0" t="s">
        <v>98</v>
      </c>
      <c r="E1587" s="0" t="s">
        <v>826</v>
      </c>
    </row>
    <row r="1588" customFormat="false" ht="15" hidden="false" customHeight="false" outlineLevel="0" collapsed="false">
      <c r="A1588" s="0" t="s">
        <v>740</v>
      </c>
      <c r="B1588" s="0" t="s">
        <v>2444</v>
      </c>
      <c r="C1588" s="0" t="s">
        <v>2445</v>
      </c>
      <c r="D1588" s="0" t="s">
        <v>98</v>
      </c>
      <c r="E1588" s="0" t="s">
        <v>826</v>
      </c>
    </row>
    <row r="1589" customFormat="false" ht="15" hidden="false" customHeight="false" outlineLevel="0" collapsed="false">
      <c r="A1589" s="0" t="s">
        <v>740</v>
      </c>
      <c r="B1589" s="0" t="s">
        <v>2446</v>
      </c>
      <c r="C1589" s="0" t="s">
        <v>2447</v>
      </c>
      <c r="D1589" s="0" t="s">
        <v>98</v>
      </c>
      <c r="E1589" s="0" t="s">
        <v>826</v>
      </c>
    </row>
    <row r="1590" customFormat="false" ht="15" hidden="false" customHeight="false" outlineLevel="0" collapsed="false">
      <c r="A1590" s="0" t="s">
        <v>740</v>
      </c>
      <c r="B1590" s="0" t="s">
        <v>2448</v>
      </c>
      <c r="C1590" s="0" t="s">
        <v>2449</v>
      </c>
      <c r="D1590" s="0" t="s">
        <v>98</v>
      </c>
      <c r="E1590" s="0" t="s">
        <v>826</v>
      </c>
    </row>
    <row r="1591" customFormat="false" ht="15" hidden="false" customHeight="false" outlineLevel="0" collapsed="false">
      <c r="A1591" s="0" t="s">
        <v>740</v>
      </c>
      <c r="B1591" s="0" t="s">
        <v>2450</v>
      </c>
      <c r="C1591" s="0" t="s">
        <v>2451</v>
      </c>
      <c r="D1591" s="0" t="s">
        <v>98</v>
      </c>
      <c r="E1591" s="0" t="s">
        <v>826</v>
      </c>
    </row>
    <row r="1592" customFormat="false" ht="15" hidden="false" customHeight="false" outlineLevel="0" collapsed="false">
      <c r="A1592" s="0" t="s">
        <v>740</v>
      </c>
      <c r="B1592" s="0" t="s">
        <v>2452</v>
      </c>
      <c r="C1592" s="0" t="s">
        <v>2453</v>
      </c>
      <c r="D1592" s="0" t="s">
        <v>98</v>
      </c>
      <c r="E1592" s="0" t="s">
        <v>826</v>
      </c>
    </row>
    <row r="1593" customFormat="false" ht="15" hidden="false" customHeight="false" outlineLevel="0" collapsed="false">
      <c r="A1593" s="0" t="s">
        <v>740</v>
      </c>
      <c r="B1593" s="0" t="s">
        <v>2454</v>
      </c>
      <c r="C1593" s="0" t="s">
        <v>2455</v>
      </c>
      <c r="D1593" s="0" t="s">
        <v>98</v>
      </c>
      <c r="E1593" s="0" t="s">
        <v>826</v>
      </c>
    </row>
    <row r="1594" customFormat="false" ht="15" hidden="false" customHeight="false" outlineLevel="0" collapsed="false">
      <c r="A1594" s="0" t="s">
        <v>740</v>
      </c>
      <c r="B1594" s="0" t="s">
        <v>2456</v>
      </c>
      <c r="C1594" s="0" t="s">
        <v>2457</v>
      </c>
      <c r="D1594" s="0" t="s">
        <v>98</v>
      </c>
      <c r="E1594" s="0" t="s">
        <v>826</v>
      </c>
    </row>
    <row r="1595" customFormat="false" ht="15" hidden="false" customHeight="false" outlineLevel="0" collapsed="false">
      <c r="A1595" s="0" t="s">
        <v>740</v>
      </c>
      <c r="B1595" s="0" t="s">
        <v>2458</v>
      </c>
      <c r="C1595" s="0" t="s">
        <v>2459</v>
      </c>
      <c r="D1595" s="0" t="s">
        <v>98</v>
      </c>
      <c r="E1595" s="0" t="s">
        <v>826</v>
      </c>
    </row>
    <row r="1596" customFormat="false" ht="15" hidden="false" customHeight="false" outlineLevel="0" collapsed="false">
      <c r="A1596" s="0" t="s">
        <v>740</v>
      </c>
      <c r="B1596" s="0" t="s">
        <v>2460</v>
      </c>
      <c r="C1596" s="0" t="s">
        <v>2461</v>
      </c>
      <c r="D1596" s="0" t="s">
        <v>98</v>
      </c>
      <c r="E1596" s="0" t="s">
        <v>826</v>
      </c>
    </row>
    <row r="1597" customFormat="false" ht="15" hidden="false" customHeight="false" outlineLevel="0" collapsed="false">
      <c r="A1597" s="0" t="s">
        <v>740</v>
      </c>
      <c r="B1597" s="0" t="s">
        <v>2462</v>
      </c>
      <c r="C1597" s="0" t="s">
        <v>2463</v>
      </c>
      <c r="D1597" s="0" t="s">
        <v>98</v>
      </c>
      <c r="E1597" s="0" t="s">
        <v>826</v>
      </c>
    </row>
    <row r="1598" customFormat="false" ht="15" hidden="false" customHeight="false" outlineLevel="0" collapsed="false">
      <c r="A1598" s="0" t="s">
        <v>740</v>
      </c>
      <c r="B1598" s="0" t="s">
        <v>2464</v>
      </c>
      <c r="C1598" s="0" t="s">
        <v>2465</v>
      </c>
      <c r="D1598" s="0" t="s">
        <v>98</v>
      </c>
      <c r="E1598" s="0" t="s">
        <v>826</v>
      </c>
    </row>
    <row r="1599" customFormat="false" ht="15" hidden="false" customHeight="false" outlineLevel="0" collapsed="false">
      <c r="A1599" s="0" t="s">
        <v>740</v>
      </c>
      <c r="B1599" s="0" t="s">
        <v>2466</v>
      </c>
      <c r="C1599" s="0" t="s">
        <v>2467</v>
      </c>
      <c r="D1599" s="0" t="s">
        <v>98</v>
      </c>
      <c r="E1599" s="0" t="s">
        <v>826</v>
      </c>
    </row>
    <row r="1600" customFormat="false" ht="15" hidden="false" customHeight="false" outlineLevel="0" collapsed="false">
      <c r="A1600" s="0" t="s">
        <v>740</v>
      </c>
      <c r="B1600" s="0" t="s">
        <v>2468</v>
      </c>
      <c r="C1600" s="0" t="s">
        <v>2469</v>
      </c>
      <c r="D1600" s="0" t="s">
        <v>98</v>
      </c>
      <c r="E1600" s="0" t="s">
        <v>826</v>
      </c>
    </row>
    <row r="1601" customFormat="false" ht="15" hidden="false" customHeight="false" outlineLevel="0" collapsed="false">
      <c r="A1601" s="0" t="s">
        <v>740</v>
      </c>
      <c r="B1601" s="0" t="s">
        <v>2470</v>
      </c>
      <c r="C1601" s="0" t="s">
        <v>2471</v>
      </c>
      <c r="D1601" s="0" t="s">
        <v>98</v>
      </c>
      <c r="E1601" s="0" t="s">
        <v>826</v>
      </c>
    </row>
    <row r="1602" customFormat="false" ht="15" hidden="false" customHeight="false" outlineLevel="0" collapsed="false">
      <c r="A1602" s="0" t="s">
        <v>740</v>
      </c>
      <c r="B1602" s="0" t="s">
        <v>2472</v>
      </c>
      <c r="C1602" s="0" t="s">
        <v>2473</v>
      </c>
      <c r="D1602" s="0" t="s">
        <v>98</v>
      </c>
      <c r="E1602" s="0" t="s">
        <v>826</v>
      </c>
    </row>
    <row r="1603" customFormat="false" ht="15" hidden="false" customHeight="false" outlineLevel="0" collapsed="false">
      <c r="A1603" s="0" t="s">
        <v>740</v>
      </c>
      <c r="B1603" s="0" t="s">
        <v>2474</v>
      </c>
      <c r="C1603" s="0" t="s">
        <v>2475</v>
      </c>
      <c r="D1603" s="0" t="s">
        <v>98</v>
      </c>
      <c r="E1603" s="0" t="s">
        <v>826</v>
      </c>
    </row>
    <row r="1604" customFormat="false" ht="15" hidden="false" customHeight="false" outlineLevel="0" collapsed="false">
      <c r="A1604" s="0" t="s">
        <v>740</v>
      </c>
      <c r="B1604" s="0" t="s">
        <v>2476</v>
      </c>
      <c r="C1604" s="0" t="s">
        <v>2477</v>
      </c>
      <c r="D1604" s="0" t="s">
        <v>98</v>
      </c>
      <c r="E1604" s="0" t="s">
        <v>826</v>
      </c>
    </row>
    <row r="1605" customFormat="false" ht="15" hidden="false" customHeight="false" outlineLevel="0" collapsed="false">
      <c r="A1605" s="0" t="s">
        <v>740</v>
      </c>
      <c r="B1605" s="0" t="s">
        <v>2478</v>
      </c>
      <c r="C1605" s="0" t="s">
        <v>2479</v>
      </c>
      <c r="D1605" s="0" t="s">
        <v>98</v>
      </c>
      <c r="E1605" s="0" t="s">
        <v>826</v>
      </c>
    </row>
    <row r="1606" customFormat="false" ht="15" hidden="false" customHeight="false" outlineLevel="0" collapsed="false">
      <c r="A1606" s="0" t="s">
        <v>740</v>
      </c>
      <c r="B1606" s="0" t="s">
        <v>2480</v>
      </c>
      <c r="C1606" s="0" t="s">
        <v>2481</v>
      </c>
      <c r="D1606" s="0" t="s">
        <v>98</v>
      </c>
      <c r="E1606" s="0" t="s">
        <v>826</v>
      </c>
    </row>
    <row r="1607" customFormat="false" ht="15" hidden="false" customHeight="false" outlineLevel="0" collapsed="false">
      <c r="A1607" s="0" t="s">
        <v>740</v>
      </c>
      <c r="B1607" s="0" t="s">
        <v>2482</v>
      </c>
      <c r="C1607" s="0" t="s">
        <v>2483</v>
      </c>
      <c r="D1607" s="0" t="s">
        <v>98</v>
      </c>
      <c r="E1607" s="0" t="s">
        <v>826</v>
      </c>
    </row>
    <row r="1608" customFormat="false" ht="15" hidden="false" customHeight="false" outlineLevel="0" collapsed="false">
      <c r="A1608" s="0" t="s">
        <v>740</v>
      </c>
      <c r="B1608" s="0" t="s">
        <v>2484</v>
      </c>
      <c r="C1608" s="0" t="s">
        <v>2485</v>
      </c>
      <c r="D1608" s="0" t="s">
        <v>98</v>
      </c>
      <c r="E1608" s="0" t="s">
        <v>826</v>
      </c>
    </row>
    <row r="1609" customFormat="false" ht="15" hidden="false" customHeight="false" outlineLevel="0" collapsed="false">
      <c r="A1609" s="0" t="s">
        <v>740</v>
      </c>
      <c r="B1609" s="0" t="s">
        <v>2486</v>
      </c>
      <c r="C1609" s="0" t="s">
        <v>2487</v>
      </c>
      <c r="D1609" s="0" t="s">
        <v>98</v>
      </c>
      <c r="E1609" s="0" t="s">
        <v>826</v>
      </c>
    </row>
    <row r="1610" customFormat="false" ht="15" hidden="false" customHeight="false" outlineLevel="0" collapsed="false">
      <c r="A1610" s="0" t="s">
        <v>740</v>
      </c>
      <c r="B1610" s="0" t="s">
        <v>2488</v>
      </c>
      <c r="C1610" s="0" t="s">
        <v>2489</v>
      </c>
      <c r="D1610" s="0" t="s">
        <v>98</v>
      </c>
      <c r="E1610" s="0" t="s">
        <v>826</v>
      </c>
    </row>
    <row r="1611" customFormat="false" ht="15" hidden="false" customHeight="false" outlineLevel="0" collapsed="false">
      <c r="A1611" s="0" t="s">
        <v>740</v>
      </c>
      <c r="B1611" s="0" t="s">
        <v>2490</v>
      </c>
      <c r="C1611" s="0" t="s">
        <v>2491</v>
      </c>
      <c r="D1611" s="0" t="s">
        <v>98</v>
      </c>
      <c r="E1611" s="0" t="s">
        <v>826</v>
      </c>
    </row>
    <row r="1612" customFormat="false" ht="15" hidden="false" customHeight="false" outlineLevel="0" collapsed="false">
      <c r="A1612" s="0" t="s">
        <v>740</v>
      </c>
      <c r="B1612" s="0" t="s">
        <v>2492</v>
      </c>
      <c r="C1612" s="0" t="s">
        <v>2493</v>
      </c>
      <c r="D1612" s="0" t="s">
        <v>98</v>
      </c>
      <c r="E1612" s="0" t="s">
        <v>826</v>
      </c>
    </row>
    <row r="1613" customFormat="false" ht="15" hidden="false" customHeight="false" outlineLevel="0" collapsed="false">
      <c r="A1613" s="0" t="s">
        <v>740</v>
      </c>
      <c r="B1613" s="0" t="s">
        <v>2494</v>
      </c>
      <c r="C1613" s="0" t="s">
        <v>2495</v>
      </c>
      <c r="D1613" s="0" t="s">
        <v>98</v>
      </c>
      <c r="E1613" s="0" t="s">
        <v>826</v>
      </c>
    </row>
    <row r="1614" customFormat="false" ht="15" hidden="false" customHeight="false" outlineLevel="0" collapsed="false">
      <c r="A1614" s="0" t="s">
        <v>740</v>
      </c>
      <c r="B1614" s="0" t="s">
        <v>2496</v>
      </c>
      <c r="C1614" s="0" t="s">
        <v>2497</v>
      </c>
      <c r="D1614" s="0" t="s">
        <v>98</v>
      </c>
      <c r="E1614" s="0" t="s">
        <v>826</v>
      </c>
    </row>
    <row r="1615" customFormat="false" ht="15" hidden="false" customHeight="false" outlineLevel="0" collapsed="false">
      <c r="A1615" s="0" t="s">
        <v>740</v>
      </c>
      <c r="B1615" s="0" t="s">
        <v>2498</v>
      </c>
      <c r="C1615" s="0" t="s">
        <v>630</v>
      </c>
      <c r="D1615" s="0" t="s">
        <v>86</v>
      </c>
      <c r="E1615" s="0" t="s">
        <v>2499</v>
      </c>
    </row>
    <row r="1616" customFormat="false" ht="15" hidden="false" customHeight="false" outlineLevel="0" collapsed="false">
      <c r="A1616" s="0" t="s">
        <v>740</v>
      </c>
      <c r="B1616" s="0" t="s">
        <v>2500</v>
      </c>
      <c r="C1616" s="0" t="s">
        <v>65</v>
      </c>
      <c r="D1616" s="0" t="s">
        <v>86</v>
      </c>
      <c r="E1616" s="0" t="s">
        <v>2501</v>
      </c>
    </row>
    <row r="1617" customFormat="false" ht="15" hidden="false" customHeight="false" outlineLevel="0" collapsed="false">
      <c r="A1617" s="0" t="s">
        <v>740</v>
      </c>
      <c r="B1617" s="0" t="s">
        <v>2502</v>
      </c>
      <c r="C1617" s="0" t="s">
        <v>65</v>
      </c>
      <c r="D1617" s="0" t="s">
        <v>86</v>
      </c>
      <c r="E1617" s="0" t="s">
        <v>2501</v>
      </c>
    </row>
    <row r="1618" customFormat="false" ht="15" hidden="false" customHeight="false" outlineLevel="0" collapsed="false">
      <c r="A1618" s="0" t="s">
        <v>740</v>
      </c>
      <c r="B1618" s="0" t="s">
        <v>2503</v>
      </c>
      <c r="C1618" s="0" t="s">
        <v>65</v>
      </c>
      <c r="D1618" s="0" t="s">
        <v>86</v>
      </c>
      <c r="E1618" s="0" t="s">
        <v>2501</v>
      </c>
    </row>
    <row r="1619" customFormat="false" ht="15" hidden="false" customHeight="false" outlineLevel="0" collapsed="false">
      <c r="A1619" s="0" t="s">
        <v>740</v>
      </c>
      <c r="B1619" s="0" t="s">
        <v>2504</v>
      </c>
      <c r="C1619" s="0" t="s">
        <v>65</v>
      </c>
      <c r="D1619" s="0" t="s">
        <v>86</v>
      </c>
      <c r="E1619" s="0" t="s">
        <v>2501</v>
      </c>
    </row>
    <row r="1620" customFormat="false" ht="15" hidden="false" customHeight="false" outlineLevel="0" collapsed="false">
      <c r="A1620" s="0" t="s">
        <v>740</v>
      </c>
      <c r="B1620" s="0" t="s">
        <v>2505</v>
      </c>
      <c r="C1620" s="0" t="s">
        <v>65</v>
      </c>
      <c r="D1620" s="0" t="s">
        <v>86</v>
      </c>
      <c r="E1620" s="0" t="s">
        <v>2501</v>
      </c>
    </row>
    <row r="1621" customFormat="false" ht="15" hidden="false" customHeight="false" outlineLevel="0" collapsed="false">
      <c r="A1621" s="0" t="s">
        <v>740</v>
      </c>
      <c r="B1621" s="0" t="s">
        <v>2506</v>
      </c>
      <c r="C1621" s="0" t="s">
        <v>65</v>
      </c>
      <c r="D1621" s="0" t="s">
        <v>86</v>
      </c>
      <c r="E1621" s="0" t="s">
        <v>2501</v>
      </c>
    </row>
    <row r="1622" customFormat="false" ht="15" hidden="false" customHeight="false" outlineLevel="0" collapsed="false">
      <c r="A1622" s="0" t="s">
        <v>740</v>
      </c>
      <c r="B1622" s="0" t="s">
        <v>2507</v>
      </c>
      <c r="C1622" s="0" t="s">
        <v>65</v>
      </c>
      <c r="D1622" s="0" t="s">
        <v>86</v>
      </c>
      <c r="E1622" s="0" t="s">
        <v>2501</v>
      </c>
    </row>
    <row r="1623" customFormat="false" ht="15" hidden="false" customHeight="false" outlineLevel="0" collapsed="false">
      <c r="A1623" s="0" t="s">
        <v>740</v>
      </c>
      <c r="B1623" s="0" t="s">
        <v>2508</v>
      </c>
      <c r="C1623" s="0" t="s">
        <v>65</v>
      </c>
      <c r="D1623" s="0" t="s">
        <v>86</v>
      </c>
      <c r="E1623" s="0" t="s">
        <v>2501</v>
      </c>
    </row>
    <row r="1624" customFormat="false" ht="15" hidden="false" customHeight="false" outlineLevel="0" collapsed="false">
      <c r="A1624" s="0" t="s">
        <v>740</v>
      </c>
      <c r="B1624" s="0" t="s">
        <v>2509</v>
      </c>
      <c r="C1624" s="0" t="s">
        <v>65</v>
      </c>
      <c r="D1624" s="0" t="s">
        <v>86</v>
      </c>
      <c r="E1624" s="0" t="s">
        <v>2501</v>
      </c>
    </row>
    <row r="1625" customFormat="false" ht="15" hidden="false" customHeight="false" outlineLevel="0" collapsed="false">
      <c r="A1625" s="0" t="s">
        <v>740</v>
      </c>
      <c r="B1625" s="0" t="s">
        <v>2510</v>
      </c>
      <c r="C1625" s="0" t="s">
        <v>65</v>
      </c>
      <c r="D1625" s="0" t="s">
        <v>86</v>
      </c>
      <c r="E1625" s="0" t="s">
        <v>2501</v>
      </c>
    </row>
    <row r="1626" customFormat="false" ht="15" hidden="false" customHeight="false" outlineLevel="0" collapsed="false">
      <c r="A1626" s="0" t="s">
        <v>740</v>
      </c>
      <c r="B1626" s="0" t="s">
        <v>2511</v>
      </c>
      <c r="C1626" s="0" t="s">
        <v>65</v>
      </c>
      <c r="D1626" s="0" t="s">
        <v>86</v>
      </c>
      <c r="E1626" s="0" t="s">
        <v>2501</v>
      </c>
    </row>
    <row r="1627" customFormat="false" ht="15" hidden="false" customHeight="false" outlineLevel="0" collapsed="false">
      <c r="A1627" s="0" t="s">
        <v>740</v>
      </c>
      <c r="B1627" s="0" t="s">
        <v>2512</v>
      </c>
      <c r="C1627" s="0" t="s">
        <v>65</v>
      </c>
      <c r="D1627" s="0" t="s">
        <v>86</v>
      </c>
      <c r="E1627" s="0" t="s">
        <v>2501</v>
      </c>
    </row>
    <row r="1628" customFormat="false" ht="15" hidden="false" customHeight="false" outlineLevel="0" collapsed="false">
      <c r="A1628" s="0" t="s">
        <v>740</v>
      </c>
      <c r="B1628" s="0" t="s">
        <v>2513</v>
      </c>
      <c r="C1628" s="0" t="s">
        <v>65</v>
      </c>
      <c r="D1628" s="0" t="s">
        <v>86</v>
      </c>
      <c r="E1628" s="0" t="s">
        <v>2501</v>
      </c>
    </row>
    <row r="1629" customFormat="false" ht="15" hidden="false" customHeight="false" outlineLevel="0" collapsed="false">
      <c r="A1629" s="0" t="s">
        <v>740</v>
      </c>
      <c r="B1629" s="0" t="s">
        <v>2514</v>
      </c>
      <c r="C1629" s="0" t="s">
        <v>65</v>
      </c>
      <c r="D1629" s="0" t="s">
        <v>86</v>
      </c>
      <c r="E1629" s="0" t="s">
        <v>2501</v>
      </c>
    </row>
    <row r="1630" customFormat="false" ht="15" hidden="false" customHeight="false" outlineLevel="0" collapsed="false">
      <c r="A1630" s="0" t="s">
        <v>740</v>
      </c>
      <c r="B1630" s="0" t="s">
        <v>2515</v>
      </c>
      <c r="C1630" s="0" t="s">
        <v>65</v>
      </c>
      <c r="D1630" s="0" t="s">
        <v>86</v>
      </c>
      <c r="E1630" s="0" t="s">
        <v>2501</v>
      </c>
    </row>
    <row r="1631" customFormat="false" ht="15" hidden="false" customHeight="false" outlineLevel="0" collapsed="false">
      <c r="A1631" s="0" t="s">
        <v>740</v>
      </c>
      <c r="B1631" s="0" t="s">
        <v>2516</v>
      </c>
      <c r="C1631" s="0" t="s">
        <v>65</v>
      </c>
      <c r="D1631" s="0" t="s">
        <v>86</v>
      </c>
      <c r="E1631" s="0" t="s">
        <v>2501</v>
      </c>
    </row>
    <row r="1632" customFormat="false" ht="15" hidden="false" customHeight="false" outlineLevel="0" collapsed="false">
      <c r="A1632" s="0" t="s">
        <v>740</v>
      </c>
      <c r="B1632" s="0" t="s">
        <v>2517</v>
      </c>
      <c r="C1632" s="0" t="s">
        <v>65</v>
      </c>
      <c r="D1632" s="0" t="s">
        <v>86</v>
      </c>
      <c r="E1632" s="0" t="s">
        <v>2501</v>
      </c>
    </row>
    <row r="1633" customFormat="false" ht="15" hidden="false" customHeight="false" outlineLevel="0" collapsed="false">
      <c r="A1633" s="0" t="s">
        <v>740</v>
      </c>
      <c r="B1633" s="0" t="s">
        <v>2518</v>
      </c>
      <c r="C1633" s="0" t="s">
        <v>65</v>
      </c>
      <c r="D1633" s="0" t="s">
        <v>86</v>
      </c>
      <c r="E1633" s="0" t="s">
        <v>2501</v>
      </c>
    </row>
    <row r="1634" customFormat="false" ht="15" hidden="false" customHeight="false" outlineLevel="0" collapsed="false">
      <c r="A1634" s="0" t="s">
        <v>740</v>
      </c>
      <c r="B1634" s="0" t="s">
        <v>2519</v>
      </c>
      <c r="C1634" s="0" t="s">
        <v>65</v>
      </c>
      <c r="D1634" s="0" t="s">
        <v>86</v>
      </c>
      <c r="E1634" s="0" t="s">
        <v>2501</v>
      </c>
    </row>
    <row r="1635" customFormat="false" ht="15" hidden="false" customHeight="false" outlineLevel="0" collapsed="false">
      <c r="A1635" s="0" t="s">
        <v>740</v>
      </c>
      <c r="B1635" s="0" t="s">
        <v>2520</v>
      </c>
      <c r="C1635" s="0" t="s">
        <v>65</v>
      </c>
      <c r="D1635" s="0" t="s">
        <v>86</v>
      </c>
      <c r="E1635" s="0" t="s">
        <v>2501</v>
      </c>
    </row>
    <row r="1636" customFormat="false" ht="15" hidden="false" customHeight="false" outlineLevel="0" collapsed="false">
      <c r="A1636" s="0" t="s">
        <v>740</v>
      </c>
      <c r="B1636" s="0" t="s">
        <v>2521</v>
      </c>
      <c r="C1636" s="0" t="s">
        <v>65</v>
      </c>
      <c r="D1636" s="0" t="s">
        <v>86</v>
      </c>
      <c r="E1636" s="0" t="s">
        <v>2501</v>
      </c>
    </row>
    <row r="1637" customFormat="false" ht="15" hidden="false" customHeight="false" outlineLevel="0" collapsed="false">
      <c r="A1637" s="0" t="s">
        <v>740</v>
      </c>
      <c r="B1637" s="0" t="s">
        <v>2522</v>
      </c>
      <c r="C1637" s="0" t="s">
        <v>65</v>
      </c>
      <c r="D1637" s="0" t="s">
        <v>86</v>
      </c>
      <c r="E1637" s="0" t="s">
        <v>2501</v>
      </c>
    </row>
    <row r="1638" customFormat="false" ht="15" hidden="false" customHeight="false" outlineLevel="0" collapsed="false">
      <c r="A1638" s="0" t="s">
        <v>740</v>
      </c>
      <c r="B1638" s="0" t="s">
        <v>2523</v>
      </c>
      <c r="C1638" s="0" t="s">
        <v>65</v>
      </c>
      <c r="D1638" s="0" t="s">
        <v>86</v>
      </c>
      <c r="E1638" s="0" t="s">
        <v>2501</v>
      </c>
    </row>
    <row r="1639" customFormat="false" ht="15" hidden="false" customHeight="false" outlineLevel="0" collapsed="false">
      <c r="A1639" s="0" t="s">
        <v>740</v>
      </c>
      <c r="B1639" s="0" t="s">
        <v>2524</v>
      </c>
      <c r="C1639" s="0" t="s">
        <v>65</v>
      </c>
      <c r="D1639" s="0" t="s">
        <v>86</v>
      </c>
      <c r="E1639" s="0" t="s">
        <v>2501</v>
      </c>
    </row>
    <row r="1640" customFormat="false" ht="15" hidden="false" customHeight="false" outlineLevel="0" collapsed="false">
      <c r="A1640" s="0" t="s">
        <v>740</v>
      </c>
      <c r="B1640" s="0" t="s">
        <v>2525</v>
      </c>
      <c r="C1640" s="0" t="s">
        <v>65</v>
      </c>
      <c r="D1640" s="0" t="s">
        <v>86</v>
      </c>
      <c r="E1640" s="0" t="s">
        <v>2501</v>
      </c>
    </row>
    <row r="1641" customFormat="false" ht="15" hidden="false" customHeight="false" outlineLevel="0" collapsed="false">
      <c r="A1641" s="0" t="s">
        <v>740</v>
      </c>
      <c r="B1641" s="0" t="s">
        <v>2526</v>
      </c>
      <c r="C1641" s="0" t="s">
        <v>65</v>
      </c>
      <c r="D1641" s="0" t="s">
        <v>86</v>
      </c>
      <c r="E1641" s="0" t="s">
        <v>2501</v>
      </c>
    </row>
    <row r="1642" customFormat="false" ht="15" hidden="false" customHeight="false" outlineLevel="0" collapsed="false">
      <c r="A1642" s="0" t="s">
        <v>740</v>
      </c>
      <c r="B1642" s="0" t="s">
        <v>2527</v>
      </c>
      <c r="C1642" s="0" t="s">
        <v>65</v>
      </c>
      <c r="D1642" s="0" t="s">
        <v>86</v>
      </c>
      <c r="E1642" s="0" t="s">
        <v>2501</v>
      </c>
    </row>
    <row r="1643" customFormat="false" ht="15" hidden="false" customHeight="false" outlineLevel="0" collapsed="false">
      <c r="A1643" s="0" t="s">
        <v>740</v>
      </c>
      <c r="B1643" s="0" t="s">
        <v>2528</v>
      </c>
      <c r="C1643" s="0" t="s">
        <v>65</v>
      </c>
      <c r="D1643" s="0" t="s">
        <v>86</v>
      </c>
      <c r="E1643" s="0" t="s">
        <v>2501</v>
      </c>
    </row>
    <row r="1644" customFormat="false" ht="15" hidden="false" customHeight="false" outlineLevel="0" collapsed="false">
      <c r="A1644" s="0" t="s">
        <v>740</v>
      </c>
      <c r="B1644" s="0" t="s">
        <v>2529</v>
      </c>
      <c r="C1644" s="0" t="s">
        <v>762</v>
      </c>
      <c r="D1644" s="0" t="s">
        <v>98</v>
      </c>
      <c r="E1644" s="0" t="s">
        <v>763</v>
      </c>
    </row>
    <row r="1645" customFormat="false" ht="15" hidden="false" customHeight="false" outlineLevel="0" collapsed="false">
      <c r="A1645" s="0" t="s">
        <v>740</v>
      </c>
      <c r="B1645" s="0" t="s">
        <v>2530</v>
      </c>
      <c r="C1645" s="0" t="s">
        <v>762</v>
      </c>
      <c r="D1645" s="0" t="s">
        <v>98</v>
      </c>
      <c r="E1645" s="0" t="s">
        <v>763</v>
      </c>
    </row>
    <row r="1646" customFormat="false" ht="15" hidden="false" customHeight="false" outlineLevel="0" collapsed="false">
      <c r="A1646" s="0" t="s">
        <v>740</v>
      </c>
      <c r="B1646" s="0" t="s">
        <v>2531</v>
      </c>
      <c r="C1646" s="0" t="s">
        <v>762</v>
      </c>
      <c r="D1646" s="0" t="s">
        <v>98</v>
      </c>
      <c r="E1646" s="0" t="s">
        <v>763</v>
      </c>
    </row>
    <row r="1647" customFormat="false" ht="15" hidden="false" customHeight="false" outlineLevel="0" collapsed="false">
      <c r="A1647" s="0" t="s">
        <v>740</v>
      </c>
      <c r="B1647" s="0" t="s">
        <v>2532</v>
      </c>
      <c r="C1647" s="0" t="s">
        <v>762</v>
      </c>
      <c r="D1647" s="0" t="s">
        <v>98</v>
      </c>
      <c r="E1647" s="0" t="s">
        <v>763</v>
      </c>
    </row>
    <row r="1648" customFormat="false" ht="15" hidden="false" customHeight="false" outlineLevel="0" collapsed="false">
      <c r="A1648" s="0" t="s">
        <v>740</v>
      </c>
      <c r="B1648" s="0" t="s">
        <v>2533</v>
      </c>
      <c r="C1648" s="0" t="s">
        <v>762</v>
      </c>
      <c r="D1648" s="0" t="s">
        <v>98</v>
      </c>
      <c r="E1648" s="0" t="s">
        <v>763</v>
      </c>
    </row>
    <row r="1649" customFormat="false" ht="15" hidden="false" customHeight="false" outlineLevel="0" collapsed="false">
      <c r="A1649" s="0" t="s">
        <v>740</v>
      </c>
      <c r="B1649" s="0" t="s">
        <v>2534</v>
      </c>
      <c r="C1649" s="0" t="s">
        <v>762</v>
      </c>
      <c r="D1649" s="0" t="s">
        <v>98</v>
      </c>
      <c r="E1649" s="0" t="s">
        <v>763</v>
      </c>
    </row>
    <row r="1650" customFormat="false" ht="15" hidden="false" customHeight="false" outlineLevel="0" collapsed="false">
      <c r="A1650" s="0" t="s">
        <v>740</v>
      </c>
      <c r="B1650" s="0" t="s">
        <v>2535</v>
      </c>
      <c r="C1650" s="0" t="s">
        <v>762</v>
      </c>
      <c r="D1650" s="0" t="s">
        <v>98</v>
      </c>
      <c r="E1650" s="0" t="s">
        <v>763</v>
      </c>
    </row>
    <row r="1651" customFormat="false" ht="15" hidden="false" customHeight="false" outlineLevel="0" collapsed="false">
      <c r="A1651" s="0" t="s">
        <v>740</v>
      </c>
      <c r="B1651" s="0" t="s">
        <v>2536</v>
      </c>
      <c r="C1651" s="0" t="s">
        <v>762</v>
      </c>
      <c r="D1651" s="0" t="s">
        <v>98</v>
      </c>
      <c r="E1651" s="0" t="s">
        <v>763</v>
      </c>
    </row>
    <row r="1652" customFormat="false" ht="15" hidden="false" customHeight="false" outlineLevel="0" collapsed="false">
      <c r="A1652" s="0" t="s">
        <v>740</v>
      </c>
      <c r="B1652" s="0" t="s">
        <v>2537</v>
      </c>
      <c r="C1652" s="0" t="s">
        <v>762</v>
      </c>
      <c r="D1652" s="0" t="s">
        <v>98</v>
      </c>
      <c r="E1652" s="0" t="s">
        <v>763</v>
      </c>
    </row>
    <row r="1653" customFormat="false" ht="15" hidden="false" customHeight="false" outlineLevel="0" collapsed="false">
      <c r="A1653" s="0" t="s">
        <v>740</v>
      </c>
      <c r="B1653" s="0" t="s">
        <v>2538</v>
      </c>
      <c r="C1653" s="0" t="s">
        <v>762</v>
      </c>
      <c r="D1653" s="0" t="s">
        <v>98</v>
      </c>
      <c r="E1653" s="0" t="s">
        <v>763</v>
      </c>
    </row>
    <row r="1654" customFormat="false" ht="15" hidden="false" customHeight="false" outlineLevel="0" collapsed="false">
      <c r="A1654" s="0" t="s">
        <v>740</v>
      </c>
      <c r="B1654" s="0" t="s">
        <v>2539</v>
      </c>
      <c r="C1654" s="0" t="s">
        <v>762</v>
      </c>
      <c r="D1654" s="0" t="s">
        <v>98</v>
      </c>
      <c r="E1654" s="0" t="s">
        <v>763</v>
      </c>
    </row>
    <row r="1655" customFormat="false" ht="15" hidden="false" customHeight="false" outlineLevel="0" collapsed="false">
      <c r="A1655" s="0" t="s">
        <v>740</v>
      </c>
      <c r="B1655" s="0" t="s">
        <v>2540</v>
      </c>
      <c r="C1655" s="0" t="s">
        <v>762</v>
      </c>
      <c r="D1655" s="0" t="s">
        <v>93</v>
      </c>
      <c r="E1655" s="0" t="s">
        <v>2541</v>
      </c>
    </row>
    <row r="1656" customFormat="false" ht="15" hidden="false" customHeight="false" outlineLevel="0" collapsed="false">
      <c r="A1656" s="0" t="s">
        <v>740</v>
      </c>
      <c r="B1656" s="0" t="s">
        <v>2542</v>
      </c>
      <c r="C1656" s="0" t="s">
        <v>600</v>
      </c>
      <c r="D1656" s="0" t="s">
        <v>93</v>
      </c>
    </row>
    <row r="1657" customFormat="false" ht="15" hidden="false" customHeight="false" outlineLevel="0" collapsed="false">
      <c r="A1657" s="0" t="s">
        <v>740</v>
      </c>
      <c r="B1657" s="0" t="s">
        <v>2543</v>
      </c>
      <c r="C1657" s="0" t="s">
        <v>610</v>
      </c>
      <c r="D1657" s="0" t="s">
        <v>93</v>
      </c>
    </row>
    <row r="1658" customFormat="false" ht="15" hidden="false" customHeight="false" outlineLevel="0" collapsed="false">
      <c r="A1658" s="0" t="s">
        <v>740</v>
      </c>
      <c r="B1658" s="0" t="s">
        <v>2544</v>
      </c>
      <c r="C1658" s="0" t="s">
        <v>1859</v>
      </c>
      <c r="D1658" s="0" t="s">
        <v>93</v>
      </c>
      <c r="E1658" s="0" t="s">
        <v>2545</v>
      </c>
    </row>
    <row r="1659" customFormat="false" ht="15" hidden="false" customHeight="false" outlineLevel="0" collapsed="false">
      <c r="A1659" s="0" t="s">
        <v>740</v>
      </c>
      <c r="B1659" s="0" t="s">
        <v>2546</v>
      </c>
      <c r="C1659" s="0" t="s">
        <v>1840</v>
      </c>
      <c r="D1659" s="0" t="s">
        <v>93</v>
      </c>
    </row>
    <row r="1660" customFormat="false" ht="15" hidden="false" customHeight="false" outlineLevel="0" collapsed="false">
      <c r="A1660" s="0" t="s">
        <v>740</v>
      </c>
      <c r="B1660" s="0" t="s">
        <v>2547</v>
      </c>
      <c r="C1660" s="0" t="s">
        <v>1840</v>
      </c>
      <c r="D1660" s="0" t="s">
        <v>93</v>
      </c>
      <c r="E1660" s="0" t="s">
        <v>788</v>
      </c>
    </row>
    <row r="1661" customFormat="false" ht="15" hidden="false" customHeight="false" outlineLevel="0" collapsed="false">
      <c r="A1661" s="0" t="s">
        <v>740</v>
      </c>
      <c r="B1661" s="0" t="s">
        <v>2548</v>
      </c>
      <c r="C1661" s="0" t="s">
        <v>1840</v>
      </c>
      <c r="D1661" s="0" t="s">
        <v>93</v>
      </c>
      <c r="E1661" s="0" t="s">
        <v>788</v>
      </c>
    </row>
    <row r="1662" customFormat="false" ht="15" hidden="false" customHeight="false" outlineLevel="0" collapsed="false">
      <c r="A1662" s="0" t="s">
        <v>740</v>
      </c>
      <c r="B1662" s="0" t="s">
        <v>2549</v>
      </c>
      <c r="C1662" s="0" t="s">
        <v>1840</v>
      </c>
      <c r="D1662" s="0" t="s">
        <v>93</v>
      </c>
      <c r="E1662" s="0" t="s">
        <v>788</v>
      </c>
    </row>
    <row r="1663" customFormat="false" ht="15" hidden="false" customHeight="false" outlineLevel="0" collapsed="false">
      <c r="A1663" s="0" t="s">
        <v>740</v>
      </c>
      <c r="B1663" s="0" t="s">
        <v>2550</v>
      </c>
      <c r="C1663" s="0" t="s">
        <v>1840</v>
      </c>
      <c r="D1663" s="0" t="s">
        <v>93</v>
      </c>
      <c r="E1663" s="0" t="s">
        <v>788</v>
      </c>
    </row>
    <row r="1664" customFormat="false" ht="15" hidden="false" customHeight="false" outlineLevel="0" collapsed="false">
      <c r="A1664" s="0" t="s">
        <v>740</v>
      </c>
      <c r="B1664" s="0" t="s">
        <v>2551</v>
      </c>
      <c r="C1664" s="0" t="s">
        <v>1840</v>
      </c>
      <c r="D1664" s="0" t="s">
        <v>93</v>
      </c>
      <c r="E1664" s="0" t="s">
        <v>788</v>
      </c>
    </row>
    <row r="1665" customFormat="false" ht="15" hidden="false" customHeight="false" outlineLevel="0" collapsed="false">
      <c r="A1665" s="0" t="s">
        <v>740</v>
      </c>
      <c r="B1665" s="0" t="s">
        <v>2552</v>
      </c>
      <c r="C1665" s="0" t="s">
        <v>1840</v>
      </c>
      <c r="D1665" s="0" t="s">
        <v>93</v>
      </c>
      <c r="E1665" s="0" t="s">
        <v>788</v>
      </c>
    </row>
    <row r="1666" customFormat="false" ht="15" hidden="false" customHeight="false" outlineLevel="0" collapsed="false">
      <c r="A1666" s="0" t="s">
        <v>740</v>
      </c>
      <c r="B1666" s="0" t="s">
        <v>2553</v>
      </c>
      <c r="C1666" s="0" t="s">
        <v>1840</v>
      </c>
      <c r="D1666" s="0" t="s">
        <v>93</v>
      </c>
      <c r="E1666" s="0" t="s">
        <v>788</v>
      </c>
    </row>
    <row r="1667" customFormat="false" ht="15" hidden="false" customHeight="false" outlineLevel="0" collapsed="false">
      <c r="A1667" s="0" t="s">
        <v>740</v>
      </c>
      <c r="B1667" s="0" t="s">
        <v>2554</v>
      </c>
      <c r="C1667" s="0" t="s">
        <v>1840</v>
      </c>
      <c r="D1667" s="0" t="s">
        <v>93</v>
      </c>
      <c r="E1667" s="0" t="s">
        <v>788</v>
      </c>
    </row>
    <row r="1668" customFormat="false" ht="15" hidden="false" customHeight="false" outlineLevel="0" collapsed="false">
      <c r="A1668" s="0" t="s">
        <v>740</v>
      </c>
      <c r="B1668" s="0" t="s">
        <v>2555</v>
      </c>
      <c r="C1668" s="0" t="s">
        <v>1840</v>
      </c>
      <c r="D1668" s="0" t="s">
        <v>93</v>
      </c>
      <c r="E1668" s="0" t="s">
        <v>788</v>
      </c>
    </row>
    <row r="1669" customFormat="false" ht="15" hidden="false" customHeight="false" outlineLevel="0" collapsed="false">
      <c r="A1669" s="0" t="s">
        <v>740</v>
      </c>
      <c r="B1669" s="0" t="s">
        <v>2556</v>
      </c>
      <c r="C1669" s="0" t="s">
        <v>1840</v>
      </c>
      <c r="D1669" s="0" t="s">
        <v>93</v>
      </c>
      <c r="E1669" s="0" t="s">
        <v>788</v>
      </c>
    </row>
    <row r="1670" customFormat="false" ht="15" hidden="false" customHeight="false" outlineLevel="0" collapsed="false">
      <c r="A1670" s="0" t="s">
        <v>740</v>
      </c>
      <c r="B1670" s="0" t="s">
        <v>2557</v>
      </c>
      <c r="C1670" s="0" t="s">
        <v>1840</v>
      </c>
      <c r="D1670" s="0" t="s">
        <v>93</v>
      </c>
      <c r="E1670" s="0" t="s">
        <v>788</v>
      </c>
    </row>
    <row r="1671" customFormat="false" ht="15" hidden="false" customHeight="false" outlineLevel="0" collapsed="false">
      <c r="A1671" s="0" t="s">
        <v>740</v>
      </c>
      <c r="B1671" s="0" t="s">
        <v>2558</v>
      </c>
      <c r="C1671" s="0" t="s">
        <v>1840</v>
      </c>
      <c r="D1671" s="0" t="s">
        <v>93</v>
      </c>
      <c r="E1671" s="0" t="s">
        <v>788</v>
      </c>
    </row>
    <row r="1672" customFormat="false" ht="15" hidden="false" customHeight="false" outlineLevel="0" collapsed="false">
      <c r="A1672" s="0" t="s">
        <v>740</v>
      </c>
      <c r="B1672" s="0" t="s">
        <v>2559</v>
      </c>
      <c r="C1672" s="0" t="s">
        <v>762</v>
      </c>
      <c r="D1672" s="0" t="s">
        <v>98</v>
      </c>
      <c r="E1672" s="0" t="s">
        <v>763</v>
      </c>
    </row>
    <row r="1673" customFormat="false" ht="15" hidden="false" customHeight="false" outlineLevel="0" collapsed="false">
      <c r="A1673" s="0" t="s">
        <v>740</v>
      </c>
      <c r="B1673" s="0" t="s">
        <v>2560</v>
      </c>
      <c r="C1673" s="0" t="s">
        <v>762</v>
      </c>
      <c r="D1673" s="0" t="s">
        <v>98</v>
      </c>
      <c r="E1673" s="0" t="s">
        <v>763</v>
      </c>
    </row>
    <row r="1674" customFormat="false" ht="15" hidden="false" customHeight="false" outlineLevel="0" collapsed="false">
      <c r="A1674" s="0" t="s">
        <v>740</v>
      </c>
      <c r="B1674" s="0" t="s">
        <v>2561</v>
      </c>
      <c r="C1674" s="0" t="s">
        <v>762</v>
      </c>
      <c r="D1674" s="0" t="s">
        <v>98</v>
      </c>
      <c r="E1674" s="0" t="s">
        <v>763</v>
      </c>
    </row>
    <row r="1675" customFormat="false" ht="15" hidden="false" customHeight="false" outlineLevel="0" collapsed="false">
      <c r="A1675" s="0" t="s">
        <v>740</v>
      </c>
      <c r="B1675" s="0" t="s">
        <v>2562</v>
      </c>
      <c r="C1675" s="0" t="s">
        <v>762</v>
      </c>
      <c r="D1675" s="0" t="s">
        <v>98</v>
      </c>
      <c r="E1675" s="0" t="s">
        <v>763</v>
      </c>
    </row>
    <row r="1676" customFormat="false" ht="15" hidden="false" customHeight="false" outlineLevel="0" collapsed="false">
      <c r="A1676" s="0" t="s">
        <v>740</v>
      </c>
      <c r="B1676" s="0" t="s">
        <v>2563</v>
      </c>
      <c r="C1676" s="0" t="s">
        <v>762</v>
      </c>
      <c r="D1676" s="0" t="s">
        <v>98</v>
      </c>
      <c r="E1676" s="0" t="s">
        <v>763</v>
      </c>
    </row>
    <row r="1677" customFormat="false" ht="15" hidden="false" customHeight="false" outlineLevel="0" collapsed="false">
      <c r="A1677" s="0" t="s">
        <v>740</v>
      </c>
      <c r="B1677" s="0" t="s">
        <v>2564</v>
      </c>
      <c r="C1677" s="0" t="s">
        <v>762</v>
      </c>
      <c r="D1677" s="0" t="s">
        <v>98</v>
      </c>
      <c r="E1677" s="0" t="s">
        <v>763</v>
      </c>
    </row>
    <row r="1678" customFormat="false" ht="15" hidden="false" customHeight="false" outlineLevel="0" collapsed="false">
      <c r="A1678" s="0" t="s">
        <v>740</v>
      </c>
      <c r="B1678" s="0" t="s">
        <v>2565</v>
      </c>
      <c r="C1678" s="0" t="s">
        <v>762</v>
      </c>
      <c r="D1678" s="0" t="s">
        <v>98</v>
      </c>
      <c r="E1678" s="0" t="s">
        <v>763</v>
      </c>
    </row>
    <row r="1679" customFormat="false" ht="15" hidden="false" customHeight="false" outlineLevel="0" collapsed="false">
      <c r="A1679" s="0" t="s">
        <v>740</v>
      </c>
      <c r="B1679" s="0" t="s">
        <v>2566</v>
      </c>
      <c r="C1679" s="0" t="s">
        <v>762</v>
      </c>
      <c r="D1679" s="0" t="s">
        <v>98</v>
      </c>
      <c r="E1679" s="0" t="s">
        <v>763</v>
      </c>
    </row>
    <row r="1680" customFormat="false" ht="15" hidden="false" customHeight="false" outlineLevel="0" collapsed="false">
      <c r="A1680" s="0" t="s">
        <v>740</v>
      </c>
      <c r="B1680" s="0" t="s">
        <v>2567</v>
      </c>
      <c r="C1680" s="0" t="s">
        <v>762</v>
      </c>
      <c r="D1680" s="0" t="s">
        <v>98</v>
      </c>
      <c r="E1680" s="0" t="s">
        <v>763</v>
      </c>
    </row>
    <row r="1681" customFormat="false" ht="15" hidden="false" customHeight="false" outlineLevel="0" collapsed="false">
      <c r="A1681" s="0" t="s">
        <v>740</v>
      </c>
      <c r="B1681" s="0" t="s">
        <v>2568</v>
      </c>
      <c r="C1681" s="0" t="s">
        <v>762</v>
      </c>
      <c r="D1681" s="0" t="s">
        <v>98</v>
      </c>
      <c r="E1681" s="0" t="s">
        <v>763</v>
      </c>
    </row>
    <row r="1682" customFormat="false" ht="15" hidden="false" customHeight="false" outlineLevel="0" collapsed="false">
      <c r="A1682" s="0" t="s">
        <v>740</v>
      </c>
      <c r="B1682" s="0" t="s">
        <v>2569</v>
      </c>
      <c r="C1682" s="0" t="s">
        <v>762</v>
      </c>
      <c r="D1682" s="0" t="s">
        <v>98</v>
      </c>
      <c r="E1682" s="0" t="s">
        <v>763</v>
      </c>
    </row>
    <row r="1683" customFormat="false" ht="15" hidden="false" customHeight="false" outlineLevel="0" collapsed="false">
      <c r="A1683" s="0" t="s">
        <v>740</v>
      </c>
      <c r="B1683" s="0" t="s">
        <v>2570</v>
      </c>
      <c r="C1683" s="0" t="s">
        <v>610</v>
      </c>
      <c r="D1683" s="0" t="s">
        <v>93</v>
      </c>
      <c r="E1683" s="0" t="s">
        <v>2541</v>
      </c>
    </row>
    <row r="1684" customFormat="false" ht="15" hidden="false" customHeight="false" outlineLevel="0" collapsed="false">
      <c r="A1684" s="0" t="s">
        <v>740</v>
      </c>
      <c r="B1684" s="0" t="s">
        <v>2571</v>
      </c>
      <c r="C1684" s="0" t="s">
        <v>1159</v>
      </c>
      <c r="D1684" s="0" t="s">
        <v>93</v>
      </c>
    </row>
    <row r="1685" customFormat="false" ht="15" hidden="false" customHeight="false" outlineLevel="0" collapsed="false">
      <c r="A1685" s="0" t="s">
        <v>740</v>
      </c>
      <c r="B1685" s="0" t="s">
        <v>2572</v>
      </c>
      <c r="C1685" s="0" t="s">
        <v>1414</v>
      </c>
      <c r="D1685" s="0" t="s">
        <v>93</v>
      </c>
    </row>
    <row r="1686" customFormat="false" ht="15" hidden="false" customHeight="false" outlineLevel="0" collapsed="false">
      <c r="A1686" s="0" t="s">
        <v>740</v>
      </c>
      <c r="B1686" s="0" t="s">
        <v>2573</v>
      </c>
      <c r="C1686" s="0" t="s">
        <v>2574</v>
      </c>
      <c r="D1686" s="0" t="s">
        <v>93</v>
      </c>
      <c r="E1686" s="0" t="s">
        <v>2545</v>
      </c>
    </row>
    <row r="1687" customFormat="false" ht="15" hidden="false" customHeight="false" outlineLevel="0" collapsed="false">
      <c r="A1687" s="0" t="s">
        <v>740</v>
      </c>
      <c r="B1687" s="0" t="s">
        <v>2575</v>
      </c>
      <c r="C1687" s="0" t="s">
        <v>2574</v>
      </c>
      <c r="D1687" s="0" t="s">
        <v>93</v>
      </c>
    </row>
    <row r="1688" customFormat="false" ht="15" hidden="false" customHeight="false" outlineLevel="0" collapsed="false">
      <c r="A1688" s="0" t="s">
        <v>740</v>
      </c>
      <c r="B1688" s="0" t="s">
        <v>2576</v>
      </c>
      <c r="C1688" s="0" t="s">
        <v>2574</v>
      </c>
      <c r="D1688" s="0" t="s">
        <v>93</v>
      </c>
      <c r="E1688" s="0" t="s">
        <v>788</v>
      </c>
    </row>
    <row r="1689" customFormat="false" ht="15" hidden="false" customHeight="false" outlineLevel="0" collapsed="false">
      <c r="A1689" s="0" t="s">
        <v>740</v>
      </c>
      <c r="B1689" s="0" t="s">
        <v>2577</v>
      </c>
      <c r="C1689" s="0" t="s">
        <v>2574</v>
      </c>
      <c r="D1689" s="0" t="s">
        <v>93</v>
      </c>
      <c r="E1689" s="0" t="s">
        <v>788</v>
      </c>
    </row>
    <row r="1690" customFormat="false" ht="15" hidden="false" customHeight="false" outlineLevel="0" collapsed="false">
      <c r="A1690" s="0" t="s">
        <v>740</v>
      </c>
      <c r="B1690" s="0" t="s">
        <v>2578</v>
      </c>
      <c r="C1690" s="0" t="s">
        <v>2574</v>
      </c>
      <c r="D1690" s="0" t="s">
        <v>93</v>
      </c>
      <c r="E1690" s="0" t="s">
        <v>788</v>
      </c>
    </row>
    <row r="1691" customFormat="false" ht="15" hidden="false" customHeight="false" outlineLevel="0" collapsed="false">
      <c r="A1691" s="0" t="s">
        <v>740</v>
      </c>
      <c r="B1691" s="0" t="s">
        <v>2579</v>
      </c>
      <c r="C1691" s="0" t="s">
        <v>2574</v>
      </c>
      <c r="D1691" s="0" t="s">
        <v>93</v>
      </c>
      <c r="E1691" s="0" t="s">
        <v>788</v>
      </c>
    </row>
    <row r="1692" customFormat="false" ht="15" hidden="false" customHeight="false" outlineLevel="0" collapsed="false">
      <c r="A1692" s="0" t="s">
        <v>740</v>
      </c>
      <c r="B1692" s="0" t="s">
        <v>2580</v>
      </c>
      <c r="C1692" s="0" t="s">
        <v>2574</v>
      </c>
      <c r="D1692" s="0" t="s">
        <v>93</v>
      </c>
      <c r="E1692" s="0" t="s">
        <v>788</v>
      </c>
    </row>
    <row r="1693" customFormat="false" ht="15" hidden="false" customHeight="false" outlineLevel="0" collapsed="false">
      <c r="A1693" s="0" t="s">
        <v>740</v>
      </c>
      <c r="B1693" s="0" t="s">
        <v>2581</v>
      </c>
      <c r="C1693" s="0" t="s">
        <v>2574</v>
      </c>
      <c r="D1693" s="0" t="s">
        <v>93</v>
      </c>
      <c r="E1693" s="0" t="s">
        <v>788</v>
      </c>
    </row>
    <row r="1694" customFormat="false" ht="15" hidden="false" customHeight="false" outlineLevel="0" collapsed="false">
      <c r="A1694" s="0" t="s">
        <v>740</v>
      </c>
      <c r="B1694" s="0" t="s">
        <v>2582</v>
      </c>
      <c r="C1694" s="0" t="s">
        <v>2574</v>
      </c>
      <c r="D1694" s="0" t="s">
        <v>93</v>
      </c>
      <c r="E1694" s="0" t="s">
        <v>788</v>
      </c>
    </row>
    <row r="1695" customFormat="false" ht="15" hidden="false" customHeight="false" outlineLevel="0" collapsed="false">
      <c r="A1695" s="0" t="s">
        <v>740</v>
      </c>
      <c r="B1695" s="0" t="s">
        <v>2583</v>
      </c>
      <c r="C1695" s="0" t="s">
        <v>2574</v>
      </c>
      <c r="D1695" s="0" t="s">
        <v>93</v>
      </c>
      <c r="E1695" s="0" t="s">
        <v>788</v>
      </c>
    </row>
    <row r="1696" customFormat="false" ht="15" hidden="false" customHeight="false" outlineLevel="0" collapsed="false">
      <c r="A1696" s="0" t="s">
        <v>740</v>
      </c>
      <c r="B1696" s="0" t="s">
        <v>2584</v>
      </c>
      <c r="C1696" s="0" t="s">
        <v>2574</v>
      </c>
      <c r="D1696" s="0" t="s">
        <v>93</v>
      </c>
      <c r="E1696" s="0" t="s">
        <v>788</v>
      </c>
    </row>
    <row r="1697" customFormat="false" ht="15" hidden="false" customHeight="false" outlineLevel="0" collapsed="false">
      <c r="A1697" s="0" t="s">
        <v>740</v>
      </c>
      <c r="B1697" s="0" t="s">
        <v>2585</v>
      </c>
      <c r="C1697" s="0" t="s">
        <v>2574</v>
      </c>
      <c r="D1697" s="0" t="s">
        <v>93</v>
      </c>
      <c r="E1697" s="0" t="s">
        <v>788</v>
      </c>
    </row>
    <row r="1698" customFormat="false" ht="15" hidden="false" customHeight="false" outlineLevel="0" collapsed="false">
      <c r="A1698" s="0" t="s">
        <v>740</v>
      </c>
      <c r="B1698" s="0" t="s">
        <v>2586</v>
      </c>
      <c r="C1698" s="0" t="s">
        <v>2574</v>
      </c>
      <c r="D1698" s="0" t="s">
        <v>93</v>
      </c>
      <c r="E1698" s="0" t="s">
        <v>788</v>
      </c>
    </row>
    <row r="1699" customFormat="false" ht="15" hidden="false" customHeight="false" outlineLevel="0" collapsed="false">
      <c r="A1699" s="0" t="s">
        <v>740</v>
      </c>
      <c r="B1699" s="0" t="s">
        <v>2587</v>
      </c>
      <c r="C1699" s="0" t="s">
        <v>2574</v>
      </c>
      <c r="D1699" s="0" t="s">
        <v>93</v>
      </c>
      <c r="E1699" s="0" t="s">
        <v>788</v>
      </c>
    </row>
    <row r="1700" customFormat="false" ht="15" hidden="false" customHeight="false" outlineLevel="0" collapsed="false">
      <c r="A1700" s="0" t="s">
        <v>740</v>
      </c>
      <c r="B1700" s="0" t="s">
        <v>2588</v>
      </c>
      <c r="C1700" s="0" t="s">
        <v>2589</v>
      </c>
      <c r="D1700" s="0" t="s">
        <v>98</v>
      </c>
      <c r="E1700" s="0" t="s">
        <v>826</v>
      </c>
    </row>
    <row r="1701" customFormat="false" ht="15" hidden="false" customHeight="false" outlineLevel="0" collapsed="false">
      <c r="A1701" s="0" t="s">
        <v>740</v>
      </c>
      <c r="B1701" s="0" t="s">
        <v>2590</v>
      </c>
      <c r="C1701" s="0" t="s">
        <v>2591</v>
      </c>
      <c r="D1701" s="0" t="s">
        <v>98</v>
      </c>
      <c r="E1701" s="0" t="s">
        <v>826</v>
      </c>
    </row>
    <row r="1702" customFormat="false" ht="15" hidden="false" customHeight="false" outlineLevel="0" collapsed="false">
      <c r="A1702" s="0" t="s">
        <v>740</v>
      </c>
      <c r="B1702" s="0" t="s">
        <v>2592</v>
      </c>
      <c r="C1702" s="0" t="s">
        <v>2593</v>
      </c>
      <c r="D1702" s="0" t="s">
        <v>98</v>
      </c>
      <c r="E1702" s="0" t="s">
        <v>826</v>
      </c>
    </row>
    <row r="1703" customFormat="false" ht="15" hidden="false" customHeight="false" outlineLevel="0" collapsed="false">
      <c r="A1703" s="0" t="s">
        <v>740</v>
      </c>
      <c r="B1703" s="0" t="s">
        <v>2594</v>
      </c>
      <c r="C1703" s="0" t="s">
        <v>2595</v>
      </c>
      <c r="D1703" s="0" t="s">
        <v>98</v>
      </c>
      <c r="E1703" s="0" t="s">
        <v>826</v>
      </c>
    </row>
    <row r="1704" customFormat="false" ht="15" hidden="false" customHeight="false" outlineLevel="0" collapsed="false">
      <c r="A1704" s="0" t="s">
        <v>740</v>
      </c>
      <c r="B1704" s="0" t="s">
        <v>2596</v>
      </c>
      <c r="C1704" s="0" t="s">
        <v>2597</v>
      </c>
      <c r="D1704" s="0" t="s">
        <v>98</v>
      </c>
      <c r="E1704" s="0" t="s">
        <v>826</v>
      </c>
    </row>
    <row r="1705" customFormat="false" ht="15" hidden="false" customHeight="false" outlineLevel="0" collapsed="false">
      <c r="A1705" s="0" t="s">
        <v>740</v>
      </c>
      <c r="B1705" s="0" t="s">
        <v>2598</v>
      </c>
      <c r="C1705" s="0" t="s">
        <v>2599</v>
      </c>
      <c r="D1705" s="0" t="s">
        <v>98</v>
      </c>
      <c r="E1705" s="0" t="s">
        <v>826</v>
      </c>
    </row>
    <row r="1706" customFormat="false" ht="15" hidden="false" customHeight="false" outlineLevel="0" collapsed="false">
      <c r="A1706" s="0" t="s">
        <v>740</v>
      </c>
      <c r="B1706" s="0" t="s">
        <v>2600</v>
      </c>
      <c r="C1706" s="0" t="s">
        <v>2601</v>
      </c>
      <c r="D1706" s="0" t="s">
        <v>98</v>
      </c>
      <c r="E1706" s="0" t="s">
        <v>826</v>
      </c>
    </row>
    <row r="1707" customFormat="false" ht="15" hidden="false" customHeight="false" outlineLevel="0" collapsed="false">
      <c r="A1707" s="0" t="s">
        <v>740</v>
      </c>
      <c r="B1707" s="0" t="s">
        <v>2602</v>
      </c>
      <c r="C1707" s="0" t="s">
        <v>2603</v>
      </c>
      <c r="D1707" s="0" t="s">
        <v>98</v>
      </c>
      <c r="E1707" s="0" t="s">
        <v>826</v>
      </c>
    </row>
    <row r="1708" customFormat="false" ht="15" hidden="false" customHeight="false" outlineLevel="0" collapsed="false">
      <c r="A1708" s="0" t="s">
        <v>740</v>
      </c>
      <c r="B1708" s="0" t="s">
        <v>2604</v>
      </c>
      <c r="C1708" s="0" t="s">
        <v>2605</v>
      </c>
      <c r="D1708" s="0" t="s">
        <v>98</v>
      </c>
      <c r="E1708" s="0" t="s">
        <v>826</v>
      </c>
    </row>
    <row r="1709" customFormat="false" ht="15" hidden="false" customHeight="false" outlineLevel="0" collapsed="false">
      <c r="A1709" s="0" t="s">
        <v>740</v>
      </c>
      <c r="B1709" s="0" t="s">
        <v>2606</v>
      </c>
      <c r="C1709" s="0" t="s">
        <v>2607</v>
      </c>
      <c r="D1709" s="0" t="s">
        <v>98</v>
      </c>
      <c r="E1709" s="0" t="s">
        <v>826</v>
      </c>
    </row>
    <row r="1710" customFormat="false" ht="15" hidden="false" customHeight="false" outlineLevel="0" collapsed="false">
      <c r="A1710" s="0" t="s">
        <v>740</v>
      </c>
      <c r="B1710" s="0" t="s">
        <v>2608</v>
      </c>
      <c r="C1710" s="0" t="s">
        <v>2609</v>
      </c>
      <c r="D1710" s="0" t="s">
        <v>98</v>
      </c>
      <c r="E1710" s="0" t="s">
        <v>826</v>
      </c>
    </row>
    <row r="1711" customFormat="false" ht="15" hidden="false" customHeight="false" outlineLevel="0" collapsed="false">
      <c r="A1711" s="0" t="s">
        <v>740</v>
      </c>
      <c r="B1711" s="0" t="s">
        <v>2610</v>
      </c>
      <c r="C1711" s="0" t="s">
        <v>2611</v>
      </c>
      <c r="D1711" s="0" t="s">
        <v>98</v>
      </c>
      <c r="E1711" s="0" t="s">
        <v>826</v>
      </c>
    </row>
    <row r="1712" customFormat="false" ht="15" hidden="false" customHeight="false" outlineLevel="0" collapsed="false">
      <c r="A1712" s="0" t="s">
        <v>740</v>
      </c>
      <c r="B1712" s="0" t="s">
        <v>2612</v>
      </c>
      <c r="C1712" s="0" t="s">
        <v>2613</v>
      </c>
      <c r="D1712" s="0" t="s">
        <v>98</v>
      </c>
      <c r="E1712" s="0" t="s">
        <v>826</v>
      </c>
    </row>
    <row r="1713" customFormat="false" ht="15" hidden="false" customHeight="false" outlineLevel="0" collapsed="false">
      <c r="A1713" s="0" t="s">
        <v>740</v>
      </c>
      <c r="B1713" s="0" t="s">
        <v>2614</v>
      </c>
      <c r="C1713" s="0" t="s">
        <v>2615</v>
      </c>
      <c r="D1713" s="0" t="s">
        <v>98</v>
      </c>
      <c r="E1713" s="0" t="s">
        <v>826</v>
      </c>
    </row>
    <row r="1714" customFormat="false" ht="15" hidden="false" customHeight="false" outlineLevel="0" collapsed="false">
      <c r="A1714" s="0" t="s">
        <v>740</v>
      </c>
      <c r="B1714" s="0" t="s">
        <v>2616</v>
      </c>
      <c r="C1714" s="0" t="s">
        <v>2617</v>
      </c>
      <c r="D1714" s="0" t="s">
        <v>98</v>
      </c>
      <c r="E1714" s="0" t="s">
        <v>826</v>
      </c>
    </row>
    <row r="1715" customFormat="false" ht="15" hidden="false" customHeight="false" outlineLevel="0" collapsed="false">
      <c r="A1715" s="0" t="s">
        <v>740</v>
      </c>
      <c r="B1715" s="0" t="s">
        <v>2618</v>
      </c>
      <c r="C1715" s="0" t="s">
        <v>2619</v>
      </c>
      <c r="D1715" s="0" t="s">
        <v>98</v>
      </c>
      <c r="E1715" s="0" t="s">
        <v>826</v>
      </c>
    </row>
    <row r="1716" customFormat="false" ht="15" hidden="false" customHeight="false" outlineLevel="0" collapsed="false">
      <c r="A1716" s="0" t="s">
        <v>740</v>
      </c>
      <c r="B1716" s="0" t="s">
        <v>2620</v>
      </c>
      <c r="C1716" s="0" t="s">
        <v>2621</v>
      </c>
      <c r="D1716" s="0" t="s">
        <v>98</v>
      </c>
      <c r="E1716" s="0" t="s">
        <v>826</v>
      </c>
    </row>
    <row r="1717" customFormat="false" ht="15" hidden="false" customHeight="false" outlineLevel="0" collapsed="false">
      <c r="A1717" s="0" t="s">
        <v>740</v>
      </c>
      <c r="B1717" s="0" t="s">
        <v>2622</v>
      </c>
      <c r="C1717" s="0" t="s">
        <v>2623</v>
      </c>
      <c r="D1717" s="0" t="s">
        <v>98</v>
      </c>
      <c r="E1717" s="0" t="s">
        <v>826</v>
      </c>
    </row>
    <row r="1718" customFormat="false" ht="15" hidden="false" customHeight="false" outlineLevel="0" collapsed="false">
      <c r="A1718" s="0" t="s">
        <v>740</v>
      </c>
      <c r="B1718" s="0" t="s">
        <v>2624</v>
      </c>
      <c r="C1718" s="0" t="s">
        <v>2625</v>
      </c>
      <c r="D1718" s="0" t="s">
        <v>98</v>
      </c>
      <c r="E1718" s="0" t="s">
        <v>826</v>
      </c>
    </row>
    <row r="1719" customFormat="false" ht="15" hidden="false" customHeight="false" outlineLevel="0" collapsed="false">
      <c r="A1719" s="0" t="s">
        <v>740</v>
      </c>
      <c r="B1719" s="0" t="s">
        <v>2626</v>
      </c>
      <c r="C1719" s="0" t="s">
        <v>2627</v>
      </c>
      <c r="D1719" s="0" t="s">
        <v>98</v>
      </c>
      <c r="E1719" s="0" t="s">
        <v>826</v>
      </c>
    </row>
    <row r="1720" customFormat="false" ht="15" hidden="false" customHeight="false" outlineLevel="0" collapsed="false">
      <c r="A1720" s="0" t="s">
        <v>740</v>
      </c>
      <c r="B1720" s="0" t="s">
        <v>2628</v>
      </c>
      <c r="C1720" s="0" t="s">
        <v>2629</v>
      </c>
      <c r="D1720" s="0" t="s">
        <v>98</v>
      </c>
      <c r="E1720" s="0" t="s">
        <v>826</v>
      </c>
    </row>
    <row r="1721" customFormat="false" ht="15" hidden="false" customHeight="false" outlineLevel="0" collapsed="false">
      <c r="A1721" s="0" t="s">
        <v>740</v>
      </c>
      <c r="B1721" s="0" t="s">
        <v>2630</v>
      </c>
      <c r="C1721" s="0" t="s">
        <v>2631</v>
      </c>
      <c r="D1721" s="0" t="s">
        <v>98</v>
      </c>
      <c r="E1721" s="0" t="s">
        <v>826</v>
      </c>
    </row>
    <row r="1722" customFormat="false" ht="15" hidden="false" customHeight="false" outlineLevel="0" collapsed="false">
      <c r="A1722" s="0" t="s">
        <v>740</v>
      </c>
      <c r="B1722" s="0" t="s">
        <v>2632</v>
      </c>
      <c r="C1722" s="0" t="s">
        <v>2633</v>
      </c>
      <c r="D1722" s="0" t="s">
        <v>98</v>
      </c>
      <c r="E1722" s="0" t="s">
        <v>826</v>
      </c>
    </row>
    <row r="1723" customFormat="false" ht="15" hidden="false" customHeight="false" outlineLevel="0" collapsed="false">
      <c r="A1723" s="0" t="s">
        <v>740</v>
      </c>
      <c r="B1723" s="0" t="s">
        <v>2634</v>
      </c>
      <c r="C1723" s="0" t="s">
        <v>2635</v>
      </c>
      <c r="D1723" s="0" t="s">
        <v>98</v>
      </c>
      <c r="E1723" s="0" t="s">
        <v>826</v>
      </c>
    </row>
    <row r="1724" customFormat="false" ht="15" hidden="false" customHeight="false" outlineLevel="0" collapsed="false">
      <c r="A1724" s="0" t="s">
        <v>740</v>
      </c>
      <c r="B1724" s="0" t="s">
        <v>2636</v>
      </c>
      <c r="C1724" s="0" t="s">
        <v>2637</v>
      </c>
      <c r="D1724" s="0" t="s">
        <v>98</v>
      </c>
      <c r="E1724" s="0" t="s">
        <v>826</v>
      </c>
    </row>
    <row r="1725" customFormat="false" ht="15" hidden="false" customHeight="false" outlineLevel="0" collapsed="false">
      <c r="A1725" s="0" t="s">
        <v>740</v>
      </c>
      <c r="B1725" s="0" t="s">
        <v>2638</v>
      </c>
      <c r="C1725" s="0" t="s">
        <v>2639</v>
      </c>
      <c r="D1725" s="0" t="s">
        <v>98</v>
      </c>
      <c r="E1725" s="0" t="s">
        <v>826</v>
      </c>
    </row>
    <row r="1726" customFormat="false" ht="15" hidden="false" customHeight="false" outlineLevel="0" collapsed="false">
      <c r="A1726" s="0" t="s">
        <v>740</v>
      </c>
      <c r="B1726" s="0" t="s">
        <v>2640</v>
      </c>
      <c r="C1726" s="0" t="s">
        <v>2641</v>
      </c>
      <c r="D1726" s="0" t="s">
        <v>98</v>
      </c>
      <c r="E1726" s="0" t="s">
        <v>826</v>
      </c>
    </row>
    <row r="1727" customFormat="false" ht="15" hidden="false" customHeight="false" outlineLevel="0" collapsed="false">
      <c r="A1727" s="0" t="s">
        <v>740</v>
      </c>
      <c r="B1727" s="0" t="s">
        <v>2642</v>
      </c>
      <c r="C1727" s="0" t="s">
        <v>2643</v>
      </c>
      <c r="D1727" s="0" t="s">
        <v>98</v>
      </c>
      <c r="E1727" s="0" t="s">
        <v>826</v>
      </c>
    </row>
    <row r="1728" customFormat="false" ht="15" hidden="false" customHeight="false" outlineLevel="0" collapsed="false">
      <c r="A1728" s="0" t="s">
        <v>740</v>
      </c>
      <c r="B1728" s="0" t="s">
        <v>2644</v>
      </c>
      <c r="C1728" s="0" t="s">
        <v>357</v>
      </c>
      <c r="D1728" s="0" t="s">
        <v>86</v>
      </c>
      <c r="E1728" s="0" t="s">
        <v>2645</v>
      </c>
    </row>
    <row r="1729" customFormat="false" ht="15" hidden="false" customHeight="false" outlineLevel="0" collapsed="false">
      <c r="A1729" s="0" t="s">
        <v>740</v>
      </c>
      <c r="B1729" s="0" t="s">
        <v>2646</v>
      </c>
      <c r="C1729" s="0" t="s">
        <v>65</v>
      </c>
      <c r="D1729" s="0" t="s">
        <v>86</v>
      </c>
      <c r="E1729" s="0" t="s">
        <v>2501</v>
      </c>
    </row>
    <row r="1730" customFormat="false" ht="15" hidden="false" customHeight="false" outlineLevel="0" collapsed="false">
      <c r="A1730" s="0" t="s">
        <v>740</v>
      </c>
      <c r="B1730" s="0" t="s">
        <v>2647</v>
      </c>
      <c r="C1730" s="0" t="s">
        <v>65</v>
      </c>
      <c r="D1730" s="0" t="s">
        <v>86</v>
      </c>
      <c r="E1730" s="0" t="s">
        <v>2501</v>
      </c>
    </row>
    <row r="1731" customFormat="false" ht="15" hidden="false" customHeight="false" outlineLevel="0" collapsed="false">
      <c r="A1731" s="0" t="s">
        <v>740</v>
      </c>
      <c r="B1731" s="0" t="s">
        <v>2648</v>
      </c>
      <c r="C1731" s="0" t="s">
        <v>65</v>
      </c>
      <c r="D1731" s="0" t="s">
        <v>86</v>
      </c>
      <c r="E1731" s="0" t="s">
        <v>2501</v>
      </c>
    </row>
    <row r="1732" customFormat="false" ht="15" hidden="false" customHeight="false" outlineLevel="0" collapsed="false">
      <c r="A1732" s="0" t="s">
        <v>740</v>
      </c>
      <c r="B1732" s="0" t="s">
        <v>2649</v>
      </c>
      <c r="C1732" s="0" t="s">
        <v>65</v>
      </c>
      <c r="D1732" s="0" t="s">
        <v>86</v>
      </c>
      <c r="E1732" s="0" t="s">
        <v>2501</v>
      </c>
    </row>
    <row r="1733" customFormat="false" ht="15" hidden="false" customHeight="false" outlineLevel="0" collapsed="false">
      <c r="A1733" s="0" t="s">
        <v>740</v>
      </c>
      <c r="B1733" s="0" t="s">
        <v>2650</v>
      </c>
      <c r="C1733" s="0" t="s">
        <v>65</v>
      </c>
      <c r="D1733" s="0" t="s">
        <v>86</v>
      </c>
      <c r="E1733" s="0" t="s">
        <v>2501</v>
      </c>
    </row>
    <row r="1734" customFormat="false" ht="15" hidden="false" customHeight="false" outlineLevel="0" collapsed="false">
      <c r="A1734" s="0" t="s">
        <v>740</v>
      </c>
      <c r="B1734" s="0" t="s">
        <v>2651</v>
      </c>
      <c r="C1734" s="0" t="s">
        <v>65</v>
      </c>
      <c r="D1734" s="0" t="s">
        <v>86</v>
      </c>
      <c r="E1734" s="0" t="s">
        <v>2501</v>
      </c>
    </row>
    <row r="1735" customFormat="false" ht="15" hidden="false" customHeight="false" outlineLevel="0" collapsed="false">
      <c r="A1735" s="0" t="s">
        <v>740</v>
      </c>
      <c r="B1735" s="0" t="s">
        <v>2652</v>
      </c>
      <c r="C1735" s="0" t="s">
        <v>65</v>
      </c>
      <c r="D1735" s="0" t="s">
        <v>86</v>
      </c>
      <c r="E1735" s="0" t="s">
        <v>2501</v>
      </c>
    </row>
    <row r="1736" customFormat="false" ht="15" hidden="false" customHeight="false" outlineLevel="0" collapsed="false">
      <c r="A1736" s="0" t="s">
        <v>740</v>
      </c>
      <c r="B1736" s="0" t="s">
        <v>2653</v>
      </c>
      <c r="C1736" s="0" t="s">
        <v>65</v>
      </c>
      <c r="D1736" s="0" t="s">
        <v>86</v>
      </c>
      <c r="E1736" s="0" t="s">
        <v>2501</v>
      </c>
    </row>
    <row r="1737" customFormat="false" ht="15" hidden="false" customHeight="false" outlineLevel="0" collapsed="false">
      <c r="A1737" s="0" t="s">
        <v>740</v>
      </c>
      <c r="B1737" s="0" t="s">
        <v>2654</v>
      </c>
      <c r="C1737" s="0" t="s">
        <v>65</v>
      </c>
      <c r="D1737" s="0" t="s">
        <v>86</v>
      </c>
      <c r="E1737" s="0" t="s">
        <v>2501</v>
      </c>
    </row>
    <row r="1738" customFormat="false" ht="15" hidden="false" customHeight="false" outlineLevel="0" collapsed="false">
      <c r="A1738" s="0" t="s">
        <v>740</v>
      </c>
      <c r="B1738" s="0" t="s">
        <v>2655</v>
      </c>
      <c r="C1738" s="0" t="s">
        <v>65</v>
      </c>
      <c r="D1738" s="0" t="s">
        <v>86</v>
      </c>
      <c r="E1738" s="0" t="s">
        <v>2501</v>
      </c>
    </row>
    <row r="1739" customFormat="false" ht="15" hidden="false" customHeight="false" outlineLevel="0" collapsed="false">
      <c r="A1739" s="0" t="s">
        <v>740</v>
      </c>
      <c r="B1739" s="0" t="s">
        <v>2656</v>
      </c>
      <c r="C1739" s="0" t="s">
        <v>65</v>
      </c>
      <c r="D1739" s="0" t="s">
        <v>86</v>
      </c>
      <c r="E1739" s="0" t="s">
        <v>2501</v>
      </c>
    </row>
    <row r="1740" customFormat="false" ht="15" hidden="false" customHeight="false" outlineLevel="0" collapsed="false">
      <c r="A1740" s="0" t="s">
        <v>740</v>
      </c>
      <c r="B1740" s="0" t="s">
        <v>2657</v>
      </c>
      <c r="C1740" s="0" t="s">
        <v>65</v>
      </c>
      <c r="D1740" s="0" t="s">
        <v>86</v>
      </c>
      <c r="E1740" s="0" t="s">
        <v>2501</v>
      </c>
    </row>
    <row r="1741" customFormat="false" ht="15" hidden="false" customHeight="false" outlineLevel="0" collapsed="false">
      <c r="A1741" s="0" t="s">
        <v>740</v>
      </c>
      <c r="B1741" s="0" t="s">
        <v>2658</v>
      </c>
      <c r="C1741" s="0" t="s">
        <v>65</v>
      </c>
      <c r="D1741" s="0" t="s">
        <v>86</v>
      </c>
      <c r="E1741" s="0" t="s">
        <v>2501</v>
      </c>
    </row>
    <row r="1742" customFormat="false" ht="15" hidden="false" customHeight="false" outlineLevel="0" collapsed="false">
      <c r="A1742" s="0" t="s">
        <v>740</v>
      </c>
      <c r="B1742" s="0" t="s">
        <v>2659</v>
      </c>
      <c r="C1742" s="0" t="s">
        <v>65</v>
      </c>
      <c r="D1742" s="0" t="s">
        <v>86</v>
      </c>
      <c r="E1742" s="0" t="s">
        <v>2501</v>
      </c>
    </row>
    <row r="1743" customFormat="false" ht="15" hidden="false" customHeight="false" outlineLevel="0" collapsed="false">
      <c r="A1743" s="0" t="s">
        <v>740</v>
      </c>
      <c r="B1743" s="0" t="s">
        <v>2660</v>
      </c>
      <c r="C1743" s="0" t="s">
        <v>65</v>
      </c>
      <c r="D1743" s="0" t="s">
        <v>86</v>
      </c>
      <c r="E1743" s="0" t="s">
        <v>2501</v>
      </c>
    </row>
    <row r="1744" customFormat="false" ht="15" hidden="false" customHeight="false" outlineLevel="0" collapsed="false">
      <c r="A1744" s="0" t="s">
        <v>740</v>
      </c>
      <c r="B1744" s="0" t="s">
        <v>2661</v>
      </c>
      <c r="C1744" s="0" t="s">
        <v>65</v>
      </c>
      <c r="D1744" s="0" t="s">
        <v>86</v>
      </c>
      <c r="E1744" s="0" t="s">
        <v>2501</v>
      </c>
    </row>
    <row r="1745" customFormat="false" ht="15" hidden="false" customHeight="false" outlineLevel="0" collapsed="false">
      <c r="A1745" s="0" t="s">
        <v>740</v>
      </c>
      <c r="B1745" s="0" t="s">
        <v>2662</v>
      </c>
      <c r="C1745" s="0" t="s">
        <v>65</v>
      </c>
      <c r="D1745" s="0" t="s">
        <v>86</v>
      </c>
      <c r="E1745" s="0" t="s">
        <v>2501</v>
      </c>
    </row>
    <row r="1746" customFormat="false" ht="15" hidden="false" customHeight="false" outlineLevel="0" collapsed="false">
      <c r="A1746" s="0" t="s">
        <v>740</v>
      </c>
      <c r="B1746" s="0" t="s">
        <v>2663</v>
      </c>
      <c r="C1746" s="0" t="s">
        <v>65</v>
      </c>
      <c r="D1746" s="0" t="s">
        <v>86</v>
      </c>
      <c r="E1746" s="0" t="s">
        <v>2501</v>
      </c>
    </row>
    <row r="1747" customFormat="false" ht="15" hidden="false" customHeight="false" outlineLevel="0" collapsed="false">
      <c r="A1747" s="0" t="s">
        <v>740</v>
      </c>
      <c r="B1747" s="0" t="s">
        <v>2664</v>
      </c>
      <c r="C1747" s="0" t="s">
        <v>65</v>
      </c>
      <c r="D1747" s="0" t="s">
        <v>86</v>
      </c>
      <c r="E1747" s="0" t="s">
        <v>2501</v>
      </c>
    </row>
    <row r="1748" customFormat="false" ht="15" hidden="false" customHeight="false" outlineLevel="0" collapsed="false">
      <c r="A1748" s="0" t="s">
        <v>740</v>
      </c>
      <c r="B1748" s="0" t="s">
        <v>2665</v>
      </c>
      <c r="C1748" s="0" t="s">
        <v>65</v>
      </c>
      <c r="D1748" s="0" t="s">
        <v>86</v>
      </c>
      <c r="E1748" s="0" t="s">
        <v>2501</v>
      </c>
    </row>
    <row r="1749" customFormat="false" ht="15" hidden="false" customHeight="false" outlineLevel="0" collapsed="false">
      <c r="A1749" s="0" t="s">
        <v>740</v>
      </c>
      <c r="B1749" s="0" t="s">
        <v>2666</v>
      </c>
      <c r="C1749" s="0" t="s">
        <v>65</v>
      </c>
      <c r="D1749" s="0" t="s">
        <v>86</v>
      </c>
      <c r="E1749" s="0" t="s">
        <v>2501</v>
      </c>
    </row>
    <row r="1750" customFormat="false" ht="15" hidden="false" customHeight="false" outlineLevel="0" collapsed="false">
      <c r="A1750" s="0" t="s">
        <v>740</v>
      </c>
      <c r="B1750" s="0" t="s">
        <v>2667</v>
      </c>
      <c r="C1750" s="0" t="s">
        <v>65</v>
      </c>
      <c r="D1750" s="0" t="s">
        <v>86</v>
      </c>
      <c r="E1750" s="0" t="s">
        <v>2501</v>
      </c>
    </row>
    <row r="1751" customFormat="false" ht="15" hidden="false" customHeight="false" outlineLevel="0" collapsed="false">
      <c r="A1751" s="0" t="s">
        <v>740</v>
      </c>
      <c r="B1751" s="0" t="s">
        <v>2668</v>
      </c>
      <c r="C1751" s="0" t="s">
        <v>65</v>
      </c>
      <c r="D1751" s="0" t="s">
        <v>86</v>
      </c>
      <c r="E1751" s="0" t="s">
        <v>2501</v>
      </c>
    </row>
    <row r="1752" customFormat="false" ht="15" hidden="false" customHeight="false" outlineLevel="0" collapsed="false">
      <c r="A1752" s="0" t="s">
        <v>740</v>
      </c>
      <c r="B1752" s="0" t="s">
        <v>2669</v>
      </c>
      <c r="C1752" s="0" t="s">
        <v>65</v>
      </c>
      <c r="D1752" s="0" t="s">
        <v>86</v>
      </c>
      <c r="E1752" s="0" t="s">
        <v>2501</v>
      </c>
    </row>
    <row r="1753" customFormat="false" ht="15" hidden="false" customHeight="false" outlineLevel="0" collapsed="false">
      <c r="A1753" s="0" t="s">
        <v>740</v>
      </c>
      <c r="B1753" s="0" t="s">
        <v>2670</v>
      </c>
      <c r="C1753" s="0" t="s">
        <v>65</v>
      </c>
      <c r="D1753" s="0" t="s">
        <v>86</v>
      </c>
      <c r="E1753" s="0" t="s">
        <v>2501</v>
      </c>
    </row>
    <row r="1754" customFormat="false" ht="15" hidden="false" customHeight="false" outlineLevel="0" collapsed="false">
      <c r="A1754" s="0" t="s">
        <v>740</v>
      </c>
      <c r="B1754" s="0" t="s">
        <v>2671</v>
      </c>
      <c r="C1754" s="0" t="s">
        <v>65</v>
      </c>
      <c r="D1754" s="0" t="s">
        <v>86</v>
      </c>
      <c r="E1754" s="0" t="s">
        <v>2501</v>
      </c>
    </row>
    <row r="1755" customFormat="false" ht="15" hidden="false" customHeight="false" outlineLevel="0" collapsed="false">
      <c r="A1755" s="0" t="s">
        <v>740</v>
      </c>
      <c r="B1755" s="0" t="s">
        <v>2672</v>
      </c>
      <c r="C1755" s="0" t="s">
        <v>65</v>
      </c>
      <c r="D1755" s="0" t="s">
        <v>86</v>
      </c>
      <c r="E1755" s="0" t="s">
        <v>2501</v>
      </c>
    </row>
    <row r="1756" customFormat="false" ht="15" hidden="false" customHeight="false" outlineLevel="0" collapsed="false">
      <c r="A1756" s="0" t="s">
        <v>740</v>
      </c>
      <c r="B1756" s="0" t="s">
        <v>2673</v>
      </c>
      <c r="C1756" s="0" t="s">
        <v>65</v>
      </c>
      <c r="D1756" s="0" t="s">
        <v>86</v>
      </c>
      <c r="E1756" s="0" t="s">
        <v>2501</v>
      </c>
    </row>
    <row r="1757" customFormat="false" ht="15" hidden="false" customHeight="false" outlineLevel="0" collapsed="false">
      <c r="A1757" s="0" t="s">
        <v>740</v>
      </c>
      <c r="B1757" s="0" t="s">
        <v>2674</v>
      </c>
      <c r="C1757" s="0" t="s">
        <v>762</v>
      </c>
      <c r="D1757" s="0" t="s">
        <v>98</v>
      </c>
      <c r="E1757" s="0" t="s">
        <v>763</v>
      </c>
    </row>
    <row r="1758" customFormat="false" ht="15" hidden="false" customHeight="false" outlineLevel="0" collapsed="false">
      <c r="A1758" s="0" t="s">
        <v>740</v>
      </c>
      <c r="B1758" s="0" t="s">
        <v>2675</v>
      </c>
      <c r="C1758" s="0" t="s">
        <v>762</v>
      </c>
      <c r="D1758" s="0" t="s">
        <v>98</v>
      </c>
      <c r="E1758" s="0" t="s">
        <v>763</v>
      </c>
    </row>
    <row r="1759" customFormat="false" ht="15" hidden="false" customHeight="false" outlineLevel="0" collapsed="false">
      <c r="A1759" s="0" t="s">
        <v>740</v>
      </c>
      <c r="B1759" s="0" t="s">
        <v>2676</v>
      </c>
      <c r="C1759" s="0" t="s">
        <v>762</v>
      </c>
      <c r="D1759" s="0" t="s">
        <v>98</v>
      </c>
      <c r="E1759" s="0" t="s">
        <v>763</v>
      </c>
    </row>
    <row r="1760" customFormat="false" ht="15" hidden="false" customHeight="false" outlineLevel="0" collapsed="false">
      <c r="A1760" s="0" t="s">
        <v>740</v>
      </c>
      <c r="B1760" s="0" t="s">
        <v>2677</v>
      </c>
      <c r="C1760" s="0" t="s">
        <v>762</v>
      </c>
      <c r="D1760" s="0" t="s">
        <v>98</v>
      </c>
      <c r="E1760" s="0" t="s">
        <v>763</v>
      </c>
    </row>
    <row r="1761" customFormat="false" ht="15" hidden="false" customHeight="false" outlineLevel="0" collapsed="false">
      <c r="A1761" s="0" t="s">
        <v>740</v>
      </c>
      <c r="B1761" s="0" t="s">
        <v>2678</v>
      </c>
      <c r="C1761" s="0" t="s">
        <v>762</v>
      </c>
      <c r="D1761" s="0" t="s">
        <v>98</v>
      </c>
      <c r="E1761" s="0" t="s">
        <v>763</v>
      </c>
    </row>
    <row r="1762" customFormat="false" ht="15" hidden="false" customHeight="false" outlineLevel="0" collapsed="false">
      <c r="A1762" s="0" t="s">
        <v>740</v>
      </c>
      <c r="B1762" s="0" t="s">
        <v>2679</v>
      </c>
      <c r="C1762" s="0" t="s">
        <v>762</v>
      </c>
      <c r="D1762" s="0" t="s">
        <v>98</v>
      </c>
      <c r="E1762" s="0" t="s">
        <v>763</v>
      </c>
    </row>
    <row r="1763" customFormat="false" ht="15" hidden="false" customHeight="false" outlineLevel="0" collapsed="false">
      <c r="A1763" s="0" t="s">
        <v>740</v>
      </c>
      <c r="B1763" s="0" t="s">
        <v>2680</v>
      </c>
      <c r="C1763" s="0" t="s">
        <v>762</v>
      </c>
      <c r="D1763" s="0" t="s">
        <v>98</v>
      </c>
      <c r="E1763" s="0" t="s">
        <v>763</v>
      </c>
    </row>
    <row r="1764" customFormat="false" ht="15" hidden="false" customHeight="false" outlineLevel="0" collapsed="false">
      <c r="A1764" s="0" t="s">
        <v>740</v>
      </c>
      <c r="B1764" s="0" t="s">
        <v>2681</v>
      </c>
      <c r="C1764" s="0" t="s">
        <v>762</v>
      </c>
      <c r="D1764" s="0" t="s">
        <v>98</v>
      </c>
      <c r="E1764" s="0" t="s">
        <v>763</v>
      </c>
    </row>
    <row r="1765" customFormat="false" ht="15" hidden="false" customHeight="false" outlineLevel="0" collapsed="false">
      <c r="A1765" s="0" t="s">
        <v>740</v>
      </c>
      <c r="B1765" s="0" t="s">
        <v>2682</v>
      </c>
      <c r="C1765" s="0" t="s">
        <v>762</v>
      </c>
      <c r="D1765" s="0" t="s">
        <v>98</v>
      </c>
      <c r="E1765" s="0" t="s">
        <v>763</v>
      </c>
    </row>
    <row r="1766" customFormat="false" ht="15" hidden="false" customHeight="false" outlineLevel="0" collapsed="false">
      <c r="A1766" s="0" t="s">
        <v>740</v>
      </c>
      <c r="B1766" s="0" t="s">
        <v>2683</v>
      </c>
      <c r="C1766" s="0" t="s">
        <v>762</v>
      </c>
      <c r="D1766" s="0" t="s">
        <v>98</v>
      </c>
      <c r="E1766" s="0" t="s">
        <v>763</v>
      </c>
    </row>
    <row r="1767" customFormat="false" ht="15" hidden="false" customHeight="false" outlineLevel="0" collapsed="false">
      <c r="A1767" s="0" t="s">
        <v>740</v>
      </c>
      <c r="B1767" s="0" t="s">
        <v>2684</v>
      </c>
      <c r="C1767" s="0" t="s">
        <v>762</v>
      </c>
      <c r="D1767" s="0" t="s">
        <v>98</v>
      </c>
      <c r="E1767" s="0" t="s">
        <v>763</v>
      </c>
    </row>
    <row r="1768" customFormat="false" ht="15" hidden="false" customHeight="false" outlineLevel="0" collapsed="false">
      <c r="A1768" s="0" t="s">
        <v>740</v>
      </c>
      <c r="B1768" s="0" t="s">
        <v>2685</v>
      </c>
      <c r="C1768" s="0" t="s">
        <v>762</v>
      </c>
      <c r="D1768" s="0" t="s">
        <v>98</v>
      </c>
      <c r="E1768" s="0" t="s">
        <v>763</v>
      </c>
    </row>
    <row r="1769" customFormat="false" ht="15" hidden="false" customHeight="false" outlineLevel="0" collapsed="false">
      <c r="A1769" s="0" t="s">
        <v>740</v>
      </c>
      <c r="B1769" s="0" t="s">
        <v>2686</v>
      </c>
      <c r="C1769" s="0" t="s">
        <v>762</v>
      </c>
      <c r="D1769" s="0" t="s">
        <v>98</v>
      </c>
      <c r="E1769" s="0" t="s">
        <v>763</v>
      </c>
    </row>
    <row r="1770" customFormat="false" ht="15" hidden="false" customHeight="false" outlineLevel="0" collapsed="false">
      <c r="A1770" s="0" t="s">
        <v>740</v>
      </c>
      <c r="B1770" s="0" t="s">
        <v>2687</v>
      </c>
      <c r="C1770" s="0" t="s">
        <v>762</v>
      </c>
      <c r="D1770" s="0" t="s">
        <v>93</v>
      </c>
      <c r="E1770" s="0" t="s">
        <v>2688</v>
      </c>
    </row>
    <row r="1771" customFormat="false" ht="15" hidden="false" customHeight="false" outlineLevel="0" collapsed="false">
      <c r="A1771" s="0" t="s">
        <v>740</v>
      </c>
      <c r="B1771" s="0" t="s">
        <v>2689</v>
      </c>
      <c r="C1771" s="0" t="s">
        <v>762</v>
      </c>
      <c r="D1771" s="0" t="s">
        <v>93</v>
      </c>
    </row>
    <row r="1772" customFormat="false" ht="15" hidden="false" customHeight="false" outlineLevel="0" collapsed="false">
      <c r="A1772" s="0" t="s">
        <v>740</v>
      </c>
      <c r="B1772" s="0" t="s">
        <v>2690</v>
      </c>
      <c r="C1772" s="0" t="s">
        <v>762</v>
      </c>
      <c r="D1772" s="0" t="s">
        <v>93</v>
      </c>
      <c r="E1772" s="0" t="s">
        <v>2691</v>
      </c>
    </row>
    <row r="1773" customFormat="false" ht="15" hidden="false" customHeight="false" outlineLevel="0" collapsed="false">
      <c r="A1773" s="0" t="s">
        <v>740</v>
      </c>
      <c r="B1773" s="0" t="s">
        <v>2692</v>
      </c>
      <c r="C1773" s="0" t="s">
        <v>762</v>
      </c>
      <c r="D1773" s="0" t="s">
        <v>93</v>
      </c>
      <c r="E1773" s="0" t="s">
        <v>788</v>
      </c>
    </row>
    <row r="1774" customFormat="false" ht="15" hidden="false" customHeight="false" outlineLevel="0" collapsed="false">
      <c r="A1774" s="0" t="s">
        <v>740</v>
      </c>
      <c r="B1774" s="0" t="s">
        <v>2693</v>
      </c>
      <c r="C1774" s="0" t="s">
        <v>762</v>
      </c>
      <c r="D1774" s="0" t="s">
        <v>93</v>
      </c>
      <c r="E1774" s="0" t="s">
        <v>788</v>
      </c>
    </row>
    <row r="1775" customFormat="false" ht="15" hidden="false" customHeight="false" outlineLevel="0" collapsed="false">
      <c r="A1775" s="0" t="s">
        <v>740</v>
      </c>
      <c r="B1775" s="0" t="s">
        <v>2694</v>
      </c>
      <c r="C1775" s="0" t="s">
        <v>762</v>
      </c>
      <c r="D1775" s="0" t="s">
        <v>93</v>
      </c>
      <c r="E1775" s="0" t="s">
        <v>788</v>
      </c>
    </row>
    <row r="1776" customFormat="false" ht="15" hidden="false" customHeight="false" outlineLevel="0" collapsed="false">
      <c r="A1776" s="0" t="s">
        <v>740</v>
      </c>
      <c r="B1776" s="0" t="s">
        <v>2695</v>
      </c>
      <c r="C1776" s="0" t="s">
        <v>762</v>
      </c>
      <c r="D1776" s="0" t="s">
        <v>93</v>
      </c>
      <c r="E1776" s="0" t="s">
        <v>788</v>
      </c>
    </row>
    <row r="1777" customFormat="false" ht="15" hidden="false" customHeight="false" outlineLevel="0" collapsed="false">
      <c r="A1777" s="0" t="s">
        <v>740</v>
      </c>
      <c r="B1777" s="0" t="s">
        <v>2696</v>
      </c>
      <c r="C1777" s="0" t="s">
        <v>762</v>
      </c>
      <c r="D1777" s="0" t="s">
        <v>93</v>
      </c>
      <c r="E1777" s="0" t="s">
        <v>788</v>
      </c>
    </row>
    <row r="1778" customFormat="false" ht="15" hidden="false" customHeight="false" outlineLevel="0" collapsed="false">
      <c r="A1778" s="0" t="s">
        <v>740</v>
      </c>
      <c r="B1778" s="0" t="s">
        <v>2697</v>
      </c>
      <c r="C1778" s="0" t="s">
        <v>762</v>
      </c>
      <c r="D1778" s="0" t="s">
        <v>93</v>
      </c>
      <c r="E1778" s="0" t="s">
        <v>788</v>
      </c>
    </row>
    <row r="1779" customFormat="false" ht="15" hidden="false" customHeight="false" outlineLevel="0" collapsed="false">
      <c r="A1779" s="0" t="s">
        <v>740</v>
      </c>
      <c r="B1779" s="0" t="s">
        <v>2698</v>
      </c>
      <c r="C1779" s="0" t="s">
        <v>762</v>
      </c>
      <c r="D1779" s="0" t="s">
        <v>93</v>
      </c>
      <c r="E1779" s="0" t="s">
        <v>788</v>
      </c>
    </row>
    <row r="1780" customFormat="false" ht="15" hidden="false" customHeight="false" outlineLevel="0" collapsed="false">
      <c r="A1780" s="0" t="s">
        <v>740</v>
      </c>
      <c r="B1780" s="0" t="s">
        <v>2699</v>
      </c>
      <c r="C1780" s="0" t="s">
        <v>762</v>
      </c>
      <c r="D1780" s="0" t="s">
        <v>93</v>
      </c>
      <c r="E1780" s="0" t="s">
        <v>788</v>
      </c>
    </row>
    <row r="1781" customFormat="false" ht="15" hidden="false" customHeight="false" outlineLevel="0" collapsed="false">
      <c r="A1781" s="0" t="s">
        <v>740</v>
      </c>
      <c r="B1781" s="0" t="s">
        <v>2700</v>
      </c>
      <c r="C1781" s="0" t="s">
        <v>762</v>
      </c>
      <c r="D1781" s="0" t="s">
        <v>93</v>
      </c>
      <c r="E1781" s="0" t="s">
        <v>788</v>
      </c>
    </row>
    <row r="1782" customFormat="false" ht="15" hidden="false" customHeight="false" outlineLevel="0" collapsed="false">
      <c r="A1782" s="0" t="s">
        <v>740</v>
      </c>
      <c r="B1782" s="0" t="s">
        <v>2701</v>
      </c>
      <c r="C1782" s="0" t="s">
        <v>762</v>
      </c>
      <c r="D1782" s="0" t="s">
        <v>93</v>
      </c>
      <c r="E1782" s="0" t="s">
        <v>788</v>
      </c>
    </row>
    <row r="1783" customFormat="false" ht="15" hidden="false" customHeight="false" outlineLevel="0" collapsed="false">
      <c r="A1783" s="0" t="s">
        <v>740</v>
      </c>
      <c r="B1783" s="0" t="s">
        <v>2702</v>
      </c>
      <c r="C1783" s="0" t="s">
        <v>762</v>
      </c>
      <c r="D1783" s="0" t="s">
        <v>93</v>
      </c>
      <c r="E1783" s="0" t="s">
        <v>788</v>
      </c>
    </row>
    <row r="1784" customFormat="false" ht="15" hidden="false" customHeight="false" outlineLevel="0" collapsed="false">
      <c r="A1784" s="0" t="s">
        <v>740</v>
      </c>
      <c r="B1784" s="0" t="s">
        <v>2703</v>
      </c>
      <c r="C1784" s="0" t="s">
        <v>762</v>
      </c>
      <c r="D1784" s="0" t="s">
        <v>93</v>
      </c>
      <c r="E1784" s="0" t="s">
        <v>788</v>
      </c>
    </row>
    <row r="1785" customFormat="false" ht="15" hidden="false" customHeight="false" outlineLevel="0" collapsed="false">
      <c r="A1785" s="0" t="s">
        <v>740</v>
      </c>
      <c r="B1785" s="0" t="s">
        <v>2704</v>
      </c>
      <c r="C1785" s="0" t="s">
        <v>762</v>
      </c>
      <c r="D1785" s="0" t="s">
        <v>98</v>
      </c>
      <c r="E1785" s="0" t="s">
        <v>763</v>
      </c>
    </row>
    <row r="1786" customFormat="false" ht="15" hidden="false" customHeight="false" outlineLevel="0" collapsed="false">
      <c r="A1786" s="0" t="s">
        <v>740</v>
      </c>
      <c r="B1786" s="0" t="s">
        <v>2705</v>
      </c>
      <c r="C1786" s="0" t="s">
        <v>762</v>
      </c>
      <c r="D1786" s="0" t="s">
        <v>98</v>
      </c>
      <c r="E1786" s="0" t="s">
        <v>763</v>
      </c>
    </row>
    <row r="1787" customFormat="false" ht="15" hidden="false" customHeight="false" outlineLevel="0" collapsed="false">
      <c r="A1787" s="0" t="s">
        <v>740</v>
      </c>
      <c r="B1787" s="0" t="s">
        <v>2706</v>
      </c>
      <c r="C1787" s="0" t="s">
        <v>762</v>
      </c>
      <c r="D1787" s="0" t="s">
        <v>98</v>
      </c>
      <c r="E1787" s="0" t="s">
        <v>763</v>
      </c>
    </row>
    <row r="1788" customFormat="false" ht="15" hidden="false" customHeight="false" outlineLevel="0" collapsed="false">
      <c r="A1788" s="0" t="s">
        <v>740</v>
      </c>
      <c r="B1788" s="0" t="s">
        <v>2707</v>
      </c>
      <c r="C1788" s="0" t="s">
        <v>762</v>
      </c>
      <c r="D1788" s="0" t="s">
        <v>98</v>
      </c>
      <c r="E1788" s="0" t="s">
        <v>763</v>
      </c>
    </row>
    <row r="1789" customFormat="false" ht="15" hidden="false" customHeight="false" outlineLevel="0" collapsed="false">
      <c r="A1789" s="0" t="s">
        <v>740</v>
      </c>
      <c r="B1789" s="0" t="s">
        <v>2708</v>
      </c>
      <c r="C1789" s="0" t="s">
        <v>762</v>
      </c>
      <c r="D1789" s="0" t="s">
        <v>98</v>
      </c>
      <c r="E1789" s="0" t="s">
        <v>763</v>
      </c>
    </row>
    <row r="1790" customFormat="false" ht="15" hidden="false" customHeight="false" outlineLevel="0" collapsed="false">
      <c r="A1790" s="0" t="s">
        <v>740</v>
      </c>
      <c r="B1790" s="0" t="s">
        <v>2709</v>
      </c>
      <c r="C1790" s="0" t="s">
        <v>762</v>
      </c>
      <c r="D1790" s="0" t="s">
        <v>98</v>
      </c>
      <c r="E1790" s="0" t="s">
        <v>763</v>
      </c>
    </row>
    <row r="1791" customFormat="false" ht="15" hidden="false" customHeight="false" outlineLevel="0" collapsed="false">
      <c r="A1791" s="0" t="s">
        <v>740</v>
      </c>
      <c r="B1791" s="0" t="s">
        <v>2710</v>
      </c>
      <c r="C1791" s="0" t="s">
        <v>762</v>
      </c>
      <c r="D1791" s="0" t="s">
        <v>98</v>
      </c>
      <c r="E1791" s="0" t="s">
        <v>763</v>
      </c>
    </row>
    <row r="1792" customFormat="false" ht="15" hidden="false" customHeight="false" outlineLevel="0" collapsed="false">
      <c r="A1792" s="0" t="s">
        <v>740</v>
      </c>
      <c r="B1792" s="0" t="s">
        <v>2711</v>
      </c>
      <c r="C1792" s="0" t="s">
        <v>762</v>
      </c>
      <c r="D1792" s="0" t="s">
        <v>98</v>
      </c>
      <c r="E1792" s="0" t="s">
        <v>763</v>
      </c>
    </row>
    <row r="1793" customFormat="false" ht="15" hidden="false" customHeight="false" outlineLevel="0" collapsed="false">
      <c r="A1793" s="0" t="s">
        <v>740</v>
      </c>
      <c r="B1793" s="0" t="s">
        <v>2712</v>
      </c>
      <c r="C1793" s="0" t="s">
        <v>762</v>
      </c>
      <c r="D1793" s="0" t="s">
        <v>98</v>
      </c>
      <c r="E1793" s="0" t="s">
        <v>763</v>
      </c>
    </row>
    <row r="1794" customFormat="false" ht="15" hidden="false" customHeight="false" outlineLevel="0" collapsed="false">
      <c r="A1794" s="0" t="s">
        <v>740</v>
      </c>
      <c r="B1794" s="0" t="s">
        <v>2713</v>
      </c>
      <c r="C1794" s="0" t="s">
        <v>762</v>
      </c>
      <c r="D1794" s="0" t="s">
        <v>98</v>
      </c>
      <c r="E1794" s="0" t="s">
        <v>763</v>
      </c>
    </row>
    <row r="1795" customFormat="false" ht="15" hidden="false" customHeight="false" outlineLevel="0" collapsed="false">
      <c r="A1795" s="0" t="s">
        <v>740</v>
      </c>
      <c r="B1795" s="0" t="s">
        <v>2714</v>
      </c>
      <c r="C1795" s="0" t="s">
        <v>762</v>
      </c>
      <c r="D1795" s="0" t="s">
        <v>98</v>
      </c>
      <c r="E1795" s="0" t="s">
        <v>763</v>
      </c>
    </row>
    <row r="1796" customFormat="false" ht="15" hidden="false" customHeight="false" outlineLevel="0" collapsed="false">
      <c r="A1796" s="0" t="s">
        <v>740</v>
      </c>
      <c r="B1796" s="0" t="s">
        <v>2715</v>
      </c>
      <c r="C1796" s="0" t="s">
        <v>762</v>
      </c>
      <c r="D1796" s="0" t="s">
        <v>98</v>
      </c>
      <c r="E1796" s="0" t="s">
        <v>763</v>
      </c>
    </row>
    <row r="1797" customFormat="false" ht="15" hidden="false" customHeight="false" outlineLevel="0" collapsed="false">
      <c r="A1797" s="0" t="s">
        <v>740</v>
      </c>
      <c r="B1797" s="0" t="s">
        <v>2716</v>
      </c>
      <c r="C1797" s="0" t="s">
        <v>762</v>
      </c>
      <c r="D1797" s="0" t="s">
        <v>98</v>
      </c>
      <c r="E1797" s="0" t="s">
        <v>763</v>
      </c>
    </row>
    <row r="1798" customFormat="false" ht="15" hidden="false" customHeight="false" outlineLevel="0" collapsed="false">
      <c r="A1798" s="0" t="s">
        <v>740</v>
      </c>
      <c r="B1798" s="0" t="s">
        <v>2717</v>
      </c>
      <c r="C1798" s="0" t="s">
        <v>600</v>
      </c>
      <c r="D1798" s="0" t="s">
        <v>93</v>
      </c>
      <c r="E1798" s="0" t="s">
        <v>2688</v>
      </c>
    </row>
    <row r="1799" customFormat="false" ht="15" hidden="false" customHeight="false" outlineLevel="0" collapsed="false">
      <c r="A1799" s="0" t="s">
        <v>740</v>
      </c>
      <c r="B1799" s="0" t="s">
        <v>2718</v>
      </c>
      <c r="C1799" s="0" t="s">
        <v>2719</v>
      </c>
      <c r="D1799" s="0" t="s">
        <v>93</v>
      </c>
    </row>
    <row r="1800" customFormat="false" ht="15" hidden="false" customHeight="false" outlineLevel="0" collapsed="false">
      <c r="A1800" s="0" t="s">
        <v>740</v>
      </c>
      <c r="B1800" s="0" t="s">
        <v>2720</v>
      </c>
      <c r="C1800" s="0" t="s">
        <v>2721</v>
      </c>
      <c r="D1800" s="0" t="s">
        <v>93</v>
      </c>
      <c r="E1800" s="0" t="s">
        <v>2691</v>
      </c>
    </row>
    <row r="1801" customFormat="false" ht="15" hidden="false" customHeight="false" outlineLevel="0" collapsed="false">
      <c r="A1801" s="0" t="s">
        <v>740</v>
      </c>
      <c r="B1801" s="0" t="s">
        <v>2722</v>
      </c>
      <c r="C1801" s="0" t="s">
        <v>2721</v>
      </c>
      <c r="D1801" s="0" t="s">
        <v>93</v>
      </c>
      <c r="E1801" s="0" t="s">
        <v>788</v>
      </c>
    </row>
    <row r="1802" customFormat="false" ht="15" hidden="false" customHeight="false" outlineLevel="0" collapsed="false">
      <c r="A1802" s="0" t="s">
        <v>740</v>
      </c>
      <c r="B1802" s="0" t="s">
        <v>2723</v>
      </c>
      <c r="C1802" s="0" t="s">
        <v>2721</v>
      </c>
      <c r="D1802" s="0" t="s">
        <v>93</v>
      </c>
      <c r="E1802" s="0" t="s">
        <v>788</v>
      </c>
    </row>
    <row r="1803" customFormat="false" ht="15" hidden="false" customHeight="false" outlineLevel="0" collapsed="false">
      <c r="A1803" s="0" t="s">
        <v>740</v>
      </c>
      <c r="B1803" s="0" t="s">
        <v>2724</v>
      </c>
      <c r="C1803" s="0" t="s">
        <v>2721</v>
      </c>
      <c r="D1803" s="0" t="s">
        <v>93</v>
      </c>
      <c r="E1803" s="0" t="s">
        <v>788</v>
      </c>
    </row>
    <row r="1804" customFormat="false" ht="15" hidden="false" customHeight="false" outlineLevel="0" collapsed="false">
      <c r="A1804" s="0" t="s">
        <v>740</v>
      </c>
      <c r="B1804" s="0" t="s">
        <v>2725</v>
      </c>
      <c r="C1804" s="0" t="s">
        <v>2721</v>
      </c>
      <c r="D1804" s="0" t="s">
        <v>93</v>
      </c>
      <c r="E1804" s="0" t="s">
        <v>788</v>
      </c>
    </row>
    <row r="1805" customFormat="false" ht="15" hidden="false" customHeight="false" outlineLevel="0" collapsed="false">
      <c r="A1805" s="0" t="s">
        <v>740</v>
      </c>
      <c r="B1805" s="0" t="s">
        <v>2726</v>
      </c>
      <c r="C1805" s="0" t="s">
        <v>2721</v>
      </c>
      <c r="D1805" s="0" t="s">
        <v>93</v>
      </c>
      <c r="E1805" s="0" t="s">
        <v>788</v>
      </c>
    </row>
    <row r="1806" customFormat="false" ht="15" hidden="false" customHeight="false" outlineLevel="0" collapsed="false">
      <c r="A1806" s="0" t="s">
        <v>740</v>
      </c>
      <c r="B1806" s="0" t="s">
        <v>2727</v>
      </c>
      <c r="C1806" s="0" t="s">
        <v>2721</v>
      </c>
      <c r="D1806" s="0" t="s">
        <v>93</v>
      </c>
      <c r="E1806" s="0" t="s">
        <v>788</v>
      </c>
    </row>
    <row r="1807" customFormat="false" ht="15" hidden="false" customHeight="false" outlineLevel="0" collapsed="false">
      <c r="A1807" s="0" t="s">
        <v>740</v>
      </c>
      <c r="B1807" s="0" t="s">
        <v>2728</v>
      </c>
      <c r="C1807" s="0" t="s">
        <v>2721</v>
      </c>
      <c r="D1807" s="0" t="s">
        <v>93</v>
      </c>
      <c r="E1807" s="0" t="s">
        <v>788</v>
      </c>
    </row>
    <row r="1808" customFormat="false" ht="15" hidden="false" customHeight="false" outlineLevel="0" collapsed="false">
      <c r="A1808" s="0" t="s">
        <v>740</v>
      </c>
      <c r="B1808" s="0" t="s">
        <v>2729</v>
      </c>
      <c r="C1808" s="0" t="s">
        <v>2721</v>
      </c>
      <c r="D1808" s="0" t="s">
        <v>93</v>
      </c>
      <c r="E1808" s="0" t="s">
        <v>788</v>
      </c>
    </row>
    <row r="1809" customFormat="false" ht="15" hidden="false" customHeight="false" outlineLevel="0" collapsed="false">
      <c r="A1809" s="0" t="s">
        <v>740</v>
      </c>
      <c r="B1809" s="0" t="s">
        <v>2730</v>
      </c>
      <c r="C1809" s="0" t="s">
        <v>2721</v>
      </c>
      <c r="D1809" s="0" t="s">
        <v>93</v>
      </c>
      <c r="E1809" s="0" t="s">
        <v>788</v>
      </c>
    </row>
    <row r="1810" customFormat="false" ht="15" hidden="false" customHeight="false" outlineLevel="0" collapsed="false">
      <c r="A1810" s="0" t="s">
        <v>740</v>
      </c>
      <c r="B1810" s="0" t="s">
        <v>2731</v>
      </c>
      <c r="C1810" s="0" t="s">
        <v>2721</v>
      </c>
      <c r="D1810" s="0" t="s">
        <v>93</v>
      </c>
      <c r="E1810" s="0" t="s">
        <v>788</v>
      </c>
    </row>
    <row r="1811" customFormat="false" ht="15" hidden="false" customHeight="false" outlineLevel="0" collapsed="false">
      <c r="A1811" s="0" t="s">
        <v>740</v>
      </c>
      <c r="B1811" s="0" t="s">
        <v>2732</v>
      </c>
      <c r="C1811" s="0" t="s">
        <v>2721</v>
      </c>
      <c r="D1811" s="0" t="s">
        <v>93</v>
      </c>
      <c r="E1811" s="0" t="s">
        <v>788</v>
      </c>
    </row>
    <row r="1812" customFormat="false" ht="15" hidden="false" customHeight="false" outlineLevel="0" collapsed="false">
      <c r="A1812" s="0" t="s">
        <v>740</v>
      </c>
      <c r="B1812" s="0" t="s">
        <v>2733</v>
      </c>
      <c r="C1812" s="0" t="s">
        <v>2721</v>
      </c>
      <c r="D1812" s="0" t="s">
        <v>93</v>
      </c>
      <c r="E1812" s="0" t="s">
        <v>788</v>
      </c>
    </row>
    <row r="1813" customFormat="false" ht="15" hidden="false" customHeight="false" outlineLevel="0" collapsed="false">
      <c r="A1813" s="0" t="s">
        <v>740</v>
      </c>
      <c r="B1813" s="0" t="s">
        <v>2734</v>
      </c>
      <c r="C1813" s="0" t="s">
        <v>2735</v>
      </c>
      <c r="D1813" s="0" t="s">
        <v>98</v>
      </c>
      <c r="E1813" s="0" t="s">
        <v>826</v>
      </c>
    </row>
    <row r="1814" customFormat="false" ht="15" hidden="false" customHeight="false" outlineLevel="0" collapsed="false">
      <c r="A1814" s="0" t="s">
        <v>740</v>
      </c>
      <c r="B1814" s="0" t="s">
        <v>2736</v>
      </c>
      <c r="C1814" s="0" t="s">
        <v>2737</v>
      </c>
      <c r="D1814" s="0" t="s">
        <v>98</v>
      </c>
      <c r="E1814" s="0" t="s">
        <v>826</v>
      </c>
    </row>
    <row r="1815" customFormat="false" ht="15" hidden="false" customHeight="false" outlineLevel="0" collapsed="false">
      <c r="A1815" s="0" t="s">
        <v>740</v>
      </c>
      <c r="B1815" s="0" t="s">
        <v>2738</v>
      </c>
      <c r="C1815" s="0" t="s">
        <v>2739</v>
      </c>
      <c r="D1815" s="0" t="s">
        <v>98</v>
      </c>
      <c r="E1815" s="0" t="s">
        <v>826</v>
      </c>
    </row>
    <row r="1816" customFormat="false" ht="15" hidden="false" customHeight="false" outlineLevel="0" collapsed="false">
      <c r="A1816" s="0" t="s">
        <v>740</v>
      </c>
      <c r="B1816" s="0" t="s">
        <v>2740</v>
      </c>
      <c r="C1816" s="0" t="s">
        <v>2741</v>
      </c>
      <c r="D1816" s="0" t="s">
        <v>98</v>
      </c>
      <c r="E1816" s="0" t="s">
        <v>826</v>
      </c>
    </row>
    <row r="1817" customFormat="false" ht="15" hidden="false" customHeight="false" outlineLevel="0" collapsed="false">
      <c r="A1817" s="0" t="s">
        <v>740</v>
      </c>
      <c r="B1817" s="0" t="s">
        <v>2742</v>
      </c>
      <c r="C1817" s="0" t="s">
        <v>2743</v>
      </c>
      <c r="D1817" s="0" t="s">
        <v>98</v>
      </c>
      <c r="E1817" s="0" t="s">
        <v>826</v>
      </c>
    </row>
    <row r="1818" customFormat="false" ht="15" hidden="false" customHeight="false" outlineLevel="0" collapsed="false">
      <c r="A1818" s="0" t="s">
        <v>740</v>
      </c>
      <c r="B1818" s="0" t="s">
        <v>2744</v>
      </c>
      <c r="C1818" s="0" t="s">
        <v>2745</v>
      </c>
      <c r="D1818" s="0" t="s">
        <v>98</v>
      </c>
      <c r="E1818" s="0" t="s">
        <v>826</v>
      </c>
    </row>
    <row r="1819" customFormat="false" ht="15" hidden="false" customHeight="false" outlineLevel="0" collapsed="false">
      <c r="A1819" s="0" t="s">
        <v>740</v>
      </c>
      <c r="B1819" s="0" t="s">
        <v>2746</v>
      </c>
      <c r="C1819" s="0" t="s">
        <v>2747</v>
      </c>
      <c r="D1819" s="0" t="s">
        <v>98</v>
      </c>
      <c r="E1819" s="0" t="s">
        <v>826</v>
      </c>
    </row>
    <row r="1820" customFormat="false" ht="15" hidden="false" customHeight="false" outlineLevel="0" collapsed="false">
      <c r="A1820" s="0" t="s">
        <v>740</v>
      </c>
      <c r="B1820" s="0" t="s">
        <v>2748</v>
      </c>
      <c r="C1820" s="0" t="s">
        <v>2749</v>
      </c>
      <c r="D1820" s="0" t="s">
        <v>98</v>
      </c>
      <c r="E1820" s="0" t="s">
        <v>826</v>
      </c>
    </row>
    <row r="1821" customFormat="false" ht="15" hidden="false" customHeight="false" outlineLevel="0" collapsed="false">
      <c r="A1821" s="0" t="s">
        <v>740</v>
      </c>
      <c r="B1821" s="0" t="s">
        <v>2750</v>
      </c>
      <c r="C1821" s="0" t="s">
        <v>2751</v>
      </c>
      <c r="D1821" s="0" t="s">
        <v>98</v>
      </c>
      <c r="E1821" s="0" t="s">
        <v>826</v>
      </c>
    </row>
    <row r="1822" customFormat="false" ht="15" hidden="false" customHeight="false" outlineLevel="0" collapsed="false">
      <c r="A1822" s="0" t="s">
        <v>740</v>
      </c>
      <c r="B1822" s="0" t="s">
        <v>2752</v>
      </c>
      <c r="C1822" s="0" t="s">
        <v>2753</v>
      </c>
      <c r="D1822" s="0" t="s">
        <v>98</v>
      </c>
      <c r="E1822" s="0" t="s">
        <v>826</v>
      </c>
    </row>
    <row r="1823" customFormat="false" ht="15" hidden="false" customHeight="false" outlineLevel="0" collapsed="false">
      <c r="A1823" s="0" t="s">
        <v>740</v>
      </c>
      <c r="B1823" s="0" t="s">
        <v>2754</v>
      </c>
      <c r="C1823" s="0" t="s">
        <v>2755</v>
      </c>
      <c r="D1823" s="0" t="s">
        <v>98</v>
      </c>
      <c r="E1823" s="0" t="s">
        <v>826</v>
      </c>
    </row>
    <row r="1824" customFormat="false" ht="15" hidden="false" customHeight="false" outlineLevel="0" collapsed="false">
      <c r="A1824" s="0" t="s">
        <v>740</v>
      </c>
      <c r="B1824" s="0" t="s">
        <v>2756</v>
      </c>
      <c r="C1824" s="0" t="s">
        <v>2757</v>
      </c>
      <c r="D1824" s="0" t="s">
        <v>98</v>
      </c>
      <c r="E1824" s="0" t="s">
        <v>826</v>
      </c>
    </row>
    <row r="1825" customFormat="false" ht="15" hidden="false" customHeight="false" outlineLevel="0" collapsed="false">
      <c r="A1825" s="0" t="s">
        <v>740</v>
      </c>
      <c r="B1825" s="0" t="s">
        <v>2758</v>
      </c>
      <c r="C1825" s="0" t="s">
        <v>2759</v>
      </c>
      <c r="D1825" s="0" t="s">
        <v>98</v>
      </c>
      <c r="E1825" s="0" t="s">
        <v>826</v>
      </c>
    </row>
    <row r="1826" customFormat="false" ht="15" hidden="false" customHeight="false" outlineLevel="0" collapsed="false">
      <c r="A1826" s="0" t="s">
        <v>740</v>
      </c>
      <c r="B1826" s="0" t="s">
        <v>2760</v>
      </c>
      <c r="C1826" s="0" t="s">
        <v>2761</v>
      </c>
      <c r="D1826" s="0" t="s">
        <v>98</v>
      </c>
      <c r="E1826" s="0" t="s">
        <v>826</v>
      </c>
    </row>
    <row r="1827" customFormat="false" ht="15" hidden="false" customHeight="false" outlineLevel="0" collapsed="false">
      <c r="A1827" s="0" t="s">
        <v>740</v>
      </c>
      <c r="B1827" s="0" t="s">
        <v>2762</v>
      </c>
      <c r="C1827" s="0" t="s">
        <v>2763</v>
      </c>
      <c r="D1827" s="0" t="s">
        <v>98</v>
      </c>
      <c r="E1827" s="0" t="s">
        <v>826</v>
      </c>
    </row>
    <row r="1828" customFormat="false" ht="15" hidden="false" customHeight="false" outlineLevel="0" collapsed="false">
      <c r="A1828" s="0" t="s">
        <v>740</v>
      </c>
      <c r="B1828" s="0" t="s">
        <v>2764</v>
      </c>
      <c r="C1828" s="0" t="s">
        <v>2765</v>
      </c>
      <c r="D1828" s="0" t="s">
        <v>98</v>
      </c>
      <c r="E1828" s="0" t="s">
        <v>826</v>
      </c>
    </row>
    <row r="1829" customFormat="false" ht="15" hidden="false" customHeight="false" outlineLevel="0" collapsed="false">
      <c r="A1829" s="0" t="s">
        <v>740</v>
      </c>
      <c r="B1829" s="0" t="s">
        <v>2766</v>
      </c>
      <c r="C1829" s="0" t="s">
        <v>2767</v>
      </c>
      <c r="D1829" s="0" t="s">
        <v>98</v>
      </c>
      <c r="E1829" s="0" t="s">
        <v>826</v>
      </c>
    </row>
    <row r="1830" customFormat="false" ht="15" hidden="false" customHeight="false" outlineLevel="0" collapsed="false">
      <c r="A1830" s="0" t="s">
        <v>740</v>
      </c>
      <c r="B1830" s="0" t="s">
        <v>2768</v>
      </c>
      <c r="C1830" s="0" t="s">
        <v>2769</v>
      </c>
      <c r="D1830" s="0" t="s">
        <v>98</v>
      </c>
      <c r="E1830" s="0" t="s">
        <v>826</v>
      </c>
    </row>
    <row r="1831" customFormat="false" ht="15" hidden="false" customHeight="false" outlineLevel="0" collapsed="false">
      <c r="A1831" s="0" t="s">
        <v>740</v>
      </c>
      <c r="B1831" s="0" t="s">
        <v>2770</v>
      </c>
      <c r="C1831" s="0" t="s">
        <v>2771</v>
      </c>
      <c r="D1831" s="0" t="s">
        <v>98</v>
      </c>
      <c r="E1831" s="0" t="s">
        <v>826</v>
      </c>
    </row>
    <row r="1832" customFormat="false" ht="15" hidden="false" customHeight="false" outlineLevel="0" collapsed="false">
      <c r="A1832" s="0" t="s">
        <v>740</v>
      </c>
      <c r="B1832" s="0" t="s">
        <v>2772</v>
      </c>
      <c r="C1832" s="0" t="s">
        <v>2773</v>
      </c>
      <c r="D1832" s="0" t="s">
        <v>98</v>
      </c>
      <c r="E1832" s="0" t="s">
        <v>826</v>
      </c>
    </row>
    <row r="1833" customFormat="false" ht="15" hidden="false" customHeight="false" outlineLevel="0" collapsed="false">
      <c r="A1833" s="0" t="s">
        <v>740</v>
      </c>
      <c r="B1833" s="0" t="s">
        <v>2774</v>
      </c>
      <c r="C1833" s="0" t="s">
        <v>2775</v>
      </c>
      <c r="D1833" s="0" t="s">
        <v>98</v>
      </c>
      <c r="E1833" s="0" t="s">
        <v>826</v>
      </c>
    </row>
    <row r="1834" customFormat="false" ht="15" hidden="false" customHeight="false" outlineLevel="0" collapsed="false">
      <c r="A1834" s="0" t="s">
        <v>740</v>
      </c>
      <c r="B1834" s="0" t="s">
        <v>2776</v>
      </c>
      <c r="C1834" s="0" t="s">
        <v>2777</v>
      </c>
      <c r="D1834" s="0" t="s">
        <v>98</v>
      </c>
      <c r="E1834" s="0" t="s">
        <v>826</v>
      </c>
    </row>
    <row r="1835" customFormat="false" ht="15" hidden="false" customHeight="false" outlineLevel="0" collapsed="false">
      <c r="A1835" s="0" t="s">
        <v>740</v>
      </c>
      <c r="B1835" s="0" t="s">
        <v>2778</v>
      </c>
      <c r="C1835" s="0" t="s">
        <v>2779</v>
      </c>
      <c r="D1835" s="0" t="s">
        <v>98</v>
      </c>
      <c r="E1835" s="0" t="s">
        <v>826</v>
      </c>
    </row>
    <row r="1836" customFormat="false" ht="15" hidden="false" customHeight="false" outlineLevel="0" collapsed="false">
      <c r="A1836" s="0" t="s">
        <v>740</v>
      </c>
      <c r="B1836" s="0" t="s">
        <v>2780</v>
      </c>
      <c r="C1836" s="0" t="s">
        <v>2781</v>
      </c>
      <c r="D1836" s="0" t="s">
        <v>98</v>
      </c>
      <c r="E1836" s="0" t="s">
        <v>826</v>
      </c>
    </row>
    <row r="1837" customFormat="false" ht="15" hidden="false" customHeight="false" outlineLevel="0" collapsed="false">
      <c r="A1837" s="0" t="s">
        <v>740</v>
      </c>
      <c r="B1837" s="0" t="s">
        <v>2782</v>
      </c>
      <c r="C1837" s="0" t="s">
        <v>2783</v>
      </c>
      <c r="D1837" s="0" t="s">
        <v>98</v>
      </c>
      <c r="E1837" s="0" t="s">
        <v>826</v>
      </c>
    </row>
    <row r="1838" customFormat="false" ht="15" hidden="false" customHeight="false" outlineLevel="0" collapsed="false">
      <c r="A1838" s="0" t="s">
        <v>740</v>
      </c>
      <c r="B1838" s="0" t="s">
        <v>2784</v>
      </c>
      <c r="C1838" s="0" t="s">
        <v>2785</v>
      </c>
      <c r="D1838" s="0" t="s">
        <v>98</v>
      </c>
      <c r="E1838" s="0" t="s">
        <v>826</v>
      </c>
    </row>
    <row r="1839" customFormat="false" ht="15" hidden="false" customHeight="false" outlineLevel="0" collapsed="false">
      <c r="A1839" s="0" t="s">
        <v>740</v>
      </c>
      <c r="B1839" s="0" t="s">
        <v>2786</v>
      </c>
      <c r="C1839" s="0" t="s">
        <v>2787</v>
      </c>
      <c r="D1839" s="0" t="s">
        <v>98</v>
      </c>
      <c r="E1839" s="0" t="s">
        <v>826</v>
      </c>
    </row>
    <row r="1840" customFormat="false" ht="15" hidden="false" customHeight="false" outlineLevel="0" collapsed="false">
      <c r="A1840" s="0" t="s">
        <v>740</v>
      </c>
      <c r="B1840" s="0" t="s">
        <v>2788</v>
      </c>
      <c r="C1840" s="0" t="s">
        <v>2789</v>
      </c>
      <c r="D1840" s="0" t="s">
        <v>98</v>
      </c>
      <c r="E1840" s="0" t="s">
        <v>826</v>
      </c>
    </row>
    <row r="1841" customFormat="false" ht="15" hidden="false" customHeight="false" outlineLevel="0" collapsed="false">
      <c r="A1841" s="0" t="s">
        <v>740</v>
      </c>
      <c r="B1841" s="0" t="s">
        <v>2790</v>
      </c>
      <c r="C1841" s="0" t="s">
        <v>658</v>
      </c>
      <c r="D1841" s="0" t="s">
        <v>86</v>
      </c>
      <c r="E1841" s="0" t="s">
        <v>278</v>
      </c>
    </row>
    <row r="1842" customFormat="false" ht="15" hidden="false" customHeight="false" outlineLevel="0" collapsed="false">
      <c r="A1842" s="0" t="s">
        <v>740</v>
      </c>
      <c r="B1842" s="0" t="s">
        <v>2791</v>
      </c>
      <c r="C1842" s="0" t="s">
        <v>658</v>
      </c>
      <c r="D1842" s="0" t="s">
        <v>86</v>
      </c>
      <c r="E1842" s="0" t="s">
        <v>278</v>
      </c>
    </row>
    <row r="1843" customFormat="false" ht="15" hidden="false" customHeight="false" outlineLevel="0" collapsed="false">
      <c r="A1843" s="0" t="s">
        <v>740</v>
      </c>
      <c r="B1843" s="0" t="s">
        <v>2792</v>
      </c>
      <c r="C1843" s="0" t="s">
        <v>658</v>
      </c>
      <c r="D1843" s="0" t="s">
        <v>86</v>
      </c>
      <c r="E1843" s="0" t="s">
        <v>278</v>
      </c>
    </row>
    <row r="1844" customFormat="false" ht="15" hidden="false" customHeight="false" outlineLevel="0" collapsed="false">
      <c r="A1844" s="0" t="s">
        <v>740</v>
      </c>
      <c r="B1844" s="0" t="s">
        <v>2793</v>
      </c>
      <c r="C1844" s="0" t="s">
        <v>658</v>
      </c>
      <c r="D1844" s="0" t="s">
        <v>86</v>
      </c>
      <c r="E1844" s="0" t="s">
        <v>278</v>
      </c>
    </row>
    <row r="1845" customFormat="false" ht="15" hidden="false" customHeight="false" outlineLevel="0" collapsed="false">
      <c r="A1845" s="0" t="s">
        <v>740</v>
      </c>
      <c r="B1845" s="0" t="s">
        <v>2794</v>
      </c>
      <c r="C1845" s="0" t="s">
        <v>658</v>
      </c>
      <c r="D1845" s="0" t="s">
        <v>86</v>
      </c>
      <c r="E1845" s="0" t="s">
        <v>278</v>
      </c>
    </row>
    <row r="1846" customFormat="false" ht="15" hidden="false" customHeight="false" outlineLevel="0" collapsed="false">
      <c r="A1846" s="0" t="s">
        <v>740</v>
      </c>
      <c r="B1846" s="0" t="s">
        <v>2795</v>
      </c>
      <c r="C1846" s="0" t="s">
        <v>658</v>
      </c>
      <c r="D1846" s="0" t="s">
        <v>744</v>
      </c>
      <c r="E1846" s="0" t="s">
        <v>278</v>
      </c>
    </row>
    <row r="1847" customFormat="false" ht="15" hidden="false" customHeight="false" outlineLevel="0" collapsed="false">
      <c r="A1847" s="0" t="s">
        <v>740</v>
      </c>
      <c r="B1847" s="0" t="s">
        <v>2796</v>
      </c>
      <c r="C1847" s="0" t="s">
        <v>658</v>
      </c>
      <c r="D1847" s="0" t="s">
        <v>744</v>
      </c>
      <c r="E1847" s="0" t="s">
        <v>278</v>
      </c>
    </row>
    <row r="1848" customFormat="false" ht="15" hidden="false" customHeight="false" outlineLevel="0" collapsed="false">
      <c r="A1848" s="0" t="s">
        <v>740</v>
      </c>
      <c r="B1848" s="0" t="s">
        <v>2797</v>
      </c>
      <c r="C1848" s="0" t="s">
        <v>658</v>
      </c>
      <c r="D1848" s="0" t="s">
        <v>744</v>
      </c>
      <c r="E1848" s="0" t="s">
        <v>278</v>
      </c>
    </row>
    <row r="1849" customFormat="false" ht="15" hidden="false" customHeight="false" outlineLevel="0" collapsed="false">
      <c r="A1849" s="0" t="s">
        <v>740</v>
      </c>
      <c r="B1849" s="0" t="s">
        <v>2798</v>
      </c>
      <c r="C1849" s="0" t="s">
        <v>658</v>
      </c>
      <c r="D1849" s="0" t="s">
        <v>744</v>
      </c>
      <c r="E1849" s="0" t="s">
        <v>278</v>
      </c>
    </row>
    <row r="1850" customFormat="false" ht="15" hidden="false" customHeight="false" outlineLevel="0" collapsed="false">
      <c r="A1850" s="0" t="s">
        <v>740</v>
      </c>
      <c r="B1850" s="0" t="s">
        <v>2799</v>
      </c>
      <c r="C1850" s="0" t="s">
        <v>658</v>
      </c>
      <c r="D1850" s="0" t="s">
        <v>744</v>
      </c>
      <c r="E1850" s="0" t="s">
        <v>278</v>
      </c>
    </row>
    <row r="1851" customFormat="false" ht="15" hidden="false" customHeight="false" outlineLevel="0" collapsed="false">
      <c r="A1851" s="0" t="s">
        <v>740</v>
      </c>
      <c r="B1851" s="0" t="s">
        <v>2800</v>
      </c>
      <c r="C1851" s="0" t="s">
        <v>658</v>
      </c>
      <c r="D1851" s="0" t="s">
        <v>744</v>
      </c>
      <c r="E1851" s="0" t="s">
        <v>278</v>
      </c>
    </row>
    <row r="1852" customFormat="false" ht="15" hidden="false" customHeight="false" outlineLevel="0" collapsed="false">
      <c r="A1852" s="0" t="s">
        <v>740</v>
      </c>
      <c r="B1852" s="0" t="s">
        <v>2801</v>
      </c>
      <c r="C1852" s="0" t="s">
        <v>658</v>
      </c>
      <c r="D1852" s="0" t="s">
        <v>744</v>
      </c>
      <c r="E1852" s="0" t="s">
        <v>278</v>
      </c>
    </row>
    <row r="1853" customFormat="false" ht="15" hidden="false" customHeight="false" outlineLevel="0" collapsed="false">
      <c r="A1853" s="0" t="s">
        <v>740</v>
      </c>
      <c r="B1853" s="0" t="s">
        <v>2802</v>
      </c>
      <c r="C1853" s="0" t="s">
        <v>658</v>
      </c>
      <c r="D1853" s="0" t="s">
        <v>744</v>
      </c>
      <c r="E1853" s="0" t="s">
        <v>278</v>
      </c>
    </row>
    <row r="1854" customFormat="false" ht="15" hidden="false" customHeight="false" outlineLevel="0" collapsed="false">
      <c r="A1854" s="0" t="s">
        <v>740</v>
      </c>
      <c r="B1854" s="0" t="s">
        <v>2803</v>
      </c>
      <c r="C1854" s="0" t="s">
        <v>658</v>
      </c>
      <c r="D1854" s="0" t="s">
        <v>744</v>
      </c>
      <c r="E1854" s="0" t="s">
        <v>278</v>
      </c>
    </row>
    <row r="1855" customFormat="false" ht="15" hidden="false" customHeight="false" outlineLevel="0" collapsed="false">
      <c r="A1855" s="0" t="s">
        <v>740</v>
      </c>
      <c r="B1855" s="0" t="s">
        <v>2804</v>
      </c>
      <c r="C1855" s="0" t="s">
        <v>658</v>
      </c>
      <c r="D1855" s="0" t="s">
        <v>744</v>
      </c>
      <c r="E1855" s="0" t="s">
        <v>278</v>
      </c>
    </row>
    <row r="1856" customFormat="false" ht="15" hidden="false" customHeight="false" outlineLevel="0" collapsed="false">
      <c r="A1856" s="0" t="s">
        <v>740</v>
      </c>
      <c r="B1856" s="0" t="s">
        <v>2805</v>
      </c>
      <c r="C1856" s="0" t="s">
        <v>658</v>
      </c>
      <c r="D1856" s="0" t="s">
        <v>744</v>
      </c>
      <c r="E1856" s="0" t="s">
        <v>278</v>
      </c>
    </row>
    <row r="1857" customFormat="false" ht="15" hidden="false" customHeight="false" outlineLevel="0" collapsed="false">
      <c r="A1857" s="0" t="s">
        <v>740</v>
      </c>
      <c r="B1857" s="0" t="s">
        <v>2806</v>
      </c>
      <c r="C1857" s="0" t="s">
        <v>658</v>
      </c>
      <c r="D1857" s="0" t="s">
        <v>744</v>
      </c>
      <c r="E1857" s="0" t="s">
        <v>278</v>
      </c>
    </row>
    <row r="1858" customFormat="false" ht="15" hidden="false" customHeight="false" outlineLevel="0" collapsed="false">
      <c r="A1858" s="0" t="s">
        <v>740</v>
      </c>
      <c r="B1858" s="0" t="s">
        <v>2807</v>
      </c>
      <c r="C1858" s="0" t="s">
        <v>658</v>
      </c>
      <c r="D1858" s="0" t="s">
        <v>744</v>
      </c>
      <c r="E1858" s="0" t="s">
        <v>278</v>
      </c>
    </row>
    <row r="1859" customFormat="false" ht="15" hidden="false" customHeight="false" outlineLevel="0" collapsed="false">
      <c r="A1859" s="0" t="s">
        <v>740</v>
      </c>
      <c r="B1859" s="0" t="s">
        <v>2808</v>
      </c>
      <c r="C1859" s="0" t="s">
        <v>658</v>
      </c>
      <c r="D1859" s="0" t="s">
        <v>744</v>
      </c>
      <c r="E1859" s="0" t="s">
        <v>278</v>
      </c>
    </row>
    <row r="1860" customFormat="false" ht="15" hidden="false" customHeight="false" outlineLevel="0" collapsed="false">
      <c r="A1860" s="0" t="s">
        <v>740</v>
      </c>
      <c r="B1860" s="0" t="s">
        <v>2809</v>
      </c>
      <c r="C1860" s="0" t="s">
        <v>658</v>
      </c>
      <c r="D1860" s="0" t="s">
        <v>744</v>
      </c>
      <c r="E1860" s="0" t="s">
        <v>278</v>
      </c>
    </row>
    <row r="1861" customFormat="false" ht="15" hidden="false" customHeight="false" outlineLevel="0" collapsed="false">
      <c r="A1861" s="0" t="s">
        <v>740</v>
      </c>
      <c r="B1861" s="0" t="s">
        <v>2810</v>
      </c>
      <c r="C1861" s="0" t="s">
        <v>658</v>
      </c>
      <c r="D1861" s="0" t="s">
        <v>744</v>
      </c>
      <c r="E1861" s="0" t="s">
        <v>278</v>
      </c>
    </row>
    <row r="1862" customFormat="false" ht="15" hidden="false" customHeight="false" outlineLevel="0" collapsed="false">
      <c r="A1862" s="0" t="s">
        <v>740</v>
      </c>
      <c r="B1862" s="0" t="s">
        <v>2811</v>
      </c>
      <c r="C1862" s="0" t="s">
        <v>658</v>
      </c>
      <c r="D1862" s="0" t="s">
        <v>744</v>
      </c>
      <c r="E1862" s="0" t="s">
        <v>278</v>
      </c>
    </row>
    <row r="1863" customFormat="false" ht="15" hidden="false" customHeight="false" outlineLevel="0" collapsed="false">
      <c r="A1863" s="0" t="s">
        <v>740</v>
      </c>
      <c r="B1863" s="0" t="s">
        <v>2812</v>
      </c>
      <c r="C1863" s="0" t="s">
        <v>658</v>
      </c>
      <c r="D1863" s="0" t="s">
        <v>744</v>
      </c>
      <c r="E1863" s="0" t="s">
        <v>278</v>
      </c>
    </row>
    <row r="1864" customFormat="false" ht="15" hidden="false" customHeight="false" outlineLevel="0" collapsed="false">
      <c r="A1864" s="0" t="s">
        <v>740</v>
      </c>
      <c r="B1864" s="0" t="s">
        <v>2813</v>
      </c>
      <c r="C1864" s="0" t="s">
        <v>762</v>
      </c>
      <c r="D1864" s="0" t="s">
        <v>98</v>
      </c>
      <c r="E1864" s="0" t="s">
        <v>763</v>
      </c>
    </row>
    <row r="1865" customFormat="false" ht="15" hidden="false" customHeight="false" outlineLevel="0" collapsed="false">
      <c r="A1865" s="0" t="s">
        <v>740</v>
      </c>
      <c r="B1865" s="0" t="s">
        <v>2814</v>
      </c>
      <c r="C1865" s="0" t="s">
        <v>762</v>
      </c>
      <c r="D1865" s="0" t="s">
        <v>98</v>
      </c>
      <c r="E1865" s="0" t="s">
        <v>763</v>
      </c>
    </row>
    <row r="1866" customFormat="false" ht="15" hidden="false" customHeight="false" outlineLevel="0" collapsed="false">
      <c r="A1866" s="0" t="s">
        <v>740</v>
      </c>
      <c r="B1866" s="0" t="s">
        <v>2815</v>
      </c>
      <c r="C1866" s="0" t="s">
        <v>762</v>
      </c>
      <c r="D1866" s="0" t="s">
        <v>98</v>
      </c>
      <c r="E1866" s="0" t="s">
        <v>763</v>
      </c>
    </row>
    <row r="1867" customFormat="false" ht="15" hidden="false" customHeight="false" outlineLevel="0" collapsed="false">
      <c r="A1867" s="0" t="s">
        <v>740</v>
      </c>
      <c r="B1867" s="0" t="s">
        <v>2816</v>
      </c>
      <c r="C1867" s="0" t="s">
        <v>762</v>
      </c>
      <c r="D1867" s="0" t="s">
        <v>98</v>
      </c>
      <c r="E1867" s="0" t="s">
        <v>763</v>
      </c>
    </row>
    <row r="1868" customFormat="false" ht="15" hidden="false" customHeight="false" outlineLevel="0" collapsed="false">
      <c r="A1868" s="0" t="s">
        <v>740</v>
      </c>
      <c r="B1868" s="0" t="s">
        <v>2817</v>
      </c>
      <c r="C1868" s="0" t="s">
        <v>762</v>
      </c>
      <c r="D1868" s="0" t="s">
        <v>98</v>
      </c>
      <c r="E1868" s="0" t="s">
        <v>763</v>
      </c>
    </row>
    <row r="1869" customFormat="false" ht="15" hidden="false" customHeight="false" outlineLevel="0" collapsed="false">
      <c r="A1869" s="0" t="s">
        <v>740</v>
      </c>
      <c r="B1869" s="0" t="s">
        <v>2818</v>
      </c>
      <c r="C1869" s="0" t="s">
        <v>762</v>
      </c>
      <c r="D1869" s="0" t="s">
        <v>98</v>
      </c>
      <c r="E1869" s="0" t="s">
        <v>763</v>
      </c>
    </row>
    <row r="1870" customFormat="false" ht="15" hidden="false" customHeight="false" outlineLevel="0" collapsed="false">
      <c r="A1870" s="0" t="s">
        <v>740</v>
      </c>
      <c r="B1870" s="0" t="s">
        <v>2819</v>
      </c>
      <c r="C1870" s="0" t="s">
        <v>762</v>
      </c>
      <c r="D1870" s="0" t="s">
        <v>98</v>
      </c>
      <c r="E1870" s="0" t="s">
        <v>763</v>
      </c>
    </row>
    <row r="1871" customFormat="false" ht="15" hidden="false" customHeight="false" outlineLevel="0" collapsed="false">
      <c r="A1871" s="0" t="s">
        <v>740</v>
      </c>
      <c r="B1871" s="0" t="s">
        <v>2820</v>
      </c>
      <c r="C1871" s="0" t="s">
        <v>658</v>
      </c>
      <c r="D1871" s="0" t="s">
        <v>86</v>
      </c>
      <c r="E1871" s="0" t="s">
        <v>2821</v>
      </c>
    </row>
    <row r="1872" customFormat="false" ht="15" hidden="false" customHeight="false" outlineLevel="0" collapsed="false">
      <c r="A1872" s="0" t="s">
        <v>740</v>
      </c>
      <c r="B1872" s="0" t="s">
        <v>2822</v>
      </c>
      <c r="C1872" s="0" t="s">
        <v>658</v>
      </c>
      <c r="D1872" s="0" t="s">
        <v>86</v>
      </c>
      <c r="E1872" s="0" t="s">
        <v>1832</v>
      </c>
    </row>
    <row r="1873" customFormat="false" ht="15" hidden="false" customHeight="false" outlineLevel="0" collapsed="false">
      <c r="A1873" s="0" t="s">
        <v>740</v>
      </c>
      <c r="B1873" s="0" t="s">
        <v>2823</v>
      </c>
      <c r="C1873" s="0" t="s">
        <v>658</v>
      </c>
      <c r="D1873" s="0" t="s">
        <v>86</v>
      </c>
      <c r="E1873" s="0" t="s">
        <v>1832</v>
      </c>
    </row>
    <row r="1874" customFormat="false" ht="15" hidden="false" customHeight="false" outlineLevel="0" collapsed="false">
      <c r="A1874" s="0" t="s">
        <v>740</v>
      </c>
      <c r="B1874" s="0" t="s">
        <v>2824</v>
      </c>
      <c r="C1874" s="0" t="s">
        <v>658</v>
      </c>
      <c r="D1874" s="0" t="s">
        <v>93</v>
      </c>
      <c r="E1874" s="0" t="s">
        <v>1832</v>
      </c>
    </row>
    <row r="1875" customFormat="false" ht="15" hidden="false" customHeight="false" outlineLevel="0" collapsed="false">
      <c r="A1875" s="0" t="s">
        <v>740</v>
      </c>
      <c r="B1875" s="0" t="s">
        <v>2825</v>
      </c>
      <c r="C1875" s="0" t="s">
        <v>658</v>
      </c>
      <c r="D1875" s="0" t="s">
        <v>93</v>
      </c>
      <c r="E1875" s="0" t="s">
        <v>1832</v>
      </c>
    </row>
    <row r="1876" customFormat="false" ht="15" hidden="false" customHeight="false" outlineLevel="0" collapsed="false">
      <c r="A1876" s="0" t="s">
        <v>740</v>
      </c>
      <c r="B1876" s="0" t="s">
        <v>2826</v>
      </c>
      <c r="C1876" s="0" t="s">
        <v>658</v>
      </c>
      <c r="D1876" s="0" t="s">
        <v>93</v>
      </c>
      <c r="E1876" s="0" t="s">
        <v>1832</v>
      </c>
    </row>
    <row r="1877" customFormat="false" ht="15" hidden="false" customHeight="false" outlineLevel="0" collapsed="false">
      <c r="A1877" s="0" t="s">
        <v>740</v>
      </c>
      <c r="B1877" s="0" t="s">
        <v>2827</v>
      </c>
      <c r="C1877" s="0" t="s">
        <v>658</v>
      </c>
      <c r="D1877" s="0" t="s">
        <v>93</v>
      </c>
      <c r="E1877" s="0" t="s">
        <v>1832</v>
      </c>
    </row>
    <row r="1878" customFormat="false" ht="15" hidden="false" customHeight="false" outlineLevel="0" collapsed="false">
      <c r="A1878" s="0" t="s">
        <v>740</v>
      </c>
      <c r="B1878" s="0" t="s">
        <v>2828</v>
      </c>
      <c r="C1878" s="0" t="s">
        <v>658</v>
      </c>
      <c r="D1878" s="0" t="s">
        <v>93</v>
      </c>
      <c r="E1878" s="0" t="s">
        <v>1832</v>
      </c>
    </row>
    <row r="1879" customFormat="false" ht="15" hidden="false" customHeight="false" outlineLevel="0" collapsed="false">
      <c r="A1879" s="0" t="s">
        <v>740</v>
      </c>
      <c r="B1879" s="0" t="s">
        <v>2829</v>
      </c>
      <c r="C1879" s="0" t="s">
        <v>658</v>
      </c>
      <c r="D1879" s="0" t="s">
        <v>93</v>
      </c>
      <c r="E1879" s="0" t="s">
        <v>1832</v>
      </c>
    </row>
    <row r="1880" customFormat="false" ht="15" hidden="false" customHeight="false" outlineLevel="0" collapsed="false">
      <c r="A1880" s="0" t="s">
        <v>740</v>
      </c>
      <c r="B1880" s="0" t="s">
        <v>2830</v>
      </c>
      <c r="C1880" s="0" t="s">
        <v>658</v>
      </c>
      <c r="D1880" s="0" t="s">
        <v>93</v>
      </c>
      <c r="E1880" s="0" t="s">
        <v>1832</v>
      </c>
    </row>
    <row r="1881" customFormat="false" ht="15" hidden="false" customHeight="false" outlineLevel="0" collapsed="false">
      <c r="A1881" s="0" t="s">
        <v>740</v>
      </c>
      <c r="B1881" s="0" t="s">
        <v>2831</v>
      </c>
      <c r="C1881" s="0" t="s">
        <v>658</v>
      </c>
      <c r="D1881" s="0" t="s">
        <v>93</v>
      </c>
      <c r="E1881" s="0" t="s">
        <v>1832</v>
      </c>
    </row>
    <row r="1882" customFormat="false" ht="15" hidden="false" customHeight="false" outlineLevel="0" collapsed="false">
      <c r="A1882" s="0" t="s">
        <v>740</v>
      </c>
      <c r="B1882" s="0" t="s">
        <v>2832</v>
      </c>
      <c r="C1882" s="0" t="s">
        <v>658</v>
      </c>
      <c r="D1882" s="0" t="s">
        <v>93</v>
      </c>
      <c r="E1882" s="0" t="s">
        <v>1832</v>
      </c>
    </row>
    <row r="1883" customFormat="false" ht="15" hidden="false" customHeight="false" outlineLevel="0" collapsed="false">
      <c r="A1883" s="0" t="s">
        <v>740</v>
      </c>
      <c r="B1883" s="0" t="s">
        <v>2833</v>
      </c>
      <c r="C1883" s="0" t="s">
        <v>658</v>
      </c>
      <c r="D1883" s="0" t="s">
        <v>93</v>
      </c>
      <c r="E1883" s="0" t="s">
        <v>1832</v>
      </c>
    </row>
    <row r="1884" customFormat="false" ht="15" hidden="false" customHeight="false" outlineLevel="0" collapsed="false">
      <c r="A1884" s="0" t="s">
        <v>740</v>
      </c>
      <c r="B1884" s="0" t="s">
        <v>2834</v>
      </c>
      <c r="C1884" s="0" t="s">
        <v>658</v>
      </c>
      <c r="D1884" s="0" t="s">
        <v>93</v>
      </c>
      <c r="E1884" s="0" t="s">
        <v>1832</v>
      </c>
    </row>
    <row r="1885" customFormat="false" ht="15" hidden="false" customHeight="false" outlineLevel="0" collapsed="false">
      <c r="A1885" s="0" t="s">
        <v>740</v>
      </c>
      <c r="B1885" s="0" t="s">
        <v>2835</v>
      </c>
      <c r="C1885" s="0" t="s">
        <v>658</v>
      </c>
      <c r="D1885" s="0" t="s">
        <v>93</v>
      </c>
      <c r="E1885" s="0" t="s">
        <v>1832</v>
      </c>
    </row>
    <row r="1886" customFormat="false" ht="15" hidden="false" customHeight="false" outlineLevel="0" collapsed="false">
      <c r="A1886" s="0" t="s">
        <v>740</v>
      </c>
      <c r="B1886" s="0" t="s">
        <v>2836</v>
      </c>
      <c r="C1886" s="0" t="s">
        <v>658</v>
      </c>
      <c r="D1886" s="0" t="s">
        <v>93</v>
      </c>
      <c r="E1886" s="0" t="s">
        <v>1832</v>
      </c>
    </row>
    <row r="1887" customFormat="false" ht="15" hidden="false" customHeight="false" outlineLevel="0" collapsed="false">
      <c r="A1887" s="0" t="s">
        <v>740</v>
      </c>
      <c r="B1887" s="0" t="s">
        <v>2837</v>
      </c>
      <c r="C1887" s="0" t="s">
        <v>658</v>
      </c>
      <c r="D1887" s="0" t="s">
        <v>93</v>
      </c>
      <c r="E1887" s="0" t="s">
        <v>1832</v>
      </c>
    </row>
    <row r="1888" customFormat="false" ht="15" hidden="false" customHeight="false" outlineLevel="0" collapsed="false">
      <c r="A1888" s="0" t="s">
        <v>740</v>
      </c>
      <c r="B1888" s="0" t="s">
        <v>2838</v>
      </c>
      <c r="C1888" s="0" t="s">
        <v>658</v>
      </c>
      <c r="D1888" s="0" t="s">
        <v>93</v>
      </c>
      <c r="E1888" s="0" t="s">
        <v>1832</v>
      </c>
    </row>
    <row r="1889" customFormat="false" ht="15" hidden="false" customHeight="false" outlineLevel="0" collapsed="false">
      <c r="A1889" s="0" t="s">
        <v>740</v>
      </c>
      <c r="B1889" s="0" t="s">
        <v>2839</v>
      </c>
      <c r="C1889" s="0" t="s">
        <v>658</v>
      </c>
      <c r="D1889" s="0" t="s">
        <v>93</v>
      </c>
      <c r="E1889" s="0" t="s">
        <v>1832</v>
      </c>
    </row>
    <row r="1890" customFormat="false" ht="15" hidden="false" customHeight="false" outlineLevel="0" collapsed="false">
      <c r="A1890" s="0" t="s">
        <v>740</v>
      </c>
      <c r="B1890" s="0" t="s">
        <v>2840</v>
      </c>
      <c r="C1890" s="0" t="s">
        <v>658</v>
      </c>
      <c r="D1890" s="0" t="s">
        <v>93</v>
      </c>
      <c r="E1890" s="0" t="s">
        <v>1832</v>
      </c>
    </row>
    <row r="1891" customFormat="false" ht="15" hidden="false" customHeight="false" outlineLevel="0" collapsed="false">
      <c r="A1891" s="0" t="s">
        <v>740</v>
      </c>
      <c r="B1891" s="0" t="s">
        <v>2841</v>
      </c>
      <c r="C1891" s="0" t="s">
        <v>658</v>
      </c>
      <c r="D1891" s="0" t="s">
        <v>93</v>
      </c>
      <c r="E1891" s="0" t="s">
        <v>1832</v>
      </c>
    </row>
    <row r="1892" customFormat="false" ht="15" hidden="false" customHeight="false" outlineLevel="0" collapsed="false">
      <c r="A1892" s="0" t="s">
        <v>740</v>
      </c>
      <c r="B1892" s="0" t="s">
        <v>2842</v>
      </c>
      <c r="C1892" s="0" t="s">
        <v>762</v>
      </c>
      <c r="D1892" s="0" t="s">
        <v>98</v>
      </c>
      <c r="E1892" s="0" t="s">
        <v>763</v>
      </c>
    </row>
    <row r="1893" customFormat="false" ht="15" hidden="false" customHeight="false" outlineLevel="0" collapsed="false">
      <c r="A1893" s="0" t="s">
        <v>740</v>
      </c>
      <c r="B1893" s="0" t="s">
        <v>2843</v>
      </c>
      <c r="C1893" s="0" t="s">
        <v>762</v>
      </c>
      <c r="D1893" s="0" t="s">
        <v>98</v>
      </c>
      <c r="E1893" s="0" t="s">
        <v>763</v>
      </c>
    </row>
    <row r="1894" customFormat="false" ht="15" hidden="false" customHeight="false" outlineLevel="0" collapsed="false">
      <c r="A1894" s="0" t="s">
        <v>740</v>
      </c>
      <c r="B1894" s="0" t="s">
        <v>2844</v>
      </c>
      <c r="C1894" s="0" t="s">
        <v>762</v>
      </c>
      <c r="D1894" s="0" t="s">
        <v>98</v>
      </c>
      <c r="E1894" s="0" t="s">
        <v>763</v>
      </c>
    </row>
    <row r="1895" customFormat="false" ht="15" hidden="false" customHeight="false" outlineLevel="0" collapsed="false">
      <c r="A1895" s="0" t="s">
        <v>740</v>
      </c>
      <c r="B1895" s="0" t="s">
        <v>2845</v>
      </c>
      <c r="C1895" s="0" t="s">
        <v>762</v>
      </c>
      <c r="D1895" s="0" t="s">
        <v>98</v>
      </c>
      <c r="E1895" s="0" t="s">
        <v>763</v>
      </c>
    </row>
    <row r="1896" customFormat="false" ht="15" hidden="false" customHeight="false" outlineLevel="0" collapsed="false">
      <c r="A1896" s="0" t="s">
        <v>740</v>
      </c>
      <c r="B1896" s="0" t="s">
        <v>2846</v>
      </c>
      <c r="C1896" s="0" t="s">
        <v>762</v>
      </c>
      <c r="D1896" s="0" t="s">
        <v>98</v>
      </c>
      <c r="E1896" s="0" t="s">
        <v>763</v>
      </c>
    </row>
    <row r="1897" customFormat="false" ht="15" hidden="false" customHeight="false" outlineLevel="0" collapsed="false">
      <c r="A1897" s="0" t="s">
        <v>740</v>
      </c>
      <c r="B1897" s="0" t="s">
        <v>2847</v>
      </c>
      <c r="C1897" s="0" t="s">
        <v>762</v>
      </c>
      <c r="D1897" s="0" t="s">
        <v>98</v>
      </c>
      <c r="E1897" s="0" t="s">
        <v>763</v>
      </c>
    </row>
    <row r="1898" customFormat="false" ht="15" hidden="false" customHeight="false" outlineLevel="0" collapsed="false">
      <c r="A1898" s="0" t="s">
        <v>740</v>
      </c>
      <c r="B1898" s="0" t="s">
        <v>2848</v>
      </c>
      <c r="C1898" s="0" t="s">
        <v>762</v>
      </c>
      <c r="D1898" s="0" t="s">
        <v>98</v>
      </c>
      <c r="E1898" s="0" t="s">
        <v>763</v>
      </c>
    </row>
    <row r="1899" customFormat="false" ht="15" hidden="false" customHeight="false" outlineLevel="0" collapsed="false">
      <c r="A1899" s="0" t="s">
        <v>740</v>
      </c>
      <c r="B1899" s="0" t="s">
        <v>2849</v>
      </c>
      <c r="C1899" s="0" t="s">
        <v>658</v>
      </c>
      <c r="D1899" s="0" t="s">
        <v>86</v>
      </c>
      <c r="E1899" s="0" t="s">
        <v>2821</v>
      </c>
    </row>
    <row r="1900" customFormat="false" ht="15" hidden="false" customHeight="false" outlineLevel="0" collapsed="false">
      <c r="A1900" s="0" t="s">
        <v>740</v>
      </c>
      <c r="B1900" s="0" t="s">
        <v>2850</v>
      </c>
      <c r="C1900" s="0" t="s">
        <v>658</v>
      </c>
      <c r="D1900" s="0" t="s">
        <v>86</v>
      </c>
      <c r="E1900" s="0" t="s">
        <v>1832</v>
      </c>
    </row>
    <row r="1901" customFormat="false" ht="15" hidden="false" customHeight="false" outlineLevel="0" collapsed="false">
      <c r="A1901" s="0" t="s">
        <v>740</v>
      </c>
      <c r="B1901" s="0" t="s">
        <v>2851</v>
      </c>
      <c r="C1901" s="0" t="s">
        <v>658</v>
      </c>
      <c r="D1901" s="0" t="s">
        <v>86</v>
      </c>
      <c r="E1901" s="0" t="s">
        <v>1832</v>
      </c>
    </row>
    <row r="1902" customFormat="false" ht="15" hidden="false" customHeight="false" outlineLevel="0" collapsed="false">
      <c r="A1902" s="0" t="s">
        <v>740</v>
      </c>
      <c r="B1902" s="0" t="s">
        <v>2852</v>
      </c>
      <c r="C1902" s="0" t="s">
        <v>658</v>
      </c>
      <c r="D1902" s="0" t="s">
        <v>93</v>
      </c>
      <c r="E1902" s="0" t="s">
        <v>1832</v>
      </c>
    </row>
    <row r="1903" customFormat="false" ht="15" hidden="false" customHeight="false" outlineLevel="0" collapsed="false">
      <c r="A1903" s="0" t="s">
        <v>740</v>
      </c>
      <c r="B1903" s="0" t="s">
        <v>2853</v>
      </c>
      <c r="C1903" s="0" t="s">
        <v>658</v>
      </c>
      <c r="D1903" s="0" t="s">
        <v>93</v>
      </c>
      <c r="E1903" s="0" t="s">
        <v>1832</v>
      </c>
    </row>
    <row r="1904" customFormat="false" ht="15" hidden="false" customHeight="false" outlineLevel="0" collapsed="false">
      <c r="A1904" s="0" t="s">
        <v>740</v>
      </c>
      <c r="B1904" s="0" t="s">
        <v>2854</v>
      </c>
      <c r="C1904" s="0" t="s">
        <v>658</v>
      </c>
      <c r="D1904" s="0" t="s">
        <v>93</v>
      </c>
      <c r="E1904" s="0" t="s">
        <v>1832</v>
      </c>
    </row>
    <row r="1905" customFormat="false" ht="15" hidden="false" customHeight="false" outlineLevel="0" collapsed="false">
      <c r="A1905" s="0" t="s">
        <v>740</v>
      </c>
      <c r="B1905" s="0" t="s">
        <v>2855</v>
      </c>
      <c r="C1905" s="0" t="s">
        <v>658</v>
      </c>
      <c r="D1905" s="0" t="s">
        <v>93</v>
      </c>
      <c r="E1905" s="0" t="s">
        <v>1832</v>
      </c>
    </row>
    <row r="1906" customFormat="false" ht="15" hidden="false" customHeight="false" outlineLevel="0" collapsed="false">
      <c r="A1906" s="0" t="s">
        <v>740</v>
      </c>
      <c r="B1906" s="0" t="s">
        <v>2856</v>
      </c>
      <c r="C1906" s="0" t="s">
        <v>658</v>
      </c>
      <c r="D1906" s="0" t="s">
        <v>93</v>
      </c>
      <c r="E1906" s="0" t="s">
        <v>1832</v>
      </c>
    </row>
    <row r="1907" customFormat="false" ht="15" hidden="false" customHeight="false" outlineLevel="0" collapsed="false">
      <c r="A1907" s="0" t="s">
        <v>740</v>
      </c>
      <c r="B1907" s="0" t="s">
        <v>2857</v>
      </c>
      <c r="C1907" s="0" t="s">
        <v>658</v>
      </c>
      <c r="D1907" s="0" t="s">
        <v>93</v>
      </c>
      <c r="E1907" s="0" t="s">
        <v>1832</v>
      </c>
    </row>
    <row r="1908" customFormat="false" ht="15" hidden="false" customHeight="false" outlineLevel="0" collapsed="false">
      <c r="A1908" s="0" t="s">
        <v>740</v>
      </c>
      <c r="B1908" s="0" t="s">
        <v>2858</v>
      </c>
      <c r="C1908" s="0" t="s">
        <v>658</v>
      </c>
      <c r="D1908" s="0" t="s">
        <v>93</v>
      </c>
      <c r="E1908" s="0" t="s">
        <v>1832</v>
      </c>
    </row>
    <row r="1909" customFormat="false" ht="15" hidden="false" customHeight="false" outlineLevel="0" collapsed="false">
      <c r="A1909" s="0" t="s">
        <v>740</v>
      </c>
      <c r="B1909" s="0" t="s">
        <v>2859</v>
      </c>
      <c r="C1909" s="0" t="s">
        <v>658</v>
      </c>
      <c r="D1909" s="0" t="s">
        <v>93</v>
      </c>
      <c r="E1909" s="0" t="s">
        <v>1832</v>
      </c>
    </row>
    <row r="1910" customFormat="false" ht="15" hidden="false" customHeight="false" outlineLevel="0" collapsed="false">
      <c r="A1910" s="0" t="s">
        <v>740</v>
      </c>
      <c r="B1910" s="0" t="s">
        <v>2860</v>
      </c>
      <c r="C1910" s="0" t="s">
        <v>658</v>
      </c>
      <c r="D1910" s="0" t="s">
        <v>93</v>
      </c>
      <c r="E1910" s="0" t="s">
        <v>1832</v>
      </c>
    </row>
    <row r="1911" customFormat="false" ht="15" hidden="false" customHeight="false" outlineLevel="0" collapsed="false">
      <c r="A1911" s="0" t="s">
        <v>740</v>
      </c>
      <c r="B1911" s="0" t="s">
        <v>2861</v>
      </c>
      <c r="C1911" s="0" t="s">
        <v>658</v>
      </c>
      <c r="D1911" s="0" t="s">
        <v>93</v>
      </c>
      <c r="E1911" s="0" t="s">
        <v>1832</v>
      </c>
    </row>
    <row r="1912" customFormat="false" ht="15" hidden="false" customHeight="false" outlineLevel="0" collapsed="false">
      <c r="A1912" s="0" t="s">
        <v>740</v>
      </c>
      <c r="B1912" s="0" t="s">
        <v>2862</v>
      </c>
      <c r="C1912" s="0" t="s">
        <v>658</v>
      </c>
      <c r="D1912" s="0" t="s">
        <v>93</v>
      </c>
      <c r="E1912" s="0" t="s">
        <v>1832</v>
      </c>
    </row>
    <row r="1913" customFormat="false" ht="15" hidden="false" customHeight="false" outlineLevel="0" collapsed="false">
      <c r="A1913" s="0" t="s">
        <v>740</v>
      </c>
      <c r="B1913" s="0" t="s">
        <v>2863</v>
      </c>
      <c r="C1913" s="0" t="s">
        <v>658</v>
      </c>
      <c r="D1913" s="0" t="s">
        <v>93</v>
      </c>
      <c r="E1913" s="0" t="s">
        <v>1832</v>
      </c>
    </row>
    <row r="1914" customFormat="false" ht="15" hidden="false" customHeight="false" outlineLevel="0" collapsed="false">
      <c r="A1914" s="0" t="s">
        <v>740</v>
      </c>
      <c r="B1914" s="0" t="s">
        <v>2864</v>
      </c>
      <c r="C1914" s="0" t="s">
        <v>658</v>
      </c>
      <c r="D1914" s="0" t="s">
        <v>93</v>
      </c>
      <c r="E1914" s="0" t="s">
        <v>1832</v>
      </c>
    </row>
    <row r="1915" customFormat="false" ht="15" hidden="false" customHeight="false" outlineLevel="0" collapsed="false">
      <c r="A1915" s="0" t="s">
        <v>740</v>
      </c>
      <c r="B1915" s="0" t="s">
        <v>2865</v>
      </c>
      <c r="C1915" s="0" t="s">
        <v>658</v>
      </c>
      <c r="D1915" s="0" t="s">
        <v>93</v>
      </c>
      <c r="E1915" s="0" t="s">
        <v>1832</v>
      </c>
    </row>
    <row r="1916" customFormat="false" ht="15" hidden="false" customHeight="false" outlineLevel="0" collapsed="false">
      <c r="A1916" s="0" t="s">
        <v>740</v>
      </c>
      <c r="B1916" s="0" t="s">
        <v>2866</v>
      </c>
      <c r="C1916" s="0" t="s">
        <v>658</v>
      </c>
      <c r="D1916" s="0" t="s">
        <v>93</v>
      </c>
      <c r="E1916" s="0" t="s">
        <v>1832</v>
      </c>
    </row>
    <row r="1917" customFormat="false" ht="15" hidden="false" customHeight="false" outlineLevel="0" collapsed="false">
      <c r="A1917" s="0" t="s">
        <v>740</v>
      </c>
      <c r="B1917" s="0" t="s">
        <v>2867</v>
      </c>
      <c r="C1917" s="0" t="s">
        <v>658</v>
      </c>
      <c r="D1917" s="0" t="s">
        <v>93</v>
      </c>
      <c r="E1917" s="0" t="s">
        <v>1832</v>
      </c>
    </row>
    <row r="1918" customFormat="false" ht="15" hidden="false" customHeight="false" outlineLevel="0" collapsed="false">
      <c r="A1918" s="0" t="s">
        <v>740</v>
      </c>
      <c r="B1918" s="0" t="s">
        <v>2868</v>
      </c>
      <c r="C1918" s="0" t="s">
        <v>658</v>
      </c>
      <c r="D1918" s="0" t="s">
        <v>93</v>
      </c>
      <c r="E1918" s="0" t="s">
        <v>1832</v>
      </c>
    </row>
    <row r="1919" customFormat="false" ht="15" hidden="false" customHeight="false" outlineLevel="0" collapsed="false">
      <c r="A1919" s="0" t="s">
        <v>740</v>
      </c>
      <c r="B1919" s="0" t="s">
        <v>2869</v>
      </c>
      <c r="C1919" s="0" t="s">
        <v>658</v>
      </c>
      <c r="D1919" s="0" t="s">
        <v>93</v>
      </c>
      <c r="E1919" s="0" t="s">
        <v>1832</v>
      </c>
    </row>
    <row r="1920" customFormat="false" ht="15" hidden="false" customHeight="false" outlineLevel="0" collapsed="false">
      <c r="A1920" s="0" t="s">
        <v>740</v>
      </c>
      <c r="B1920" s="0" t="s">
        <v>2870</v>
      </c>
      <c r="C1920" s="0" t="s">
        <v>2871</v>
      </c>
      <c r="D1920" s="0" t="s">
        <v>98</v>
      </c>
      <c r="E1920" s="0" t="s">
        <v>826</v>
      </c>
    </row>
    <row r="1921" customFormat="false" ht="15" hidden="false" customHeight="false" outlineLevel="0" collapsed="false">
      <c r="A1921" s="0" t="s">
        <v>740</v>
      </c>
      <c r="B1921" s="0" t="s">
        <v>2872</v>
      </c>
      <c r="C1921" s="0" t="s">
        <v>2873</v>
      </c>
      <c r="D1921" s="0" t="s">
        <v>98</v>
      </c>
      <c r="E1921" s="0" t="s">
        <v>826</v>
      </c>
    </row>
    <row r="1922" customFormat="false" ht="15" hidden="false" customHeight="false" outlineLevel="0" collapsed="false">
      <c r="A1922" s="0" t="s">
        <v>740</v>
      </c>
      <c r="B1922" s="0" t="s">
        <v>2874</v>
      </c>
      <c r="C1922" s="0" t="s">
        <v>2875</v>
      </c>
      <c r="D1922" s="0" t="s">
        <v>98</v>
      </c>
      <c r="E1922" s="0" t="s">
        <v>826</v>
      </c>
    </row>
    <row r="1923" customFormat="false" ht="15" hidden="false" customHeight="false" outlineLevel="0" collapsed="false">
      <c r="A1923" s="0" t="s">
        <v>740</v>
      </c>
      <c r="B1923" s="0" t="s">
        <v>2876</v>
      </c>
      <c r="C1923" s="0" t="s">
        <v>2877</v>
      </c>
      <c r="D1923" s="0" t="s">
        <v>98</v>
      </c>
      <c r="E1923" s="0" t="s">
        <v>826</v>
      </c>
    </row>
    <row r="1924" customFormat="false" ht="15" hidden="false" customHeight="false" outlineLevel="0" collapsed="false">
      <c r="A1924" s="0" t="s">
        <v>740</v>
      </c>
      <c r="B1924" s="0" t="s">
        <v>2878</v>
      </c>
      <c r="C1924" s="0" t="s">
        <v>2879</v>
      </c>
      <c r="D1924" s="0" t="s">
        <v>98</v>
      </c>
      <c r="E1924" s="0" t="s">
        <v>826</v>
      </c>
    </row>
    <row r="1925" customFormat="false" ht="15" hidden="false" customHeight="false" outlineLevel="0" collapsed="false">
      <c r="A1925" s="0" t="s">
        <v>740</v>
      </c>
      <c r="B1925" s="0" t="s">
        <v>2880</v>
      </c>
      <c r="C1925" s="0" t="s">
        <v>2881</v>
      </c>
      <c r="D1925" s="0" t="s">
        <v>98</v>
      </c>
      <c r="E1925" s="0" t="s">
        <v>826</v>
      </c>
    </row>
    <row r="1926" customFormat="false" ht="15" hidden="false" customHeight="false" outlineLevel="0" collapsed="false">
      <c r="A1926" s="0" t="s">
        <v>740</v>
      </c>
      <c r="B1926" s="0" t="s">
        <v>2882</v>
      </c>
      <c r="C1926" s="0" t="s">
        <v>2883</v>
      </c>
      <c r="D1926" s="0" t="s">
        <v>98</v>
      </c>
      <c r="E1926" s="0" t="s">
        <v>826</v>
      </c>
    </row>
    <row r="1927" customFormat="false" ht="15" hidden="false" customHeight="false" outlineLevel="0" collapsed="false">
      <c r="A1927" s="0" t="s">
        <v>740</v>
      </c>
      <c r="B1927" s="0" t="s">
        <v>2884</v>
      </c>
      <c r="C1927" s="0" t="s">
        <v>2885</v>
      </c>
      <c r="D1927" s="0" t="s">
        <v>98</v>
      </c>
      <c r="E1927" s="0" t="s">
        <v>826</v>
      </c>
    </row>
    <row r="1928" customFormat="false" ht="15" hidden="false" customHeight="false" outlineLevel="0" collapsed="false">
      <c r="A1928" s="0" t="s">
        <v>740</v>
      </c>
      <c r="B1928" s="0" t="s">
        <v>2886</v>
      </c>
      <c r="C1928" s="0" t="s">
        <v>2887</v>
      </c>
      <c r="D1928" s="0" t="s">
        <v>98</v>
      </c>
      <c r="E1928" s="0" t="s">
        <v>826</v>
      </c>
    </row>
    <row r="1929" customFormat="false" ht="15" hidden="false" customHeight="false" outlineLevel="0" collapsed="false">
      <c r="A1929" s="0" t="s">
        <v>740</v>
      </c>
      <c r="B1929" s="0" t="s">
        <v>2888</v>
      </c>
      <c r="C1929" s="0" t="s">
        <v>2889</v>
      </c>
      <c r="D1929" s="0" t="s">
        <v>98</v>
      </c>
      <c r="E1929" s="0" t="s">
        <v>826</v>
      </c>
    </row>
    <row r="1930" customFormat="false" ht="15" hidden="false" customHeight="false" outlineLevel="0" collapsed="false">
      <c r="A1930" s="0" t="s">
        <v>740</v>
      </c>
      <c r="B1930" s="0" t="s">
        <v>2890</v>
      </c>
      <c r="C1930" s="0" t="s">
        <v>2891</v>
      </c>
      <c r="D1930" s="0" t="s">
        <v>98</v>
      </c>
      <c r="E1930" s="0" t="s">
        <v>826</v>
      </c>
    </row>
    <row r="1931" customFormat="false" ht="15" hidden="false" customHeight="false" outlineLevel="0" collapsed="false">
      <c r="A1931" s="0" t="s">
        <v>740</v>
      </c>
      <c r="B1931" s="0" t="s">
        <v>2892</v>
      </c>
      <c r="C1931" s="0" t="s">
        <v>2893</v>
      </c>
      <c r="D1931" s="0" t="s">
        <v>98</v>
      </c>
      <c r="E1931" s="0" t="s">
        <v>826</v>
      </c>
    </row>
    <row r="1932" customFormat="false" ht="15" hidden="false" customHeight="false" outlineLevel="0" collapsed="false">
      <c r="A1932" s="0" t="s">
        <v>740</v>
      </c>
      <c r="B1932" s="0" t="s">
        <v>2894</v>
      </c>
      <c r="C1932" s="0" t="s">
        <v>2895</v>
      </c>
      <c r="D1932" s="0" t="s">
        <v>98</v>
      </c>
      <c r="E1932" s="0" t="s">
        <v>826</v>
      </c>
    </row>
    <row r="1933" customFormat="false" ht="15" hidden="false" customHeight="false" outlineLevel="0" collapsed="false">
      <c r="A1933" s="0" t="s">
        <v>740</v>
      </c>
      <c r="B1933" s="0" t="s">
        <v>2896</v>
      </c>
      <c r="C1933" s="0" t="s">
        <v>2897</v>
      </c>
      <c r="D1933" s="0" t="s">
        <v>98</v>
      </c>
      <c r="E1933" s="0" t="s">
        <v>826</v>
      </c>
    </row>
    <row r="1934" customFormat="false" ht="15" hidden="false" customHeight="false" outlineLevel="0" collapsed="false">
      <c r="A1934" s="0" t="s">
        <v>740</v>
      </c>
      <c r="B1934" s="0" t="s">
        <v>2898</v>
      </c>
      <c r="C1934" s="0" t="s">
        <v>2899</v>
      </c>
      <c r="D1934" s="0" t="s">
        <v>98</v>
      </c>
      <c r="E1934" s="0" t="s">
        <v>826</v>
      </c>
    </row>
    <row r="1935" customFormat="false" ht="15" hidden="false" customHeight="false" outlineLevel="0" collapsed="false">
      <c r="A1935" s="0" t="s">
        <v>740</v>
      </c>
      <c r="B1935" s="0" t="s">
        <v>2900</v>
      </c>
      <c r="C1935" s="0" t="s">
        <v>2901</v>
      </c>
      <c r="D1935" s="0" t="s">
        <v>98</v>
      </c>
      <c r="E1935" s="0" t="s">
        <v>826</v>
      </c>
    </row>
    <row r="1936" customFormat="false" ht="15" hidden="false" customHeight="false" outlineLevel="0" collapsed="false">
      <c r="A1936" s="0" t="s">
        <v>740</v>
      </c>
      <c r="B1936" s="0" t="s">
        <v>2902</v>
      </c>
      <c r="C1936" s="0" t="s">
        <v>2903</v>
      </c>
      <c r="D1936" s="0" t="s">
        <v>98</v>
      </c>
      <c r="E1936" s="0" t="s">
        <v>826</v>
      </c>
    </row>
    <row r="1937" customFormat="false" ht="15" hidden="false" customHeight="false" outlineLevel="0" collapsed="false">
      <c r="A1937" s="0" t="s">
        <v>740</v>
      </c>
      <c r="B1937" s="0" t="s">
        <v>2904</v>
      </c>
      <c r="C1937" s="0" t="s">
        <v>2905</v>
      </c>
      <c r="D1937" s="0" t="s">
        <v>98</v>
      </c>
      <c r="E1937" s="0" t="s">
        <v>826</v>
      </c>
    </row>
    <row r="1938" customFormat="false" ht="15" hidden="false" customHeight="false" outlineLevel="0" collapsed="false">
      <c r="A1938" s="0" t="s">
        <v>740</v>
      </c>
      <c r="B1938" s="0" t="s">
        <v>2906</v>
      </c>
      <c r="C1938" s="0" t="s">
        <v>2907</v>
      </c>
      <c r="D1938" s="0" t="s">
        <v>98</v>
      </c>
      <c r="E1938" s="0" t="s">
        <v>826</v>
      </c>
    </row>
    <row r="1939" customFormat="false" ht="15" hidden="false" customHeight="false" outlineLevel="0" collapsed="false">
      <c r="A1939" s="0" t="s">
        <v>740</v>
      </c>
      <c r="B1939" s="0" t="s">
        <v>2908</v>
      </c>
      <c r="C1939" s="0" t="s">
        <v>2909</v>
      </c>
      <c r="D1939" s="0" t="s">
        <v>98</v>
      </c>
      <c r="E1939" s="0" t="s">
        <v>826</v>
      </c>
    </row>
    <row r="1940" customFormat="false" ht="15" hidden="false" customHeight="false" outlineLevel="0" collapsed="false">
      <c r="A1940" s="0" t="s">
        <v>740</v>
      </c>
      <c r="B1940" s="0" t="s">
        <v>2910</v>
      </c>
      <c r="C1940" s="0" t="s">
        <v>2911</v>
      </c>
      <c r="D1940" s="0" t="s">
        <v>98</v>
      </c>
      <c r="E1940" s="0" t="s">
        <v>826</v>
      </c>
    </row>
    <row r="1941" customFormat="false" ht="15" hidden="false" customHeight="false" outlineLevel="0" collapsed="false">
      <c r="A1941" s="0" t="s">
        <v>740</v>
      </c>
      <c r="B1941" s="0" t="s">
        <v>2912</v>
      </c>
      <c r="C1941" s="0" t="s">
        <v>2913</v>
      </c>
      <c r="D1941" s="0" t="s">
        <v>98</v>
      </c>
      <c r="E1941" s="0" t="s">
        <v>826</v>
      </c>
    </row>
    <row r="1942" customFormat="false" ht="15" hidden="false" customHeight="false" outlineLevel="0" collapsed="false">
      <c r="A1942" s="0" t="s">
        <v>740</v>
      </c>
      <c r="B1942" s="0" t="s">
        <v>2914</v>
      </c>
      <c r="C1942" s="0" t="s">
        <v>2915</v>
      </c>
      <c r="D1942" s="0" t="s">
        <v>98</v>
      </c>
      <c r="E1942" s="0" t="s">
        <v>826</v>
      </c>
    </row>
    <row r="1943" customFormat="false" ht="15" hidden="false" customHeight="false" outlineLevel="0" collapsed="false">
      <c r="A1943" s="0" t="s">
        <v>740</v>
      </c>
      <c r="B1943" s="0" t="s">
        <v>2916</v>
      </c>
      <c r="C1943" s="0" t="s">
        <v>2917</v>
      </c>
      <c r="D1943" s="0" t="s">
        <v>98</v>
      </c>
      <c r="E1943" s="0" t="s">
        <v>826</v>
      </c>
    </row>
    <row r="1944" customFormat="false" ht="15" hidden="false" customHeight="false" outlineLevel="0" collapsed="false">
      <c r="A1944" s="0" t="s">
        <v>740</v>
      </c>
      <c r="B1944" s="0" t="s">
        <v>2918</v>
      </c>
      <c r="C1944" s="0" t="s">
        <v>2919</v>
      </c>
      <c r="D1944" s="0" t="s">
        <v>98</v>
      </c>
      <c r="E1944" s="0" t="s">
        <v>826</v>
      </c>
    </row>
    <row r="1945" customFormat="false" ht="15" hidden="false" customHeight="false" outlineLevel="0" collapsed="false">
      <c r="A1945" s="0" t="s">
        <v>740</v>
      </c>
      <c r="B1945" s="0" t="s">
        <v>2920</v>
      </c>
      <c r="C1945" s="0" t="s">
        <v>2921</v>
      </c>
      <c r="D1945" s="0" t="s">
        <v>98</v>
      </c>
      <c r="E1945" s="0" t="s">
        <v>826</v>
      </c>
    </row>
    <row r="1946" customFormat="false" ht="15" hidden="false" customHeight="false" outlineLevel="0" collapsed="false">
      <c r="A1946" s="0" t="s">
        <v>740</v>
      </c>
      <c r="B1946" s="0" t="s">
        <v>2922</v>
      </c>
      <c r="C1946" s="0" t="s">
        <v>2923</v>
      </c>
      <c r="D1946" s="0" t="s">
        <v>98</v>
      </c>
      <c r="E1946" s="0" t="s">
        <v>826</v>
      </c>
    </row>
    <row r="1947" customFormat="false" ht="15" hidden="false" customHeight="false" outlineLevel="0" collapsed="false">
      <c r="A1947" s="0" t="s">
        <v>740</v>
      </c>
      <c r="B1947" s="0" t="s">
        <v>2924</v>
      </c>
      <c r="C1947" s="0" t="s">
        <v>2925</v>
      </c>
      <c r="D1947" s="0" t="s">
        <v>98</v>
      </c>
      <c r="E1947" s="0" t="s">
        <v>826</v>
      </c>
    </row>
    <row r="1948" customFormat="false" ht="15" hidden="false" customHeight="false" outlineLevel="0" collapsed="false">
      <c r="A1948" s="0" t="s">
        <v>740</v>
      </c>
      <c r="B1948" s="0" t="s">
        <v>2926</v>
      </c>
      <c r="C1948" s="0" t="s">
        <v>630</v>
      </c>
      <c r="D1948" s="0" t="s">
        <v>86</v>
      </c>
      <c r="E1948" s="0" t="s">
        <v>283</v>
      </c>
    </row>
    <row r="1949" customFormat="false" ht="15" hidden="false" customHeight="false" outlineLevel="0" collapsed="false">
      <c r="A1949" s="0" t="s">
        <v>740</v>
      </c>
      <c r="B1949" s="0" t="s">
        <v>2927</v>
      </c>
      <c r="C1949" s="0" t="s">
        <v>630</v>
      </c>
      <c r="D1949" s="0" t="s">
        <v>86</v>
      </c>
      <c r="E1949" s="0" t="s">
        <v>283</v>
      </c>
    </row>
    <row r="1950" customFormat="false" ht="15" hidden="false" customHeight="false" outlineLevel="0" collapsed="false">
      <c r="A1950" s="0" t="s">
        <v>740</v>
      </c>
      <c r="B1950" s="0" t="s">
        <v>2928</v>
      </c>
      <c r="C1950" s="0" t="s">
        <v>630</v>
      </c>
      <c r="D1950" s="0" t="s">
        <v>744</v>
      </c>
      <c r="E1950" s="0" t="s">
        <v>283</v>
      </c>
    </row>
    <row r="1951" customFormat="false" ht="15" hidden="false" customHeight="false" outlineLevel="0" collapsed="false">
      <c r="A1951" s="0" t="s">
        <v>740</v>
      </c>
      <c r="B1951" s="0" t="s">
        <v>2929</v>
      </c>
      <c r="C1951" s="0" t="s">
        <v>630</v>
      </c>
      <c r="D1951" s="0" t="s">
        <v>744</v>
      </c>
      <c r="E1951" s="0" t="s">
        <v>283</v>
      </c>
    </row>
    <row r="1952" customFormat="false" ht="15" hidden="false" customHeight="false" outlineLevel="0" collapsed="false">
      <c r="A1952" s="0" t="s">
        <v>740</v>
      </c>
      <c r="B1952" s="0" t="s">
        <v>2930</v>
      </c>
      <c r="C1952" s="0" t="s">
        <v>630</v>
      </c>
      <c r="D1952" s="0" t="s">
        <v>744</v>
      </c>
      <c r="E1952" s="0" t="s">
        <v>283</v>
      </c>
    </row>
    <row r="1953" customFormat="false" ht="15" hidden="false" customHeight="false" outlineLevel="0" collapsed="false">
      <c r="A1953" s="0" t="s">
        <v>740</v>
      </c>
      <c r="B1953" s="0" t="s">
        <v>2931</v>
      </c>
      <c r="C1953" s="0" t="s">
        <v>630</v>
      </c>
      <c r="D1953" s="0" t="s">
        <v>744</v>
      </c>
      <c r="E1953" s="0" t="s">
        <v>283</v>
      </c>
    </row>
    <row r="1954" customFormat="false" ht="15" hidden="false" customHeight="false" outlineLevel="0" collapsed="false">
      <c r="A1954" s="0" t="s">
        <v>740</v>
      </c>
      <c r="B1954" s="0" t="s">
        <v>2932</v>
      </c>
      <c r="C1954" s="0" t="s">
        <v>630</v>
      </c>
      <c r="D1954" s="0" t="s">
        <v>744</v>
      </c>
      <c r="E1954" s="0" t="s">
        <v>283</v>
      </c>
    </row>
    <row r="1955" customFormat="false" ht="15" hidden="false" customHeight="false" outlineLevel="0" collapsed="false">
      <c r="A1955" s="0" t="s">
        <v>740</v>
      </c>
      <c r="B1955" s="0" t="s">
        <v>2933</v>
      </c>
      <c r="C1955" s="0" t="s">
        <v>630</v>
      </c>
      <c r="D1955" s="0" t="s">
        <v>744</v>
      </c>
      <c r="E1955" s="0" t="s">
        <v>283</v>
      </c>
    </row>
    <row r="1956" customFormat="false" ht="15" hidden="false" customHeight="false" outlineLevel="0" collapsed="false">
      <c r="A1956" s="0" t="s">
        <v>740</v>
      </c>
      <c r="B1956" s="0" t="s">
        <v>2934</v>
      </c>
      <c r="C1956" s="0" t="s">
        <v>630</v>
      </c>
      <c r="D1956" s="0" t="s">
        <v>744</v>
      </c>
      <c r="E1956" s="0" t="s">
        <v>283</v>
      </c>
    </row>
    <row r="1957" customFormat="false" ht="15" hidden="false" customHeight="false" outlineLevel="0" collapsed="false">
      <c r="A1957" s="0" t="s">
        <v>740</v>
      </c>
      <c r="B1957" s="0" t="s">
        <v>2935</v>
      </c>
      <c r="C1957" s="0" t="s">
        <v>630</v>
      </c>
      <c r="D1957" s="0" t="s">
        <v>744</v>
      </c>
      <c r="E1957" s="0" t="s">
        <v>283</v>
      </c>
    </row>
    <row r="1958" customFormat="false" ht="15" hidden="false" customHeight="false" outlineLevel="0" collapsed="false">
      <c r="A1958" s="0" t="s">
        <v>740</v>
      </c>
      <c r="B1958" s="0" t="s">
        <v>2936</v>
      </c>
      <c r="C1958" s="0" t="s">
        <v>630</v>
      </c>
      <c r="D1958" s="0" t="s">
        <v>744</v>
      </c>
      <c r="E1958" s="0" t="s">
        <v>283</v>
      </c>
    </row>
    <row r="1959" customFormat="false" ht="15" hidden="false" customHeight="false" outlineLevel="0" collapsed="false">
      <c r="A1959" s="0" t="s">
        <v>740</v>
      </c>
      <c r="B1959" s="0" t="s">
        <v>2937</v>
      </c>
      <c r="C1959" s="0" t="s">
        <v>630</v>
      </c>
      <c r="D1959" s="0" t="s">
        <v>744</v>
      </c>
      <c r="E1959" s="0" t="s">
        <v>283</v>
      </c>
    </row>
    <row r="1960" customFormat="false" ht="15" hidden="false" customHeight="false" outlineLevel="0" collapsed="false">
      <c r="A1960" s="0" t="s">
        <v>740</v>
      </c>
      <c r="B1960" s="0" t="s">
        <v>2938</v>
      </c>
      <c r="C1960" s="0" t="s">
        <v>630</v>
      </c>
      <c r="D1960" s="0" t="s">
        <v>744</v>
      </c>
      <c r="E1960" s="0" t="s">
        <v>283</v>
      </c>
    </row>
    <row r="1961" customFormat="false" ht="15" hidden="false" customHeight="false" outlineLevel="0" collapsed="false">
      <c r="A1961" s="0" t="s">
        <v>740</v>
      </c>
      <c r="B1961" s="0" t="s">
        <v>2939</v>
      </c>
      <c r="C1961" s="0" t="s">
        <v>630</v>
      </c>
      <c r="D1961" s="0" t="s">
        <v>744</v>
      </c>
      <c r="E1961" s="0" t="s">
        <v>283</v>
      </c>
    </row>
    <row r="1962" customFormat="false" ht="15" hidden="false" customHeight="false" outlineLevel="0" collapsed="false">
      <c r="A1962" s="0" t="s">
        <v>740</v>
      </c>
      <c r="B1962" s="0" t="s">
        <v>2940</v>
      </c>
      <c r="C1962" s="0" t="s">
        <v>630</v>
      </c>
      <c r="D1962" s="0" t="s">
        <v>744</v>
      </c>
      <c r="E1962" s="0" t="s">
        <v>283</v>
      </c>
    </row>
    <row r="1963" customFormat="false" ht="15" hidden="false" customHeight="false" outlineLevel="0" collapsed="false">
      <c r="A1963" s="0" t="s">
        <v>740</v>
      </c>
      <c r="B1963" s="0" t="s">
        <v>2941</v>
      </c>
      <c r="C1963" s="0" t="s">
        <v>630</v>
      </c>
      <c r="D1963" s="0" t="s">
        <v>744</v>
      </c>
      <c r="E1963" s="0" t="s">
        <v>283</v>
      </c>
    </row>
    <row r="1964" customFormat="false" ht="15" hidden="false" customHeight="false" outlineLevel="0" collapsed="false">
      <c r="A1964" s="0" t="s">
        <v>740</v>
      </c>
      <c r="B1964" s="0" t="s">
        <v>2942</v>
      </c>
      <c r="C1964" s="0" t="s">
        <v>630</v>
      </c>
      <c r="D1964" s="0" t="s">
        <v>744</v>
      </c>
      <c r="E1964" s="0" t="s">
        <v>283</v>
      </c>
    </row>
    <row r="1965" customFormat="false" ht="15" hidden="false" customHeight="false" outlineLevel="0" collapsed="false">
      <c r="A1965" s="0" t="s">
        <v>740</v>
      </c>
      <c r="B1965" s="0" t="s">
        <v>2943</v>
      </c>
      <c r="C1965" s="0" t="s">
        <v>630</v>
      </c>
      <c r="D1965" s="0" t="s">
        <v>744</v>
      </c>
      <c r="E1965" s="0" t="s">
        <v>283</v>
      </c>
    </row>
    <row r="1966" customFormat="false" ht="15" hidden="false" customHeight="false" outlineLevel="0" collapsed="false">
      <c r="A1966" s="0" t="s">
        <v>740</v>
      </c>
      <c r="B1966" s="0" t="s">
        <v>2944</v>
      </c>
      <c r="C1966" s="0" t="s">
        <v>630</v>
      </c>
      <c r="D1966" s="0" t="s">
        <v>744</v>
      </c>
      <c r="E1966" s="0" t="s">
        <v>283</v>
      </c>
    </row>
    <row r="1967" customFormat="false" ht="15" hidden="false" customHeight="false" outlineLevel="0" collapsed="false">
      <c r="A1967" s="0" t="s">
        <v>740</v>
      </c>
      <c r="B1967" s="0" t="s">
        <v>2945</v>
      </c>
      <c r="C1967" s="0" t="s">
        <v>630</v>
      </c>
      <c r="D1967" s="0" t="s">
        <v>744</v>
      </c>
      <c r="E1967" s="0" t="s">
        <v>283</v>
      </c>
    </row>
    <row r="1968" customFormat="false" ht="15" hidden="false" customHeight="false" outlineLevel="0" collapsed="false">
      <c r="A1968" s="0" t="s">
        <v>740</v>
      </c>
      <c r="B1968" s="0" t="s">
        <v>2946</v>
      </c>
      <c r="C1968" s="0" t="s">
        <v>762</v>
      </c>
      <c r="D1968" s="0" t="s">
        <v>98</v>
      </c>
      <c r="E1968" s="0" t="s">
        <v>763</v>
      </c>
    </row>
    <row r="1969" customFormat="false" ht="15" hidden="false" customHeight="false" outlineLevel="0" collapsed="false">
      <c r="A1969" s="0" t="s">
        <v>740</v>
      </c>
      <c r="B1969" s="0" t="s">
        <v>2947</v>
      </c>
      <c r="C1969" s="0" t="s">
        <v>762</v>
      </c>
      <c r="D1969" s="0" t="s">
        <v>98</v>
      </c>
      <c r="E1969" s="0" t="s">
        <v>763</v>
      </c>
    </row>
    <row r="1970" customFormat="false" ht="15" hidden="false" customHeight="false" outlineLevel="0" collapsed="false">
      <c r="A1970" s="0" t="s">
        <v>740</v>
      </c>
      <c r="B1970" s="0" t="s">
        <v>2948</v>
      </c>
      <c r="C1970" s="0" t="s">
        <v>762</v>
      </c>
      <c r="D1970" s="0" t="s">
        <v>98</v>
      </c>
      <c r="E1970" s="0" t="s">
        <v>763</v>
      </c>
    </row>
    <row r="1971" customFormat="false" ht="15" hidden="false" customHeight="false" outlineLevel="0" collapsed="false">
      <c r="A1971" s="0" t="s">
        <v>740</v>
      </c>
      <c r="B1971" s="0" t="s">
        <v>2949</v>
      </c>
      <c r="C1971" s="0" t="s">
        <v>762</v>
      </c>
      <c r="D1971" s="0" t="s">
        <v>98</v>
      </c>
      <c r="E1971" s="0" t="s">
        <v>763</v>
      </c>
    </row>
    <row r="1972" customFormat="false" ht="15" hidden="false" customHeight="false" outlineLevel="0" collapsed="false">
      <c r="A1972" s="0" t="s">
        <v>740</v>
      </c>
      <c r="B1972" s="0" t="s">
        <v>2950</v>
      </c>
      <c r="C1972" s="0" t="s">
        <v>762</v>
      </c>
      <c r="D1972" s="0" t="s">
        <v>98</v>
      </c>
      <c r="E1972" s="0" t="s">
        <v>763</v>
      </c>
    </row>
    <row r="1973" customFormat="false" ht="15" hidden="false" customHeight="false" outlineLevel="0" collapsed="false">
      <c r="A1973" s="0" t="s">
        <v>740</v>
      </c>
      <c r="B1973" s="0" t="s">
        <v>2951</v>
      </c>
      <c r="C1973" s="0" t="s">
        <v>762</v>
      </c>
      <c r="D1973" s="0" t="s">
        <v>98</v>
      </c>
      <c r="E1973" s="0" t="s">
        <v>763</v>
      </c>
    </row>
    <row r="1974" customFormat="false" ht="15" hidden="false" customHeight="false" outlineLevel="0" collapsed="false">
      <c r="A1974" s="0" t="s">
        <v>740</v>
      </c>
      <c r="B1974" s="0" t="s">
        <v>2952</v>
      </c>
      <c r="C1974" s="0" t="s">
        <v>762</v>
      </c>
      <c r="D1974" s="0" t="s">
        <v>98</v>
      </c>
      <c r="E1974" s="0" t="s">
        <v>763</v>
      </c>
    </row>
    <row r="1975" customFormat="false" ht="15" hidden="false" customHeight="false" outlineLevel="0" collapsed="false">
      <c r="A1975" s="0" t="s">
        <v>740</v>
      </c>
      <c r="B1975" s="0" t="s">
        <v>2953</v>
      </c>
      <c r="C1975" s="0" t="s">
        <v>762</v>
      </c>
      <c r="D1975" s="0" t="s">
        <v>98</v>
      </c>
      <c r="E1975" s="0" t="s">
        <v>763</v>
      </c>
    </row>
    <row r="1976" customFormat="false" ht="15" hidden="false" customHeight="false" outlineLevel="0" collapsed="false">
      <c r="A1976" s="0" t="s">
        <v>740</v>
      </c>
      <c r="B1976" s="0" t="s">
        <v>2954</v>
      </c>
      <c r="C1976" s="0" t="s">
        <v>762</v>
      </c>
      <c r="D1976" s="0" t="s">
        <v>98</v>
      </c>
      <c r="E1976" s="0" t="s">
        <v>763</v>
      </c>
    </row>
    <row r="1977" customFormat="false" ht="15" hidden="false" customHeight="false" outlineLevel="0" collapsed="false">
      <c r="A1977" s="0" t="s">
        <v>740</v>
      </c>
      <c r="B1977" s="0" t="s">
        <v>2955</v>
      </c>
      <c r="C1977" s="0" t="s">
        <v>762</v>
      </c>
      <c r="D1977" s="0" t="s">
        <v>98</v>
      </c>
      <c r="E1977" s="0" t="s">
        <v>763</v>
      </c>
    </row>
    <row r="1978" customFormat="false" ht="15" hidden="false" customHeight="false" outlineLevel="0" collapsed="false">
      <c r="A1978" s="0" t="s">
        <v>740</v>
      </c>
      <c r="B1978" s="0" t="s">
        <v>2956</v>
      </c>
      <c r="C1978" s="0" t="s">
        <v>762</v>
      </c>
      <c r="D1978" s="0" t="s">
        <v>98</v>
      </c>
      <c r="E1978" s="0" t="s">
        <v>763</v>
      </c>
    </row>
    <row r="1979" customFormat="false" ht="15" hidden="false" customHeight="false" outlineLevel="0" collapsed="false">
      <c r="A1979" s="0" t="s">
        <v>740</v>
      </c>
      <c r="B1979" s="0" t="s">
        <v>2957</v>
      </c>
      <c r="C1979" s="0" t="s">
        <v>762</v>
      </c>
      <c r="D1979" s="0" t="s">
        <v>93</v>
      </c>
      <c r="E1979" s="0" t="s">
        <v>2958</v>
      </c>
    </row>
    <row r="1980" customFormat="false" ht="15" hidden="false" customHeight="false" outlineLevel="0" collapsed="false">
      <c r="A1980" s="0" t="s">
        <v>740</v>
      </c>
      <c r="B1980" s="0" t="s">
        <v>2959</v>
      </c>
      <c r="C1980" s="0" t="s">
        <v>762</v>
      </c>
      <c r="D1980" s="0" t="s">
        <v>93</v>
      </c>
    </row>
    <row r="1981" customFormat="false" ht="15" hidden="false" customHeight="false" outlineLevel="0" collapsed="false">
      <c r="A1981" s="0" t="s">
        <v>740</v>
      </c>
      <c r="B1981" s="0" t="s">
        <v>2960</v>
      </c>
      <c r="C1981" s="0" t="s">
        <v>2961</v>
      </c>
      <c r="D1981" s="0" t="s">
        <v>93</v>
      </c>
    </row>
    <row r="1982" customFormat="false" ht="15" hidden="false" customHeight="false" outlineLevel="0" collapsed="false">
      <c r="A1982" s="0" t="s">
        <v>740</v>
      </c>
      <c r="B1982" s="0" t="s">
        <v>2962</v>
      </c>
      <c r="C1982" s="0" t="s">
        <v>630</v>
      </c>
      <c r="D1982" s="0" t="s">
        <v>93</v>
      </c>
    </row>
    <row r="1983" customFormat="false" ht="15" hidden="false" customHeight="false" outlineLevel="0" collapsed="false">
      <c r="A1983" s="0" t="s">
        <v>740</v>
      </c>
      <c r="B1983" s="0" t="s">
        <v>2963</v>
      </c>
      <c r="C1983" s="0" t="s">
        <v>630</v>
      </c>
      <c r="D1983" s="0" t="s">
        <v>93</v>
      </c>
      <c r="E1983" s="0" t="s">
        <v>2401</v>
      </c>
    </row>
    <row r="1984" customFormat="false" ht="15" hidden="false" customHeight="false" outlineLevel="0" collapsed="false">
      <c r="A1984" s="0" t="s">
        <v>740</v>
      </c>
      <c r="B1984" s="0" t="s">
        <v>2964</v>
      </c>
      <c r="C1984" s="0" t="s">
        <v>630</v>
      </c>
      <c r="D1984" s="0" t="s">
        <v>93</v>
      </c>
      <c r="E1984" s="0" t="s">
        <v>2401</v>
      </c>
    </row>
    <row r="1985" customFormat="false" ht="15" hidden="false" customHeight="false" outlineLevel="0" collapsed="false">
      <c r="A1985" s="0" t="s">
        <v>740</v>
      </c>
      <c r="B1985" s="0" t="s">
        <v>2965</v>
      </c>
      <c r="C1985" s="0" t="s">
        <v>630</v>
      </c>
      <c r="D1985" s="0" t="s">
        <v>93</v>
      </c>
      <c r="E1985" s="0" t="s">
        <v>2401</v>
      </c>
    </row>
    <row r="1986" customFormat="false" ht="15" hidden="false" customHeight="false" outlineLevel="0" collapsed="false">
      <c r="A1986" s="0" t="s">
        <v>740</v>
      </c>
      <c r="B1986" s="0" t="s">
        <v>2966</v>
      </c>
      <c r="C1986" s="0" t="s">
        <v>630</v>
      </c>
      <c r="D1986" s="0" t="s">
        <v>93</v>
      </c>
      <c r="E1986" s="0" t="s">
        <v>2401</v>
      </c>
    </row>
    <row r="1987" customFormat="false" ht="15" hidden="false" customHeight="false" outlineLevel="0" collapsed="false">
      <c r="A1987" s="0" t="s">
        <v>740</v>
      </c>
      <c r="B1987" s="0" t="s">
        <v>2967</v>
      </c>
      <c r="C1987" s="0" t="s">
        <v>630</v>
      </c>
      <c r="D1987" s="0" t="s">
        <v>93</v>
      </c>
      <c r="E1987" s="0" t="s">
        <v>2401</v>
      </c>
    </row>
    <row r="1988" customFormat="false" ht="15" hidden="false" customHeight="false" outlineLevel="0" collapsed="false">
      <c r="A1988" s="0" t="s">
        <v>740</v>
      </c>
      <c r="B1988" s="0" t="s">
        <v>2968</v>
      </c>
      <c r="C1988" s="0" t="s">
        <v>630</v>
      </c>
      <c r="D1988" s="0" t="s">
        <v>93</v>
      </c>
      <c r="E1988" s="0" t="s">
        <v>2401</v>
      </c>
    </row>
    <row r="1989" customFormat="false" ht="15" hidden="false" customHeight="false" outlineLevel="0" collapsed="false">
      <c r="A1989" s="0" t="s">
        <v>740</v>
      </c>
      <c r="B1989" s="0" t="s">
        <v>2969</v>
      </c>
      <c r="C1989" s="0" t="s">
        <v>630</v>
      </c>
      <c r="D1989" s="0" t="s">
        <v>93</v>
      </c>
      <c r="E1989" s="0" t="s">
        <v>2401</v>
      </c>
    </row>
    <row r="1990" customFormat="false" ht="15" hidden="false" customHeight="false" outlineLevel="0" collapsed="false">
      <c r="A1990" s="0" t="s">
        <v>740</v>
      </c>
      <c r="B1990" s="0" t="s">
        <v>2970</v>
      </c>
      <c r="C1990" s="0" t="s">
        <v>630</v>
      </c>
      <c r="D1990" s="0" t="s">
        <v>93</v>
      </c>
      <c r="E1990" s="0" t="s">
        <v>2401</v>
      </c>
    </row>
    <row r="1991" customFormat="false" ht="15" hidden="false" customHeight="false" outlineLevel="0" collapsed="false">
      <c r="A1991" s="0" t="s">
        <v>740</v>
      </c>
      <c r="B1991" s="0" t="s">
        <v>2971</v>
      </c>
      <c r="C1991" s="0" t="s">
        <v>630</v>
      </c>
      <c r="D1991" s="0" t="s">
        <v>93</v>
      </c>
      <c r="E1991" s="0" t="s">
        <v>2401</v>
      </c>
    </row>
    <row r="1992" customFormat="false" ht="15" hidden="false" customHeight="false" outlineLevel="0" collapsed="false">
      <c r="A1992" s="0" t="s">
        <v>740</v>
      </c>
      <c r="B1992" s="0" t="s">
        <v>2972</v>
      </c>
      <c r="C1992" s="0" t="s">
        <v>630</v>
      </c>
      <c r="D1992" s="0" t="s">
        <v>93</v>
      </c>
      <c r="E1992" s="0" t="s">
        <v>2401</v>
      </c>
    </row>
    <row r="1993" customFormat="false" ht="15" hidden="false" customHeight="false" outlineLevel="0" collapsed="false">
      <c r="A1993" s="0" t="s">
        <v>740</v>
      </c>
      <c r="B1993" s="0" t="s">
        <v>2973</v>
      </c>
      <c r="C1993" s="0" t="s">
        <v>630</v>
      </c>
      <c r="D1993" s="0" t="s">
        <v>93</v>
      </c>
      <c r="E1993" s="0" t="s">
        <v>2401</v>
      </c>
    </row>
    <row r="1994" customFormat="false" ht="15" hidden="false" customHeight="false" outlineLevel="0" collapsed="false">
      <c r="A1994" s="0" t="s">
        <v>740</v>
      </c>
      <c r="B1994" s="0" t="s">
        <v>2974</v>
      </c>
      <c r="C1994" s="0" t="s">
        <v>630</v>
      </c>
      <c r="D1994" s="0" t="s">
        <v>93</v>
      </c>
      <c r="E1994" s="0" t="s">
        <v>2401</v>
      </c>
    </row>
    <row r="1995" customFormat="false" ht="15" hidden="false" customHeight="false" outlineLevel="0" collapsed="false">
      <c r="A1995" s="0" t="s">
        <v>740</v>
      </c>
      <c r="B1995" s="0" t="s">
        <v>2975</v>
      </c>
      <c r="C1995" s="0" t="s">
        <v>630</v>
      </c>
      <c r="D1995" s="0" t="s">
        <v>93</v>
      </c>
      <c r="E1995" s="0" t="s">
        <v>2401</v>
      </c>
    </row>
    <row r="1996" customFormat="false" ht="15" hidden="false" customHeight="false" outlineLevel="0" collapsed="false">
      <c r="A1996" s="0" t="s">
        <v>740</v>
      </c>
      <c r="B1996" s="0" t="s">
        <v>2976</v>
      </c>
      <c r="C1996" s="0" t="s">
        <v>762</v>
      </c>
      <c r="D1996" s="0" t="s">
        <v>98</v>
      </c>
      <c r="E1996" s="0" t="s">
        <v>763</v>
      </c>
    </row>
    <row r="1997" customFormat="false" ht="15" hidden="false" customHeight="false" outlineLevel="0" collapsed="false">
      <c r="A1997" s="0" t="s">
        <v>740</v>
      </c>
      <c r="B1997" s="0" t="s">
        <v>2977</v>
      </c>
      <c r="C1997" s="0" t="s">
        <v>762</v>
      </c>
      <c r="D1997" s="0" t="s">
        <v>98</v>
      </c>
      <c r="E1997" s="0" t="s">
        <v>763</v>
      </c>
    </row>
    <row r="1998" customFormat="false" ht="15" hidden="false" customHeight="false" outlineLevel="0" collapsed="false">
      <c r="A1998" s="0" t="s">
        <v>740</v>
      </c>
      <c r="B1998" s="0" t="s">
        <v>2978</v>
      </c>
      <c r="C1998" s="0" t="s">
        <v>762</v>
      </c>
      <c r="D1998" s="0" t="s">
        <v>98</v>
      </c>
      <c r="E1998" s="0" t="s">
        <v>763</v>
      </c>
    </row>
    <row r="1999" customFormat="false" ht="15" hidden="false" customHeight="false" outlineLevel="0" collapsed="false">
      <c r="A1999" s="0" t="s">
        <v>740</v>
      </c>
      <c r="B1999" s="0" t="s">
        <v>2979</v>
      </c>
      <c r="C1999" s="0" t="s">
        <v>762</v>
      </c>
      <c r="D1999" s="0" t="s">
        <v>98</v>
      </c>
      <c r="E1999" s="0" t="s">
        <v>763</v>
      </c>
    </row>
    <row r="2000" customFormat="false" ht="15" hidden="false" customHeight="false" outlineLevel="0" collapsed="false">
      <c r="A2000" s="0" t="s">
        <v>740</v>
      </c>
      <c r="B2000" s="0" t="s">
        <v>2980</v>
      </c>
      <c r="C2000" s="0" t="s">
        <v>762</v>
      </c>
      <c r="D2000" s="0" t="s">
        <v>98</v>
      </c>
      <c r="E2000" s="0" t="s">
        <v>763</v>
      </c>
    </row>
    <row r="2001" customFormat="false" ht="15" hidden="false" customHeight="false" outlineLevel="0" collapsed="false">
      <c r="A2001" s="0" t="s">
        <v>740</v>
      </c>
      <c r="B2001" s="0" t="s">
        <v>2981</v>
      </c>
      <c r="C2001" s="0" t="s">
        <v>762</v>
      </c>
      <c r="D2001" s="0" t="s">
        <v>98</v>
      </c>
      <c r="E2001" s="0" t="s">
        <v>763</v>
      </c>
    </row>
    <row r="2002" customFormat="false" ht="15" hidden="false" customHeight="false" outlineLevel="0" collapsed="false">
      <c r="A2002" s="0" t="s">
        <v>740</v>
      </c>
      <c r="B2002" s="0" t="s">
        <v>2982</v>
      </c>
      <c r="C2002" s="0" t="s">
        <v>762</v>
      </c>
      <c r="D2002" s="0" t="s">
        <v>98</v>
      </c>
      <c r="E2002" s="0" t="s">
        <v>763</v>
      </c>
    </row>
    <row r="2003" customFormat="false" ht="15" hidden="false" customHeight="false" outlineLevel="0" collapsed="false">
      <c r="A2003" s="0" t="s">
        <v>740</v>
      </c>
      <c r="B2003" s="0" t="s">
        <v>2983</v>
      </c>
      <c r="C2003" s="0" t="s">
        <v>762</v>
      </c>
      <c r="D2003" s="0" t="s">
        <v>98</v>
      </c>
      <c r="E2003" s="0" t="s">
        <v>763</v>
      </c>
    </row>
    <row r="2004" customFormat="false" ht="15" hidden="false" customHeight="false" outlineLevel="0" collapsed="false">
      <c r="A2004" s="0" t="s">
        <v>740</v>
      </c>
      <c r="B2004" s="0" t="s">
        <v>2984</v>
      </c>
      <c r="C2004" s="0" t="s">
        <v>762</v>
      </c>
      <c r="D2004" s="0" t="s">
        <v>98</v>
      </c>
      <c r="E2004" s="0" t="s">
        <v>763</v>
      </c>
    </row>
    <row r="2005" customFormat="false" ht="15" hidden="false" customHeight="false" outlineLevel="0" collapsed="false">
      <c r="A2005" s="0" t="s">
        <v>740</v>
      </c>
      <c r="B2005" s="0" t="s">
        <v>2985</v>
      </c>
      <c r="C2005" s="0" t="s">
        <v>762</v>
      </c>
      <c r="D2005" s="0" t="s">
        <v>98</v>
      </c>
      <c r="E2005" s="0" t="s">
        <v>763</v>
      </c>
    </row>
    <row r="2006" customFormat="false" ht="15" hidden="false" customHeight="false" outlineLevel="0" collapsed="false">
      <c r="A2006" s="0" t="s">
        <v>740</v>
      </c>
      <c r="B2006" s="0" t="s">
        <v>2986</v>
      </c>
      <c r="C2006" s="0" t="s">
        <v>762</v>
      </c>
      <c r="D2006" s="0" t="s">
        <v>98</v>
      </c>
      <c r="E2006" s="0" t="s">
        <v>763</v>
      </c>
    </row>
    <row r="2007" customFormat="false" ht="15" hidden="false" customHeight="false" outlineLevel="0" collapsed="false">
      <c r="A2007" s="0" t="s">
        <v>740</v>
      </c>
      <c r="B2007" s="0" t="s">
        <v>2987</v>
      </c>
      <c r="C2007" s="0" t="s">
        <v>2961</v>
      </c>
      <c r="D2007" s="0" t="s">
        <v>93</v>
      </c>
      <c r="E2007" s="0" t="s">
        <v>2958</v>
      </c>
    </row>
    <row r="2008" customFormat="false" ht="15" hidden="false" customHeight="false" outlineLevel="0" collapsed="false">
      <c r="A2008" s="0" t="s">
        <v>740</v>
      </c>
      <c r="B2008" s="0" t="s">
        <v>2988</v>
      </c>
      <c r="C2008" s="0" t="s">
        <v>630</v>
      </c>
      <c r="D2008" s="0" t="s">
        <v>93</v>
      </c>
    </row>
    <row r="2009" customFormat="false" ht="15" hidden="false" customHeight="false" outlineLevel="0" collapsed="false">
      <c r="A2009" s="0" t="s">
        <v>740</v>
      </c>
      <c r="B2009" s="0" t="s">
        <v>2989</v>
      </c>
      <c r="C2009" s="0" t="s">
        <v>630</v>
      </c>
      <c r="D2009" s="0" t="s">
        <v>93</v>
      </c>
    </row>
    <row r="2010" customFormat="false" ht="15" hidden="false" customHeight="false" outlineLevel="0" collapsed="false">
      <c r="A2010" s="0" t="s">
        <v>740</v>
      </c>
      <c r="B2010" s="0" t="s">
        <v>2990</v>
      </c>
      <c r="C2010" s="0" t="s">
        <v>630</v>
      </c>
      <c r="D2010" s="0" t="s">
        <v>93</v>
      </c>
    </row>
    <row r="2011" customFormat="false" ht="15" hidden="false" customHeight="false" outlineLevel="0" collapsed="false">
      <c r="A2011" s="0" t="s">
        <v>740</v>
      </c>
      <c r="B2011" s="0" t="s">
        <v>2991</v>
      </c>
      <c r="C2011" s="0" t="s">
        <v>630</v>
      </c>
      <c r="D2011" s="0" t="s">
        <v>93</v>
      </c>
      <c r="E2011" s="0" t="s">
        <v>2401</v>
      </c>
    </row>
    <row r="2012" customFormat="false" ht="15" hidden="false" customHeight="false" outlineLevel="0" collapsed="false">
      <c r="A2012" s="0" t="s">
        <v>740</v>
      </c>
      <c r="B2012" s="0" t="s">
        <v>2992</v>
      </c>
      <c r="C2012" s="0" t="s">
        <v>630</v>
      </c>
      <c r="D2012" s="0" t="s">
        <v>93</v>
      </c>
      <c r="E2012" s="0" t="s">
        <v>2401</v>
      </c>
    </row>
    <row r="2013" customFormat="false" ht="15" hidden="false" customHeight="false" outlineLevel="0" collapsed="false">
      <c r="A2013" s="0" t="s">
        <v>740</v>
      </c>
      <c r="B2013" s="0" t="s">
        <v>2993</v>
      </c>
      <c r="C2013" s="0" t="s">
        <v>630</v>
      </c>
      <c r="D2013" s="0" t="s">
        <v>93</v>
      </c>
      <c r="E2013" s="0" t="s">
        <v>2401</v>
      </c>
    </row>
    <row r="2014" customFormat="false" ht="15" hidden="false" customHeight="false" outlineLevel="0" collapsed="false">
      <c r="A2014" s="0" t="s">
        <v>740</v>
      </c>
      <c r="B2014" s="0" t="s">
        <v>2994</v>
      </c>
      <c r="C2014" s="0" t="s">
        <v>630</v>
      </c>
      <c r="D2014" s="0" t="s">
        <v>93</v>
      </c>
      <c r="E2014" s="0" t="s">
        <v>2401</v>
      </c>
    </row>
    <row r="2015" customFormat="false" ht="15" hidden="false" customHeight="false" outlineLevel="0" collapsed="false">
      <c r="A2015" s="0" t="s">
        <v>740</v>
      </c>
      <c r="B2015" s="0" t="s">
        <v>2995</v>
      </c>
      <c r="C2015" s="0" t="s">
        <v>630</v>
      </c>
      <c r="D2015" s="0" t="s">
        <v>93</v>
      </c>
      <c r="E2015" s="0" t="s">
        <v>2401</v>
      </c>
    </row>
    <row r="2016" customFormat="false" ht="15" hidden="false" customHeight="false" outlineLevel="0" collapsed="false">
      <c r="A2016" s="0" t="s">
        <v>740</v>
      </c>
      <c r="B2016" s="0" t="s">
        <v>2996</v>
      </c>
      <c r="C2016" s="0" t="s">
        <v>630</v>
      </c>
      <c r="D2016" s="0" t="s">
        <v>93</v>
      </c>
      <c r="E2016" s="0" t="s">
        <v>2401</v>
      </c>
    </row>
    <row r="2017" customFormat="false" ht="15" hidden="false" customHeight="false" outlineLevel="0" collapsed="false">
      <c r="A2017" s="0" t="s">
        <v>740</v>
      </c>
      <c r="B2017" s="0" t="s">
        <v>2997</v>
      </c>
      <c r="C2017" s="0" t="s">
        <v>630</v>
      </c>
      <c r="D2017" s="0" t="s">
        <v>93</v>
      </c>
      <c r="E2017" s="0" t="s">
        <v>2401</v>
      </c>
    </row>
    <row r="2018" customFormat="false" ht="15" hidden="false" customHeight="false" outlineLevel="0" collapsed="false">
      <c r="A2018" s="0" t="s">
        <v>740</v>
      </c>
      <c r="B2018" s="0" t="s">
        <v>2998</v>
      </c>
      <c r="C2018" s="0" t="s">
        <v>630</v>
      </c>
      <c r="D2018" s="0" t="s">
        <v>93</v>
      </c>
      <c r="E2018" s="0" t="s">
        <v>2401</v>
      </c>
    </row>
    <row r="2019" customFormat="false" ht="15" hidden="false" customHeight="false" outlineLevel="0" collapsed="false">
      <c r="A2019" s="0" t="s">
        <v>740</v>
      </c>
      <c r="B2019" s="0" t="s">
        <v>2999</v>
      </c>
      <c r="C2019" s="0" t="s">
        <v>630</v>
      </c>
      <c r="D2019" s="0" t="s">
        <v>93</v>
      </c>
      <c r="E2019" s="0" t="s">
        <v>2401</v>
      </c>
    </row>
    <row r="2020" customFormat="false" ht="15" hidden="false" customHeight="false" outlineLevel="0" collapsed="false">
      <c r="A2020" s="0" t="s">
        <v>740</v>
      </c>
      <c r="B2020" s="0" t="s">
        <v>3000</v>
      </c>
      <c r="C2020" s="0" t="s">
        <v>630</v>
      </c>
      <c r="D2020" s="0" t="s">
        <v>93</v>
      </c>
      <c r="E2020" s="0" t="s">
        <v>2401</v>
      </c>
    </row>
    <row r="2021" customFormat="false" ht="15" hidden="false" customHeight="false" outlineLevel="0" collapsed="false">
      <c r="A2021" s="0" t="s">
        <v>740</v>
      </c>
      <c r="B2021" s="0" t="s">
        <v>3001</v>
      </c>
      <c r="C2021" s="0" t="s">
        <v>630</v>
      </c>
      <c r="D2021" s="0" t="s">
        <v>93</v>
      </c>
      <c r="E2021" s="0" t="s">
        <v>2401</v>
      </c>
    </row>
    <row r="2022" customFormat="false" ht="15" hidden="false" customHeight="false" outlineLevel="0" collapsed="false">
      <c r="A2022" s="0" t="s">
        <v>740</v>
      </c>
      <c r="B2022" s="0" t="s">
        <v>3002</v>
      </c>
      <c r="C2022" s="0" t="s">
        <v>630</v>
      </c>
      <c r="D2022" s="0" t="s">
        <v>93</v>
      </c>
      <c r="E2022" s="0" t="s">
        <v>2401</v>
      </c>
    </row>
    <row r="2023" customFormat="false" ht="15" hidden="false" customHeight="false" outlineLevel="0" collapsed="false">
      <c r="A2023" s="0" t="s">
        <v>740</v>
      </c>
      <c r="B2023" s="0" t="s">
        <v>3003</v>
      </c>
      <c r="C2023" s="0" t="s">
        <v>630</v>
      </c>
      <c r="D2023" s="0" t="s">
        <v>93</v>
      </c>
      <c r="E2023" s="0" t="s">
        <v>2401</v>
      </c>
    </row>
    <row r="2024" customFormat="false" ht="15" hidden="false" customHeight="false" outlineLevel="0" collapsed="false">
      <c r="A2024" s="0" t="s">
        <v>740</v>
      </c>
      <c r="B2024" s="0" t="s">
        <v>3004</v>
      </c>
      <c r="C2024" s="0" t="s">
        <v>3005</v>
      </c>
      <c r="D2024" s="0" t="s">
        <v>98</v>
      </c>
      <c r="E2024" s="0" t="s">
        <v>826</v>
      </c>
    </row>
    <row r="2025" customFormat="false" ht="15" hidden="false" customHeight="false" outlineLevel="0" collapsed="false">
      <c r="A2025" s="0" t="s">
        <v>740</v>
      </c>
      <c r="B2025" s="0" t="s">
        <v>3006</v>
      </c>
      <c r="C2025" s="0" t="s">
        <v>3007</v>
      </c>
      <c r="D2025" s="0" t="s">
        <v>98</v>
      </c>
      <c r="E2025" s="0" t="s">
        <v>826</v>
      </c>
    </row>
    <row r="2026" customFormat="false" ht="15" hidden="false" customHeight="false" outlineLevel="0" collapsed="false">
      <c r="A2026" s="0" t="s">
        <v>740</v>
      </c>
      <c r="B2026" s="0" t="s">
        <v>3008</v>
      </c>
      <c r="C2026" s="0" t="s">
        <v>3009</v>
      </c>
      <c r="D2026" s="0" t="s">
        <v>98</v>
      </c>
      <c r="E2026" s="0" t="s">
        <v>826</v>
      </c>
    </row>
    <row r="2027" customFormat="false" ht="15" hidden="false" customHeight="false" outlineLevel="0" collapsed="false">
      <c r="A2027" s="0" t="s">
        <v>740</v>
      </c>
      <c r="B2027" s="0" t="s">
        <v>3010</v>
      </c>
      <c r="C2027" s="0" t="s">
        <v>3011</v>
      </c>
      <c r="D2027" s="0" t="s">
        <v>98</v>
      </c>
      <c r="E2027" s="0" t="s">
        <v>826</v>
      </c>
    </row>
    <row r="2028" customFormat="false" ht="15" hidden="false" customHeight="false" outlineLevel="0" collapsed="false">
      <c r="A2028" s="0" t="s">
        <v>740</v>
      </c>
      <c r="B2028" s="0" t="s">
        <v>3012</v>
      </c>
      <c r="C2028" s="0" t="s">
        <v>3013</v>
      </c>
      <c r="D2028" s="0" t="s">
        <v>98</v>
      </c>
      <c r="E2028" s="0" t="s">
        <v>826</v>
      </c>
    </row>
    <row r="2029" customFormat="false" ht="15" hidden="false" customHeight="false" outlineLevel="0" collapsed="false">
      <c r="A2029" s="0" t="s">
        <v>740</v>
      </c>
      <c r="B2029" s="0" t="s">
        <v>3014</v>
      </c>
      <c r="C2029" s="0" t="s">
        <v>3015</v>
      </c>
      <c r="D2029" s="0" t="s">
        <v>98</v>
      </c>
      <c r="E2029" s="0" t="s">
        <v>826</v>
      </c>
    </row>
    <row r="2030" customFormat="false" ht="15" hidden="false" customHeight="false" outlineLevel="0" collapsed="false">
      <c r="A2030" s="0" t="s">
        <v>740</v>
      </c>
      <c r="B2030" s="0" t="s">
        <v>3016</v>
      </c>
      <c r="C2030" s="0" t="s">
        <v>3017</v>
      </c>
      <c r="D2030" s="0" t="s">
        <v>98</v>
      </c>
      <c r="E2030" s="0" t="s">
        <v>826</v>
      </c>
    </row>
    <row r="2031" customFormat="false" ht="15" hidden="false" customHeight="false" outlineLevel="0" collapsed="false">
      <c r="A2031" s="0" t="s">
        <v>740</v>
      </c>
      <c r="B2031" s="0" t="s">
        <v>3018</v>
      </c>
      <c r="C2031" s="0" t="s">
        <v>3019</v>
      </c>
      <c r="D2031" s="0" t="s">
        <v>98</v>
      </c>
      <c r="E2031" s="0" t="s">
        <v>826</v>
      </c>
    </row>
    <row r="2032" customFormat="false" ht="15" hidden="false" customHeight="false" outlineLevel="0" collapsed="false">
      <c r="A2032" s="0" t="s">
        <v>740</v>
      </c>
      <c r="B2032" s="0" t="s">
        <v>3020</v>
      </c>
      <c r="C2032" s="0" t="s">
        <v>3021</v>
      </c>
      <c r="D2032" s="0" t="s">
        <v>98</v>
      </c>
      <c r="E2032" s="0" t="s">
        <v>826</v>
      </c>
    </row>
    <row r="2033" customFormat="false" ht="15" hidden="false" customHeight="false" outlineLevel="0" collapsed="false">
      <c r="A2033" s="0" t="s">
        <v>740</v>
      </c>
      <c r="B2033" s="0" t="s">
        <v>3022</v>
      </c>
      <c r="C2033" s="0" t="s">
        <v>3023</v>
      </c>
      <c r="D2033" s="0" t="s">
        <v>98</v>
      </c>
      <c r="E2033" s="0" t="s">
        <v>826</v>
      </c>
    </row>
    <row r="2034" customFormat="false" ht="15" hidden="false" customHeight="false" outlineLevel="0" collapsed="false">
      <c r="A2034" s="0" t="s">
        <v>740</v>
      </c>
      <c r="B2034" s="0" t="s">
        <v>3024</v>
      </c>
      <c r="C2034" s="0" t="s">
        <v>3025</v>
      </c>
      <c r="D2034" s="0" t="s">
        <v>98</v>
      </c>
      <c r="E2034" s="0" t="s">
        <v>826</v>
      </c>
    </row>
    <row r="2035" customFormat="false" ht="15" hidden="false" customHeight="false" outlineLevel="0" collapsed="false">
      <c r="A2035" s="0" t="s">
        <v>740</v>
      </c>
      <c r="B2035" s="0" t="s">
        <v>3026</v>
      </c>
      <c r="C2035" s="0" t="s">
        <v>3027</v>
      </c>
      <c r="D2035" s="0" t="s">
        <v>98</v>
      </c>
      <c r="E2035" s="0" t="s">
        <v>826</v>
      </c>
    </row>
    <row r="2036" customFormat="false" ht="15" hidden="false" customHeight="false" outlineLevel="0" collapsed="false">
      <c r="A2036" s="0" t="s">
        <v>740</v>
      </c>
      <c r="B2036" s="0" t="s">
        <v>3028</v>
      </c>
      <c r="C2036" s="0" t="s">
        <v>3029</v>
      </c>
      <c r="D2036" s="0" t="s">
        <v>98</v>
      </c>
      <c r="E2036" s="0" t="s">
        <v>826</v>
      </c>
    </row>
    <row r="2037" customFormat="false" ht="15" hidden="false" customHeight="false" outlineLevel="0" collapsed="false">
      <c r="A2037" s="0" t="s">
        <v>740</v>
      </c>
      <c r="B2037" s="0" t="s">
        <v>3030</v>
      </c>
      <c r="C2037" s="0" t="s">
        <v>3031</v>
      </c>
      <c r="D2037" s="0" t="s">
        <v>98</v>
      </c>
      <c r="E2037" s="0" t="s">
        <v>826</v>
      </c>
    </row>
    <row r="2038" customFormat="false" ht="15" hidden="false" customHeight="false" outlineLevel="0" collapsed="false">
      <c r="A2038" s="0" t="s">
        <v>740</v>
      </c>
      <c r="B2038" s="0" t="s">
        <v>3032</v>
      </c>
      <c r="C2038" s="0" t="s">
        <v>3033</v>
      </c>
      <c r="D2038" s="0" t="s">
        <v>98</v>
      </c>
      <c r="E2038" s="0" t="s">
        <v>826</v>
      </c>
    </row>
    <row r="2039" customFormat="false" ht="15" hidden="false" customHeight="false" outlineLevel="0" collapsed="false">
      <c r="A2039" s="0" t="s">
        <v>740</v>
      </c>
      <c r="B2039" s="0" t="s">
        <v>3034</v>
      </c>
      <c r="C2039" s="0" t="s">
        <v>3035</v>
      </c>
      <c r="D2039" s="0" t="s">
        <v>98</v>
      </c>
      <c r="E2039" s="0" t="s">
        <v>826</v>
      </c>
    </row>
    <row r="2040" customFormat="false" ht="15" hidden="false" customHeight="false" outlineLevel="0" collapsed="false">
      <c r="A2040" s="0" t="s">
        <v>740</v>
      </c>
      <c r="B2040" s="0" t="s">
        <v>3036</v>
      </c>
      <c r="C2040" s="0" t="s">
        <v>3037</v>
      </c>
      <c r="D2040" s="0" t="s">
        <v>98</v>
      </c>
      <c r="E2040" s="0" t="s">
        <v>826</v>
      </c>
    </row>
    <row r="2041" customFormat="false" ht="15" hidden="false" customHeight="false" outlineLevel="0" collapsed="false">
      <c r="A2041" s="0" t="s">
        <v>740</v>
      </c>
      <c r="B2041" s="0" t="s">
        <v>3038</v>
      </c>
      <c r="C2041" s="0" t="s">
        <v>3039</v>
      </c>
      <c r="D2041" s="0" t="s">
        <v>98</v>
      </c>
      <c r="E2041" s="0" t="s">
        <v>826</v>
      </c>
    </row>
    <row r="2042" customFormat="false" ht="15" hidden="false" customHeight="false" outlineLevel="0" collapsed="false">
      <c r="A2042" s="0" t="s">
        <v>740</v>
      </c>
      <c r="B2042" s="0" t="s">
        <v>3040</v>
      </c>
      <c r="C2042" s="0" t="s">
        <v>3041</v>
      </c>
      <c r="D2042" s="0" t="s">
        <v>98</v>
      </c>
      <c r="E2042" s="0" t="s">
        <v>826</v>
      </c>
    </row>
    <row r="2043" customFormat="false" ht="15" hidden="false" customHeight="false" outlineLevel="0" collapsed="false">
      <c r="A2043" s="0" t="s">
        <v>740</v>
      </c>
      <c r="B2043" s="0" t="s">
        <v>3042</v>
      </c>
      <c r="C2043" s="0" t="s">
        <v>3043</v>
      </c>
      <c r="D2043" s="0" t="s">
        <v>98</v>
      </c>
      <c r="E2043" s="0" t="s">
        <v>826</v>
      </c>
    </row>
    <row r="2044" customFormat="false" ht="15" hidden="false" customHeight="false" outlineLevel="0" collapsed="false">
      <c r="A2044" s="0" t="s">
        <v>740</v>
      </c>
      <c r="B2044" s="0" t="s">
        <v>3044</v>
      </c>
      <c r="C2044" s="0" t="s">
        <v>3045</v>
      </c>
      <c r="D2044" s="0" t="s">
        <v>98</v>
      </c>
      <c r="E2044" s="0" t="s">
        <v>826</v>
      </c>
    </row>
    <row r="2045" customFormat="false" ht="15" hidden="false" customHeight="false" outlineLevel="0" collapsed="false">
      <c r="A2045" s="0" t="s">
        <v>740</v>
      </c>
      <c r="B2045" s="0" t="s">
        <v>3046</v>
      </c>
      <c r="C2045" s="0" t="s">
        <v>3047</v>
      </c>
      <c r="D2045" s="0" t="s">
        <v>98</v>
      </c>
      <c r="E2045" s="0" t="s">
        <v>826</v>
      </c>
    </row>
    <row r="2046" customFormat="false" ht="15" hidden="false" customHeight="false" outlineLevel="0" collapsed="false">
      <c r="A2046" s="0" t="s">
        <v>740</v>
      </c>
      <c r="B2046" s="0" t="s">
        <v>3048</v>
      </c>
      <c r="C2046" s="0" t="s">
        <v>3049</v>
      </c>
      <c r="D2046" s="0" t="s">
        <v>98</v>
      </c>
      <c r="E2046" s="0" t="s">
        <v>826</v>
      </c>
    </row>
    <row r="2047" customFormat="false" ht="15" hidden="false" customHeight="false" outlineLevel="0" collapsed="false">
      <c r="A2047" s="0" t="s">
        <v>740</v>
      </c>
      <c r="B2047" s="0" t="s">
        <v>3050</v>
      </c>
      <c r="C2047" s="0" t="s">
        <v>3051</v>
      </c>
      <c r="D2047" s="0" t="s">
        <v>98</v>
      </c>
      <c r="E2047" s="0" t="s">
        <v>826</v>
      </c>
    </row>
    <row r="2048" customFormat="false" ht="15" hidden="false" customHeight="false" outlineLevel="0" collapsed="false">
      <c r="A2048" s="0" t="s">
        <v>740</v>
      </c>
      <c r="B2048" s="0" t="s">
        <v>3052</v>
      </c>
      <c r="C2048" s="0" t="s">
        <v>3053</v>
      </c>
      <c r="D2048" s="0" t="s">
        <v>98</v>
      </c>
      <c r="E2048" s="0" t="s">
        <v>826</v>
      </c>
    </row>
    <row r="2049" customFormat="false" ht="15" hidden="false" customHeight="false" outlineLevel="0" collapsed="false">
      <c r="A2049" s="0" t="s">
        <v>740</v>
      </c>
      <c r="B2049" s="0" t="s">
        <v>3054</v>
      </c>
      <c r="C2049" s="0" t="s">
        <v>3055</v>
      </c>
      <c r="D2049" s="0" t="s">
        <v>98</v>
      </c>
      <c r="E2049" s="0" t="s">
        <v>826</v>
      </c>
    </row>
    <row r="2050" customFormat="false" ht="15" hidden="false" customHeight="false" outlineLevel="0" collapsed="false">
      <c r="A2050" s="0" t="s">
        <v>740</v>
      </c>
      <c r="B2050" s="0" t="s">
        <v>3056</v>
      </c>
      <c r="C2050" s="0" t="s">
        <v>3057</v>
      </c>
      <c r="D2050" s="0" t="s">
        <v>98</v>
      </c>
      <c r="E2050" s="0" t="s">
        <v>826</v>
      </c>
    </row>
    <row r="2051" customFormat="false" ht="15" hidden="false" customHeight="false" outlineLevel="0" collapsed="false">
      <c r="A2051" s="0" t="s">
        <v>740</v>
      </c>
      <c r="B2051" s="0" t="s">
        <v>3058</v>
      </c>
      <c r="C2051" s="0" t="s">
        <v>3059</v>
      </c>
      <c r="D2051" s="0" t="s">
        <v>98</v>
      </c>
      <c r="E2051" s="0" t="s">
        <v>826</v>
      </c>
    </row>
    <row r="2052" customFormat="false" ht="15" hidden="false" customHeight="false" outlineLevel="0" collapsed="false">
      <c r="A2052" s="0" t="s">
        <v>740</v>
      </c>
      <c r="B2052" s="0" t="s">
        <v>3060</v>
      </c>
      <c r="C2052" s="0" t="s">
        <v>630</v>
      </c>
      <c r="D2052" s="0" t="s">
        <v>86</v>
      </c>
      <c r="E2052" s="0" t="s">
        <v>3061</v>
      </c>
    </row>
    <row r="2053" customFormat="false" ht="15" hidden="false" customHeight="false" outlineLevel="0" collapsed="false">
      <c r="A2053" s="0" t="s">
        <v>740</v>
      </c>
      <c r="B2053" s="0" t="s">
        <v>3062</v>
      </c>
      <c r="C2053" s="0" t="s">
        <v>677</v>
      </c>
      <c r="D2053" s="0" t="s">
        <v>86</v>
      </c>
      <c r="E2053" s="0" t="s">
        <v>283</v>
      </c>
    </row>
    <row r="2054" customFormat="false" ht="15" hidden="false" customHeight="false" outlineLevel="0" collapsed="false">
      <c r="A2054" s="0" t="s">
        <v>740</v>
      </c>
      <c r="B2054" s="0" t="s">
        <v>3063</v>
      </c>
      <c r="C2054" s="0" t="s">
        <v>677</v>
      </c>
      <c r="D2054" s="0" t="s">
        <v>86</v>
      </c>
      <c r="E2054" s="0" t="s">
        <v>283</v>
      </c>
    </row>
    <row r="2055" customFormat="false" ht="15" hidden="false" customHeight="false" outlineLevel="0" collapsed="false">
      <c r="A2055" s="0" t="s">
        <v>740</v>
      </c>
      <c r="B2055" s="0" t="s">
        <v>3064</v>
      </c>
      <c r="C2055" s="0" t="s">
        <v>677</v>
      </c>
      <c r="D2055" s="0" t="s">
        <v>744</v>
      </c>
      <c r="E2055" s="0" t="s">
        <v>283</v>
      </c>
    </row>
    <row r="2056" customFormat="false" ht="15" hidden="false" customHeight="false" outlineLevel="0" collapsed="false">
      <c r="A2056" s="0" t="s">
        <v>740</v>
      </c>
      <c r="B2056" s="0" t="s">
        <v>3065</v>
      </c>
      <c r="C2056" s="0" t="s">
        <v>677</v>
      </c>
      <c r="D2056" s="0" t="s">
        <v>744</v>
      </c>
      <c r="E2056" s="0" t="s">
        <v>283</v>
      </c>
    </row>
    <row r="2057" customFormat="false" ht="15" hidden="false" customHeight="false" outlineLevel="0" collapsed="false">
      <c r="A2057" s="0" t="s">
        <v>740</v>
      </c>
      <c r="B2057" s="0" t="s">
        <v>3066</v>
      </c>
      <c r="C2057" s="0" t="s">
        <v>677</v>
      </c>
      <c r="D2057" s="0" t="s">
        <v>744</v>
      </c>
      <c r="E2057" s="0" t="s">
        <v>283</v>
      </c>
    </row>
    <row r="2058" customFormat="false" ht="15" hidden="false" customHeight="false" outlineLevel="0" collapsed="false">
      <c r="A2058" s="0" t="s">
        <v>740</v>
      </c>
      <c r="B2058" s="0" t="s">
        <v>3067</v>
      </c>
      <c r="C2058" s="0" t="s">
        <v>677</v>
      </c>
      <c r="D2058" s="0" t="s">
        <v>744</v>
      </c>
      <c r="E2058" s="0" t="s">
        <v>283</v>
      </c>
    </row>
    <row r="2059" customFormat="false" ht="15" hidden="false" customHeight="false" outlineLevel="0" collapsed="false">
      <c r="A2059" s="0" t="s">
        <v>740</v>
      </c>
      <c r="B2059" s="0" t="s">
        <v>3068</v>
      </c>
      <c r="C2059" s="0" t="s">
        <v>677</v>
      </c>
      <c r="D2059" s="0" t="s">
        <v>744</v>
      </c>
      <c r="E2059" s="0" t="s">
        <v>283</v>
      </c>
    </row>
    <row r="2060" customFormat="false" ht="15" hidden="false" customHeight="false" outlineLevel="0" collapsed="false">
      <c r="A2060" s="0" t="s">
        <v>740</v>
      </c>
      <c r="B2060" s="0" t="s">
        <v>3069</v>
      </c>
      <c r="C2060" s="0" t="s">
        <v>677</v>
      </c>
      <c r="D2060" s="0" t="s">
        <v>744</v>
      </c>
      <c r="E2060" s="0" t="s">
        <v>283</v>
      </c>
    </row>
    <row r="2061" customFormat="false" ht="15" hidden="false" customHeight="false" outlineLevel="0" collapsed="false">
      <c r="A2061" s="0" t="s">
        <v>740</v>
      </c>
      <c r="B2061" s="0" t="s">
        <v>3070</v>
      </c>
      <c r="C2061" s="0" t="s">
        <v>677</v>
      </c>
      <c r="D2061" s="0" t="s">
        <v>744</v>
      </c>
      <c r="E2061" s="0" t="s">
        <v>283</v>
      </c>
    </row>
    <row r="2062" customFormat="false" ht="15" hidden="false" customHeight="false" outlineLevel="0" collapsed="false">
      <c r="A2062" s="0" t="s">
        <v>740</v>
      </c>
      <c r="B2062" s="0" t="s">
        <v>3071</v>
      </c>
      <c r="C2062" s="0" t="s">
        <v>677</v>
      </c>
      <c r="D2062" s="0" t="s">
        <v>744</v>
      </c>
      <c r="E2062" s="0" t="s">
        <v>283</v>
      </c>
    </row>
    <row r="2063" customFormat="false" ht="15" hidden="false" customHeight="false" outlineLevel="0" collapsed="false">
      <c r="A2063" s="0" t="s">
        <v>740</v>
      </c>
      <c r="B2063" s="0" t="s">
        <v>3072</v>
      </c>
      <c r="C2063" s="0" t="s">
        <v>677</v>
      </c>
      <c r="D2063" s="0" t="s">
        <v>744</v>
      </c>
      <c r="E2063" s="0" t="s">
        <v>283</v>
      </c>
    </row>
    <row r="2064" customFormat="false" ht="15" hidden="false" customHeight="false" outlineLevel="0" collapsed="false">
      <c r="A2064" s="0" t="s">
        <v>740</v>
      </c>
      <c r="B2064" s="0" t="s">
        <v>3073</v>
      </c>
      <c r="C2064" s="0" t="s">
        <v>677</v>
      </c>
      <c r="D2064" s="0" t="s">
        <v>744</v>
      </c>
      <c r="E2064" s="0" t="s">
        <v>283</v>
      </c>
    </row>
    <row r="2065" customFormat="false" ht="15" hidden="false" customHeight="false" outlineLevel="0" collapsed="false">
      <c r="A2065" s="0" t="s">
        <v>740</v>
      </c>
      <c r="B2065" s="0" t="s">
        <v>3074</v>
      </c>
      <c r="C2065" s="0" t="s">
        <v>677</v>
      </c>
      <c r="D2065" s="0" t="s">
        <v>744</v>
      </c>
      <c r="E2065" s="0" t="s">
        <v>283</v>
      </c>
    </row>
    <row r="2066" customFormat="false" ht="15" hidden="false" customHeight="false" outlineLevel="0" collapsed="false">
      <c r="A2066" s="0" t="s">
        <v>740</v>
      </c>
      <c r="B2066" s="0" t="s">
        <v>3075</v>
      </c>
      <c r="C2066" s="0" t="s">
        <v>677</v>
      </c>
      <c r="D2066" s="0" t="s">
        <v>744</v>
      </c>
      <c r="E2066" s="0" t="s">
        <v>283</v>
      </c>
    </row>
    <row r="2067" customFormat="false" ht="15" hidden="false" customHeight="false" outlineLevel="0" collapsed="false">
      <c r="A2067" s="0" t="s">
        <v>740</v>
      </c>
      <c r="B2067" s="0" t="s">
        <v>3076</v>
      </c>
      <c r="C2067" s="0" t="s">
        <v>677</v>
      </c>
      <c r="D2067" s="0" t="s">
        <v>744</v>
      </c>
      <c r="E2067" s="0" t="s">
        <v>283</v>
      </c>
    </row>
    <row r="2068" customFormat="false" ht="15" hidden="false" customHeight="false" outlineLevel="0" collapsed="false">
      <c r="A2068" s="0" t="s">
        <v>740</v>
      </c>
      <c r="B2068" s="0" t="s">
        <v>3077</v>
      </c>
      <c r="C2068" s="0" t="s">
        <v>677</v>
      </c>
      <c r="D2068" s="0" t="s">
        <v>744</v>
      </c>
      <c r="E2068" s="0" t="s">
        <v>283</v>
      </c>
    </row>
    <row r="2069" customFormat="false" ht="15" hidden="false" customHeight="false" outlineLevel="0" collapsed="false">
      <c r="A2069" s="0" t="s">
        <v>740</v>
      </c>
      <c r="B2069" s="0" t="s">
        <v>3078</v>
      </c>
      <c r="C2069" s="0" t="s">
        <v>677</v>
      </c>
      <c r="D2069" s="0" t="s">
        <v>744</v>
      </c>
      <c r="E2069" s="0" t="s">
        <v>283</v>
      </c>
    </row>
    <row r="2070" customFormat="false" ht="15" hidden="false" customHeight="false" outlineLevel="0" collapsed="false">
      <c r="A2070" s="0" t="s">
        <v>740</v>
      </c>
      <c r="B2070" s="0" t="s">
        <v>3079</v>
      </c>
      <c r="C2070" s="0" t="s">
        <v>677</v>
      </c>
      <c r="D2070" s="0" t="s">
        <v>744</v>
      </c>
      <c r="E2070" s="0" t="s">
        <v>283</v>
      </c>
    </row>
    <row r="2071" customFormat="false" ht="15" hidden="false" customHeight="false" outlineLevel="0" collapsed="false">
      <c r="A2071" s="0" t="s">
        <v>740</v>
      </c>
      <c r="B2071" s="0" t="s">
        <v>3080</v>
      </c>
      <c r="C2071" s="0" t="s">
        <v>677</v>
      </c>
      <c r="D2071" s="0" t="s">
        <v>744</v>
      </c>
      <c r="E2071" s="0" t="s">
        <v>283</v>
      </c>
    </row>
    <row r="2072" customFormat="false" ht="15" hidden="false" customHeight="false" outlineLevel="0" collapsed="false">
      <c r="A2072" s="0" t="s">
        <v>740</v>
      </c>
      <c r="B2072" s="0" t="s">
        <v>3081</v>
      </c>
      <c r="C2072" s="0" t="s">
        <v>677</v>
      </c>
      <c r="D2072" s="0" t="s">
        <v>744</v>
      </c>
      <c r="E2072" s="0" t="s">
        <v>283</v>
      </c>
    </row>
    <row r="2073" customFormat="false" ht="15" hidden="false" customHeight="false" outlineLevel="0" collapsed="false">
      <c r="A2073" s="0" t="s">
        <v>740</v>
      </c>
      <c r="B2073" s="0" t="s">
        <v>3082</v>
      </c>
      <c r="C2073" s="0" t="s">
        <v>762</v>
      </c>
      <c r="D2073" s="0" t="s">
        <v>98</v>
      </c>
      <c r="E2073" s="0" t="s">
        <v>763</v>
      </c>
    </row>
    <row r="2074" customFormat="false" ht="15" hidden="false" customHeight="false" outlineLevel="0" collapsed="false">
      <c r="A2074" s="0" t="s">
        <v>740</v>
      </c>
      <c r="B2074" s="0" t="s">
        <v>3083</v>
      </c>
      <c r="C2074" s="0" t="s">
        <v>762</v>
      </c>
      <c r="D2074" s="0" t="s">
        <v>98</v>
      </c>
      <c r="E2074" s="0" t="s">
        <v>763</v>
      </c>
    </row>
    <row r="2075" customFormat="false" ht="15" hidden="false" customHeight="false" outlineLevel="0" collapsed="false">
      <c r="A2075" s="0" t="s">
        <v>740</v>
      </c>
      <c r="B2075" s="0" t="s">
        <v>3084</v>
      </c>
      <c r="C2075" s="0" t="s">
        <v>762</v>
      </c>
      <c r="D2075" s="0" t="s">
        <v>98</v>
      </c>
      <c r="E2075" s="0" t="s">
        <v>763</v>
      </c>
    </row>
    <row r="2076" customFormat="false" ht="15" hidden="false" customHeight="false" outlineLevel="0" collapsed="false">
      <c r="A2076" s="0" t="s">
        <v>740</v>
      </c>
      <c r="B2076" s="0" t="s">
        <v>3085</v>
      </c>
      <c r="C2076" s="0" t="s">
        <v>762</v>
      </c>
      <c r="D2076" s="0" t="s">
        <v>98</v>
      </c>
      <c r="E2076" s="0" t="s">
        <v>763</v>
      </c>
    </row>
    <row r="2077" customFormat="false" ht="15" hidden="false" customHeight="false" outlineLevel="0" collapsed="false">
      <c r="A2077" s="0" t="s">
        <v>740</v>
      </c>
      <c r="B2077" s="0" t="s">
        <v>3086</v>
      </c>
      <c r="C2077" s="0" t="s">
        <v>762</v>
      </c>
      <c r="D2077" s="0" t="s">
        <v>98</v>
      </c>
      <c r="E2077" s="0" t="s">
        <v>763</v>
      </c>
    </row>
    <row r="2078" customFormat="false" ht="15" hidden="false" customHeight="false" outlineLevel="0" collapsed="false">
      <c r="A2078" s="0" t="s">
        <v>740</v>
      </c>
      <c r="B2078" s="0" t="s">
        <v>3087</v>
      </c>
      <c r="C2078" s="0" t="s">
        <v>762</v>
      </c>
      <c r="D2078" s="0" t="s">
        <v>98</v>
      </c>
      <c r="E2078" s="0" t="s">
        <v>763</v>
      </c>
    </row>
    <row r="2079" customFormat="false" ht="15" hidden="false" customHeight="false" outlineLevel="0" collapsed="false">
      <c r="A2079" s="0" t="s">
        <v>740</v>
      </c>
      <c r="B2079" s="0" t="s">
        <v>3088</v>
      </c>
      <c r="C2079" s="0" t="s">
        <v>762</v>
      </c>
      <c r="D2079" s="0" t="s">
        <v>98</v>
      </c>
      <c r="E2079" s="0" t="s">
        <v>763</v>
      </c>
    </row>
    <row r="2080" customFormat="false" ht="15" hidden="false" customHeight="false" outlineLevel="0" collapsed="false">
      <c r="A2080" s="0" t="s">
        <v>740</v>
      </c>
      <c r="B2080" s="0" t="s">
        <v>3089</v>
      </c>
      <c r="C2080" s="0" t="s">
        <v>762</v>
      </c>
      <c r="D2080" s="0" t="s">
        <v>98</v>
      </c>
      <c r="E2080" s="0" t="s">
        <v>763</v>
      </c>
    </row>
    <row r="2081" customFormat="false" ht="15" hidden="false" customHeight="false" outlineLevel="0" collapsed="false">
      <c r="A2081" s="0" t="s">
        <v>740</v>
      </c>
      <c r="B2081" s="0" t="s">
        <v>3090</v>
      </c>
      <c r="C2081" s="0" t="s">
        <v>762</v>
      </c>
      <c r="D2081" s="0" t="s">
        <v>98</v>
      </c>
      <c r="E2081" s="0" t="s">
        <v>763</v>
      </c>
    </row>
    <row r="2082" customFormat="false" ht="15" hidden="false" customHeight="false" outlineLevel="0" collapsed="false">
      <c r="A2082" s="0" t="s">
        <v>740</v>
      </c>
      <c r="B2082" s="0" t="s">
        <v>3091</v>
      </c>
      <c r="C2082" s="0" t="s">
        <v>762</v>
      </c>
      <c r="D2082" s="0" t="s">
        <v>98</v>
      </c>
      <c r="E2082" s="0" t="s">
        <v>763</v>
      </c>
    </row>
    <row r="2083" customFormat="false" ht="15" hidden="false" customHeight="false" outlineLevel="0" collapsed="false">
      <c r="A2083" s="0" t="s">
        <v>740</v>
      </c>
      <c r="B2083" s="0" t="s">
        <v>3092</v>
      </c>
      <c r="C2083" s="0" t="s">
        <v>762</v>
      </c>
      <c r="D2083" s="0" t="s">
        <v>98</v>
      </c>
      <c r="E2083" s="0" t="s">
        <v>763</v>
      </c>
    </row>
    <row r="2084" customFormat="false" ht="15" hidden="false" customHeight="false" outlineLevel="0" collapsed="false">
      <c r="A2084" s="0" t="s">
        <v>740</v>
      </c>
      <c r="B2084" s="0" t="s">
        <v>3093</v>
      </c>
      <c r="C2084" s="0" t="s">
        <v>762</v>
      </c>
      <c r="D2084" s="0" t="s">
        <v>98</v>
      </c>
      <c r="E2084" s="0" t="s">
        <v>763</v>
      </c>
    </row>
    <row r="2085" customFormat="false" ht="15" hidden="false" customHeight="false" outlineLevel="0" collapsed="false">
      <c r="A2085" s="0" t="s">
        <v>740</v>
      </c>
      <c r="B2085" s="0" t="s">
        <v>3094</v>
      </c>
      <c r="C2085" s="0" t="s">
        <v>762</v>
      </c>
      <c r="D2085" s="0" t="s">
        <v>93</v>
      </c>
      <c r="E2085" s="0" t="s">
        <v>3095</v>
      </c>
    </row>
    <row r="2086" customFormat="false" ht="15" hidden="false" customHeight="false" outlineLevel="0" collapsed="false">
      <c r="A2086" s="0" t="s">
        <v>740</v>
      </c>
      <c r="B2086" s="0" t="s">
        <v>3096</v>
      </c>
      <c r="C2086" s="0" t="s">
        <v>1840</v>
      </c>
      <c r="D2086" s="0" t="s">
        <v>93</v>
      </c>
    </row>
    <row r="2087" customFormat="false" ht="15" hidden="false" customHeight="false" outlineLevel="0" collapsed="false">
      <c r="A2087" s="0" t="s">
        <v>740</v>
      </c>
      <c r="B2087" s="0" t="s">
        <v>3097</v>
      </c>
      <c r="C2087" s="0" t="s">
        <v>3098</v>
      </c>
      <c r="D2087" s="0" t="s">
        <v>93</v>
      </c>
    </row>
    <row r="2088" customFormat="false" ht="15" hidden="false" customHeight="false" outlineLevel="0" collapsed="false">
      <c r="A2088" s="0" t="s">
        <v>740</v>
      </c>
      <c r="B2088" s="0" t="s">
        <v>3099</v>
      </c>
      <c r="C2088" s="0" t="s">
        <v>677</v>
      </c>
      <c r="D2088" s="0" t="s">
        <v>93</v>
      </c>
    </row>
    <row r="2089" customFormat="false" ht="15" hidden="false" customHeight="false" outlineLevel="0" collapsed="false">
      <c r="A2089" s="0" t="s">
        <v>740</v>
      </c>
      <c r="B2089" s="0" t="s">
        <v>3100</v>
      </c>
      <c r="C2089" s="0" t="s">
        <v>677</v>
      </c>
      <c r="D2089" s="0" t="s">
        <v>93</v>
      </c>
      <c r="E2089" s="0" t="s">
        <v>788</v>
      </c>
    </row>
    <row r="2090" customFormat="false" ht="15" hidden="false" customHeight="false" outlineLevel="0" collapsed="false">
      <c r="A2090" s="0" t="s">
        <v>740</v>
      </c>
      <c r="B2090" s="0" t="s">
        <v>3101</v>
      </c>
      <c r="C2090" s="0" t="s">
        <v>677</v>
      </c>
      <c r="D2090" s="0" t="s">
        <v>93</v>
      </c>
      <c r="E2090" s="0" t="s">
        <v>788</v>
      </c>
    </row>
    <row r="2091" customFormat="false" ht="15" hidden="false" customHeight="false" outlineLevel="0" collapsed="false">
      <c r="A2091" s="0" t="s">
        <v>740</v>
      </c>
      <c r="B2091" s="0" t="s">
        <v>3102</v>
      </c>
      <c r="C2091" s="0" t="s">
        <v>677</v>
      </c>
      <c r="D2091" s="0" t="s">
        <v>93</v>
      </c>
      <c r="E2091" s="0" t="s">
        <v>788</v>
      </c>
    </row>
    <row r="2092" customFormat="false" ht="15" hidden="false" customHeight="false" outlineLevel="0" collapsed="false">
      <c r="A2092" s="0" t="s">
        <v>740</v>
      </c>
      <c r="B2092" s="0" t="s">
        <v>3103</v>
      </c>
      <c r="C2092" s="0" t="s">
        <v>677</v>
      </c>
      <c r="D2092" s="0" t="s">
        <v>93</v>
      </c>
      <c r="E2092" s="0" t="s">
        <v>788</v>
      </c>
    </row>
    <row r="2093" customFormat="false" ht="15" hidden="false" customHeight="false" outlineLevel="0" collapsed="false">
      <c r="A2093" s="0" t="s">
        <v>740</v>
      </c>
      <c r="B2093" s="0" t="s">
        <v>3104</v>
      </c>
      <c r="C2093" s="0" t="s">
        <v>677</v>
      </c>
      <c r="D2093" s="0" t="s">
        <v>93</v>
      </c>
      <c r="E2093" s="0" t="s">
        <v>788</v>
      </c>
    </row>
    <row r="2094" customFormat="false" ht="15" hidden="false" customHeight="false" outlineLevel="0" collapsed="false">
      <c r="A2094" s="0" t="s">
        <v>740</v>
      </c>
      <c r="B2094" s="0" t="s">
        <v>3105</v>
      </c>
      <c r="C2094" s="0" t="s">
        <v>677</v>
      </c>
      <c r="D2094" s="0" t="s">
        <v>93</v>
      </c>
      <c r="E2094" s="0" t="s">
        <v>788</v>
      </c>
    </row>
    <row r="2095" customFormat="false" ht="15" hidden="false" customHeight="false" outlineLevel="0" collapsed="false">
      <c r="A2095" s="0" t="s">
        <v>740</v>
      </c>
      <c r="B2095" s="0" t="s">
        <v>3106</v>
      </c>
      <c r="C2095" s="0" t="s">
        <v>677</v>
      </c>
      <c r="D2095" s="0" t="s">
        <v>93</v>
      </c>
      <c r="E2095" s="0" t="s">
        <v>788</v>
      </c>
    </row>
    <row r="2096" customFormat="false" ht="15" hidden="false" customHeight="false" outlineLevel="0" collapsed="false">
      <c r="A2096" s="0" t="s">
        <v>740</v>
      </c>
      <c r="B2096" s="0" t="s">
        <v>3107</v>
      </c>
      <c r="C2096" s="0" t="s">
        <v>677</v>
      </c>
      <c r="D2096" s="0" t="s">
        <v>93</v>
      </c>
      <c r="E2096" s="0" t="s">
        <v>788</v>
      </c>
    </row>
    <row r="2097" customFormat="false" ht="15" hidden="false" customHeight="false" outlineLevel="0" collapsed="false">
      <c r="A2097" s="0" t="s">
        <v>740</v>
      </c>
      <c r="B2097" s="0" t="s">
        <v>3108</v>
      </c>
      <c r="C2097" s="0" t="s">
        <v>677</v>
      </c>
      <c r="D2097" s="0" t="s">
        <v>93</v>
      </c>
      <c r="E2097" s="0" t="s">
        <v>788</v>
      </c>
    </row>
    <row r="2098" customFormat="false" ht="15" hidden="false" customHeight="false" outlineLevel="0" collapsed="false">
      <c r="A2098" s="0" t="s">
        <v>740</v>
      </c>
      <c r="B2098" s="0" t="s">
        <v>3109</v>
      </c>
      <c r="C2098" s="0" t="s">
        <v>677</v>
      </c>
      <c r="D2098" s="0" t="s">
        <v>93</v>
      </c>
      <c r="E2098" s="0" t="s">
        <v>788</v>
      </c>
    </row>
    <row r="2099" customFormat="false" ht="15" hidden="false" customHeight="false" outlineLevel="0" collapsed="false">
      <c r="A2099" s="0" t="s">
        <v>740</v>
      </c>
      <c r="B2099" s="0" t="s">
        <v>3110</v>
      </c>
      <c r="C2099" s="0" t="s">
        <v>677</v>
      </c>
      <c r="D2099" s="0" t="s">
        <v>93</v>
      </c>
      <c r="E2099" s="0" t="s">
        <v>788</v>
      </c>
    </row>
    <row r="2100" customFormat="false" ht="15" hidden="false" customHeight="false" outlineLevel="0" collapsed="false">
      <c r="A2100" s="0" t="s">
        <v>740</v>
      </c>
      <c r="B2100" s="0" t="s">
        <v>3111</v>
      </c>
      <c r="C2100" s="0" t="s">
        <v>677</v>
      </c>
      <c r="D2100" s="0" t="s">
        <v>93</v>
      </c>
      <c r="E2100" s="0" t="s">
        <v>788</v>
      </c>
    </row>
    <row r="2101" customFormat="false" ht="15" hidden="false" customHeight="false" outlineLevel="0" collapsed="false">
      <c r="A2101" s="0" t="s">
        <v>740</v>
      </c>
      <c r="B2101" s="0" t="s">
        <v>3112</v>
      </c>
      <c r="C2101" s="0" t="s">
        <v>762</v>
      </c>
      <c r="D2101" s="0" t="s">
        <v>98</v>
      </c>
      <c r="E2101" s="0" t="s">
        <v>763</v>
      </c>
    </row>
    <row r="2102" customFormat="false" ht="15" hidden="false" customHeight="false" outlineLevel="0" collapsed="false">
      <c r="A2102" s="0" t="s">
        <v>740</v>
      </c>
      <c r="B2102" s="0" t="s">
        <v>3113</v>
      </c>
      <c r="C2102" s="0" t="s">
        <v>762</v>
      </c>
      <c r="D2102" s="0" t="s">
        <v>98</v>
      </c>
      <c r="E2102" s="0" t="s">
        <v>763</v>
      </c>
    </row>
    <row r="2103" customFormat="false" ht="15" hidden="false" customHeight="false" outlineLevel="0" collapsed="false">
      <c r="A2103" s="0" t="s">
        <v>740</v>
      </c>
      <c r="B2103" s="0" t="s">
        <v>3114</v>
      </c>
      <c r="C2103" s="0" t="s">
        <v>762</v>
      </c>
      <c r="D2103" s="0" t="s">
        <v>98</v>
      </c>
      <c r="E2103" s="0" t="s">
        <v>763</v>
      </c>
    </row>
    <row r="2104" customFormat="false" ht="15" hidden="false" customHeight="false" outlineLevel="0" collapsed="false">
      <c r="A2104" s="0" t="s">
        <v>740</v>
      </c>
      <c r="B2104" s="0" t="s">
        <v>3115</v>
      </c>
      <c r="C2104" s="0" t="s">
        <v>762</v>
      </c>
      <c r="D2104" s="0" t="s">
        <v>98</v>
      </c>
      <c r="E2104" s="0" t="s">
        <v>763</v>
      </c>
    </row>
    <row r="2105" customFormat="false" ht="15" hidden="false" customHeight="false" outlineLevel="0" collapsed="false">
      <c r="A2105" s="0" t="s">
        <v>740</v>
      </c>
      <c r="B2105" s="0" t="s">
        <v>3116</v>
      </c>
      <c r="C2105" s="0" t="s">
        <v>762</v>
      </c>
      <c r="D2105" s="0" t="s">
        <v>98</v>
      </c>
      <c r="E2105" s="0" t="s">
        <v>763</v>
      </c>
    </row>
    <row r="2106" customFormat="false" ht="15" hidden="false" customHeight="false" outlineLevel="0" collapsed="false">
      <c r="A2106" s="0" t="s">
        <v>740</v>
      </c>
      <c r="B2106" s="0" t="s">
        <v>3117</v>
      </c>
      <c r="C2106" s="0" t="s">
        <v>762</v>
      </c>
      <c r="D2106" s="0" t="s">
        <v>98</v>
      </c>
      <c r="E2106" s="0" t="s">
        <v>763</v>
      </c>
    </row>
    <row r="2107" customFormat="false" ht="15" hidden="false" customHeight="false" outlineLevel="0" collapsed="false">
      <c r="A2107" s="0" t="s">
        <v>740</v>
      </c>
      <c r="B2107" s="0" t="s">
        <v>3118</v>
      </c>
      <c r="C2107" s="0" t="s">
        <v>762</v>
      </c>
      <c r="D2107" s="0" t="s">
        <v>98</v>
      </c>
      <c r="E2107" s="0" t="s">
        <v>763</v>
      </c>
    </row>
    <row r="2108" customFormat="false" ht="15" hidden="false" customHeight="false" outlineLevel="0" collapsed="false">
      <c r="A2108" s="0" t="s">
        <v>740</v>
      </c>
      <c r="B2108" s="0" t="s">
        <v>3119</v>
      </c>
      <c r="C2108" s="0" t="s">
        <v>762</v>
      </c>
      <c r="D2108" s="0" t="s">
        <v>98</v>
      </c>
      <c r="E2108" s="0" t="s">
        <v>763</v>
      </c>
    </row>
    <row r="2109" customFormat="false" ht="15" hidden="false" customHeight="false" outlineLevel="0" collapsed="false">
      <c r="A2109" s="0" t="s">
        <v>740</v>
      </c>
      <c r="B2109" s="0" t="s">
        <v>3120</v>
      </c>
      <c r="C2109" s="0" t="s">
        <v>762</v>
      </c>
      <c r="D2109" s="0" t="s">
        <v>98</v>
      </c>
      <c r="E2109" s="0" t="s">
        <v>763</v>
      </c>
    </row>
    <row r="2110" customFormat="false" ht="15" hidden="false" customHeight="false" outlineLevel="0" collapsed="false">
      <c r="A2110" s="0" t="s">
        <v>740</v>
      </c>
      <c r="B2110" s="0" t="s">
        <v>3121</v>
      </c>
      <c r="C2110" s="0" t="s">
        <v>762</v>
      </c>
      <c r="D2110" s="0" t="s">
        <v>98</v>
      </c>
      <c r="E2110" s="0" t="s">
        <v>763</v>
      </c>
    </row>
    <row r="2111" customFormat="false" ht="15" hidden="false" customHeight="false" outlineLevel="0" collapsed="false">
      <c r="A2111" s="0" t="s">
        <v>740</v>
      </c>
      <c r="B2111" s="0" t="s">
        <v>3122</v>
      </c>
      <c r="C2111" s="0" t="s">
        <v>762</v>
      </c>
      <c r="D2111" s="0" t="s">
        <v>98</v>
      </c>
      <c r="E2111" s="0" t="s">
        <v>763</v>
      </c>
    </row>
    <row r="2112" customFormat="false" ht="15" hidden="false" customHeight="false" outlineLevel="0" collapsed="false">
      <c r="A2112" s="0" t="s">
        <v>740</v>
      </c>
      <c r="B2112" s="0" t="s">
        <v>3123</v>
      </c>
      <c r="C2112" s="0" t="s">
        <v>762</v>
      </c>
      <c r="D2112" s="0" t="s">
        <v>98</v>
      </c>
      <c r="E2112" s="0" t="s">
        <v>763</v>
      </c>
    </row>
    <row r="2113" customFormat="false" ht="15" hidden="false" customHeight="false" outlineLevel="0" collapsed="false">
      <c r="A2113" s="0" t="s">
        <v>740</v>
      </c>
      <c r="B2113" s="0" t="s">
        <v>3124</v>
      </c>
      <c r="C2113" s="0" t="s">
        <v>1840</v>
      </c>
      <c r="D2113" s="0" t="s">
        <v>93</v>
      </c>
      <c r="E2113" s="0" t="s">
        <v>3095</v>
      </c>
    </row>
    <row r="2114" customFormat="false" ht="15" hidden="false" customHeight="false" outlineLevel="0" collapsed="false">
      <c r="A2114" s="0" t="s">
        <v>740</v>
      </c>
      <c r="B2114" s="0" t="s">
        <v>3125</v>
      </c>
      <c r="C2114" s="0" t="s">
        <v>3098</v>
      </c>
      <c r="D2114" s="0" t="s">
        <v>93</v>
      </c>
    </row>
    <row r="2115" customFormat="false" ht="15" hidden="false" customHeight="false" outlineLevel="0" collapsed="false">
      <c r="A2115" s="0" t="s">
        <v>740</v>
      </c>
      <c r="B2115" s="0" t="s">
        <v>3126</v>
      </c>
      <c r="C2115" s="0" t="s">
        <v>677</v>
      </c>
      <c r="D2115" s="0" t="s">
        <v>93</v>
      </c>
    </row>
    <row r="2116" customFormat="false" ht="15" hidden="false" customHeight="false" outlineLevel="0" collapsed="false">
      <c r="A2116" s="0" t="s">
        <v>740</v>
      </c>
      <c r="B2116" s="0" t="s">
        <v>3127</v>
      </c>
      <c r="C2116" s="0" t="s">
        <v>677</v>
      </c>
      <c r="D2116" s="0" t="s">
        <v>93</v>
      </c>
    </row>
    <row r="2117" customFormat="false" ht="15" hidden="false" customHeight="false" outlineLevel="0" collapsed="false">
      <c r="A2117" s="0" t="s">
        <v>740</v>
      </c>
      <c r="B2117" s="0" t="s">
        <v>3128</v>
      </c>
      <c r="C2117" s="0" t="s">
        <v>677</v>
      </c>
      <c r="D2117" s="0" t="s">
        <v>93</v>
      </c>
      <c r="E2117" s="0" t="s">
        <v>788</v>
      </c>
    </row>
    <row r="2118" customFormat="false" ht="15" hidden="false" customHeight="false" outlineLevel="0" collapsed="false">
      <c r="A2118" s="0" t="s">
        <v>740</v>
      </c>
      <c r="B2118" s="0" t="s">
        <v>3129</v>
      </c>
      <c r="C2118" s="0" t="s">
        <v>677</v>
      </c>
      <c r="D2118" s="0" t="s">
        <v>93</v>
      </c>
      <c r="E2118" s="0" t="s">
        <v>788</v>
      </c>
    </row>
    <row r="2119" customFormat="false" ht="15" hidden="false" customHeight="false" outlineLevel="0" collapsed="false">
      <c r="A2119" s="0" t="s">
        <v>740</v>
      </c>
      <c r="B2119" s="0" t="s">
        <v>3130</v>
      </c>
      <c r="C2119" s="0" t="s">
        <v>677</v>
      </c>
      <c r="D2119" s="0" t="s">
        <v>93</v>
      </c>
      <c r="E2119" s="0" t="s">
        <v>788</v>
      </c>
    </row>
    <row r="2120" customFormat="false" ht="15" hidden="false" customHeight="false" outlineLevel="0" collapsed="false">
      <c r="A2120" s="0" t="s">
        <v>740</v>
      </c>
      <c r="B2120" s="0" t="s">
        <v>3131</v>
      </c>
      <c r="C2120" s="0" t="s">
        <v>677</v>
      </c>
      <c r="D2120" s="0" t="s">
        <v>93</v>
      </c>
      <c r="E2120" s="0" t="s">
        <v>788</v>
      </c>
    </row>
    <row r="2121" customFormat="false" ht="15" hidden="false" customHeight="false" outlineLevel="0" collapsed="false">
      <c r="A2121" s="0" t="s">
        <v>740</v>
      </c>
      <c r="B2121" s="0" t="s">
        <v>3132</v>
      </c>
      <c r="C2121" s="0" t="s">
        <v>677</v>
      </c>
      <c r="D2121" s="0" t="s">
        <v>93</v>
      </c>
      <c r="E2121" s="0" t="s">
        <v>788</v>
      </c>
    </row>
    <row r="2122" customFormat="false" ht="15" hidden="false" customHeight="false" outlineLevel="0" collapsed="false">
      <c r="A2122" s="0" t="s">
        <v>740</v>
      </c>
      <c r="B2122" s="0" t="s">
        <v>3133</v>
      </c>
      <c r="C2122" s="0" t="s">
        <v>677</v>
      </c>
      <c r="D2122" s="0" t="s">
        <v>93</v>
      </c>
      <c r="E2122" s="0" t="s">
        <v>788</v>
      </c>
    </row>
    <row r="2123" customFormat="false" ht="15" hidden="false" customHeight="false" outlineLevel="0" collapsed="false">
      <c r="A2123" s="0" t="s">
        <v>740</v>
      </c>
      <c r="B2123" s="0" t="s">
        <v>3134</v>
      </c>
      <c r="C2123" s="0" t="s">
        <v>677</v>
      </c>
      <c r="D2123" s="0" t="s">
        <v>93</v>
      </c>
      <c r="E2123" s="0" t="s">
        <v>788</v>
      </c>
    </row>
    <row r="2124" customFormat="false" ht="15" hidden="false" customHeight="false" outlineLevel="0" collapsed="false">
      <c r="A2124" s="0" t="s">
        <v>740</v>
      </c>
      <c r="B2124" s="0" t="s">
        <v>3135</v>
      </c>
      <c r="C2124" s="0" t="s">
        <v>677</v>
      </c>
      <c r="D2124" s="0" t="s">
        <v>93</v>
      </c>
      <c r="E2124" s="0" t="s">
        <v>788</v>
      </c>
    </row>
    <row r="2125" customFormat="false" ht="15" hidden="false" customHeight="false" outlineLevel="0" collapsed="false">
      <c r="A2125" s="0" t="s">
        <v>740</v>
      </c>
      <c r="B2125" s="0" t="s">
        <v>3136</v>
      </c>
      <c r="C2125" s="0" t="s">
        <v>677</v>
      </c>
      <c r="D2125" s="0" t="s">
        <v>93</v>
      </c>
      <c r="E2125" s="0" t="s">
        <v>788</v>
      </c>
    </row>
    <row r="2126" customFormat="false" ht="15" hidden="false" customHeight="false" outlineLevel="0" collapsed="false">
      <c r="A2126" s="0" t="s">
        <v>740</v>
      </c>
      <c r="B2126" s="0" t="s">
        <v>3137</v>
      </c>
      <c r="C2126" s="0" t="s">
        <v>677</v>
      </c>
      <c r="D2126" s="0" t="s">
        <v>93</v>
      </c>
      <c r="E2126" s="0" t="s">
        <v>788</v>
      </c>
    </row>
    <row r="2127" customFormat="false" ht="15" hidden="false" customHeight="false" outlineLevel="0" collapsed="false">
      <c r="A2127" s="0" t="s">
        <v>740</v>
      </c>
      <c r="B2127" s="0" t="s">
        <v>3138</v>
      </c>
      <c r="C2127" s="0" t="s">
        <v>677</v>
      </c>
      <c r="D2127" s="0" t="s">
        <v>93</v>
      </c>
      <c r="E2127" s="0" t="s">
        <v>788</v>
      </c>
    </row>
    <row r="2128" customFormat="false" ht="15" hidden="false" customHeight="false" outlineLevel="0" collapsed="false">
      <c r="A2128" s="0" t="s">
        <v>740</v>
      </c>
      <c r="B2128" s="0" t="s">
        <v>3139</v>
      </c>
      <c r="C2128" s="0" t="s">
        <v>677</v>
      </c>
      <c r="D2128" s="0" t="s">
        <v>93</v>
      </c>
      <c r="E2128" s="0" t="s">
        <v>788</v>
      </c>
    </row>
    <row r="2129" customFormat="false" ht="15" hidden="false" customHeight="false" outlineLevel="0" collapsed="false">
      <c r="A2129" s="0" t="s">
        <v>740</v>
      </c>
      <c r="B2129" s="0" t="s">
        <v>3140</v>
      </c>
      <c r="C2129" s="0" t="s">
        <v>3141</v>
      </c>
      <c r="D2129" s="0" t="s">
        <v>98</v>
      </c>
      <c r="E2129" s="0" t="s">
        <v>826</v>
      </c>
    </row>
    <row r="2130" customFormat="false" ht="15" hidden="false" customHeight="false" outlineLevel="0" collapsed="false">
      <c r="A2130" s="0" t="s">
        <v>740</v>
      </c>
      <c r="B2130" s="0" t="s">
        <v>3142</v>
      </c>
      <c r="C2130" s="0" t="s">
        <v>3143</v>
      </c>
      <c r="D2130" s="0" t="s">
        <v>98</v>
      </c>
      <c r="E2130" s="0" t="s">
        <v>826</v>
      </c>
    </row>
    <row r="2131" customFormat="false" ht="15" hidden="false" customHeight="false" outlineLevel="0" collapsed="false">
      <c r="A2131" s="0" t="s">
        <v>740</v>
      </c>
      <c r="B2131" s="0" t="s">
        <v>3144</v>
      </c>
      <c r="C2131" s="0" t="s">
        <v>3145</v>
      </c>
      <c r="D2131" s="0" t="s">
        <v>98</v>
      </c>
      <c r="E2131" s="0" t="s">
        <v>826</v>
      </c>
    </row>
    <row r="2132" customFormat="false" ht="15" hidden="false" customHeight="false" outlineLevel="0" collapsed="false">
      <c r="A2132" s="0" t="s">
        <v>740</v>
      </c>
      <c r="B2132" s="0" t="s">
        <v>3146</v>
      </c>
      <c r="C2132" s="0" t="s">
        <v>3147</v>
      </c>
      <c r="D2132" s="0" t="s">
        <v>98</v>
      </c>
      <c r="E2132" s="0" t="s">
        <v>826</v>
      </c>
    </row>
    <row r="2133" customFormat="false" ht="15" hidden="false" customHeight="false" outlineLevel="0" collapsed="false">
      <c r="A2133" s="0" t="s">
        <v>740</v>
      </c>
      <c r="B2133" s="0" t="s">
        <v>3148</v>
      </c>
      <c r="C2133" s="0" t="s">
        <v>3149</v>
      </c>
      <c r="D2133" s="0" t="s">
        <v>98</v>
      </c>
      <c r="E2133" s="0" t="s">
        <v>826</v>
      </c>
    </row>
    <row r="2134" customFormat="false" ht="15" hidden="false" customHeight="false" outlineLevel="0" collapsed="false">
      <c r="A2134" s="0" t="s">
        <v>740</v>
      </c>
      <c r="B2134" s="0" t="s">
        <v>3150</v>
      </c>
      <c r="C2134" s="0" t="s">
        <v>3151</v>
      </c>
      <c r="D2134" s="0" t="s">
        <v>98</v>
      </c>
      <c r="E2134" s="0" t="s">
        <v>826</v>
      </c>
    </row>
    <row r="2135" customFormat="false" ht="15" hidden="false" customHeight="false" outlineLevel="0" collapsed="false">
      <c r="A2135" s="0" t="s">
        <v>740</v>
      </c>
      <c r="B2135" s="0" t="s">
        <v>3152</v>
      </c>
      <c r="C2135" s="0" t="s">
        <v>3153</v>
      </c>
      <c r="D2135" s="0" t="s">
        <v>98</v>
      </c>
      <c r="E2135" s="0" t="s">
        <v>826</v>
      </c>
    </row>
    <row r="2136" customFormat="false" ht="15" hidden="false" customHeight="false" outlineLevel="0" collapsed="false">
      <c r="A2136" s="0" t="s">
        <v>740</v>
      </c>
      <c r="B2136" s="0" t="s">
        <v>3154</v>
      </c>
      <c r="C2136" s="0" t="s">
        <v>3155</v>
      </c>
      <c r="D2136" s="0" t="s">
        <v>98</v>
      </c>
      <c r="E2136" s="0" t="s">
        <v>826</v>
      </c>
    </row>
    <row r="2137" customFormat="false" ht="15" hidden="false" customHeight="false" outlineLevel="0" collapsed="false">
      <c r="A2137" s="0" t="s">
        <v>740</v>
      </c>
      <c r="B2137" s="0" t="s">
        <v>3156</v>
      </c>
      <c r="C2137" s="0" t="s">
        <v>3157</v>
      </c>
      <c r="D2137" s="0" t="s">
        <v>98</v>
      </c>
      <c r="E2137" s="0" t="s">
        <v>826</v>
      </c>
    </row>
    <row r="2138" customFormat="false" ht="15" hidden="false" customHeight="false" outlineLevel="0" collapsed="false">
      <c r="A2138" s="0" t="s">
        <v>740</v>
      </c>
      <c r="B2138" s="0" t="s">
        <v>3158</v>
      </c>
      <c r="C2138" s="0" t="s">
        <v>3159</v>
      </c>
      <c r="D2138" s="0" t="s">
        <v>98</v>
      </c>
      <c r="E2138" s="0" t="s">
        <v>826</v>
      </c>
    </row>
    <row r="2139" customFormat="false" ht="15" hidden="false" customHeight="false" outlineLevel="0" collapsed="false">
      <c r="A2139" s="0" t="s">
        <v>740</v>
      </c>
      <c r="B2139" s="0" t="s">
        <v>3160</v>
      </c>
      <c r="C2139" s="0" t="s">
        <v>3161</v>
      </c>
      <c r="D2139" s="0" t="s">
        <v>98</v>
      </c>
      <c r="E2139" s="0" t="s">
        <v>826</v>
      </c>
    </row>
    <row r="2140" customFormat="false" ht="15" hidden="false" customHeight="false" outlineLevel="0" collapsed="false">
      <c r="A2140" s="0" t="s">
        <v>740</v>
      </c>
      <c r="B2140" s="0" t="s">
        <v>3162</v>
      </c>
      <c r="C2140" s="0" t="s">
        <v>3163</v>
      </c>
      <c r="D2140" s="0" t="s">
        <v>98</v>
      </c>
      <c r="E2140" s="0" t="s">
        <v>826</v>
      </c>
    </row>
    <row r="2141" customFormat="false" ht="15" hidden="false" customHeight="false" outlineLevel="0" collapsed="false">
      <c r="A2141" s="0" t="s">
        <v>740</v>
      </c>
      <c r="B2141" s="0" t="s">
        <v>3164</v>
      </c>
      <c r="C2141" s="0" t="s">
        <v>3165</v>
      </c>
      <c r="D2141" s="0" t="s">
        <v>98</v>
      </c>
      <c r="E2141" s="0" t="s">
        <v>826</v>
      </c>
    </row>
    <row r="2142" customFormat="false" ht="15" hidden="false" customHeight="false" outlineLevel="0" collapsed="false">
      <c r="A2142" s="0" t="s">
        <v>740</v>
      </c>
      <c r="B2142" s="0" t="s">
        <v>3166</v>
      </c>
      <c r="C2142" s="0" t="s">
        <v>3167</v>
      </c>
      <c r="D2142" s="0" t="s">
        <v>98</v>
      </c>
      <c r="E2142" s="0" t="s">
        <v>826</v>
      </c>
    </row>
    <row r="2143" customFormat="false" ht="15" hidden="false" customHeight="false" outlineLevel="0" collapsed="false">
      <c r="A2143" s="0" t="s">
        <v>740</v>
      </c>
      <c r="B2143" s="0" t="s">
        <v>3168</v>
      </c>
      <c r="C2143" s="0" t="s">
        <v>3169</v>
      </c>
      <c r="D2143" s="0" t="s">
        <v>98</v>
      </c>
      <c r="E2143" s="0" t="s">
        <v>826</v>
      </c>
    </row>
    <row r="2144" customFormat="false" ht="15" hidden="false" customHeight="false" outlineLevel="0" collapsed="false">
      <c r="A2144" s="0" t="s">
        <v>740</v>
      </c>
      <c r="B2144" s="0" t="s">
        <v>3170</v>
      </c>
      <c r="C2144" s="0" t="s">
        <v>3171</v>
      </c>
      <c r="D2144" s="0" t="s">
        <v>98</v>
      </c>
      <c r="E2144" s="0" t="s">
        <v>826</v>
      </c>
    </row>
    <row r="2145" customFormat="false" ht="15" hidden="false" customHeight="false" outlineLevel="0" collapsed="false">
      <c r="A2145" s="0" t="s">
        <v>740</v>
      </c>
      <c r="B2145" s="0" t="s">
        <v>3172</v>
      </c>
      <c r="C2145" s="0" t="s">
        <v>3173</v>
      </c>
      <c r="D2145" s="0" t="s">
        <v>98</v>
      </c>
      <c r="E2145" s="0" t="s">
        <v>826</v>
      </c>
    </row>
    <row r="2146" customFormat="false" ht="15" hidden="false" customHeight="false" outlineLevel="0" collapsed="false">
      <c r="A2146" s="0" t="s">
        <v>740</v>
      </c>
      <c r="B2146" s="0" t="s">
        <v>3174</v>
      </c>
      <c r="C2146" s="0" t="s">
        <v>3175</v>
      </c>
      <c r="D2146" s="0" t="s">
        <v>98</v>
      </c>
      <c r="E2146" s="0" t="s">
        <v>826</v>
      </c>
    </row>
    <row r="2147" customFormat="false" ht="15" hidden="false" customHeight="false" outlineLevel="0" collapsed="false">
      <c r="A2147" s="0" t="s">
        <v>740</v>
      </c>
      <c r="B2147" s="0" t="s">
        <v>3176</v>
      </c>
      <c r="C2147" s="0" t="s">
        <v>3177</v>
      </c>
      <c r="D2147" s="0" t="s">
        <v>98</v>
      </c>
      <c r="E2147" s="0" t="s">
        <v>826</v>
      </c>
    </row>
    <row r="2148" customFormat="false" ht="15" hidden="false" customHeight="false" outlineLevel="0" collapsed="false">
      <c r="A2148" s="0" t="s">
        <v>740</v>
      </c>
      <c r="B2148" s="0" t="s">
        <v>3178</v>
      </c>
      <c r="C2148" s="0" t="s">
        <v>3179</v>
      </c>
      <c r="D2148" s="0" t="s">
        <v>98</v>
      </c>
      <c r="E2148" s="0" t="s">
        <v>826</v>
      </c>
    </row>
    <row r="2149" customFormat="false" ht="15" hidden="false" customHeight="false" outlineLevel="0" collapsed="false">
      <c r="A2149" s="0" t="s">
        <v>740</v>
      </c>
      <c r="B2149" s="0" t="s">
        <v>3180</v>
      </c>
      <c r="C2149" s="0" t="s">
        <v>3181</v>
      </c>
      <c r="D2149" s="0" t="s">
        <v>98</v>
      </c>
      <c r="E2149" s="0" t="s">
        <v>826</v>
      </c>
    </row>
    <row r="2150" customFormat="false" ht="15" hidden="false" customHeight="false" outlineLevel="0" collapsed="false">
      <c r="A2150" s="0" t="s">
        <v>740</v>
      </c>
      <c r="B2150" s="0" t="s">
        <v>3182</v>
      </c>
      <c r="C2150" s="0" t="s">
        <v>3183</v>
      </c>
      <c r="D2150" s="0" t="s">
        <v>98</v>
      </c>
      <c r="E2150" s="0" t="s">
        <v>826</v>
      </c>
    </row>
    <row r="2151" customFormat="false" ht="15" hidden="false" customHeight="false" outlineLevel="0" collapsed="false">
      <c r="A2151" s="0" t="s">
        <v>740</v>
      </c>
      <c r="B2151" s="0" t="s">
        <v>3184</v>
      </c>
      <c r="C2151" s="0" t="s">
        <v>3185</v>
      </c>
      <c r="D2151" s="0" t="s">
        <v>98</v>
      </c>
      <c r="E2151" s="0" t="s">
        <v>826</v>
      </c>
    </row>
    <row r="2152" customFormat="false" ht="15" hidden="false" customHeight="false" outlineLevel="0" collapsed="false">
      <c r="A2152" s="0" t="s">
        <v>740</v>
      </c>
      <c r="B2152" s="0" t="s">
        <v>3186</v>
      </c>
      <c r="C2152" s="0" t="s">
        <v>3187</v>
      </c>
      <c r="D2152" s="0" t="s">
        <v>98</v>
      </c>
      <c r="E2152" s="0" t="s">
        <v>826</v>
      </c>
    </row>
    <row r="2153" customFormat="false" ht="15" hidden="false" customHeight="false" outlineLevel="0" collapsed="false">
      <c r="A2153" s="0" t="s">
        <v>740</v>
      </c>
      <c r="B2153" s="0" t="s">
        <v>3188</v>
      </c>
      <c r="C2153" s="0" t="s">
        <v>3189</v>
      </c>
      <c r="D2153" s="0" t="s">
        <v>98</v>
      </c>
      <c r="E2153" s="0" t="s">
        <v>826</v>
      </c>
    </row>
    <row r="2154" customFormat="false" ht="15" hidden="false" customHeight="false" outlineLevel="0" collapsed="false">
      <c r="A2154" s="0" t="s">
        <v>740</v>
      </c>
      <c r="B2154" s="0" t="s">
        <v>3190</v>
      </c>
      <c r="C2154" s="0" t="s">
        <v>3191</v>
      </c>
      <c r="D2154" s="0" t="s">
        <v>98</v>
      </c>
      <c r="E2154" s="0" t="s">
        <v>826</v>
      </c>
    </row>
    <row r="2155" customFormat="false" ht="15" hidden="false" customHeight="false" outlineLevel="0" collapsed="false">
      <c r="A2155" s="0" t="s">
        <v>740</v>
      </c>
      <c r="B2155" s="0" t="s">
        <v>3192</v>
      </c>
      <c r="C2155" s="0" t="s">
        <v>3193</v>
      </c>
      <c r="D2155" s="0" t="s">
        <v>98</v>
      </c>
      <c r="E2155" s="0" t="s">
        <v>826</v>
      </c>
    </row>
    <row r="2156" customFormat="false" ht="15" hidden="false" customHeight="false" outlineLevel="0" collapsed="false">
      <c r="A2156" s="0" t="s">
        <v>740</v>
      </c>
      <c r="B2156" s="0" t="s">
        <v>3194</v>
      </c>
      <c r="C2156" s="0" t="s">
        <v>3195</v>
      </c>
      <c r="D2156" s="0" t="s">
        <v>98</v>
      </c>
      <c r="E2156" s="0" t="s">
        <v>826</v>
      </c>
    </row>
    <row r="2157" customFormat="false" ht="15" hidden="false" customHeight="false" outlineLevel="0" collapsed="false">
      <c r="A2157" s="0" t="s">
        <v>740</v>
      </c>
      <c r="B2157" s="0" t="s">
        <v>3196</v>
      </c>
      <c r="C2157" s="0" t="s">
        <v>677</v>
      </c>
      <c r="D2157" s="0" t="s">
        <v>86</v>
      </c>
      <c r="E2157" s="0" t="s">
        <v>3197</v>
      </c>
    </row>
    <row r="2158" customFormat="false" ht="15" hidden="false" customHeight="false" outlineLevel="0" collapsed="false">
      <c r="A2158" s="0" t="s">
        <v>740</v>
      </c>
      <c r="B2158" s="0" t="s">
        <v>3198</v>
      </c>
      <c r="C2158" s="0" t="s">
        <v>687</v>
      </c>
      <c r="D2158" s="0" t="s">
        <v>86</v>
      </c>
      <c r="E2158" s="0" t="s">
        <v>290</v>
      </c>
    </row>
    <row r="2159" customFormat="false" ht="15" hidden="false" customHeight="false" outlineLevel="0" collapsed="false">
      <c r="A2159" s="0" t="s">
        <v>740</v>
      </c>
      <c r="B2159" s="0" t="s">
        <v>3199</v>
      </c>
      <c r="C2159" s="0" t="s">
        <v>687</v>
      </c>
      <c r="D2159" s="0" t="s">
        <v>744</v>
      </c>
      <c r="E2159" s="0" t="s">
        <v>290</v>
      </c>
    </row>
    <row r="2160" customFormat="false" ht="15" hidden="false" customHeight="false" outlineLevel="0" collapsed="false">
      <c r="A2160" s="0" t="s">
        <v>740</v>
      </c>
      <c r="B2160" s="0" t="s">
        <v>3200</v>
      </c>
      <c r="C2160" s="0" t="s">
        <v>687</v>
      </c>
      <c r="D2160" s="0" t="s">
        <v>744</v>
      </c>
      <c r="E2160" s="0" t="s">
        <v>290</v>
      </c>
    </row>
    <row r="2161" customFormat="false" ht="15" hidden="false" customHeight="false" outlineLevel="0" collapsed="false">
      <c r="A2161" s="0" t="s">
        <v>740</v>
      </c>
      <c r="B2161" s="0" t="s">
        <v>3201</v>
      </c>
      <c r="C2161" s="0" t="s">
        <v>687</v>
      </c>
      <c r="D2161" s="0" t="s">
        <v>744</v>
      </c>
      <c r="E2161" s="0" t="s">
        <v>290</v>
      </c>
    </row>
    <row r="2162" customFormat="false" ht="15" hidden="false" customHeight="false" outlineLevel="0" collapsed="false">
      <c r="A2162" s="0" t="s">
        <v>740</v>
      </c>
      <c r="B2162" s="0" t="s">
        <v>3202</v>
      </c>
      <c r="C2162" s="0" t="s">
        <v>687</v>
      </c>
      <c r="D2162" s="0" t="s">
        <v>744</v>
      </c>
      <c r="E2162" s="0" t="s">
        <v>290</v>
      </c>
    </row>
    <row r="2163" customFormat="false" ht="15" hidden="false" customHeight="false" outlineLevel="0" collapsed="false">
      <c r="A2163" s="0" t="s">
        <v>740</v>
      </c>
      <c r="B2163" s="0" t="s">
        <v>3203</v>
      </c>
      <c r="C2163" s="0" t="s">
        <v>687</v>
      </c>
      <c r="D2163" s="0" t="s">
        <v>744</v>
      </c>
      <c r="E2163" s="0" t="s">
        <v>290</v>
      </c>
    </row>
    <row r="2164" customFormat="false" ht="15" hidden="false" customHeight="false" outlineLevel="0" collapsed="false">
      <c r="A2164" s="0" t="s">
        <v>740</v>
      </c>
      <c r="B2164" s="0" t="s">
        <v>3204</v>
      </c>
      <c r="C2164" s="0" t="s">
        <v>687</v>
      </c>
      <c r="D2164" s="0" t="s">
        <v>744</v>
      </c>
      <c r="E2164" s="0" t="s">
        <v>290</v>
      </c>
    </row>
    <row r="2165" customFormat="false" ht="15" hidden="false" customHeight="false" outlineLevel="0" collapsed="false">
      <c r="A2165" s="0" t="s">
        <v>740</v>
      </c>
      <c r="B2165" s="0" t="s">
        <v>3205</v>
      </c>
      <c r="C2165" s="0" t="s">
        <v>687</v>
      </c>
      <c r="D2165" s="0" t="s">
        <v>744</v>
      </c>
      <c r="E2165" s="0" t="s">
        <v>290</v>
      </c>
    </row>
    <row r="2166" customFormat="false" ht="15" hidden="false" customHeight="false" outlineLevel="0" collapsed="false">
      <c r="A2166" s="0" t="s">
        <v>740</v>
      </c>
      <c r="B2166" s="0" t="s">
        <v>3206</v>
      </c>
      <c r="C2166" s="0" t="s">
        <v>687</v>
      </c>
      <c r="D2166" s="0" t="s">
        <v>744</v>
      </c>
      <c r="E2166" s="0" t="s">
        <v>290</v>
      </c>
    </row>
    <row r="2167" customFormat="false" ht="15" hidden="false" customHeight="false" outlineLevel="0" collapsed="false">
      <c r="A2167" s="0" t="s">
        <v>740</v>
      </c>
      <c r="B2167" s="0" t="s">
        <v>3207</v>
      </c>
      <c r="C2167" s="0" t="s">
        <v>687</v>
      </c>
      <c r="D2167" s="0" t="s">
        <v>744</v>
      </c>
      <c r="E2167" s="0" t="s">
        <v>290</v>
      </c>
    </row>
    <row r="2168" customFormat="false" ht="15" hidden="false" customHeight="false" outlineLevel="0" collapsed="false">
      <c r="A2168" s="0" t="s">
        <v>740</v>
      </c>
      <c r="B2168" s="0" t="s">
        <v>3208</v>
      </c>
      <c r="C2168" s="0" t="s">
        <v>687</v>
      </c>
      <c r="D2168" s="0" t="s">
        <v>744</v>
      </c>
      <c r="E2168" s="0" t="s">
        <v>290</v>
      </c>
    </row>
    <row r="2169" customFormat="false" ht="15" hidden="false" customHeight="false" outlineLevel="0" collapsed="false">
      <c r="A2169" s="0" t="s">
        <v>740</v>
      </c>
      <c r="B2169" s="0" t="s">
        <v>3209</v>
      </c>
      <c r="C2169" s="0" t="s">
        <v>687</v>
      </c>
      <c r="D2169" s="0" t="s">
        <v>744</v>
      </c>
      <c r="E2169" s="0" t="s">
        <v>290</v>
      </c>
    </row>
    <row r="2170" customFormat="false" ht="15" hidden="false" customHeight="false" outlineLevel="0" collapsed="false">
      <c r="A2170" s="0" t="s">
        <v>740</v>
      </c>
      <c r="B2170" s="0" t="s">
        <v>3210</v>
      </c>
      <c r="C2170" s="0" t="s">
        <v>687</v>
      </c>
      <c r="D2170" s="0" t="s">
        <v>744</v>
      </c>
      <c r="E2170" s="0" t="s">
        <v>290</v>
      </c>
    </row>
    <row r="2171" customFormat="false" ht="15" hidden="false" customHeight="false" outlineLevel="0" collapsed="false">
      <c r="A2171" s="0" t="s">
        <v>740</v>
      </c>
      <c r="B2171" s="0" t="s">
        <v>3211</v>
      </c>
      <c r="C2171" s="0" t="s">
        <v>687</v>
      </c>
      <c r="D2171" s="0" t="s">
        <v>744</v>
      </c>
      <c r="E2171" s="0" t="s">
        <v>290</v>
      </c>
    </row>
    <row r="2172" customFormat="false" ht="15" hidden="false" customHeight="false" outlineLevel="0" collapsed="false">
      <c r="A2172" s="0" t="s">
        <v>740</v>
      </c>
      <c r="B2172" s="0" t="s">
        <v>3212</v>
      </c>
      <c r="C2172" s="0" t="s">
        <v>687</v>
      </c>
      <c r="D2172" s="0" t="s">
        <v>744</v>
      </c>
      <c r="E2172" s="0" t="s">
        <v>290</v>
      </c>
    </row>
    <row r="2173" customFormat="false" ht="15" hidden="false" customHeight="false" outlineLevel="0" collapsed="false">
      <c r="A2173" s="0" t="s">
        <v>740</v>
      </c>
      <c r="B2173" s="0" t="s">
        <v>3213</v>
      </c>
      <c r="C2173" s="0" t="s">
        <v>687</v>
      </c>
      <c r="D2173" s="0" t="s">
        <v>744</v>
      </c>
      <c r="E2173" s="0" t="s">
        <v>290</v>
      </c>
    </row>
    <row r="2174" customFormat="false" ht="15" hidden="false" customHeight="false" outlineLevel="0" collapsed="false">
      <c r="A2174" s="0" t="s">
        <v>740</v>
      </c>
      <c r="B2174" s="0" t="s">
        <v>3214</v>
      </c>
      <c r="C2174" s="0" t="s">
        <v>687</v>
      </c>
      <c r="D2174" s="0" t="s">
        <v>744</v>
      </c>
      <c r="E2174" s="0" t="s">
        <v>290</v>
      </c>
    </row>
    <row r="2175" customFormat="false" ht="15" hidden="false" customHeight="false" outlineLevel="0" collapsed="false">
      <c r="A2175" s="0" t="s">
        <v>740</v>
      </c>
      <c r="B2175" s="0" t="s">
        <v>3215</v>
      </c>
      <c r="C2175" s="0" t="s">
        <v>687</v>
      </c>
      <c r="D2175" s="0" t="s">
        <v>744</v>
      </c>
      <c r="E2175" s="0" t="s">
        <v>290</v>
      </c>
    </row>
    <row r="2176" customFormat="false" ht="15" hidden="false" customHeight="false" outlineLevel="0" collapsed="false">
      <c r="A2176" s="0" t="s">
        <v>740</v>
      </c>
      <c r="B2176" s="0" t="s">
        <v>3216</v>
      </c>
      <c r="C2176" s="0" t="s">
        <v>687</v>
      </c>
      <c r="D2176" s="0" t="s">
        <v>744</v>
      </c>
      <c r="E2176" s="0" t="s">
        <v>290</v>
      </c>
    </row>
    <row r="2177" customFormat="false" ht="15" hidden="false" customHeight="false" outlineLevel="0" collapsed="false">
      <c r="A2177" s="0" t="s">
        <v>740</v>
      </c>
      <c r="B2177" s="0" t="s">
        <v>3217</v>
      </c>
      <c r="C2177" s="0" t="s">
        <v>762</v>
      </c>
      <c r="D2177" s="0" t="s">
        <v>98</v>
      </c>
      <c r="E2177" s="0" t="s">
        <v>763</v>
      </c>
    </row>
    <row r="2178" customFormat="false" ht="15" hidden="false" customHeight="false" outlineLevel="0" collapsed="false">
      <c r="A2178" s="0" t="s">
        <v>740</v>
      </c>
      <c r="B2178" s="0" t="s">
        <v>3218</v>
      </c>
      <c r="C2178" s="0" t="s">
        <v>762</v>
      </c>
      <c r="D2178" s="0" t="s">
        <v>98</v>
      </c>
      <c r="E2178" s="0" t="s">
        <v>763</v>
      </c>
    </row>
    <row r="2179" customFormat="false" ht="15" hidden="false" customHeight="false" outlineLevel="0" collapsed="false">
      <c r="A2179" s="0" t="s">
        <v>740</v>
      </c>
      <c r="B2179" s="0" t="s">
        <v>3219</v>
      </c>
      <c r="C2179" s="0" t="s">
        <v>762</v>
      </c>
      <c r="D2179" s="0" t="s">
        <v>98</v>
      </c>
      <c r="E2179" s="0" t="s">
        <v>763</v>
      </c>
    </row>
    <row r="2180" customFormat="false" ht="15" hidden="false" customHeight="false" outlineLevel="0" collapsed="false">
      <c r="A2180" s="0" t="s">
        <v>740</v>
      </c>
      <c r="B2180" s="0" t="s">
        <v>3220</v>
      </c>
      <c r="C2180" s="0" t="s">
        <v>762</v>
      </c>
      <c r="D2180" s="0" t="s">
        <v>98</v>
      </c>
      <c r="E2180" s="0" t="s">
        <v>763</v>
      </c>
    </row>
    <row r="2181" customFormat="false" ht="15" hidden="false" customHeight="false" outlineLevel="0" collapsed="false">
      <c r="A2181" s="0" t="s">
        <v>740</v>
      </c>
      <c r="B2181" s="0" t="s">
        <v>3221</v>
      </c>
      <c r="C2181" s="0" t="s">
        <v>762</v>
      </c>
      <c r="D2181" s="0" t="s">
        <v>98</v>
      </c>
      <c r="E2181" s="0" t="s">
        <v>763</v>
      </c>
    </row>
    <row r="2182" customFormat="false" ht="15" hidden="false" customHeight="false" outlineLevel="0" collapsed="false">
      <c r="A2182" s="0" t="s">
        <v>740</v>
      </c>
      <c r="B2182" s="0" t="s">
        <v>3222</v>
      </c>
      <c r="C2182" s="0" t="s">
        <v>762</v>
      </c>
      <c r="D2182" s="0" t="s">
        <v>98</v>
      </c>
      <c r="E2182" s="0" t="s">
        <v>763</v>
      </c>
    </row>
    <row r="2183" customFormat="false" ht="15" hidden="false" customHeight="false" outlineLevel="0" collapsed="false">
      <c r="A2183" s="0" t="s">
        <v>740</v>
      </c>
      <c r="B2183" s="0" t="s">
        <v>3223</v>
      </c>
      <c r="C2183" s="0" t="s">
        <v>762</v>
      </c>
      <c r="D2183" s="0" t="s">
        <v>98</v>
      </c>
      <c r="E2183" s="0" t="s">
        <v>763</v>
      </c>
    </row>
    <row r="2184" customFormat="false" ht="15" hidden="false" customHeight="false" outlineLevel="0" collapsed="false">
      <c r="A2184" s="0" t="s">
        <v>740</v>
      </c>
      <c r="B2184" s="0" t="s">
        <v>3224</v>
      </c>
      <c r="C2184" s="0" t="s">
        <v>762</v>
      </c>
      <c r="D2184" s="0" t="s">
        <v>98</v>
      </c>
      <c r="E2184" s="0" t="s">
        <v>763</v>
      </c>
    </row>
    <row r="2185" customFormat="false" ht="15" hidden="false" customHeight="false" outlineLevel="0" collapsed="false">
      <c r="A2185" s="0" t="s">
        <v>740</v>
      </c>
      <c r="B2185" s="0" t="s">
        <v>3225</v>
      </c>
      <c r="C2185" s="0" t="s">
        <v>762</v>
      </c>
      <c r="D2185" s="0" t="s">
        <v>98</v>
      </c>
      <c r="E2185" s="0" t="s">
        <v>763</v>
      </c>
    </row>
    <row r="2186" customFormat="false" ht="15" hidden="false" customHeight="false" outlineLevel="0" collapsed="false">
      <c r="A2186" s="0" t="s">
        <v>740</v>
      </c>
      <c r="B2186" s="0" t="s">
        <v>3226</v>
      </c>
      <c r="C2186" s="0" t="s">
        <v>762</v>
      </c>
      <c r="D2186" s="0" t="s">
        <v>98</v>
      </c>
      <c r="E2186" s="0" t="s">
        <v>763</v>
      </c>
    </row>
    <row r="2187" customFormat="false" ht="15" hidden="false" customHeight="false" outlineLevel="0" collapsed="false">
      <c r="A2187" s="0" t="s">
        <v>740</v>
      </c>
      <c r="B2187" s="0" t="s">
        <v>3227</v>
      </c>
      <c r="C2187" s="0" t="s">
        <v>3228</v>
      </c>
      <c r="D2187" s="0" t="s">
        <v>93</v>
      </c>
      <c r="E2187" s="0" t="s">
        <v>3229</v>
      </c>
    </row>
    <row r="2188" customFormat="false" ht="15" hidden="false" customHeight="false" outlineLevel="0" collapsed="false">
      <c r="A2188" s="0" t="s">
        <v>740</v>
      </c>
      <c r="B2188" s="0" t="s">
        <v>3230</v>
      </c>
      <c r="C2188" s="0" t="s">
        <v>3231</v>
      </c>
      <c r="D2188" s="0" t="s">
        <v>93</v>
      </c>
      <c r="E2188" s="0" t="s">
        <v>3232</v>
      </c>
    </row>
    <row r="2189" customFormat="false" ht="15" hidden="false" customHeight="false" outlineLevel="0" collapsed="false">
      <c r="A2189" s="0" t="s">
        <v>740</v>
      </c>
      <c r="B2189" s="0" t="s">
        <v>3233</v>
      </c>
      <c r="C2189" s="0" t="s">
        <v>687</v>
      </c>
      <c r="D2189" s="0" t="s">
        <v>93</v>
      </c>
    </row>
    <row r="2190" customFormat="false" ht="15" hidden="false" customHeight="false" outlineLevel="0" collapsed="false">
      <c r="A2190" s="0" t="s">
        <v>740</v>
      </c>
      <c r="B2190" s="0" t="s">
        <v>3234</v>
      </c>
      <c r="C2190" s="0" t="s">
        <v>687</v>
      </c>
      <c r="D2190" s="0" t="s">
        <v>93</v>
      </c>
      <c r="E2190" s="0" t="s">
        <v>2260</v>
      </c>
    </row>
    <row r="2191" customFormat="false" ht="15" hidden="false" customHeight="false" outlineLevel="0" collapsed="false">
      <c r="A2191" s="0" t="s">
        <v>740</v>
      </c>
      <c r="B2191" s="0" t="s">
        <v>3235</v>
      </c>
      <c r="C2191" s="0" t="s">
        <v>687</v>
      </c>
      <c r="D2191" s="0" t="s">
        <v>93</v>
      </c>
      <c r="E2191" s="0" t="s">
        <v>2260</v>
      </c>
    </row>
    <row r="2192" customFormat="false" ht="15" hidden="false" customHeight="false" outlineLevel="0" collapsed="false">
      <c r="A2192" s="0" t="s">
        <v>740</v>
      </c>
      <c r="B2192" s="0" t="s">
        <v>3236</v>
      </c>
      <c r="C2192" s="0" t="s">
        <v>687</v>
      </c>
      <c r="D2192" s="0" t="s">
        <v>93</v>
      </c>
      <c r="E2192" s="0" t="s">
        <v>2260</v>
      </c>
    </row>
    <row r="2193" customFormat="false" ht="15" hidden="false" customHeight="false" outlineLevel="0" collapsed="false">
      <c r="A2193" s="0" t="s">
        <v>740</v>
      </c>
      <c r="B2193" s="0" t="s">
        <v>3237</v>
      </c>
      <c r="C2193" s="0" t="s">
        <v>687</v>
      </c>
      <c r="D2193" s="0" t="s">
        <v>93</v>
      </c>
      <c r="E2193" s="0" t="s">
        <v>2260</v>
      </c>
    </row>
    <row r="2194" customFormat="false" ht="15" hidden="false" customHeight="false" outlineLevel="0" collapsed="false">
      <c r="A2194" s="0" t="s">
        <v>740</v>
      </c>
      <c r="B2194" s="0" t="s">
        <v>3238</v>
      </c>
      <c r="C2194" s="0" t="s">
        <v>687</v>
      </c>
      <c r="D2194" s="0" t="s">
        <v>93</v>
      </c>
      <c r="E2194" s="0" t="s">
        <v>2260</v>
      </c>
    </row>
    <row r="2195" customFormat="false" ht="15" hidden="false" customHeight="false" outlineLevel="0" collapsed="false">
      <c r="A2195" s="0" t="s">
        <v>740</v>
      </c>
      <c r="B2195" s="0" t="s">
        <v>3239</v>
      </c>
      <c r="C2195" s="0" t="s">
        <v>687</v>
      </c>
      <c r="D2195" s="0" t="s">
        <v>93</v>
      </c>
      <c r="E2195" s="0" t="s">
        <v>2260</v>
      </c>
    </row>
    <row r="2196" customFormat="false" ht="15" hidden="false" customHeight="false" outlineLevel="0" collapsed="false">
      <c r="A2196" s="0" t="s">
        <v>740</v>
      </c>
      <c r="B2196" s="0" t="s">
        <v>3240</v>
      </c>
      <c r="C2196" s="0" t="s">
        <v>687</v>
      </c>
      <c r="D2196" s="0" t="s">
        <v>93</v>
      </c>
      <c r="E2196" s="0" t="s">
        <v>2260</v>
      </c>
    </row>
    <row r="2197" customFormat="false" ht="15" hidden="false" customHeight="false" outlineLevel="0" collapsed="false">
      <c r="A2197" s="0" t="s">
        <v>740</v>
      </c>
      <c r="B2197" s="0" t="s">
        <v>3241</v>
      </c>
      <c r="C2197" s="0" t="s">
        <v>687</v>
      </c>
      <c r="D2197" s="0" t="s">
        <v>93</v>
      </c>
      <c r="E2197" s="0" t="s">
        <v>2260</v>
      </c>
    </row>
    <row r="2198" customFormat="false" ht="15" hidden="false" customHeight="false" outlineLevel="0" collapsed="false">
      <c r="A2198" s="0" t="s">
        <v>740</v>
      </c>
      <c r="B2198" s="0" t="s">
        <v>3242</v>
      </c>
      <c r="C2198" s="0" t="s">
        <v>687</v>
      </c>
      <c r="D2198" s="0" t="s">
        <v>93</v>
      </c>
      <c r="E2198" s="0" t="s">
        <v>2260</v>
      </c>
    </row>
    <row r="2199" customFormat="false" ht="15" hidden="false" customHeight="false" outlineLevel="0" collapsed="false">
      <c r="A2199" s="0" t="s">
        <v>740</v>
      </c>
      <c r="B2199" s="0" t="s">
        <v>3243</v>
      </c>
      <c r="C2199" s="0" t="s">
        <v>687</v>
      </c>
      <c r="D2199" s="0" t="s">
        <v>93</v>
      </c>
      <c r="E2199" s="0" t="s">
        <v>2260</v>
      </c>
    </row>
    <row r="2200" customFormat="false" ht="15" hidden="false" customHeight="false" outlineLevel="0" collapsed="false">
      <c r="A2200" s="0" t="s">
        <v>740</v>
      </c>
      <c r="B2200" s="0" t="s">
        <v>3244</v>
      </c>
      <c r="C2200" s="0" t="s">
        <v>687</v>
      </c>
      <c r="D2200" s="0" t="s">
        <v>93</v>
      </c>
      <c r="E2200" s="0" t="s">
        <v>2260</v>
      </c>
    </row>
    <row r="2201" customFormat="false" ht="15" hidden="false" customHeight="false" outlineLevel="0" collapsed="false">
      <c r="A2201" s="0" t="s">
        <v>740</v>
      </c>
      <c r="B2201" s="0" t="s">
        <v>3245</v>
      </c>
      <c r="C2201" s="0" t="s">
        <v>687</v>
      </c>
      <c r="D2201" s="0" t="s">
        <v>93</v>
      </c>
      <c r="E2201" s="0" t="s">
        <v>2260</v>
      </c>
    </row>
    <row r="2202" customFormat="false" ht="15" hidden="false" customHeight="false" outlineLevel="0" collapsed="false">
      <c r="A2202" s="0" t="s">
        <v>740</v>
      </c>
      <c r="B2202" s="0" t="s">
        <v>3246</v>
      </c>
      <c r="C2202" s="0" t="s">
        <v>687</v>
      </c>
      <c r="D2202" s="0" t="s">
        <v>93</v>
      </c>
      <c r="E2202" s="0" t="s">
        <v>2260</v>
      </c>
    </row>
    <row r="2203" customFormat="false" ht="15" hidden="false" customHeight="false" outlineLevel="0" collapsed="false">
      <c r="A2203" s="0" t="s">
        <v>740</v>
      </c>
      <c r="B2203" s="0" t="s">
        <v>3247</v>
      </c>
      <c r="C2203" s="0" t="s">
        <v>687</v>
      </c>
      <c r="D2203" s="0" t="s">
        <v>93</v>
      </c>
      <c r="E2203" s="0" t="s">
        <v>2260</v>
      </c>
    </row>
    <row r="2204" customFormat="false" ht="15" hidden="false" customHeight="false" outlineLevel="0" collapsed="false">
      <c r="A2204" s="0" t="s">
        <v>740</v>
      </c>
      <c r="B2204" s="0" t="s">
        <v>3248</v>
      </c>
      <c r="C2204" s="0" t="s">
        <v>687</v>
      </c>
      <c r="D2204" s="0" t="s">
        <v>93</v>
      </c>
      <c r="E2204" s="0" t="s">
        <v>2260</v>
      </c>
    </row>
    <row r="2205" customFormat="false" ht="15" hidden="false" customHeight="false" outlineLevel="0" collapsed="false">
      <c r="A2205" s="0" t="s">
        <v>740</v>
      </c>
      <c r="B2205" s="0" t="s">
        <v>3249</v>
      </c>
      <c r="C2205" s="0" t="s">
        <v>762</v>
      </c>
      <c r="D2205" s="0" t="s">
        <v>98</v>
      </c>
      <c r="E2205" s="0" t="s">
        <v>763</v>
      </c>
    </row>
    <row r="2206" customFormat="false" ht="15" hidden="false" customHeight="false" outlineLevel="0" collapsed="false">
      <c r="A2206" s="0" t="s">
        <v>740</v>
      </c>
      <c r="B2206" s="0" t="s">
        <v>3250</v>
      </c>
      <c r="C2206" s="0" t="s">
        <v>762</v>
      </c>
      <c r="D2206" s="0" t="s">
        <v>98</v>
      </c>
      <c r="E2206" s="0" t="s">
        <v>763</v>
      </c>
    </row>
    <row r="2207" customFormat="false" ht="15" hidden="false" customHeight="false" outlineLevel="0" collapsed="false">
      <c r="A2207" s="0" t="s">
        <v>740</v>
      </c>
      <c r="B2207" s="0" t="s">
        <v>3251</v>
      </c>
      <c r="C2207" s="0" t="s">
        <v>762</v>
      </c>
      <c r="D2207" s="0" t="s">
        <v>98</v>
      </c>
      <c r="E2207" s="0" t="s">
        <v>763</v>
      </c>
    </row>
    <row r="2208" customFormat="false" ht="15" hidden="false" customHeight="false" outlineLevel="0" collapsed="false">
      <c r="A2208" s="0" t="s">
        <v>740</v>
      </c>
      <c r="B2208" s="0" t="s">
        <v>3252</v>
      </c>
      <c r="C2208" s="0" t="s">
        <v>762</v>
      </c>
      <c r="D2208" s="0" t="s">
        <v>98</v>
      </c>
      <c r="E2208" s="0" t="s">
        <v>763</v>
      </c>
    </row>
    <row r="2209" customFormat="false" ht="15" hidden="false" customHeight="false" outlineLevel="0" collapsed="false">
      <c r="A2209" s="0" t="s">
        <v>740</v>
      </c>
      <c r="B2209" s="0" t="s">
        <v>3253</v>
      </c>
      <c r="C2209" s="0" t="s">
        <v>762</v>
      </c>
      <c r="D2209" s="0" t="s">
        <v>98</v>
      </c>
      <c r="E2209" s="0" t="s">
        <v>763</v>
      </c>
    </row>
    <row r="2210" customFormat="false" ht="15" hidden="false" customHeight="false" outlineLevel="0" collapsed="false">
      <c r="A2210" s="0" t="s">
        <v>740</v>
      </c>
      <c r="B2210" s="0" t="s">
        <v>3254</v>
      </c>
      <c r="C2210" s="0" t="s">
        <v>762</v>
      </c>
      <c r="D2210" s="0" t="s">
        <v>98</v>
      </c>
      <c r="E2210" s="0" t="s">
        <v>763</v>
      </c>
    </row>
    <row r="2211" customFormat="false" ht="15" hidden="false" customHeight="false" outlineLevel="0" collapsed="false">
      <c r="A2211" s="0" t="s">
        <v>740</v>
      </c>
      <c r="B2211" s="0" t="s">
        <v>3255</v>
      </c>
      <c r="C2211" s="0" t="s">
        <v>762</v>
      </c>
      <c r="D2211" s="0" t="s">
        <v>98</v>
      </c>
      <c r="E2211" s="0" t="s">
        <v>763</v>
      </c>
    </row>
    <row r="2212" customFormat="false" ht="15" hidden="false" customHeight="false" outlineLevel="0" collapsed="false">
      <c r="A2212" s="0" t="s">
        <v>740</v>
      </c>
      <c r="B2212" s="0" t="s">
        <v>3256</v>
      </c>
      <c r="C2212" s="0" t="s">
        <v>762</v>
      </c>
      <c r="D2212" s="0" t="s">
        <v>98</v>
      </c>
      <c r="E2212" s="0" t="s">
        <v>763</v>
      </c>
    </row>
    <row r="2213" customFormat="false" ht="15" hidden="false" customHeight="false" outlineLevel="0" collapsed="false">
      <c r="A2213" s="0" t="s">
        <v>740</v>
      </c>
      <c r="B2213" s="0" t="s">
        <v>3257</v>
      </c>
      <c r="C2213" s="0" t="s">
        <v>762</v>
      </c>
      <c r="D2213" s="0" t="s">
        <v>98</v>
      </c>
      <c r="E2213" s="0" t="s">
        <v>763</v>
      </c>
    </row>
    <row r="2214" customFormat="false" ht="15" hidden="false" customHeight="false" outlineLevel="0" collapsed="false">
      <c r="A2214" s="0" t="s">
        <v>740</v>
      </c>
      <c r="B2214" s="0" t="s">
        <v>3258</v>
      </c>
      <c r="C2214" s="0" t="s">
        <v>762</v>
      </c>
      <c r="D2214" s="0" t="s">
        <v>98</v>
      </c>
      <c r="E2214" s="0" t="s">
        <v>763</v>
      </c>
    </row>
    <row r="2215" customFormat="false" ht="15" hidden="false" customHeight="false" outlineLevel="0" collapsed="false">
      <c r="A2215" s="0" t="s">
        <v>740</v>
      </c>
      <c r="B2215" s="0" t="s">
        <v>3259</v>
      </c>
      <c r="C2215" s="0" t="s">
        <v>3231</v>
      </c>
      <c r="D2215" s="0" t="s">
        <v>93</v>
      </c>
      <c r="E2215" s="0" t="s">
        <v>3229</v>
      </c>
    </row>
    <row r="2216" customFormat="false" ht="15" hidden="false" customHeight="false" outlineLevel="0" collapsed="false">
      <c r="A2216" s="0" t="s">
        <v>740</v>
      </c>
      <c r="B2216" s="0" t="s">
        <v>3260</v>
      </c>
      <c r="C2216" s="0" t="s">
        <v>687</v>
      </c>
      <c r="D2216" s="0" t="s">
        <v>93</v>
      </c>
      <c r="E2216" s="0" t="s">
        <v>3232</v>
      </c>
    </row>
    <row r="2217" customFormat="false" ht="15" hidden="false" customHeight="false" outlineLevel="0" collapsed="false">
      <c r="A2217" s="0" t="s">
        <v>740</v>
      </c>
      <c r="B2217" s="0" t="s">
        <v>3261</v>
      </c>
      <c r="C2217" s="0" t="s">
        <v>687</v>
      </c>
      <c r="D2217" s="0" t="s">
        <v>93</v>
      </c>
    </row>
    <row r="2218" customFormat="false" ht="15" hidden="false" customHeight="false" outlineLevel="0" collapsed="false">
      <c r="A2218" s="0" t="s">
        <v>740</v>
      </c>
      <c r="B2218" s="0" t="s">
        <v>3262</v>
      </c>
      <c r="C2218" s="0" t="s">
        <v>687</v>
      </c>
      <c r="D2218" s="0" t="s">
        <v>93</v>
      </c>
      <c r="E2218" s="0" t="s">
        <v>2260</v>
      </c>
    </row>
    <row r="2219" customFormat="false" ht="15" hidden="false" customHeight="false" outlineLevel="0" collapsed="false">
      <c r="A2219" s="0" t="s">
        <v>740</v>
      </c>
      <c r="B2219" s="0" t="s">
        <v>3263</v>
      </c>
      <c r="C2219" s="0" t="s">
        <v>687</v>
      </c>
      <c r="D2219" s="0" t="s">
        <v>93</v>
      </c>
      <c r="E2219" s="0" t="s">
        <v>2260</v>
      </c>
    </row>
    <row r="2220" customFormat="false" ht="15" hidden="false" customHeight="false" outlineLevel="0" collapsed="false">
      <c r="A2220" s="0" t="s">
        <v>740</v>
      </c>
      <c r="B2220" s="0" t="s">
        <v>3264</v>
      </c>
      <c r="C2220" s="0" t="s">
        <v>687</v>
      </c>
      <c r="D2220" s="0" t="s">
        <v>93</v>
      </c>
      <c r="E2220" s="0" t="s">
        <v>2260</v>
      </c>
    </row>
    <row r="2221" customFormat="false" ht="15" hidden="false" customHeight="false" outlineLevel="0" collapsed="false">
      <c r="A2221" s="0" t="s">
        <v>740</v>
      </c>
      <c r="B2221" s="0" t="s">
        <v>3265</v>
      </c>
      <c r="C2221" s="0" t="s">
        <v>687</v>
      </c>
      <c r="D2221" s="0" t="s">
        <v>93</v>
      </c>
      <c r="E2221" s="0" t="s">
        <v>2260</v>
      </c>
    </row>
    <row r="2222" customFormat="false" ht="15" hidden="false" customHeight="false" outlineLevel="0" collapsed="false">
      <c r="A2222" s="0" t="s">
        <v>740</v>
      </c>
      <c r="B2222" s="0" t="s">
        <v>3266</v>
      </c>
      <c r="C2222" s="0" t="s">
        <v>687</v>
      </c>
      <c r="D2222" s="0" t="s">
        <v>93</v>
      </c>
      <c r="E2222" s="0" t="s">
        <v>2260</v>
      </c>
    </row>
    <row r="2223" customFormat="false" ht="15" hidden="false" customHeight="false" outlineLevel="0" collapsed="false">
      <c r="A2223" s="0" t="s">
        <v>740</v>
      </c>
      <c r="B2223" s="0" t="s">
        <v>3267</v>
      </c>
      <c r="C2223" s="0" t="s">
        <v>687</v>
      </c>
      <c r="D2223" s="0" t="s">
        <v>93</v>
      </c>
      <c r="E2223" s="0" t="s">
        <v>2260</v>
      </c>
    </row>
    <row r="2224" customFormat="false" ht="15" hidden="false" customHeight="false" outlineLevel="0" collapsed="false">
      <c r="A2224" s="0" t="s">
        <v>740</v>
      </c>
      <c r="B2224" s="0" t="s">
        <v>3268</v>
      </c>
      <c r="C2224" s="0" t="s">
        <v>687</v>
      </c>
      <c r="D2224" s="0" t="s">
        <v>93</v>
      </c>
      <c r="E2224" s="0" t="s">
        <v>2260</v>
      </c>
    </row>
    <row r="2225" customFormat="false" ht="15" hidden="false" customHeight="false" outlineLevel="0" collapsed="false">
      <c r="A2225" s="0" t="s">
        <v>740</v>
      </c>
      <c r="B2225" s="0" t="s">
        <v>3269</v>
      </c>
      <c r="C2225" s="0" t="s">
        <v>687</v>
      </c>
      <c r="D2225" s="0" t="s">
        <v>93</v>
      </c>
      <c r="E2225" s="0" t="s">
        <v>2260</v>
      </c>
    </row>
    <row r="2226" customFormat="false" ht="15" hidden="false" customHeight="false" outlineLevel="0" collapsed="false">
      <c r="A2226" s="0" t="s">
        <v>740</v>
      </c>
      <c r="B2226" s="0" t="s">
        <v>3270</v>
      </c>
      <c r="C2226" s="0" t="s">
        <v>687</v>
      </c>
      <c r="D2226" s="0" t="s">
        <v>93</v>
      </c>
      <c r="E2226" s="0" t="s">
        <v>2260</v>
      </c>
    </row>
    <row r="2227" customFormat="false" ht="15" hidden="false" customHeight="false" outlineLevel="0" collapsed="false">
      <c r="A2227" s="0" t="s">
        <v>740</v>
      </c>
      <c r="B2227" s="0" t="s">
        <v>3271</v>
      </c>
      <c r="C2227" s="0" t="s">
        <v>687</v>
      </c>
      <c r="D2227" s="0" t="s">
        <v>93</v>
      </c>
      <c r="E2227" s="0" t="s">
        <v>2260</v>
      </c>
    </row>
    <row r="2228" customFormat="false" ht="15" hidden="false" customHeight="false" outlineLevel="0" collapsed="false">
      <c r="A2228" s="0" t="s">
        <v>740</v>
      </c>
      <c r="B2228" s="0" t="s">
        <v>3272</v>
      </c>
      <c r="C2228" s="0" t="s">
        <v>687</v>
      </c>
      <c r="D2228" s="0" t="s">
        <v>93</v>
      </c>
      <c r="E2228" s="0" t="s">
        <v>2260</v>
      </c>
    </row>
    <row r="2229" customFormat="false" ht="15" hidden="false" customHeight="false" outlineLevel="0" collapsed="false">
      <c r="A2229" s="0" t="s">
        <v>740</v>
      </c>
      <c r="B2229" s="0" t="s">
        <v>3273</v>
      </c>
      <c r="C2229" s="0" t="s">
        <v>687</v>
      </c>
      <c r="D2229" s="0" t="s">
        <v>93</v>
      </c>
      <c r="E2229" s="0" t="s">
        <v>2260</v>
      </c>
    </row>
    <row r="2230" customFormat="false" ht="15" hidden="false" customHeight="false" outlineLevel="0" collapsed="false">
      <c r="A2230" s="0" t="s">
        <v>740</v>
      </c>
      <c r="B2230" s="0" t="s">
        <v>3274</v>
      </c>
      <c r="C2230" s="0" t="s">
        <v>687</v>
      </c>
      <c r="D2230" s="0" t="s">
        <v>93</v>
      </c>
      <c r="E2230" s="0" t="s">
        <v>2260</v>
      </c>
    </row>
    <row r="2231" customFormat="false" ht="15" hidden="false" customHeight="false" outlineLevel="0" collapsed="false">
      <c r="A2231" s="0" t="s">
        <v>740</v>
      </c>
      <c r="B2231" s="0" t="s">
        <v>3275</v>
      </c>
      <c r="C2231" s="0" t="s">
        <v>687</v>
      </c>
      <c r="D2231" s="0" t="s">
        <v>93</v>
      </c>
      <c r="E2231" s="0" t="s">
        <v>2260</v>
      </c>
    </row>
    <row r="2232" customFormat="false" ht="15" hidden="false" customHeight="false" outlineLevel="0" collapsed="false">
      <c r="A2232" s="0" t="s">
        <v>740</v>
      </c>
      <c r="B2232" s="0" t="s">
        <v>3276</v>
      </c>
      <c r="C2232" s="0" t="s">
        <v>687</v>
      </c>
      <c r="D2232" s="0" t="s">
        <v>93</v>
      </c>
      <c r="E2232" s="0" t="s">
        <v>2260</v>
      </c>
    </row>
    <row r="2233" customFormat="false" ht="15" hidden="false" customHeight="false" outlineLevel="0" collapsed="false">
      <c r="A2233" s="0" t="s">
        <v>740</v>
      </c>
      <c r="B2233" s="0" t="s">
        <v>3277</v>
      </c>
      <c r="C2233" s="0" t="s">
        <v>3278</v>
      </c>
      <c r="D2233" s="0" t="s">
        <v>98</v>
      </c>
      <c r="E2233" s="0" t="s">
        <v>826</v>
      </c>
    </row>
    <row r="2234" customFormat="false" ht="15" hidden="false" customHeight="false" outlineLevel="0" collapsed="false">
      <c r="A2234" s="0" t="s">
        <v>740</v>
      </c>
      <c r="B2234" s="0" t="s">
        <v>3279</v>
      </c>
      <c r="C2234" s="0" t="s">
        <v>3280</v>
      </c>
      <c r="D2234" s="0" t="s">
        <v>98</v>
      </c>
      <c r="E2234" s="0" t="s">
        <v>826</v>
      </c>
    </row>
    <row r="2235" customFormat="false" ht="15" hidden="false" customHeight="false" outlineLevel="0" collapsed="false">
      <c r="A2235" s="0" t="s">
        <v>740</v>
      </c>
      <c r="B2235" s="0" t="s">
        <v>3281</v>
      </c>
      <c r="C2235" s="0" t="s">
        <v>3282</v>
      </c>
      <c r="D2235" s="0" t="s">
        <v>98</v>
      </c>
      <c r="E2235" s="0" t="s">
        <v>826</v>
      </c>
    </row>
    <row r="2236" customFormat="false" ht="15" hidden="false" customHeight="false" outlineLevel="0" collapsed="false">
      <c r="A2236" s="0" t="s">
        <v>740</v>
      </c>
      <c r="B2236" s="0" t="s">
        <v>3283</v>
      </c>
      <c r="C2236" s="0" t="s">
        <v>3284</v>
      </c>
      <c r="D2236" s="0" t="s">
        <v>98</v>
      </c>
      <c r="E2236" s="0" t="s">
        <v>826</v>
      </c>
    </row>
    <row r="2237" customFormat="false" ht="15" hidden="false" customHeight="false" outlineLevel="0" collapsed="false">
      <c r="A2237" s="0" t="s">
        <v>740</v>
      </c>
      <c r="B2237" s="0" t="s">
        <v>3285</v>
      </c>
      <c r="C2237" s="0" t="s">
        <v>3286</v>
      </c>
      <c r="D2237" s="0" t="s">
        <v>98</v>
      </c>
      <c r="E2237" s="0" t="s">
        <v>826</v>
      </c>
    </row>
    <row r="2238" customFormat="false" ht="15" hidden="false" customHeight="false" outlineLevel="0" collapsed="false">
      <c r="A2238" s="0" t="s">
        <v>740</v>
      </c>
      <c r="B2238" s="0" t="s">
        <v>3287</v>
      </c>
      <c r="C2238" s="0" t="s">
        <v>3288</v>
      </c>
      <c r="D2238" s="0" t="s">
        <v>98</v>
      </c>
      <c r="E2238" s="0" t="s">
        <v>826</v>
      </c>
    </row>
    <row r="2239" customFormat="false" ht="15" hidden="false" customHeight="false" outlineLevel="0" collapsed="false">
      <c r="A2239" s="0" t="s">
        <v>740</v>
      </c>
      <c r="B2239" s="0" t="s">
        <v>3289</v>
      </c>
      <c r="C2239" s="0" t="s">
        <v>3290</v>
      </c>
      <c r="D2239" s="0" t="s">
        <v>98</v>
      </c>
      <c r="E2239" s="0" t="s">
        <v>826</v>
      </c>
    </row>
    <row r="2240" customFormat="false" ht="15" hidden="false" customHeight="false" outlineLevel="0" collapsed="false">
      <c r="A2240" s="0" t="s">
        <v>740</v>
      </c>
      <c r="B2240" s="0" t="s">
        <v>3291</v>
      </c>
      <c r="C2240" s="0" t="s">
        <v>3292</v>
      </c>
      <c r="D2240" s="0" t="s">
        <v>98</v>
      </c>
      <c r="E2240" s="0" t="s">
        <v>826</v>
      </c>
    </row>
    <row r="2241" customFormat="false" ht="15" hidden="false" customHeight="false" outlineLevel="0" collapsed="false">
      <c r="A2241" s="0" t="s">
        <v>740</v>
      </c>
      <c r="B2241" s="0" t="s">
        <v>3293</v>
      </c>
      <c r="C2241" s="0" t="s">
        <v>3294</v>
      </c>
      <c r="D2241" s="0" t="s">
        <v>98</v>
      </c>
      <c r="E2241" s="0" t="s">
        <v>826</v>
      </c>
    </row>
    <row r="2242" customFormat="false" ht="15" hidden="false" customHeight="false" outlineLevel="0" collapsed="false">
      <c r="A2242" s="0" t="s">
        <v>740</v>
      </c>
      <c r="B2242" s="0" t="s">
        <v>3295</v>
      </c>
      <c r="C2242" s="0" t="s">
        <v>3296</v>
      </c>
      <c r="D2242" s="0" t="s">
        <v>98</v>
      </c>
      <c r="E2242" s="0" t="s">
        <v>826</v>
      </c>
    </row>
    <row r="2243" customFormat="false" ht="15" hidden="false" customHeight="false" outlineLevel="0" collapsed="false">
      <c r="A2243" s="0" t="s">
        <v>740</v>
      </c>
      <c r="B2243" s="0" t="s">
        <v>3297</v>
      </c>
      <c r="C2243" s="0" t="s">
        <v>3298</v>
      </c>
      <c r="D2243" s="0" t="s">
        <v>98</v>
      </c>
      <c r="E2243" s="0" t="s">
        <v>826</v>
      </c>
    </row>
    <row r="2244" customFormat="false" ht="15" hidden="false" customHeight="false" outlineLevel="0" collapsed="false">
      <c r="A2244" s="0" t="s">
        <v>740</v>
      </c>
      <c r="B2244" s="0" t="s">
        <v>3299</v>
      </c>
      <c r="C2244" s="0" t="s">
        <v>3300</v>
      </c>
      <c r="D2244" s="0" t="s">
        <v>98</v>
      </c>
      <c r="E2244" s="0" t="s">
        <v>826</v>
      </c>
    </row>
    <row r="2245" customFormat="false" ht="15" hidden="false" customHeight="false" outlineLevel="0" collapsed="false">
      <c r="A2245" s="0" t="s">
        <v>740</v>
      </c>
      <c r="B2245" s="0" t="s">
        <v>3301</v>
      </c>
      <c r="C2245" s="0" t="s">
        <v>3302</v>
      </c>
      <c r="D2245" s="0" t="s">
        <v>98</v>
      </c>
      <c r="E2245" s="0" t="s">
        <v>826</v>
      </c>
    </row>
    <row r="2246" customFormat="false" ht="15" hidden="false" customHeight="false" outlineLevel="0" collapsed="false">
      <c r="A2246" s="0" t="s">
        <v>740</v>
      </c>
      <c r="B2246" s="0" t="s">
        <v>3303</v>
      </c>
      <c r="C2246" s="0" t="s">
        <v>3304</v>
      </c>
      <c r="D2246" s="0" t="s">
        <v>98</v>
      </c>
      <c r="E2246" s="0" t="s">
        <v>826</v>
      </c>
    </row>
    <row r="2247" customFormat="false" ht="15" hidden="false" customHeight="false" outlineLevel="0" collapsed="false">
      <c r="A2247" s="0" t="s">
        <v>740</v>
      </c>
      <c r="B2247" s="0" t="s">
        <v>3305</v>
      </c>
      <c r="C2247" s="0" t="s">
        <v>3306</v>
      </c>
      <c r="D2247" s="0" t="s">
        <v>98</v>
      </c>
      <c r="E2247" s="0" t="s">
        <v>826</v>
      </c>
    </row>
    <row r="2248" customFormat="false" ht="15" hidden="false" customHeight="false" outlineLevel="0" collapsed="false">
      <c r="A2248" s="0" t="s">
        <v>740</v>
      </c>
      <c r="B2248" s="0" t="s">
        <v>3307</v>
      </c>
      <c r="C2248" s="0" t="s">
        <v>3308</v>
      </c>
      <c r="D2248" s="0" t="s">
        <v>98</v>
      </c>
      <c r="E2248" s="0" t="s">
        <v>826</v>
      </c>
    </row>
    <row r="2249" customFormat="false" ht="15" hidden="false" customHeight="false" outlineLevel="0" collapsed="false">
      <c r="A2249" s="0" t="s">
        <v>740</v>
      </c>
      <c r="B2249" s="0" t="s">
        <v>3309</v>
      </c>
      <c r="C2249" s="0" t="s">
        <v>3310</v>
      </c>
      <c r="D2249" s="0" t="s">
        <v>98</v>
      </c>
      <c r="E2249" s="0" t="s">
        <v>826</v>
      </c>
    </row>
    <row r="2250" customFormat="false" ht="15" hidden="false" customHeight="false" outlineLevel="0" collapsed="false">
      <c r="A2250" s="0" t="s">
        <v>740</v>
      </c>
      <c r="B2250" s="0" t="s">
        <v>3311</v>
      </c>
      <c r="C2250" s="0" t="s">
        <v>3312</v>
      </c>
      <c r="D2250" s="0" t="s">
        <v>98</v>
      </c>
      <c r="E2250" s="0" t="s">
        <v>826</v>
      </c>
    </row>
    <row r="2251" customFormat="false" ht="15" hidden="false" customHeight="false" outlineLevel="0" collapsed="false">
      <c r="A2251" s="0" t="s">
        <v>740</v>
      </c>
      <c r="B2251" s="0" t="s">
        <v>3313</v>
      </c>
      <c r="C2251" s="0" t="s">
        <v>3314</v>
      </c>
      <c r="D2251" s="0" t="s">
        <v>98</v>
      </c>
      <c r="E2251" s="0" t="s">
        <v>826</v>
      </c>
    </row>
    <row r="2252" customFormat="false" ht="15" hidden="false" customHeight="false" outlineLevel="0" collapsed="false">
      <c r="A2252" s="0" t="s">
        <v>740</v>
      </c>
      <c r="B2252" s="0" t="s">
        <v>3315</v>
      </c>
      <c r="C2252" s="0" t="s">
        <v>3316</v>
      </c>
      <c r="D2252" s="0" t="s">
        <v>98</v>
      </c>
      <c r="E2252" s="0" t="s">
        <v>826</v>
      </c>
    </row>
    <row r="2253" customFormat="false" ht="15" hidden="false" customHeight="false" outlineLevel="0" collapsed="false">
      <c r="A2253" s="0" t="s">
        <v>740</v>
      </c>
      <c r="B2253" s="0" t="s">
        <v>3317</v>
      </c>
      <c r="C2253" s="0" t="s">
        <v>3318</v>
      </c>
      <c r="D2253" s="0" t="s">
        <v>98</v>
      </c>
      <c r="E2253" s="0" t="s">
        <v>826</v>
      </c>
    </row>
    <row r="2254" customFormat="false" ht="15" hidden="false" customHeight="false" outlineLevel="0" collapsed="false">
      <c r="A2254" s="0" t="s">
        <v>740</v>
      </c>
      <c r="B2254" s="0" t="s">
        <v>3319</v>
      </c>
      <c r="C2254" s="0" t="s">
        <v>3320</v>
      </c>
      <c r="D2254" s="0" t="s">
        <v>98</v>
      </c>
      <c r="E2254" s="0" t="s">
        <v>826</v>
      </c>
    </row>
    <row r="2255" customFormat="false" ht="15" hidden="false" customHeight="false" outlineLevel="0" collapsed="false">
      <c r="A2255" s="0" t="s">
        <v>740</v>
      </c>
      <c r="B2255" s="0" t="s">
        <v>3321</v>
      </c>
      <c r="C2255" s="0" t="s">
        <v>3322</v>
      </c>
      <c r="D2255" s="0" t="s">
        <v>98</v>
      </c>
      <c r="E2255" s="0" t="s">
        <v>826</v>
      </c>
    </row>
    <row r="2256" customFormat="false" ht="15" hidden="false" customHeight="false" outlineLevel="0" collapsed="false">
      <c r="A2256" s="0" t="s">
        <v>740</v>
      </c>
      <c r="B2256" s="0" t="s">
        <v>3323</v>
      </c>
      <c r="C2256" s="0" t="s">
        <v>3324</v>
      </c>
      <c r="D2256" s="0" t="s">
        <v>98</v>
      </c>
      <c r="E2256" s="0" t="s">
        <v>826</v>
      </c>
    </row>
    <row r="2257" customFormat="false" ht="15" hidden="false" customHeight="false" outlineLevel="0" collapsed="false">
      <c r="A2257" s="0" t="s">
        <v>740</v>
      </c>
      <c r="B2257" s="0" t="s">
        <v>3325</v>
      </c>
      <c r="C2257" s="0" t="s">
        <v>3326</v>
      </c>
      <c r="D2257" s="0" t="s">
        <v>98</v>
      </c>
      <c r="E2257" s="0" t="s">
        <v>826</v>
      </c>
    </row>
    <row r="2258" customFormat="false" ht="15" hidden="false" customHeight="false" outlineLevel="0" collapsed="false">
      <c r="A2258" s="0" t="s">
        <v>740</v>
      </c>
      <c r="B2258" s="0" t="s">
        <v>3327</v>
      </c>
      <c r="C2258" s="0" t="s">
        <v>3328</v>
      </c>
      <c r="D2258" s="0" t="s">
        <v>98</v>
      </c>
      <c r="E2258" s="0" t="s">
        <v>826</v>
      </c>
    </row>
    <row r="2259" customFormat="false" ht="15" hidden="false" customHeight="false" outlineLevel="0" collapsed="false">
      <c r="A2259" s="0" t="s">
        <v>740</v>
      </c>
      <c r="B2259" s="0" t="s">
        <v>3329</v>
      </c>
      <c r="C2259" s="0" t="s">
        <v>3330</v>
      </c>
      <c r="D2259" s="0" t="s">
        <v>98</v>
      </c>
      <c r="E2259" s="0" t="s">
        <v>826</v>
      </c>
    </row>
    <row r="2260" customFormat="false" ht="15" hidden="false" customHeight="false" outlineLevel="0" collapsed="false">
      <c r="A2260" s="0" t="s">
        <v>740</v>
      </c>
      <c r="B2260" s="0" t="s">
        <v>3331</v>
      </c>
      <c r="C2260" s="0" t="s">
        <v>3332</v>
      </c>
      <c r="D2260" s="0" t="s">
        <v>98</v>
      </c>
      <c r="E2260" s="0" t="s">
        <v>826</v>
      </c>
    </row>
    <row r="2261" customFormat="false" ht="15" hidden="false" customHeight="false" outlineLevel="0" collapsed="false">
      <c r="A2261" s="0" t="s">
        <v>740</v>
      </c>
      <c r="B2261" s="0" t="s">
        <v>3333</v>
      </c>
      <c r="C2261" s="0" t="s">
        <v>687</v>
      </c>
      <c r="D2261" s="0" t="s">
        <v>86</v>
      </c>
      <c r="E2261" s="0" t="s">
        <v>3334</v>
      </c>
    </row>
    <row r="2262" customFormat="false" ht="15" hidden="false" customHeight="false" outlineLevel="0" collapsed="false">
      <c r="A2262" s="0" t="s">
        <v>740</v>
      </c>
      <c r="B2262" s="0" t="s">
        <v>3335</v>
      </c>
      <c r="C2262" s="0" t="s">
        <v>630</v>
      </c>
      <c r="D2262" s="0" t="s">
        <v>86</v>
      </c>
      <c r="E2262" s="0" t="s">
        <v>294</v>
      </c>
    </row>
    <row r="2263" customFormat="false" ht="15" hidden="false" customHeight="false" outlineLevel="0" collapsed="false">
      <c r="A2263" s="0" t="s">
        <v>740</v>
      </c>
      <c r="B2263" s="0" t="s">
        <v>3336</v>
      </c>
      <c r="C2263" s="0" t="s">
        <v>630</v>
      </c>
      <c r="D2263" s="0" t="s">
        <v>744</v>
      </c>
      <c r="E2263" s="0" t="s">
        <v>294</v>
      </c>
    </row>
    <row r="2264" customFormat="false" ht="15" hidden="false" customHeight="false" outlineLevel="0" collapsed="false">
      <c r="A2264" s="0" t="s">
        <v>740</v>
      </c>
      <c r="B2264" s="0" t="s">
        <v>3337</v>
      </c>
      <c r="C2264" s="0" t="s">
        <v>630</v>
      </c>
      <c r="D2264" s="0" t="s">
        <v>744</v>
      </c>
      <c r="E2264" s="0" t="s">
        <v>294</v>
      </c>
    </row>
    <row r="2265" customFormat="false" ht="15" hidden="false" customHeight="false" outlineLevel="0" collapsed="false">
      <c r="A2265" s="0" t="s">
        <v>740</v>
      </c>
      <c r="B2265" s="0" t="s">
        <v>3338</v>
      </c>
      <c r="C2265" s="0" t="s">
        <v>630</v>
      </c>
      <c r="D2265" s="0" t="s">
        <v>744</v>
      </c>
      <c r="E2265" s="0" t="s">
        <v>294</v>
      </c>
    </row>
    <row r="2266" customFormat="false" ht="15" hidden="false" customHeight="false" outlineLevel="0" collapsed="false">
      <c r="A2266" s="0" t="s">
        <v>740</v>
      </c>
      <c r="B2266" s="0" t="s">
        <v>3339</v>
      </c>
      <c r="C2266" s="0" t="s">
        <v>630</v>
      </c>
      <c r="D2266" s="0" t="s">
        <v>744</v>
      </c>
      <c r="E2266" s="0" t="s">
        <v>294</v>
      </c>
    </row>
    <row r="2267" customFormat="false" ht="15" hidden="false" customHeight="false" outlineLevel="0" collapsed="false">
      <c r="A2267" s="0" t="s">
        <v>740</v>
      </c>
      <c r="B2267" s="0" t="s">
        <v>3340</v>
      </c>
      <c r="C2267" s="0" t="s">
        <v>630</v>
      </c>
      <c r="D2267" s="0" t="s">
        <v>744</v>
      </c>
      <c r="E2267" s="0" t="s">
        <v>294</v>
      </c>
    </row>
    <row r="2268" customFormat="false" ht="15" hidden="false" customHeight="false" outlineLevel="0" collapsed="false">
      <c r="A2268" s="0" t="s">
        <v>740</v>
      </c>
      <c r="B2268" s="0" t="s">
        <v>3341</v>
      </c>
      <c r="C2268" s="0" t="s">
        <v>630</v>
      </c>
      <c r="D2268" s="0" t="s">
        <v>744</v>
      </c>
      <c r="E2268" s="0" t="s">
        <v>294</v>
      </c>
    </row>
    <row r="2269" customFormat="false" ht="15" hidden="false" customHeight="false" outlineLevel="0" collapsed="false">
      <c r="A2269" s="0" t="s">
        <v>740</v>
      </c>
      <c r="B2269" s="0" t="s">
        <v>3342</v>
      </c>
      <c r="C2269" s="0" t="s">
        <v>630</v>
      </c>
      <c r="D2269" s="0" t="s">
        <v>744</v>
      </c>
      <c r="E2269" s="0" t="s">
        <v>294</v>
      </c>
    </row>
    <row r="2270" customFormat="false" ht="15" hidden="false" customHeight="false" outlineLevel="0" collapsed="false">
      <c r="A2270" s="0" t="s">
        <v>740</v>
      </c>
      <c r="B2270" s="0" t="s">
        <v>3343</v>
      </c>
      <c r="C2270" s="0" t="s">
        <v>630</v>
      </c>
      <c r="D2270" s="0" t="s">
        <v>744</v>
      </c>
      <c r="E2270" s="0" t="s">
        <v>294</v>
      </c>
    </row>
    <row r="2271" customFormat="false" ht="15" hidden="false" customHeight="false" outlineLevel="0" collapsed="false">
      <c r="A2271" s="0" t="s">
        <v>740</v>
      </c>
      <c r="B2271" s="0" t="s">
        <v>3344</v>
      </c>
      <c r="C2271" s="0" t="s">
        <v>630</v>
      </c>
      <c r="D2271" s="0" t="s">
        <v>744</v>
      </c>
      <c r="E2271" s="0" t="s">
        <v>294</v>
      </c>
    </row>
    <row r="2272" customFormat="false" ht="15" hidden="false" customHeight="false" outlineLevel="0" collapsed="false">
      <c r="A2272" s="0" t="s">
        <v>740</v>
      </c>
      <c r="B2272" s="0" t="s">
        <v>3345</v>
      </c>
      <c r="C2272" s="0" t="s">
        <v>630</v>
      </c>
      <c r="D2272" s="0" t="s">
        <v>744</v>
      </c>
      <c r="E2272" s="0" t="s">
        <v>294</v>
      </c>
    </row>
    <row r="2273" customFormat="false" ht="15" hidden="false" customHeight="false" outlineLevel="0" collapsed="false">
      <c r="A2273" s="0" t="s">
        <v>740</v>
      </c>
      <c r="B2273" s="0" t="s">
        <v>3346</v>
      </c>
      <c r="C2273" s="0" t="s">
        <v>630</v>
      </c>
      <c r="D2273" s="0" t="s">
        <v>744</v>
      </c>
      <c r="E2273" s="0" t="s">
        <v>294</v>
      </c>
    </row>
    <row r="2274" customFormat="false" ht="15" hidden="false" customHeight="false" outlineLevel="0" collapsed="false">
      <c r="A2274" s="0" t="s">
        <v>740</v>
      </c>
      <c r="B2274" s="0" t="s">
        <v>3347</v>
      </c>
      <c r="C2274" s="0" t="s">
        <v>630</v>
      </c>
      <c r="D2274" s="0" t="s">
        <v>744</v>
      </c>
      <c r="E2274" s="0" t="s">
        <v>294</v>
      </c>
    </row>
    <row r="2275" customFormat="false" ht="15" hidden="false" customHeight="false" outlineLevel="0" collapsed="false">
      <c r="A2275" s="0" t="s">
        <v>740</v>
      </c>
      <c r="B2275" s="0" t="s">
        <v>3348</v>
      </c>
      <c r="C2275" s="0" t="s">
        <v>630</v>
      </c>
      <c r="D2275" s="0" t="s">
        <v>744</v>
      </c>
      <c r="E2275" s="0" t="s">
        <v>294</v>
      </c>
    </row>
    <row r="2276" customFormat="false" ht="15" hidden="false" customHeight="false" outlineLevel="0" collapsed="false">
      <c r="A2276" s="0" t="s">
        <v>740</v>
      </c>
      <c r="B2276" s="0" t="s">
        <v>3349</v>
      </c>
      <c r="C2276" s="0" t="s">
        <v>630</v>
      </c>
      <c r="D2276" s="0" t="s">
        <v>744</v>
      </c>
      <c r="E2276" s="0" t="s">
        <v>294</v>
      </c>
    </row>
    <row r="2277" customFormat="false" ht="15" hidden="false" customHeight="false" outlineLevel="0" collapsed="false">
      <c r="A2277" s="0" t="s">
        <v>740</v>
      </c>
      <c r="B2277" s="0" t="s">
        <v>3350</v>
      </c>
      <c r="C2277" s="0" t="s">
        <v>630</v>
      </c>
      <c r="D2277" s="0" t="s">
        <v>744</v>
      </c>
      <c r="E2277" s="0" t="s">
        <v>294</v>
      </c>
    </row>
    <row r="2278" customFormat="false" ht="15" hidden="false" customHeight="false" outlineLevel="0" collapsed="false">
      <c r="A2278" s="0" t="s">
        <v>740</v>
      </c>
      <c r="B2278" s="0" t="s">
        <v>3351</v>
      </c>
      <c r="C2278" s="0" t="s">
        <v>630</v>
      </c>
      <c r="D2278" s="0" t="s">
        <v>744</v>
      </c>
      <c r="E2278" s="0" t="s">
        <v>294</v>
      </c>
    </row>
    <row r="2279" customFormat="false" ht="15" hidden="false" customHeight="false" outlineLevel="0" collapsed="false">
      <c r="A2279" s="0" t="s">
        <v>740</v>
      </c>
      <c r="B2279" s="0" t="s">
        <v>3352</v>
      </c>
      <c r="C2279" s="0" t="s">
        <v>630</v>
      </c>
      <c r="D2279" s="0" t="s">
        <v>744</v>
      </c>
      <c r="E2279" s="0" t="s">
        <v>294</v>
      </c>
    </row>
    <row r="2280" customFormat="false" ht="15" hidden="false" customHeight="false" outlineLevel="0" collapsed="false">
      <c r="A2280" s="0" t="s">
        <v>740</v>
      </c>
      <c r="B2280" s="0" t="s">
        <v>3353</v>
      </c>
      <c r="C2280" s="0" t="s">
        <v>630</v>
      </c>
      <c r="D2280" s="0" t="s">
        <v>744</v>
      </c>
      <c r="E2280" s="0" t="s">
        <v>294</v>
      </c>
    </row>
    <row r="2281" customFormat="false" ht="15" hidden="false" customHeight="false" outlineLevel="0" collapsed="false">
      <c r="A2281" s="0" t="s">
        <v>740</v>
      </c>
      <c r="B2281" s="0" t="s">
        <v>3354</v>
      </c>
      <c r="C2281" s="0" t="s">
        <v>762</v>
      </c>
      <c r="D2281" s="0" t="s">
        <v>98</v>
      </c>
      <c r="E2281" s="0" t="s">
        <v>763</v>
      </c>
    </row>
    <row r="2282" customFormat="false" ht="15" hidden="false" customHeight="false" outlineLevel="0" collapsed="false">
      <c r="A2282" s="0" t="s">
        <v>740</v>
      </c>
      <c r="B2282" s="0" t="s">
        <v>3355</v>
      </c>
      <c r="C2282" s="0" t="s">
        <v>762</v>
      </c>
      <c r="D2282" s="0" t="s">
        <v>98</v>
      </c>
      <c r="E2282" s="0" t="s">
        <v>763</v>
      </c>
    </row>
    <row r="2283" customFormat="false" ht="15" hidden="false" customHeight="false" outlineLevel="0" collapsed="false">
      <c r="A2283" s="0" t="s">
        <v>740</v>
      </c>
      <c r="B2283" s="0" t="s">
        <v>3356</v>
      </c>
      <c r="C2283" s="0" t="s">
        <v>762</v>
      </c>
      <c r="D2283" s="0" t="s">
        <v>98</v>
      </c>
      <c r="E2283" s="0" t="s">
        <v>763</v>
      </c>
    </row>
    <row r="2284" customFormat="false" ht="15" hidden="false" customHeight="false" outlineLevel="0" collapsed="false">
      <c r="A2284" s="0" t="s">
        <v>740</v>
      </c>
      <c r="B2284" s="0" t="s">
        <v>3357</v>
      </c>
      <c r="C2284" s="0" t="s">
        <v>762</v>
      </c>
      <c r="D2284" s="0" t="s">
        <v>98</v>
      </c>
      <c r="E2284" s="0" t="s">
        <v>763</v>
      </c>
    </row>
    <row r="2285" customFormat="false" ht="15" hidden="false" customHeight="false" outlineLevel="0" collapsed="false">
      <c r="A2285" s="0" t="s">
        <v>740</v>
      </c>
      <c r="B2285" s="0" t="s">
        <v>3358</v>
      </c>
      <c r="C2285" s="0" t="s">
        <v>762</v>
      </c>
      <c r="D2285" s="0" t="s">
        <v>98</v>
      </c>
      <c r="E2285" s="0" t="s">
        <v>763</v>
      </c>
    </row>
    <row r="2286" customFormat="false" ht="15" hidden="false" customHeight="false" outlineLevel="0" collapsed="false">
      <c r="A2286" s="0" t="s">
        <v>740</v>
      </c>
      <c r="B2286" s="0" t="s">
        <v>3359</v>
      </c>
      <c r="C2286" s="0" t="s">
        <v>762</v>
      </c>
      <c r="D2286" s="0" t="s">
        <v>98</v>
      </c>
      <c r="E2286" s="0" t="s">
        <v>763</v>
      </c>
    </row>
    <row r="2287" customFormat="false" ht="15" hidden="false" customHeight="false" outlineLevel="0" collapsed="false">
      <c r="A2287" s="0" t="s">
        <v>740</v>
      </c>
      <c r="B2287" s="0" t="s">
        <v>3360</v>
      </c>
      <c r="C2287" s="0" t="s">
        <v>762</v>
      </c>
      <c r="D2287" s="0" t="s">
        <v>98</v>
      </c>
      <c r="E2287" s="0" t="s">
        <v>763</v>
      </c>
    </row>
    <row r="2288" customFormat="false" ht="15" hidden="false" customHeight="false" outlineLevel="0" collapsed="false">
      <c r="A2288" s="0" t="s">
        <v>740</v>
      </c>
      <c r="B2288" s="0" t="s">
        <v>3361</v>
      </c>
      <c r="C2288" s="0" t="s">
        <v>762</v>
      </c>
      <c r="D2288" s="0" t="s">
        <v>98</v>
      </c>
      <c r="E2288" s="0" t="s">
        <v>763</v>
      </c>
    </row>
    <row r="2289" customFormat="false" ht="15" hidden="false" customHeight="false" outlineLevel="0" collapsed="false">
      <c r="A2289" s="0" t="s">
        <v>740</v>
      </c>
      <c r="B2289" s="0" t="s">
        <v>3362</v>
      </c>
      <c r="C2289" s="0" t="s">
        <v>762</v>
      </c>
      <c r="D2289" s="0" t="s">
        <v>98</v>
      </c>
      <c r="E2289" s="0" t="s">
        <v>763</v>
      </c>
    </row>
    <row r="2290" customFormat="false" ht="15" hidden="false" customHeight="false" outlineLevel="0" collapsed="false">
      <c r="A2290" s="0" t="s">
        <v>740</v>
      </c>
      <c r="B2290" s="0" t="s">
        <v>3363</v>
      </c>
      <c r="C2290" s="0" t="s">
        <v>762</v>
      </c>
      <c r="D2290" s="0" t="s">
        <v>98</v>
      </c>
      <c r="E2290" s="0" t="s">
        <v>763</v>
      </c>
    </row>
    <row r="2291" customFormat="false" ht="15" hidden="false" customHeight="false" outlineLevel="0" collapsed="false">
      <c r="A2291" s="0" t="s">
        <v>740</v>
      </c>
      <c r="B2291" s="0" t="s">
        <v>3364</v>
      </c>
      <c r="C2291" s="0" t="s">
        <v>762</v>
      </c>
      <c r="D2291" s="0" t="s">
        <v>98</v>
      </c>
      <c r="E2291" s="0" t="s">
        <v>763</v>
      </c>
    </row>
    <row r="2292" customFormat="false" ht="15" hidden="false" customHeight="false" outlineLevel="0" collapsed="false">
      <c r="A2292" s="0" t="s">
        <v>740</v>
      </c>
      <c r="B2292" s="0" t="s">
        <v>3365</v>
      </c>
      <c r="C2292" s="0" t="s">
        <v>762</v>
      </c>
      <c r="D2292" s="0" t="s">
        <v>93</v>
      </c>
      <c r="E2292" s="0" t="s">
        <v>3366</v>
      </c>
    </row>
    <row r="2293" customFormat="false" ht="15" hidden="false" customHeight="false" outlineLevel="0" collapsed="false">
      <c r="A2293" s="0" t="s">
        <v>740</v>
      </c>
      <c r="B2293" s="0" t="s">
        <v>3367</v>
      </c>
      <c r="C2293" s="0" t="s">
        <v>2961</v>
      </c>
      <c r="D2293" s="0" t="s">
        <v>93</v>
      </c>
    </row>
    <row r="2294" customFormat="false" ht="15" hidden="false" customHeight="false" outlineLevel="0" collapsed="false">
      <c r="A2294" s="0" t="s">
        <v>740</v>
      </c>
      <c r="B2294" s="0" t="s">
        <v>3368</v>
      </c>
      <c r="C2294" s="0" t="s">
        <v>630</v>
      </c>
      <c r="D2294" s="0" t="s">
        <v>93</v>
      </c>
    </row>
    <row r="2295" customFormat="false" ht="15" hidden="false" customHeight="false" outlineLevel="0" collapsed="false">
      <c r="A2295" s="0" t="s">
        <v>740</v>
      </c>
      <c r="B2295" s="0" t="s">
        <v>3369</v>
      </c>
      <c r="C2295" s="0" t="s">
        <v>630</v>
      </c>
      <c r="D2295" s="0" t="s">
        <v>93</v>
      </c>
      <c r="E2295" s="0" t="s">
        <v>1278</v>
      </c>
    </row>
    <row r="2296" customFormat="false" ht="15" hidden="false" customHeight="false" outlineLevel="0" collapsed="false">
      <c r="A2296" s="0" t="s">
        <v>740</v>
      </c>
      <c r="B2296" s="0" t="s">
        <v>3370</v>
      </c>
      <c r="C2296" s="0" t="s">
        <v>630</v>
      </c>
      <c r="D2296" s="0" t="s">
        <v>93</v>
      </c>
      <c r="E2296" s="0" t="s">
        <v>1278</v>
      </c>
    </row>
    <row r="2297" customFormat="false" ht="15" hidden="false" customHeight="false" outlineLevel="0" collapsed="false">
      <c r="A2297" s="0" t="s">
        <v>740</v>
      </c>
      <c r="B2297" s="0" t="s">
        <v>3371</v>
      </c>
      <c r="C2297" s="0" t="s">
        <v>630</v>
      </c>
      <c r="D2297" s="0" t="s">
        <v>93</v>
      </c>
      <c r="E2297" s="0" t="s">
        <v>1278</v>
      </c>
    </row>
    <row r="2298" customFormat="false" ht="15" hidden="false" customHeight="false" outlineLevel="0" collapsed="false">
      <c r="A2298" s="0" t="s">
        <v>740</v>
      </c>
      <c r="B2298" s="0" t="s">
        <v>3372</v>
      </c>
      <c r="C2298" s="0" t="s">
        <v>630</v>
      </c>
      <c r="D2298" s="0" t="s">
        <v>93</v>
      </c>
      <c r="E2298" s="0" t="s">
        <v>1278</v>
      </c>
    </row>
    <row r="2299" customFormat="false" ht="15" hidden="false" customHeight="false" outlineLevel="0" collapsed="false">
      <c r="A2299" s="0" t="s">
        <v>740</v>
      </c>
      <c r="B2299" s="0" t="s">
        <v>3373</v>
      </c>
      <c r="C2299" s="0" t="s">
        <v>630</v>
      </c>
      <c r="D2299" s="0" t="s">
        <v>93</v>
      </c>
      <c r="E2299" s="0" t="s">
        <v>1278</v>
      </c>
    </row>
    <row r="2300" customFormat="false" ht="15" hidden="false" customHeight="false" outlineLevel="0" collapsed="false">
      <c r="A2300" s="0" t="s">
        <v>740</v>
      </c>
      <c r="B2300" s="0" t="s">
        <v>3374</v>
      </c>
      <c r="C2300" s="0" t="s">
        <v>630</v>
      </c>
      <c r="D2300" s="0" t="s">
        <v>93</v>
      </c>
      <c r="E2300" s="0" t="s">
        <v>1278</v>
      </c>
    </row>
    <row r="2301" customFormat="false" ht="15" hidden="false" customHeight="false" outlineLevel="0" collapsed="false">
      <c r="A2301" s="0" t="s">
        <v>740</v>
      </c>
      <c r="B2301" s="0" t="s">
        <v>3375</v>
      </c>
      <c r="C2301" s="0" t="s">
        <v>630</v>
      </c>
      <c r="D2301" s="0" t="s">
        <v>93</v>
      </c>
      <c r="E2301" s="0" t="s">
        <v>1278</v>
      </c>
    </row>
    <row r="2302" customFormat="false" ht="15" hidden="false" customHeight="false" outlineLevel="0" collapsed="false">
      <c r="A2302" s="0" t="s">
        <v>740</v>
      </c>
      <c r="B2302" s="0" t="s">
        <v>3376</v>
      </c>
      <c r="C2302" s="0" t="s">
        <v>630</v>
      </c>
      <c r="D2302" s="0" t="s">
        <v>93</v>
      </c>
      <c r="E2302" s="0" t="s">
        <v>1278</v>
      </c>
    </row>
    <row r="2303" customFormat="false" ht="15" hidden="false" customHeight="false" outlineLevel="0" collapsed="false">
      <c r="A2303" s="0" t="s">
        <v>740</v>
      </c>
      <c r="B2303" s="0" t="s">
        <v>3377</v>
      </c>
      <c r="C2303" s="0" t="s">
        <v>630</v>
      </c>
      <c r="D2303" s="0" t="s">
        <v>93</v>
      </c>
      <c r="E2303" s="0" t="s">
        <v>1278</v>
      </c>
    </row>
    <row r="2304" customFormat="false" ht="15" hidden="false" customHeight="false" outlineLevel="0" collapsed="false">
      <c r="A2304" s="0" t="s">
        <v>740</v>
      </c>
      <c r="B2304" s="0" t="s">
        <v>3378</v>
      </c>
      <c r="C2304" s="0" t="s">
        <v>630</v>
      </c>
      <c r="D2304" s="0" t="s">
        <v>93</v>
      </c>
      <c r="E2304" s="0" t="s">
        <v>1278</v>
      </c>
    </row>
    <row r="2305" customFormat="false" ht="15" hidden="false" customHeight="false" outlineLevel="0" collapsed="false">
      <c r="A2305" s="0" t="s">
        <v>740</v>
      </c>
      <c r="B2305" s="0" t="s">
        <v>3379</v>
      </c>
      <c r="C2305" s="0" t="s">
        <v>630</v>
      </c>
      <c r="D2305" s="0" t="s">
        <v>93</v>
      </c>
      <c r="E2305" s="0" t="s">
        <v>1278</v>
      </c>
    </row>
    <row r="2306" customFormat="false" ht="15" hidden="false" customHeight="false" outlineLevel="0" collapsed="false">
      <c r="A2306" s="0" t="s">
        <v>740</v>
      </c>
      <c r="B2306" s="0" t="s">
        <v>3380</v>
      </c>
      <c r="C2306" s="0" t="s">
        <v>630</v>
      </c>
      <c r="D2306" s="0" t="s">
        <v>93</v>
      </c>
      <c r="E2306" s="0" t="s">
        <v>1278</v>
      </c>
    </row>
    <row r="2307" customFormat="false" ht="15" hidden="false" customHeight="false" outlineLevel="0" collapsed="false">
      <c r="A2307" s="0" t="s">
        <v>740</v>
      </c>
      <c r="B2307" s="0" t="s">
        <v>3381</v>
      </c>
      <c r="C2307" s="0" t="s">
        <v>630</v>
      </c>
      <c r="D2307" s="0" t="s">
        <v>93</v>
      </c>
      <c r="E2307" s="0" t="s">
        <v>1278</v>
      </c>
    </row>
    <row r="2308" customFormat="false" ht="15" hidden="false" customHeight="false" outlineLevel="0" collapsed="false">
      <c r="A2308" s="0" t="s">
        <v>740</v>
      </c>
      <c r="B2308" s="0" t="s">
        <v>3382</v>
      </c>
      <c r="C2308" s="0" t="s">
        <v>630</v>
      </c>
      <c r="D2308" s="0" t="s">
        <v>93</v>
      </c>
      <c r="E2308" s="0" t="s">
        <v>1278</v>
      </c>
    </row>
    <row r="2309" customFormat="false" ht="15" hidden="false" customHeight="false" outlineLevel="0" collapsed="false">
      <c r="A2309" s="0" t="s">
        <v>740</v>
      </c>
      <c r="B2309" s="0" t="s">
        <v>3383</v>
      </c>
      <c r="C2309" s="0" t="s">
        <v>762</v>
      </c>
      <c r="D2309" s="0" t="s">
        <v>98</v>
      </c>
      <c r="E2309" s="0" t="s">
        <v>763</v>
      </c>
    </row>
    <row r="2310" customFormat="false" ht="15" hidden="false" customHeight="false" outlineLevel="0" collapsed="false">
      <c r="A2310" s="0" t="s">
        <v>740</v>
      </c>
      <c r="B2310" s="0" t="s">
        <v>3384</v>
      </c>
      <c r="C2310" s="0" t="s">
        <v>762</v>
      </c>
      <c r="D2310" s="0" t="s">
        <v>98</v>
      </c>
      <c r="E2310" s="0" t="s">
        <v>763</v>
      </c>
    </row>
    <row r="2311" customFormat="false" ht="15" hidden="false" customHeight="false" outlineLevel="0" collapsed="false">
      <c r="A2311" s="0" t="s">
        <v>740</v>
      </c>
      <c r="B2311" s="0" t="s">
        <v>3385</v>
      </c>
      <c r="C2311" s="0" t="s">
        <v>762</v>
      </c>
      <c r="D2311" s="0" t="s">
        <v>98</v>
      </c>
      <c r="E2311" s="0" t="s">
        <v>763</v>
      </c>
    </row>
    <row r="2312" customFormat="false" ht="15" hidden="false" customHeight="false" outlineLevel="0" collapsed="false">
      <c r="A2312" s="0" t="s">
        <v>740</v>
      </c>
      <c r="B2312" s="0" t="s">
        <v>3386</v>
      </c>
      <c r="C2312" s="0" t="s">
        <v>762</v>
      </c>
      <c r="D2312" s="0" t="s">
        <v>98</v>
      </c>
      <c r="E2312" s="0" t="s">
        <v>763</v>
      </c>
    </row>
    <row r="2313" customFormat="false" ht="15" hidden="false" customHeight="false" outlineLevel="0" collapsed="false">
      <c r="A2313" s="0" t="s">
        <v>740</v>
      </c>
      <c r="B2313" s="0" t="s">
        <v>3387</v>
      </c>
      <c r="C2313" s="0" t="s">
        <v>762</v>
      </c>
      <c r="D2313" s="0" t="s">
        <v>98</v>
      </c>
      <c r="E2313" s="0" t="s">
        <v>763</v>
      </c>
    </row>
    <row r="2314" customFormat="false" ht="15" hidden="false" customHeight="false" outlineLevel="0" collapsed="false">
      <c r="A2314" s="0" t="s">
        <v>740</v>
      </c>
      <c r="B2314" s="0" t="s">
        <v>3388</v>
      </c>
      <c r="C2314" s="0" t="s">
        <v>762</v>
      </c>
      <c r="D2314" s="0" t="s">
        <v>98</v>
      </c>
      <c r="E2314" s="0" t="s">
        <v>763</v>
      </c>
    </row>
    <row r="2315" customFormat="false" ht="15" hidden="false" customHeight="false" outlineLevel="0" collapsed="false">
      <c r="A2315" s="0" t="s">
        <v>740</v>
      </c>
      <c r="B2315" s="0" t="s">
        <v>3389</v>
      </c>
      <c r="C2315" s="0" t="s">
        <v>762</v>
      </c>
      <c r="D2315" s="0" t="s">
        <v>98</v>
      </c>
      <c r="E2315" s="0" t="s">
        <v>763</v>
      </c>
    </row>
    <row r="2316" customFormat="false" ht="15" hidden="false" customHeight="false" outlineLevel="0" collapsed="false">
      <c r="A2316" s="0" t="s">
        <v>740</v>
      </c>
      <c r="B2316" s="0" t="s">
        <v>3390</v>
      </c>
      <c r="C2316" s="0" t="s">
        <v>762</v>
      </c>
      <c r="D2316" s="0" t="s">
        <v>98</v>
      </c>
      <c r="E2316" s="0" t="s">
        <v>763</v>
      </c>
    </row>
    <row r="2317" customFormat="false" ht="15" hidden="false" customHeight="false" outlineLevel="0" collapsed="false">
      <c r="A2317" s="0" t="s">
        <v>740</v>
      </c>
      <c r="B2317" s="0" t="s">
        <v>3391</v>
      </c>
      <c r="C2317" s="0" t="s">
        <v>762</v>
      </c>
      <c r="D2317" s="0" t="s">
        <v>98</v>
      </c>
      <c r="E2317" s="0" t="s">
        <v>763</v>
      </c>
    </row>
    <row r="2318" customFormat="false" ht="15" hidden="false" customHeight="false" outlineLevel="0" collapsed="false">
      <c r="A2318" s="0" t="s">
        <v>740</v>
      </c>
      <c r="B2318" s="0" t="s">
        <v>3392</v>
      </c>
      <c r="C2318" s="0" t="s">
        <v>762</v>
      </c>
      <c r="D2318" s="0" t="s">
        <v>98</v>
      </c>
      <c r="E2318" s="0" t="s">
        <v>763</v>
      </c>
    </row>
    <row r="2319" customFormat="false" ht="15" hidden="false" customHeight="false" outlineLevel="0" collapsed="false">
      <c r="A2319" s="0" t="s">
        <v>740</v>
      </c>
      <c r="B2319" s="0" t="s">
        <v>3393</v>
      </c>
      <c r="C2319" s="0" t="s">
        <v>762</v>
      </c>
      <c r="D2319" s="0" t="s">
        <v>98</v>
      </c>
      <c r="E2319" s="0" t="s">
        <v>763</v>
      </c>
    </row>
    <row r="2320" customFormat="false" ht="15" hidden="false" customHeight="false" outlineLevel="0" collapsed="false">
      <c r="A2320" s="0" t="s">
        <v>740</v>
      </c>
      <c r="B2320" s="0" t="s">
        <v>3394</v>
      </c>
      <c r="C2320" s="0" t="s">
        <v>630</v>
      </c>
      <c r="D2320" s="0" t="s">
        <v>93</v>
      </c>
      <c r="E2320" s="0" t="s">
        <v>3366</v>
      </c>
    </row>
    <row r="2321" customFormat="false" ht="15" hidden="false" customHeight="false" outlineLevel="0" collapsed="false">
      <c r="A2321" s="0" t="s">
        <v>740</v>
      </c>
      <c r="B2321" s="0" t="s">
        <v>3395</v>
      </c>
      <c r="C2321" s="0" t="s">
        <v>630</v>
      </c>
      <c r="D2321" s="0" t="s">
        <v>93</v>
      </c>
    </row>
    <row r="2322" customFormat="false" ht="15" hidden="false" customHeight="false" outlineLevel="0" collapsed="false">
      <c r="A2322" s="0" t="s">
        <v>740</v>
      </c>
      <c r="B2322" s="0" t="s">
        <v>3396</v>
      </c>
      <c r="C2322" s="0" t="s">
        <v>630</v>
      </c>
      <c r="D2322" s="0" t="s">
        <v>93</v>
      </c>
    </row>
    <row r="2323" customFormat="false" ht="15" hidden="false" customHeight="false" outlineLevel="0" collapsed="false">
      <c r="A2323" s="0" t="s">
        <v>740</v>
      </c>
      <c r="B2323" s="0" t="s">
        <v>3397</v>
      </c>
      <c r="C2323" s="0" t="s">
        <v>630</v>
      </c>
      <c r="D2323" s="0" t="s">
        <v>93</v>
      </c>
      <c r="E2323" s="0" t="s">
        <v>1278</v>
      </c>
    </row>
    <row r="2324" customFormat="false" ht="15" hidden="false" customHeight="false" outlineLevel="0" collapsed="false">
      <c r="A2324" s="0" t="s">
        <v>740</v>
      </c>
      <c r="B2324" s="0" t="s">
        <v>3398</v>
      </c>
      <c r="C2324" s="0" t="s">
        <v>630</v>
      </c>
      <c r="D2324" s="0" t="s">
        <v>93</v>
      </c>
      <c r="E2324" s="0" t="s">
        <v>1278</v>
      </c>
    </row>
    <row r="2325" customFormat="false" ht="15" hidden="false" customHeight="false" outlineLevel="0" collapsed="false">
      <c r="A2325" s="0" t="s">
        <v>740</v>
      </c>
      <c r="B2325" s="0" t="s">
        <v>3399</v>
      </c>
      <c r="C2325" s="0" t="s">
        <v>630</v>
      </c>
      <c r="D2325" s="0" t="s">
        <v>93</v>
      </c>
      <c r="E2325" s="0" t="s">
        <v>1278</v>
      </c>
    </row>
    <row r="2326" customFormat="false" ht="15" hidden="false" customHeight="false" outlineLevel="0" collapsed="false">
      <c r="A2326" s="0" t="s">
        <v>740</v>
      </c>
      <c r="B2326" s="0" t="s">
        <v>3400</v>
      </c>
      <c r="C2326" s="0" t="s">
        <v>630</v>
      </c>
      <c r="D2326" s="0" t="s">
        <v>93</v>
      </c>
      <c r="E2326" s="0" t="s">
        <v>1278</v>
      </c>
    </row>
    <row r="2327" customFormat="false" ht="15" hidden="false" customHeight="false" outlineLevel="0" collapsed="false">
      <c r="A2327" s="0" t="s">
        <v>740</v>
      </c>
      <c r="B2327" s="0" t="s">
        <v>3401</v>
      </c>
      <c r="C2327" s="0" t="s">
        <v>630</v>
      </c>
      <c r="D2327" s="0" t="s">
        <v>93</v>
      </c>
      <c r="E2327" s="0" t="s">
        <v>1278</v>
      </c>
    </row>
    <row r="2328" customFormat="false" ht="15" hidden="false" customHeight="false" outlineLevel="0" collapsed="false">
      <c r="A2328" s="0" t="s">
        <v>740</v>
      </c>
      <c r="B2328" s="0" t="s">
        <v>3402</v>
      </c>
      <c r="C2328" s="0" t="s">
        <v>630</v>
      </c>
      <c r="D2328" s="0" t="s">
        <v>93</v>
      </c>
      <c r="E2328" s="0" t="s">
        <v>1278</v>
      </c>
    </row>
    <row r="2329" customFormat="false" ht="15" hidden="false" customHeight="false" outlineLevel="0" collapsed="false">
      <c r="A2329" s="0" t="s">
        <v>740</v>
      </c>
      <c r="B2329" s="0" t="s">
        <v>3403</v>
      </c>
      <c r="C2329" s="0" t="s">
        <v>630</v>
      </c>
      <c r="D2329" s="0" t="s">
        <v>93</v>
      </c>
      <c r="E2329" s="0" t="s">
        <v>1278</v>
      </c>
    </row>
    <row r="2330" customFormat="false" ht="15" hidden="false" customHeight="false" outlineLevel="0" collapsed="false">
      <c r="A2330" s="0" t="s">
        <v>740</v>
      </c>
      <c r="B2330" s="0" t="s">
        <v>3404</v>
      </c>
      <c r="C2330" s="0" t="s">
        <v>630</v>
      </c>
      <c r="D2330" s="0" t="s">
        <v>93</v>
      </c>
      <c r="E2330" s="0" t="s">
        <v>1278</v>
      </c>
    </row>
    <row r="2331" customFormat="false" ht="15" hidden="false" customHeight="false" outlineLevel="0" collapsed="false">
      <c r="A2331" s="0" t="s">
        <v>740</v>
      </c>
      <c r="B2331" s="0" t="s">
        <v>3405</v>
      </c>
      <c r="C2331" s="0" t="s">
        <v>630</v>
      </c>
      <c r="D2331" s="0" t="s">
        <v>93</v>
      </c>
      <c r="E2331" s="0" t="s">
        <v>1278</v>
      </c>
    </row>
    <row r="2332" customFormat="false" ht="15" hidden="false" customHeight="false" outlineLevel="0" collapsed="false">
      <c r="A2332" s="0" t="s">
        <v>740</v>
      </c>
      <c r="B2332" s="0" t="s">
        <v>3406</v>
      </c>
      <c r="C2332" s="0" t="s">
        <v>630</v>
      </c>
      <c r="D2332" s="0" t="s">
        <v>93</v>
      </c>
      <c r="E2332" s="0" t="s">
        <v>1278</v>
      </c>
    </row>
    <row r="2333" customFormat="false" ht="15" hidden="false" customHeight="false" outlineLevel="0" collapsed="false">
      <c r="A2333" s="0" t="s">
        <v>740</v>
      </c>
      <c r="B2333" s="0" t="s">
        <v>3407</v>
      </c>
      <c r="C2333" s="0" t="s">
        <v>630</v>
      </c>
      <c r="D2333" s="0" t="s">
        <v>93</v>
      </c>
      <c r="E2333" s="0" t="s">
        <v>1278</v>
      </c>
    </row>
    <row r="2334" customFormat="false" ht="15" hidden="false" customHeight="false" outlineLevel="0" collapsed="false">
      <c r="A2334" s="0" t="s">
        <v>740</v>
      </c>
      <c r="B2334" s="0" t="s">
        <v>3408</v>
      </c>
      <c r="C2334" s="0" t="s">
        <v>630</v>
      </c>
      <c r="D2334" s="0" t="s">
        <v>93</v>
      </c>
      <c r="E2334" s="0" t="s">
        <v>1278</v>
      </c>
    </row>
    <row r="2335" customFormat="false" ht="15" hidden="false" customHeight="false" outlineLevel="0" collapsed="false">
      <c r="A2335" s="0" t="s">
        <v>740</v>
      </c>
      <c r="B2335" s="0" t="s">
        <v>3409</v>
      </c>
      <c r="C2335" s="0" t="s">
        <v>630</v>
      </c>
      <c r="D2335" s="0" t="s">
        <v>93</v>
      </c>
      <c r="E2335" s="0" t="s">
        <v>1278</v>
      </c>
    </row>
    <row r="2336" customFormat="false" ht="15" hidden="false" customHeight="false" outlineLevel="0" collapsed="false">
      <c r="A2336" s="0" t="s">
        <v>740</v>
      </c>
      <c r="B2336" s="0" t="s">
        <v>3410</v>
      </c>
      <c r="C2336" s="0" t="s">
        <v>630</v>
      </c>
      <c r="D2336" s="0" t="s">
        <v>93</v>
      </c>
      <c r="E2336" s="0" t="s">
        <v>1278</v>
      </c>
    </row>
    <row r="2337" customFormat="false" ht="15" hidden="false" customHeight="false" outlineLevel="0" collapsed="false">
      <c r="A2337" s="0" t="s">
        <v>740</v>
      </c>
      <c r="B2337" s="0" t="s">
        <v>3411</v>
      </c>
      <c r="C2337" s="0" t="s">
        <v>3412</v>
      </c>
      <c r="D2337" s="0" t="s">
        <v>98</v>
      </c>
      <c r="E2337" s="0" t="s">
        <v>826</v>
      </c>
    </row>
    <row r="2338" customFormat="false" ht="15" hidden="false" customHeight="false" outlineLevel="0" collapsed="false">
      <c r="A2338" s="0" t="s">
        <v>740</v>
      </c>
      <c r="B2338" s="0" t="s">
        <v>3413</v>
      </c>
      <c r="C2338" s="0" t="s">
        <v>3414</v>
      </c>
      <c r="D2338" s="0" t="s">
        <v>98</v>
      </c>
      <c r="E2338" s="0" t="s">
        <v>826</v>
      </c>
    </row>
    <row r="2339" customFormat="false" ht="15" hidden="false" customHeight="false" outlineLevel="0" collapsed="false">
      <c r="A2339" s="0" t="s">
        <v>740</v>
      </c>
      <c r="B2339" s="0" t="s">
        <v>3415</v>
      </c>
      <c r="C2339" s="0" t="s">
        <v>3416</v>
      </c>
      <c r="D2339" s="0" t="s">
        <v>98</v>
      </c>
      <c r="E2339" s="0" t="s">
        <v>826</v>
      </c>
    </row>
    <row r="2340" customFormat="false" ht="15" hidden="false" customHeight="false" outlineLevel="0" collapsed="false">
      <c r="A2340" s="0" t="s">
        <v>740</v>
      </c>
      <c r="B2340" s="0" t="s">
        <v>3417</v>
      </c>
      <c r="C2340" s="0" t="s">
        <v>3418</v>
      </c>
      <c r="D2340" s="0" t="s">
        <v>98</v>
      </c>
      <c r="E2340" s="0" t="s">
        <v>826</v>
      </c>
    </row>
    <row r="2341" customFormat="false" ht="15" hidden="false" customHeight="false" outlineLevel="0" collapsed="false">
      <c r="A2341" s="0" t="s">
        <v>740</v>
      </c>
      <c r="B2341" s="0" t="s">
        <v>3419</v>
      </c>
      <c r="C2341" s="0" t="s">
        <v>3420</v>
      </c>
      <c r="D2341" s="0" t="s">
        <v>98</v>
      </c>
      <c r="E2341" s="0" t="s">
        <v>826</v>
      </c>
    </row>
    <row r="2342" customFormat="false" ht="15" hidden="false" customHeight="false" outlineLevel="0" collapsed="false">
      <c r="A2342" s="0" t="s">
        <v>740</v>
      </c>
      <c r="B2342" s="0" t="s">
        <v>3421</v>
      </c>
      <c r="C2342" s="0" t="s">
        <v>3422</v>
      </c>
      <c r="D2342" s="0" t="s">
        <v>98</v>
      </c>
      <c r="E2342" s="0" t="s">
        <v>826</v>
      </c>
    </row>
    <row r="2343" customFormat="false" ht="15" hidden="false" customHeight="false" outlineLevel="0" collapsed="false">
      <c r="A2343" s="0" t="s">
        <v>740</v>
      </c>
      <c r="B2343" s="0" t="s">
        <v>3423</v>
      </c>
      <c r="C2343" s="0" t="s">
        <v>3424</v>
      </c>
      <c r="D2343" s="0" t="s">
        <v>98</v>
      </c>
      <c r="E2343" s="0" t="s">
        <v>826</v>
      </c>
    </row>
    <row r="2344" customFormat="false" ht="15" hidden="false" customHeight="false" outlineLevel="0" collapsed="false">
      <c r="A2344" s="0" t="s">
        <v>740</v>
      </c>
      <c r="B2344" s="0" t="s">
        <v>3425</v>
      </c>
      <c r="C2344" s="0" t="s">
        <v>3426</v>
      </c>
      <c r="D2344" s="0" t="s">
        <v>98</v>
      </c>
      <c r="E2344" s="0" t="s">
        <v>826</v>
      </c>
    </row>
    <row r="2345" customFormat="false" ht="15" hidden="false" customHeight="false" outlineLevel="0" collapsed="false">
      <c r="A2345" s="0" t="s">
        <v>740</v>
      </c>
      <c r="B2345" s="0" t="s">
        <v>3427</v>
      </c>
      <c r="C2345" s="0" t="s">
        <v>3428</v>
      </c>
      <c r="D2345" s="0" t="s">
        <v>98</v>
      </c>
      <c r="E2345" s="0" t="s">
        <v>826</v>
      </c>
    </row>
    <row r="2346" customFormat="false" ht="15" hidden="false" customHeight="false" outlineLevel="0" collapsed="false">
      <c r="A2346" s="0" t="s">
        <v>740</v>
      </c>
      <c r="B2346" s="0" t="s">
        <v>3429</v>
      </c>
      <c r="C2346" s="0" t="s">
        <v>3430</v>
      </c>
      <c r="D2346" s="0" t="s">
        <v>98</v>
      </c>
      <c r="E2346" s="0" t="s">
        <v>826</v>
      </c>
    </row>
    <row r="2347" customFormat="false" ht="15" hidden="false" customHeight="false" outlineLevel="0" collapsed="false">
      <c r="A2347" s="0" t="s">
        <v>740</v>
      </c>
      <c r="B2347" s="0" t="s">
        <v>3431</v>
      </c>
      <c r="C2347" s="0" t="s">
        <v>3432</v>
      </c>
      <c r="D2347" s="0" t="s">
        <v>98</v>
      </c>
      <c r="E2347" s="0" t="s">
        <v>826</v>
      </c>
    </row>
    <row r="2348" customFormat="false" ht="15" hidden="false" customHeight="false" outlineLevel="0" collapsed="false">
      <c r="A2348" s="0" t="s">
        <v>740</v>
      </c>
      <c r="B2348" s="0" t="s">
        <v>3433</v>
      </c>
      <c r="C2348" s="0" t="s">
        <v>3434</v>
      </c>
      <c r="D2348" s="0" t="s">
        <v>98</v>
      </c>
      <c r="E2348" s="0" t="s">
        <v>826</v>
      </c>
    </row>
    <row r="2349" customFormat="false" ht="15" hidden="false" customHeight="false" outlineLevel="0" collapsed="false">
      <c r="A2349" s="0" t="s">
        <v>740</v>
      </c>
      <c r="B2349" s="0" t="s">
        <v>3435</v>
      </c>
      <c r="C2349" s="0" t="s">
        <v>3436</v>
      </c>
      <c r="D2349" s="0" t="s">
        <v>98</v>
      </c>
      <c r="E2349" s="0" t="s">
        <v>826</v>
      </c>
    </row>
    <row r="2350" customFormat="false" ht="15" hidden="false" customHeight="false" outlineLevel="0" collapsed="false">
      <c r="A2350" s="0" t="s">
        <v>740</v>
      </c>
      <c r="B2350" s="0" t="s">
        <v>3437</v>
      </c>
      <c r="C2350" s="0" t="s">
        <v>3438</v>
      </c>
      <c r="D2350" s="0" t="s">
        <v>98</v>
      </c>
      <c r="E2350" s="0" t="s">
        <v>826</v>
      </c>
    </row>
    <row r="2351" customFormat="false" ht="15" hidden="false" customHeight="false" outlineLevel="0" collapsed="false">
      <c r="A2351" s="0" t="s">
        <v>740</v>
      </c>
      <c r="B2351" s="0" t="s">
        <v>3439</v>
      </c>
      <c r="C2351" s="0" t="s">
        <v>3440</v>
      </c>
      <c r="D2351" s="0" t="s">
        <v>98</v>
      </c>
      <c r="E2351" s="0" t="s">
        <v>826</v>
      </c>
    </row>
    <row r="2352" customFormat="false" ht="15" hidden="false" customHeight="false" outlineLevel="0" collapsed="false">
      <c r="A2352" s="0" t="s">
        <v>740</v>
      </c>
      <c r="B2352" s="0" t="s">
        <v>3441</v>
      </c>
      <c r="C2352" s="0" t="s">
        <v>3442</v>
      </c>
      <c r="D2352" s="0" t="s">
        <v>98</v>
      </c>
      <c r="E2352" s="0" t="s">
        <v>826</v>
      </c>
    </row>
    <row r="2353" customFormat="false" ht="15" hidden="false" customHeight="false" outlineLevel="0" collapsed="false">
      <c r="A2353" s="0" t="s">
        <v>740</v>
      </c>
      <c r="B2353" s="0" t="s">
        <v>3443</v>
      </c>
      <c r="C2353" s="0" t="s">
        <v>3444</v>
      </c>
      <c r="D2353" s="0" t="s">
        <v>98</v>
      </c>
      <c r="E2353" s="0" t="s">
        <v>826</v>
      </c>
    </row>
    <row r="2354" customFormat="false" ht="15" hidden="false" customHeight="false" outlineLevel="0" collapsed="false">
      <c r="A2354" s="0" t="s">
        <v>740</v>
      </c>
      <c r="B2354" s="0" t="s">
        <v>3445</v>
      </c>
      <c r="C2354" s="0" t="s">
        <v>3446</v>
      </c>
      <c r="D2354" s="0" t="s">
        <v>98</v>
      </c>
      <c r="E2354" s="0" t="s">
        <v>826</v>
      </c>
    </row>
    <row r="2355" customFormat="false" ht="15" hidden="false" customHeight="false" outlineLevel="0" collapsed="false">
      <c r="A2355" s="0" t="s">
        <v>740</v>
      </c>
      <c r="B2355" s="0" t="s">
        <v>3447</v>
      </c>
      <c r="C2355" s="0" t="s">
        <v>3448</v>
      </c>
      <c r="D2355" s="0" t="s">
        <v>98</v>
      </c>
      <c r="E2355" s="0" t="s">
        <v>826</v>
      </c>
    </row>
    <row r="2356" customFormat="false" ht="15" hidden="false" customHeight="false" outlineLevel="0" collapsed="false">
      <c r="A2356" s="0" t="s">
        <v>740</v>
      </c>
      <c r="B2356" s="0" t="s">
        <v>3449</v>
      </c>
      <c r="C2356" s="0" t="s">
        <v>3450</v>
      </c>
      <c r="D2356" s="0" t="s">
        <v>98</v>
      </c>
      <c r="E2356" s="0" t="s">
        <v>826</v>
      </c>
    </row>
    <row r="2357" customFormat="false" ht="15" hidden="false" customHeight="false" outlineLevel="0" collapsed="false">
      <c r="A2357" s="0" t="s">
        <v>740</v>
      </c>
      <c r="B2357" s="0" t="s">
        <v>3451</v>
      </c>
      <c r="C2357" s="0" t="s">
        <v>3452</v>
      </c>
      <c r="D2357" s="0" t="s">
        <v>98</v>
      </c>
      <c r="E2357" s="0" t="s">
        <v>826</v>
      </c>
    </row>
    <row r="2358" customFormat="false" ht="15" hidden="false" customHeight="false" outlineLevel="0" collapsed="false">
      <c r="A2358" s="0" t="s">
        <v>740</v>
      </c>
      <c r="B2358" s="0" t="s">
        <v>3453</v>
      </c>
      <c r="C2358" s="0" t="s">
        <v>3454</v>
      </c>
      <c r="D2358" s="0" t="s">
        <v>98</v>
      </c>
      <c r="E2358" s="0" t="s">
        <v>826</v>
      </c>
    </row>
    <row r="2359" customFormat="false" ht="15" hidden="false" customHeight="false" outlineLevel="0" collapsed="false">
      <c r="A2359" s="0" t="s">
        <v>740</v>
      </c>
      <c r="B2359" s="0" t="s">
        <v>3455</v>
      </c>
      <c r="C2359" s="0" t="s">
        <v>3456</v>
      </c>
      <c r="D2359" s="0" t="s">
        <v>98</v>
      </c>
      <c r="E2359" s="0" t="s">
        <v>826</v>
      </c>
    </row>
    <row r="2360" customFormat="false" ht="15" hidden="false" customHeight="false" outlineLevel="0" collapsed="false">
      <c r="A2360" s="0" t="s">
        <v>740</v>
      </c>
      <c r="B2360" s="0" t="s">
        <v>3457</v>
      </c>
      <c r="C2360" s="0" t="s">
        <v>3458</v>
      </c>
      <c r="D2360" s="0" t="s">
        <v>98</v>
      </c>
      <c r="E2360" s="0" t="s">
        <v>826</v>
      </c>
    </row>
    <row r="2361" customFormat="false" ht="15" hidden="false" customHeight="false" outlineLevel="0" collapsed="false">
      <c r="A2361" s="0" t="s">
        <v>740</v>
      </c>
      <c r="B2361" s="0" t="s">
        <v>3459</v>
      </c>
      <c r="C2361" s="0" t="s">
        <v>3460</v>
      </c>
      <c r="D2361" s="0" t="s">
        <v>98</v>
      </c>
      <c r="E2361" s="0" t="s">
        <v>826</v>
      </c>
    </row>
    <row r="2362" customFormat="false" ht="15" hidden="false" customHeight="false" outlineLevel="0" collapsed="false">
      <c r="A2362" s="0" t="s">
        <v>740</v>
      </c>
      <c r="B2362" s="0" t="s">
        <v>3461</v>
      </c>
      <c r="C2362" s="0" t="s">
        <v>3462</v>
      </c>
      <c r="D2362" s="0" t="s">
        <v>98</v>
      </c>
      <c r="E2362" s="0" t="s">
        <v>826</v>
      </c>
    </row>
    <row r="2363" customFormat="false" ht="15" hidden="false" customHeight="false" outlineLevel="0" collapsed="false">
      <c r="A2363" s="0" t="s">
        <v>740</v>
      </c>
      <c r="B2363" s="0" t="s">
        <v>3463</v>
      </c>
      <c r="C2363" s="0" t="s">
        <v>3464</v>
      </c>
      <c r="D2363" s="0" t="s">
        <v>98</v>
      </c>
      <c r="E2363" s="0" t="s">
        <v>826</v>
      </c>
    </row>
    <row r="2364" customFormat="false" ht="15" hidden="false" customHeight="false" outlineLevel="0" collapsed="false">
      <c r="A2364" s="0" t="s">
        <v>740</v>
      </c>
      <c r="B2364" s="0" t="s">
        <v>3465</v>
      </c>
      <c r="C2364" s="0" t="s">
        <v>3466</v>
      </c>
      <c r="D2364" s="0" t="s">
        <v>98</v>
      </c>
      <c r="E2364" s="0" t="s">
        <v>826</v>
      </c>
    </row>
    <row r="2365" customFormat="false" ht="15" hidden="false" customHeight="false" outlineLevel="0" collapsed="false">
      <c r="A2365" s="0" t="s">
        <v>740</v>
      </c>
      <c r="B2365" s="0" t="s">
        <v>3467</v>
      </c>
      <c r="C2365" s="0" t="s">
        <v>630</v>
      </c>
      <c r="D2365" s="0" t="s">
        <v>86</v>
      </c>
      <c r="E2365" s="0" t="s">
        <v>3468</v>
      </c>
    </row>
    <row r="2366" customFormat="false" ht="15" hidden="false" customHeight="false" outlineLevel="0" collapsed="false">
      <c r="A2366" s="0" t="s">
        <v>740</v>
      </c>
      <c r="B2366" s="0" t="s">
        <v>3469</v>
      </c>
      <c r="C2366" s="0" t="s">
        <v>65</v>
      </c>
      <c r="D2366" s="0" t="s">
        <v>86</v>
      </c>
      <c r="E2366" s="0" t="s">
        <v>2501</v>
      </c>
    </row>
    <row r="2367" customFormat="false" ht="15" hidden="false" customHeight="false" outlineLevel="0" collapsed="false">
      <c r="A2367" s="0" t="s">
        <v>740</v>
      </c>
      <c r="B2367" s="0" t="s">
        <v>3470</v>
      </c>
      <c r="C2367" s="0" t="s">
        <v>65</v>
      </c>
      <c r="D2367" s="0" t="s">
        <v>86</v>
      </c>
      <c r="E2367" s="0" t="s">
        <v>2501</v>
      </c>
    </row>
    <row r="2368" customFormat="false" ht="15" hidden="false" customHeight="false" outlineLevel="0" collapsed="false">
      <c r="A2368" s="0" t="s">
        <v>740</v>
      </c>
      <c r="B2368" s="0" t="s">
        <v>3471</v>
      </c>
      <c r="C2368" s="0" t="s">
        <v>65</v>
      </c>
      <c r="D2368" s="0" t="s">
        <v>86</v>
      </c>
      <c r="E2368" s="0" t="s">
        <v>2501</v>
      </c>
    </row>
    <row r="2369" customFormat="false" ht="15" hidden="false" customHeight="false" outlineLevel="0" collapsed="false">
      <c r="A2369" s="0" t="s">
        <v>740</v>
      </c>
      <c r="B2369" s="0" t="s">
        <v>3472</v>
      </c>
      <c r="C2369" s="0" t="s">
        <v>65</v>
      </c>
      <c r="D2369" s="0" t="s">
        <v>86</v>
      </c>
      <c r="E2369" s="0" t="s">
        <v>2501</v>
      </c>
    </row>
    <row r="2370" customFormat="false" ht="15" hidden="false" customHeight="false" outlineLevel="0" collapsed="false">
      <c r="A2370" s="0" t="s">
        <v>740</v>
      </c>
      <c r="B2370" s="0" t="s">
        <v>3473</v>
      </c>
      <c r="C2370" s="0" t="s">
        <v>65</v>
      </c>
      <c r="D2370" s="0" t="s">
        <v>86</v>
      </c>
      <c r="E2370" s="0" t="s">
        <v>2501</v>
      </c>
    </row>
    <row r="2371" customFormat="false" ht="15" hidden="false" customHeight="false" outlineLevel="0" collapsed="false">
      <c r="A2371" s="0" t="s">
        <v>740</v>
      </c>
      <c r="B2371" s="0" t="s">
        <v>3474</v>
      </c>
      <c r="C2371" s="0" t="s">
        <v>65</v>
      </c>
      <c r="D2371" s="0" t="s">
        <v>86</v>
      </c>
      <c r="E2371" s="0" t="s">
        <v>2501</v>
      </c>
    </row>
    <row r="2372" customFormat="false" ht="15" hidden="false" customHeight="false" outlineLevel="0" collapsed="false">
      <c r="A2372" s="0" t="s">
        <v>740</v>
      </c>
      <c r="B2372" s="0" t="s">
        <v>3475</v>
      </c>
      <c r="C2372" s="0" t="s">
        <v>65</v>
      </c>
      <c r="D2372" s="0" t="s">
        <v>86</v>
      </c>
      <c r="E2372" s="0" t="s">
        <v>2501</v>
      </c>
    </row>
    <row r="2373" customFormat="false" ht="15" hidden="false" customHeight="false" outlineLevel="0" collapsed="false">
      <c r="A2373" s="0" t="s">
        <v>740</v>
      </c>
      <c r="B2373" s="0" t="s">
        <v>3476</v>
      </c>
      <c r="C2373" s="0" t="s">
        <v>65</v>
      </c>
      <c r="D2373" s="0" t="s">
        <v>86</v>
      </c>
      <c r="E2373" s="0" t="s">
        <v>2501</v>
      </c>
    </row>
    <row r="2374" customFormat="false" ht="15" hidden="false" customHeight="false" outlineLevel="0" collapsed="false">
      <c r="A2374" s="0" t="s">
        <v>740</v>
      </c>
      <c r="B2374" s="0" t="s">
        <v>3477</v>
      </c>
      <c r="C2374" s="0" t="s">
        <v>65</v>
      </c>
      <c r="D2374" s="0" t="s">
        <v>86</v>
      </c>
      <c r="E2374" s="0" t="s">
        <v>2501</v>
      </c>
    </row>
    <row r="2375" customFormat="false" ht="15" hidden="false" customHeight="false" outlineLevel="0" collapsed="false">
      <c r="A2375" s="0" t="s">
        <v>740</v>
      </c>
      <c r="B2375" s="0" t="s">
        <v>3478</v>
      </c>
      <c r="C2375" s="0" t="s">
        <v>65</v>
      </c>
      <c r="D2375" s="0" t="s">
        <v>86</v>
      </c>
      <c r="E2375" s="0" t="s">
        <v>2501</v>
      </c>
    </row>
    <row r="2376" customFormat="false" ht="15" hidden="false" customHeight="false" outlineLevel="0" collapsed="false">
      <c r="A2376" s="0" t="s">
        <v>740</v>
      </c>
      <c r="B2376" s="0" t="s">
        <v>3479</v>
      </c>
      <c r="C2376" s="0" t="s">
        <v>65</v>
      </c>
      <c r="D2376" s="0" t="s">
        <v>86</v>
      </c>
      <c r="E2376" s="0" t="s">
        <v>2501</v>
      </c>
    </row>
    <row r="2377" customFormat="false" ht="15" hidden="false" customHeight="false" outlineLevel="0" collapsed="false">
      <c r="A2377" s="0" t="s">
        <v>740</v>
      </c>
      <c r="B2377" s="0" t="s">
        <v>3480</v>
      </c>
      <c r="C2377" s="0" t="s">
        <v>65</v>
      </c>
      <c r="D2377" s="0" t="s">
        <v>86</v>
      </c>
      <c r="E2377" s="0" t="s">
        <v>2501</v>
      </c>
    </row>
    <row r="2378" customFormat="false" ht="15" hidden="false" customHeight="false" outlineLevel="0" collapsed="false">
      <c r="A2378" s="0" t="s">
        <v>740</v>
      </c>
      <c r="B2378" s="0" t="s">
        <v>3481</v>
      </c>
      <c r="C2378" s="0" t="s">
        <v>65</v>
      </c>
      <c r="D2378" s="0" t="s">
        <v>86</v>
      </c>
      <c r="E2378" s="0" t="s">
        <v>2501</v>
      </c>
    </row>
    <row r="2379" customFormat="false" ht="15" hidden="false" customHeight="false" outlineLevel="0" collapsed="false">
      <c r="A2379" s="0" t="s">
        <v>740</v>
      </c>
      <c r="B2379" s="0" t="s">
        <v>3482</v>
      </c>
      <c r="C2379" s="0" t="s">
        <v>65</v>
      </c>
      <c r="D2379" s="0" t="s">
        <v>86</v>
      </c>
      <c r="E2379" s="0" t="s">
        <v>2501</v>
      </c>
    </row>
    <row r="2380" customFormat="false" ht="15" hidden="false" customHeight="false" outlineLevel="0" collapsed="false">
      <c r="A2380" s="0" t="s">
        <v>740</v>
      </c>
      <c r="B2380" s="0" t="s">
        <v>3483</v>
      </c>
      <c r="C2380" s="0" t="s">
        <v>65</v>
      </c>
      <c r="D2380" s="0" t="s">
        <v>86</v>
      </c>
      <c r="E2380" s="0" t="s">
        <v>2501</v>
      </c>
    </row>
    <row r="2381" customFormat="false" ht="15" hidden="false" customHeight="false" outlineLevel="0" collapsed="false">
      <c r="A2381" s="0" t="s">
        <v>740</v>
      </c>
      <c r="B2381" s="0" t="s">
        <v>3484</v>
      </c>
      <c r="C2381" s="0" t="s">
        <v>65</v>
      </c>
      <c r="D2381" s="0" t="s">
        <v>86</v>
      </c>
      <c r="E2381" s="0" t="s">
        <v>2501</v>
      </c>
    </row>
    <row r="2382" customFormat="false" ht="15" hidden="false" customHeight="false" outlineLevel="0" collapsed="false">
      <c r="A2382" s="0" t="s">
        <v>740</v>
      </c>
      <c r="B2382" s="0" t="s">
        <v>3485</v>
      </c>
      <c r="C2382" s="0" t="s">
        <v>65</v>
      </c>
      <c r="D2382" s="0" t="s">
        <v>86</v>
      </c>
      <c r="E2382" s="0" t="s">
        <v>2501</v>
      </c>
    </row>
    <row r="2383" customFormat="false" ht="15" hidden="false" customHeight="false" outlineLevel="0" collapsed="false">
      <c r="A2383" s="0" t="s">
        <v>740</v>
      </c>
      <c r="B2383" s="0" t="s">
        <v>3486</v>
      </c>
      <c r="C2383" s="0" t="s">
        <v>65</v>
      </c>
      <c r="D2383" s="0" t="s">
        <v>86</v>
      </c>
      <c r="E2383" s="0" t="s">
        <v>2501</v>
      </c>
    </row>
    <row r="2384" customFormat="false" ht="15" hidden="false" customHeight="false" outlineLevel="0" collapsed="false">
      <c r="A2384" s="0" t="s">
        <v>740</v>
      </c>
      <c r="B2384" s="0" t="s">
        <v>3487</v>
      </c>
      <c r="C2384" s="0" t="s">
        <v>65</v>
      </c>
      <c r="D2384" s="0" t="s">
        <v>86</v>
      </c>
      <c r="E2384" s="0" t="s">
        <v>2501</v>
      </c>
    </row>
    <row r="2385" customFormat="false" ht="15" hidden="false" customHeight="false" outlineLevel="0" collapsed="false">
      <c r="A2385" s="0" t="s">
        <v>740</v>
      </c>
      <c r="B2385" s="0" t="s">
        <v>3488</v>
      </c>
      <c r="C2385" s="0" t="s">
        <v>65</v>
      </c>
      <c r="D2385" s="0" t="s">
        <v>86</v>
      </c>
      <c r="E2385" s="0" t="s">
        <v>2501</v>
      </c>
    </row>
    <row r="2386" customFormat="false" ht="15" hidden="false" customHeight="false" outlineLevel="0" collapsed="false">
      <c r="A2386" s="0" t="s">
        <v>740</v>
      </c>
      <c r="B2386" s="0" t="s">
        <v>3489</v>
      </c>
      <c r="C2386" s="0" t="s">
        <v>65</v>
      </c>
      <c r="D2386" s="0" t="s">
        <v>86</v>
      </c>
      <c r="E2386" s="0" t="s">
        <v>2501</v>
      </c>
    </row>
    <row r="2387" customFormat="false" ht="15" hidden="false" customHeight="false" outlineLevel="0" collapsed="false">
      <c r="A2387" s="0" t="s">
        <v>740</v>
      </c>
      <c r="B2387" s="0" t="s">
        <v>3490</v>
      </c>
      <c r="C2387" s="0" t="s">
        <v>65</v>
      </c>
      <c r="D2387" s="0" t="s">
        <v>86</v>
      </c>
      <c r="E2387" s="0" t="s">
        <v>2501</v>
      </c>
    </row>
    <row r="2388" customFormat="false" ht="15" hidden="false" customHeight="false" outlineLevel="0" collapsed="false">
      <c r="A2388" s="0" t="s">
        <v>740</v>
      </c>
      <c r="B2388" s="0" t="s">
        <v>3491</v>
      </c>
      <c r="C2388" s="0" t="s">
        <v>65</v>
      </c>
      <c r="D2388" s="0" t="s">
        <v>86</v>
      </c>
      <c r="E2388" s="0" t="s">
        <v>2501</v>
      </c>
    </row>
    <row r="2389" customFormat="false" ht="15" hidden="false" customHeight="false" outlineLevel="0" collapsed="false">
      <c r="A2389" s="0" t="s">
        <v>740</v>
      </c>
      <c r="B2389" s="0" t="s">
        <v>3492</v>
      </c>
      <c r="C2389" s="0" t="s">
        <v>65</v>
      </c>
      <c r="D2389" s="0" t="s">
        <v>86</v>
      </c>
      <c r="E2389" s="0" t="s">
        <v>2501</v>
      </c>
    </row>
    <row r="2390" customFormat="false" ht="15" hidden="false" customHeight="false" outlineLevel="0" collapsed="false">
      <c r="A2390" s="0" t="s">
        <v>740</v>
      </c>
      <c r="B2390" s="0" t="s">
        <v>3493</v>
      </c>
      <c r="C2390" s="0" t="s">
        <v>65</v>
      </c>
      <c r="D2390" s="0" t="s">
        <v>86</v>
      </c>
      <c r="E2390" s="0" t="s">
        <v>2501</v>
      </c>
    </row>
    <row r="2391" customFormat="false" ht="15" hidden="false" customHeight="false" outlineLevel="0" collapsed="false">
      <c r="A2391" s="0" t="s">
        <v>740</v>
      </c>
      <c r="B2391" s="0" t="s">
        <v>3494</v>
      </c>
      <c r="C2391" s="0" t="s">
        <v>65</v>
      </c>
      <c r="D2391" s="0" t="s">
        <v>86</v>
      </c>
      <c r="E2391" s="0" t="s">
        <v>2501</v>
      </c>
    </row>
    <row r="2392" customFormat="false" ht="15" hidden="false" customHeight="false" outlineLevel="0" collapsed="false">
      <c r="A2392" s="0" t="s">
        <v>740</v>
      </c>
      <c r="B2392" s="0" t="s">
        <v>3495</v>
      </c>
      <c r="C2392" s="0" t="s">
        <v>65</v>
      </c>
      <c r="D2392" s="0" t="s">
        <v>86</v>
      </c>
      <c r="E2392" s="0" t="s">
        <v>2501</v>
      </c>
    </row>
    <row r="2393" customFormat="false" ht="15" hidden="false" customHeight="false" outlineLevel="0" collapsed="false">
      <c r="A2393" s="0" t="s">
        <v>740</v>
      </c>
      <c r="B2393" s="0" t="s">
        <v>3496</v>
      </c>
      <c r="C2393" s="0" t="s">
        <v>65</v>
      </c>
      <c r="D2393" s="0" t="s">
        <v>86</v>
      </c>
      <c r="E2393" s="0" t="s">
        <v>2501</v>
      </c>
    </row>
    <row r="2394" customFormat="false" ht="15" hidden="false" customHeight="false" outlineLevel="0" collapsed="false">
      <c r="A2394" s="0" t="s">
        <v>740</v>
      </c>
      <c r="B2394" s="0" t="s">
        <v>3497</v>
      </c>
      <c r="C2394" s="0" t="s">
        <v>762</v>
      </c>
      <c r="D2394" s="0" t="s">
        <v>98</v>
      </c>
      <c r="E2394" s="0" t="s">
        <v>763</v>
      </c>
    </row>
    <row r="2395" customFormat="false" ht="15" hidden="false" customHeight="false" outlineLevel="0" collapsed="false">
      <c r="A2395" s="0" t="s">
        <v>740</v>
      </c>
      <c r="B2395" s="0" t="s">
        <v>3498</v>
      </c>
      <c r="C2395" s="0" t="s">
        <v>762</v>
      </c>
      <c r="D2395" s="0" t="s">
        <v>98</v>
      </c>
      <c r="E2395" s="0" t="s">
        <v>763</v>
      </c>
    </row>
    <row r="2396" customFormat="false" ht="15" hidden="false" customHeight="false" outlineLevel="0" collapsed="false">
      <c r="A2396" s="0" t="s">
        <v>740</v>
      </c>
      <c r="B2396" s="0" t="s">
        <v>3499</v>
      </c>
      <c r="C2396" s="0" t="s">
        <v>762</v>
      </c>
      <c r="D2396" s="0" t="s">
        <v>98</v>
      </c>
      <c r="E2396" s="0" t="s">
        <v>763</v>
      </c>
    </row>
    <row r="2397" customFormat="false" ht="15" hidden="false" customHeight="false" outlineLevel="0" collapsed="false">
      <c r="A2397" s="0" t="s">
        <v>740</v>
      </c>
      <c r="B2397" s="0" t="s">
        <v>3500</v>
      </c>
      <c r="C2397" s="0" t="s">
        <v>762</v>
      </c>
      <c r="D2397" s="0" t="s">
        <v>98</v>
      </c>
      <c r="E2397" s="0" t="s">
        <v>763</v>
      </c>
    </row>
    <row r="2398" customFormat="false" ht="15" hidden="false" customHeight="false" outlineLevel="0" collapsed="false">
      <c r="A2398" s="0" t="s">
        <v>740</v>
      </c>
      <c r="B2398" s="0" t="s">
        <v>3501</v>
      </c>
      <c r="C2398" s="0" t="s">
        <v>762</v>
      </c>
      <c r="D2398" s="0" t="s">
        <v>98</v>
      </c>
      <c r="E2398" s="0" t="s">
        <v>763</v>
      </c>
    </row>
    <row r="2399" customFormat="false" ht="15" hidden="false" customHeight="false" outlineLevel="0" collapsed="false">
      <c r="A2399" s="0" t="s">
        <v>740</v>
      </c>
      <c r="B2399" s="0" t="s">
        <v>3502</v>
      </c>
      <c r="C2399" s="0" t="s">
        <v>762</v>
      </c>
      <c r="D2399" s="0" t="s">
        <v>98</v>
      </c>
      <c r="E2399" s="0" t="s">
        <v>763</v>
      </c>
    </row>
    <row r="2400" customFormat="false" ht="15" hidden="false" customHeight="false" outlineLevel="0" collapsed="false">
      <c r="A2400" s="0" t="s">
        <v>740</v>
      </c>
      <c r="B2400" s="0" t="s">
        <v>3503</v>
      </c>
      <c r="C2400" s="0" t="s">
        <v>762</v>
      </c>
      <c r="D2400" s="0" t="s">
        <v>98</v>
      </c>
      <c r="E2400" s="0" t="s">
        <v>763</v>
      </c>
    </row>
    <row r="2401" customFormat="false" ht="15" hidden="false" customHeight="false" outlineLevel="0" collapsed="false">
      <c r="A2401" s="0" t="s">
        <v>740</v>
      </c>
      <c r="B2401" s="0" t="s">
        <v>3504</v>
      </c>
      <c r="C2401" s="0" t="s">
        <v>762</v>
      </c>
      <c r="D2401" s="0" t="s">
        <v>98</v>
      </c>
      <c r="E2401" s="0" t="s">
        <v>763</v>
      </c>
    </row>
    <row r="2402" customFormat="false" ht="15" hidden="false" customHeight="false" outlineLevel="0" collapsed="false">
      <c r="A2402" s="0" t="s">
        <v>740</v>
      </c>
      <c r="B2402" s="0" t="s">
        <v>3505</v>
      </c>
      <c r="C2402" s="0" t="s">
        <v>600</v>
      </c>
      <c r="D2402" s="0" t="s">
        <v>93</v>
      </c>
      <c r="E2402" s="0" t="s">
        <v>3506</v>
      </c>
    </row>
    <row r="2403" customFormat="false" ht="15" hidden="false" customHeight="false" outlineLevel="0" collapsed="false">
      <c r="A2403" s="0" t="s">
        <v>740</v>
      </c>
      <c r="B2403" s="0" t="s">
        <v>3507</v>
      </c>
      <c r="C2403" s="0" t="s">
        <v>600</v>
      </c>
      <c r="D2403" s="0" t="s">
        <v>93</v>
      </c>
      <c r="E2403" s="0" t="s">
        <v>1555</v>
      </c>
    </row>
    <row r="2404" customFormat="false" ht="15" hidden="false" customHeight="false" outlineLevel="0" collapsed="false">
      <c r="A2404" s="0" t="s">
        <v>740</v>
      </c>
      <c r="B2404" s="0" t="s">
        <v>3508</v>
      </c>
      <c r="C2404" s="0" t="s">
        <v>600</v>
      </c>
      <c r="D2404" s="0" t="s">
        <v>93</v>
      </c>
      <c r="E2404" s="0" t="s">
        <v>1555</v>
      </c>
    </row>
    <row r="2405" customFormat="false" ht="15" hidden="false" customHeight="false" outlineLevel="0" collapsed="false">
      <c r="A2405" s="0" t="s">
        <v>740</v>
      </c>
      <c r="B2405" s="0" t="s">
        <v>3509</v>
      </c>
      <c r="C2405" s="0" t="s">
        <v>600</v>
      </c>
      <c r="D2405" s="0" t="s">
        <v>93</v>
      </c>
      <c r="E2405" s="0" t="s">
        <v>1555</v>
      </c>
    </row>
    <row r="2406" customFormat="false" ht="15" hidden="false" customHeight="false" outlineLevel="0" collapsed="false">
      <c r="A2406" s="0" t="s">
        <v>740</v>
      </c>
      <c r="B2406" s="0" t="s">
        <v>3510</v>
      </c>
      <c r="C2406" s="0" t="s">
        <v>600</v>
      </c>
      <c r="D2406" s="0" t="s">
        <v>93</v>
      </c>
      <c r="E2406" s="0" t="s">
        <v>1555</v>
      </c>
    </row>
    <row r="2407" customFormat="false" ht="15" hidden="false" customHeight="false" outlineLevel="0" collapsed="false">
      <c r="A2407" s="0" t="s">
        <v>740</v>
      </c>
      <c r="B2407" s="0" t="s">
        <v>3511</v>
      </c>
      <c r="C2407" s="0" t="s">
        <v>600</v>
      </c>
      <c r="D2407" s="0" t="s">
        <v>93</v>
      </c>
      <c r="E2407" s="0" t="s">
        <v>1555</v>
      </c>
    </row>
    <row r="2408" customFormat="false" ht="15" hidden="false" customHeight="false" outlineLevel="0" collapsed="false">
      <c r="A2408" s="0" t="s">
        <v>740</v>
      </c>
      <c r="B2408" s="0" t="s">
        <v>3512</v>
      </c>
      <c r="C2408" s="0" t="s">
        <v>600</v>
      </c>
      <c r="D2408" s="0" t="s">
        <v>93</v>
      </c>
      <c r="E2408" s="0" t="s">
        <v>1555</v>
      </c>
    </row>
    <row r="2409" customFormat="false" ht="15" hidden="false" customHeight="false" outlineLevel="0" collapsed="false">
      <c r="A2409" s="0" t="s">
        <v>740</v>
      </c>
      <c r="B2409" s="0" t="s">
        <v>3513</v>
      </c>
      <c r="C2409" s="0" t="s">
        <v>600</v>
      </c>
      <c r="D2409" s="0" t="s">
        <v>93</v>
      </c>
      <c r="E2409" s="0" t="s">
        <v>1555</v>
      </c>
    </row>
    <row r="2410" customFormat="false" ht="15" hidden="false" customHeight="false" outlineLevel="0" collapsed="false">
      <c r="A2410" s="0" t="s">
        <v>740</v>
      </c>
      <c r="B2410" s="0" t="s">
        <v>3514</v>
      </c>
      <c r="C2410" s="0" t="s">
        <v>600</v>
      </c>
      <c r="D2410" s="0" t="s">
        <v>93</v>
      </c>
      <c r="E2410" s="0" t="s">
        <v>1555</v>
      </c>
    </row>
    <row r="2411" customFormat="false" ht="15" hidden="false" customHeight="false" outlineLevel="0" collapsed="false">
      <c r="A2411" s="0" t="s">
        <v>740</v>
      </c>
      <c r="B2411" s="0" t="s">
        <v>3515</v>
      </c>
      <c r="C2411" s="0" t="s">
        <v>600</v>
      </c>
      <c r="D2411" s="0" t="s">
        <v>93</v>
      </c>
      <c r="E2411" s="0" t="s">
        <v>1555</v>
      </c>
    </row>
    <row r="2412" customFormat="false" ht="15" hidden="false" customHeight="false" outlineLevel="0" collapsed="false">
      <c r="A2412" s="0" t="s">
        <v>740</v>
      </c>
      <c r="B2412" s="0" t="s">
        <v>3516</v>
      </c>
      <c r="C2412" s="0" t="s">
        <v>600</v>
      </c>
      <c r="D2412" s="0" t="s">
        <v>93</v>
      </c>
      <c r="E2412" s="0" t="s">
        <v>1555</v>
      </c>
    </row>
    <row r="2413" customFormat="false" ht="15" hidden="false" customHeight="false" outlineLevel="0" collapsed="false">
      <c r="A2413" s="0" t="s">
        <v>740</v>
      </c>
      <c r="B2413" s="0" t="s">
        <v>3517</v>
      </c>
      <c r="C2413" s="0" t="s">
        <v>600</v>
      </c>
      <c r="D2413" s="0" t="s">
        <v>93</v>
      </c>
      <c r="E2413" s="0" t="s">
        <v>1555</v>
      </c>
    </row>
    <row r="2414" customFormat="false" ht="15" hidden="false" customHeight="false" outlineLevel="0" collapsed="false">
      <c r="A2414" s="0" t="s">
        <v>740</v>
      </c>
      <c r="B2414" s="0" t="s">
        <v>3518</v>
      </c>
      <c r="C2414" s="0" t="s">
        <v>600</v>
      </c>
      <c r="D2414" s="0" t="s">
        <v>93</v>
      </c>
      <c r="E2414" s="0" t="s">
        <v>1555</v>
      </c>
    </row>
    <row r="2415" customFormat="false" ht="15" hidden="false" customHeight="false" outlineLevel="0" collapsed="false">
      <c r="A2415" s="0" t="s">
        <v>740</v>
      </c>
      <c r="B2415" s="0" t="s">
        <v>3519</v>
      </c>
      <c r="C2415" s="0" t="s">
        <v>600</v>
      </c>
      <c r="D2415" s="0" t="s">
        <v>93</v>
      </c>
      <c r="E2415" s="0" t="s">
        <v>1555</v>
      </c>
    </row>
    <row r="2416" customFormat="false" ht="15" hidden="false" customHeight="false" outlineLevel="0" collapsed="false">
      <c r="A2416" s="0" t="s">
        <v>740</v>
      </c>
      <c r="B2416" s="0" t="s">
        <v>3520</v>
      </c>
      <c r="C2416" s="0" t="s">
        <v>600</v>
      </c>
      <c r="D2416" s="0" t="s">
        <v>93</v>
      </c>
      <c r="E2416" s="0" t="s">
        <v>1555</v>
      </c>
    </row>
    <row r="2417" customFormat="false" ht="15" hidden="false" customHeight="false" outlineLevel="0" collapsed="false">
      <c r="A2417" s="0" t="s">
        <v>740</v>
      </c>
      <c r="B2417" s="0" t="s">
        <v>3521</v>
      </c>
      <c r="C2417" s="0" t="s">
        <v>600</v>
      </c>
      <c r="D2417" s="0" t="s">
        <v>93</v>
      </c>
      <c r="E2417" s="0" t="s">
        <v>1555</v>
      </c>
    </row>
    <row r="2418" customFormat="false" ht="15" hidden="false" customHeight="false" outlineLevel="0" collapsed="false">
      <c r="A2418" s="0" t="s">
        <v>740</v>
      </c>
      <c r="B2418" s="0" t="s">
        <v>3522</v>
      </c>
      <c r="C2418" s="0" t="s">
        <v>600</v>
      </c>
      <c r="D2418" s="0" t="s">
        <v>93</v>
      </c>
      <c r="E2418" s="0" t="s">
        <v>1555</v>
      </c>
    </row>
    <row r="2419" customFormat="false" ht="15" hidden="false" customHeight="false" outlineLevel="0" collapsed="false">
      <c r="A2419" s="0" t="s">
        <v>740</v>
      </c>
      <c r="B2419" s="0" t="s">
        <v>3523</v>
      </c>
      <c r="C2419" s="0" t="s">
        <v>600</v>
      </c>
      <c r="D2419" s="0" t="s">
        <v>93</v>
      </c>
      <c r="E2419" s="0" t="s">
        <v>1555</v>
      </c>
    </row>
    <row r="2420" customFormat="false" ht="15" hidden="false" customHeight="false" outlineLevel="0" collapsed="false">
      <c r="A2420" s="0" t="s">
        <v>740</v>
      </c>
      <c r="B2420" s="0" t="s">
        <v>3524</v>
      </c>
      <c r="C2420" s="0" t="s">
        <v>600</v>
      </c>
      <c r="D2420" s="0" t="s">
        <v>93</v>
      </c>
      <c r="E2420" s="0" t="s">
        <v>1555</v>
      </c>
    </row>
    <row r="2421" customFormat="false" ht="15" hidden="false" customHeight="false" outlineLevel="0" collapsed="false">
      <c r="A2421" s="0" t="s">
        <v>740</v>
      </c>
      <c r="B2421" s="0" t="s">
        <v>3525</v>
      </c>
      <c r="C2421" s="0" t="s">
        <v>600</v>
      </c>
      <c r="D2421" s="0" t="s">
        <v>93</v>
      </c>
      <c r="E2421" s="0" t="s">
        <v>1555</v>
      </c>
    </row>
    <row r="2422" customFormat="false" ht="15" hidden="false" customHeight="false" outlineLevel="0" collapsed="false">
      <c r="A2422" s="0" t="s">
        <v>740</v>
      </c>
      <c r="B2422" s="0" t="s">
        <v>3526</v>
      </c>
      <c r="C2422" s="0" t="s">
        <v>762</v>
      </c>
      <c r="D2422" s="0" t="s">
        <v>98</v>
      </c>
      <c r="E2422" s="0" t="s">
        <v>763</v>
      </c>
    </row>
    <row r="2423" customFormat="false" ht="15" hidden="false" customHeight="false" outlineLevel="0" collapsed="false">
      <c r="A2423" s="0" t="s">
        <v>740</v>
      </c>
      <c r="B2423" s="0" t="s">
        <v>3527</v>
      </c>
      <c r="C2423" s="0" t="s">
        <v>762</v>
      </c>
      <c r="D2423" s="0" t="s">
        <v>98</v>
      </c>
      <c r="E2423" s="0" t="s">
        <v>763</v>
      </c>
    </row>
    <row r="2424" customFormat="false" ht="15" hidden="false" customHeight="false" outlineLevel="0" collapsed="false">
      <c r="A2424" s="0" t="s">
        <v>740</v>
      </c>
      <c r="B2424" s="0" t="s">
        <v>3528</v>
      </c>
      <c r="C2424" s="0" t="s">
        <v>762</v>
      </c>
      <c r="D2424" s="0" t="s">
        <v>98</v>
      </c>
      <c r="E2424" s="0" t="s">
        <v>763</v>
      </c>
    </row>
    <row r="2425" customFormat="false" ht="15" hidden="false" customHeight="false" outlineLevel="0" collapsed="false">
      <c r="A2425" s="0" t="s">
        <v>740</v>
      </c>
      <c r="B2425" s="0" t="s">
        <v>3529</v>
      </c>
      <c r="C2425" s="0" t="s">
        <v>762</v>
      </c>
      <c r="D2425" s="0" t="s">
        <v>98</v>
      </c>
      <c r="E2425" s="0" t="s">
        <v>763</v>
      </c>
    </row>
    <row r="2426" customFormat="false" ht="15" hidden="false" customHeight="false" outlineLevel="0" collapsed="false">
      <c r="A2426" s="0" t="s">
        <v>740</v>
      </c>
      <c r="B2426" s="0" t="s">
        <v>3530</v>
      </c>
      <c r="C2426" s="0" t="s">
        <v>762</v>
      </c>
      <c r="D2426" s="0" t="s">
        <v>98</v>
      </c>
      <c r="E2426" s="0" t="s">
        <v>763</v>
      </c>
    </row>
    <row r="2427" customFormat="false" ht="15" hidden="false" customHeight="false" outlineLevel="0" collapsed="false">
      <c r="A2427" s="0" t="s">
        <v>740</v>
      </c>
      <c r="B2427" s="0" t="s">
        <v>3531</v>
      </c>
      <c r="C2427" s="0" t="s">
        <v>762</v>
      </c>
      <c r="D2427" s="0" t="s">
        <v>98</v>
      </c>
      <c r="E2427" s="0" t="s">
        <v>763</v>
      </c>
    </row>
    <row r="2428" customFormat="false" ht="15" hidden="false" customHeight="false" outlineLevel="0" collapsed="false">
      <c r="A2428" s="0" t="s">
        <v>740</v>
      </c>
      <c r="B2428" s="0" t="s">
        <v>3532</v>
      </c>
      <c r="C2428" s="0" t="s">
        <v>762</v>
      </c>
      <c r="D2428" s="0" t="s">
        <v>98</v>
      </c>
      <c r="E2428" s="0" t="s">
        <v>763</v>
      </c>
    </row>
    <row r="2429" customFormat="false" ht="15" hidden="false" customHeight="false" outlineLevel="0" collapsed="false">
      <c r="A2429" s="0" t="s">
        <v>740</v>
      </c>
      <c r="B2429" s="0" t="s">
        <v>3533</v>
      </c>
      <c r="C2429" s="0" t="s">
        <v>762</v>
      </c>
      <c r="D2429" s="0" t="s">
        <v>98</v>
      </c>
      <c r="E2429" s="0" t="s">
        <v>763</v>
      </c>
    </row>
    <row r="2430" customFormat="false" ht="15" hidden="false" customHeight="false" outlineLevel="0" collapsed="false">
      <c r="A2430" s="0" t="s">
        <v>740</v>
      </c>
      <c r="B2430" s="0" t="s">
        <v>3534</v>
      </c>
      <c r="C2430" s="0" t="s">
        <v>1859</v>
      </c>
      <c r="D2430" s="0" t="s">
        <v>93</v>
      </c>
      <c r="E2430" s="0" t="s">
        <v>3506</v>
      </c>
    </row>
    <row r="2431" customFormat="false" ht="15" hidden="false" customHeight="false" outlineLevel="0" collapsed="false">
      <c r="A2431" s="0" t="s">
        <v>740</v>
      </c>
      <c r="B2431" s="0" t="s">
        <v>3535</v>
      </c>
      <c r="C2431" s="0" t="s">
        <v>1859</v>
      </c>
      <c r="D2431" s="0" t="s">
        <v>93</v>
      </c>
      <c r="E2431" s="0" t="s">
        <v>1555</v>
      </c>
    </row>
    <row r="2432" customFormat="false" ht="15" hidden="false" customHeight="false" outlineLevel="0" collapsed="false">
      <c r="A2432" s="0" t="s">
        <v>740</v>
      </c>
      <c r="B2432" s="0" t="s">
        <v>3536</v>
      </c>
      <c r="C2432" s="0" t="s">
        <v>1859</v>
      </c>
      <c r="D2432" s="0" t="s">
        <v>93</v>
      </c>
      <c r="E2432" s="0" t="s">
        <v>1555</v>
      </c>
    </row>
    <row r="2433" customFormat="false" ht="15" hidden="false" customHeight="false" outlineLevel="0" collapsed="false">
      <c r="A2433" s="0" t="s">
        <v>740</v>
      </c>
      <c r="B2433" s="0" t="s">
        <v>3537</v>
      </c>
      <c r="C2433" s="0" t="s">
        <v>1859</v>
      </c>
      <c r="D2433" s="0" t="s">
        <v>93</v>
      </c>
      <c r="E2433" s="0" t="s">
        <v>1555</v>
      </c>
    </row>
    <row r="2434" customFormat="false" ht="15" hidden="false" customHeight="false" outlineLevel="0" collapsed="false">
      <c r="A2434" s="0" t="s">
        <v>740</v>
      </c>
      <c r="B2434" s="0" t="s">
        <v>3538</v>
      </c>
      <c r="C2434" s="0" t="s">
        <v>1859</v>
      </c>
      <c r="D2434" s="0" t="s">
        <v>93</v>
      </c>
      <c r="E2434" s="0" t="s">
        <v>1555</v>
      </c>
    </row>
    <row r="2435" customFormat="false" ht="15" hidden="false" customHeight="false" outlineLevel="0" collapsed="false">
      <c r="A2435" s="0" t="s">
        <v>740</v>
      </c>
      <c r="B2435" s="0" t="s">
        <v>3539</v>
      </c>
      <c r="C2435" s="0" t="s">
        <v>1859</v>
      </c>
      <c r="D2435" s="0" t="s">
        <v>93</v>
      </c>
      <c r="E2435" s="0" t="s">
        <v>1555</v>
      </c>
    </row>
    <row r="2436" customFormat="false" ht="15" hidden="false" customHeight="false" outlineLevel="0" collapsed="false">
      <c r="A2436" s="0" t="s">
        <v>740</v>
      </c>
      <c r="B2436" s="0" t="s">
        <v>3540</v>
      </c>
      <c r="C2436" s="0" t="s">
        <v>1859</v>
      </c>
      <c r="D2436" s="0" t="s">
        <v>93</v>
      </c>
      <c r="E2436" s="0" t="s">
        <v>1555</v>
      </c>
    </row>
    <row r="2437" customFormat="false" ht="15" hidden="false" customHeight="false" outlineLevel="0" collapsed="false">
      <c r="A2437" s="0" t="s">
        <v>740</v>
      </c>
      <c r="B2437" s="0" t="s">
        <v>3541</v>
      </c>
      <c r="C2437" s="0" t="s">
        <v>1859</v>
      </c>
      <c r="D2437" s="0" t="s">
        <v>93</v>
      </c>
      <c r="E2437" s="0" t="s">
        <v>1555</v>
      </c>
    </row>
    <row r="2438" customFormat="false" ht="15" hidden="false" customHeight="false" outlineLevel="0" collapsed="false">
      <c r="A2438" s="0" t="s">
        <v>740</v>
      </c>
      <c r="B2438" s="0" t="s">
        <v>3542</v>
      </c>
      <c r="C2438" s="0" t="s">
        <v>1859</v>
      </c>
      <c r="D2438" s="0" t="s">
        <v>93</v>
      </c>
      <c r="E2438" s="0" t="s">
        <v>1555</v>
      </c>
    </row>
    <row r="2439" customFormat="false" ht="15" hidden="false" customHeight="false" outlineLevel="0" collapsed="false">
      <c r="A2439" s="0" t="s">
        <v>740</v>
      </c>
      <c r="B2439" s="0" t="s">
        <v>3543</v>
      </c>
      <c r="C2439" s="0" t="s">
        <v>1859</v>
      </c>
      <c r="D2439" s="0" t="s">
        <v>93</v>
      </c>
      <c r="E2439" s="0" t="s">
        <v>1555</v>
      </c>
    </row>
    <row r="2440" customFormat="false" ht="15" hidden="false" customHeight="false" outlineLevel="0" collapsed="false">
      <c r="A2440" s="0" t="s">
        <v>740</v>
      </c>
      <c r="B2440" s="0" t="s">
        <v>3544</v>
      </c>
      <c r="C2440" s="0" t="s">
        <v>1859</v>
      </c>
      <c r="D2440" s="0" t="s">
        <v>93</v>
      </c>
      <c r="E2440" s="0" t="s">
        <v>1555</v>
      </c>
    </row>
    <row r="2441" customFormat="false" ht="15" hidden="false" customHeight="false" outlineLevel="0" collapsed="false">
      <c r="A2441" s="0" t="s">
        <v>740</v>
      </c>
      <c r="B2441" s="0" t="s">
        <v>3545</v>
      </c>
      <c r="C2441" s="0" t="s">
        <v>1859</v>
      </c>
      <c r="D2441" s="0" t="s">
        <v>93</v>
      </c>
      <c r="E2441" s="0" t="s">
        <v>1555</v>
      </c>
    </row>
    <row r="2442" customFormat="false" ht="15" hidden="false" customHeight="false" outlineLevel="0" collapsed="false">
      <c r="A2442" s="0" t="s">
        <v>740</v>
      </c>
      <c r="B2442" s="0" t="s">
        <v>3546</v>
      </c>
      <c r="C2442" s="0" t="s">
        <v>1859</v>
      </c>
      <c r="D2442" s="0" t="s">
        <v>93</v>
      </c>
      <c r="E2442" s="0" t="s">
        <v>1555</v>
      </c>
    </row>
    <row r="2443" customFormat="false" ht="15" hidden="false" customHeight="false" outlineLevel="0" collapsed="false">
      <c r="A2443" s="0" t="s">
        <v>740</v>
      </c>
      <c r="B2443" s="0" t="s">
        <v>3547</v>
      </c>
      <c r="C2443" s="0" t="s">
        <v>1859</v>
      </c>
      <c r="D2443" s="0" t="s">
        <v>93</v>
      </c>
      <c r="E2443" s="0" t="s">
        <v>1555</v>
      </c>
    </row>
    <row r="2444" customFormat="false" ht="15" hidden="false" customHeight="false" outlineLevel="0" collapsed="false">
      <c r="A2444" s="0" t="s">
        <v>740</v>
      </c>
      <c r="B2444" s="0" t="s">
        <v>3548</v>
      </c>
      <c r="C2444" s="0" t="s">
        <v>1859</v>
      </c>
      <c r="D2444" s="0" t="s">
        <v>93</v>
      </c>
      <c r="E2444" s="0" t="s">
        <v>1555</v>
      </c>
    </row>
    <row r="2445" customFormat="false" ht="15" hidden="false" customHeight="false" outlineLevel="0" collapsed="false">
      <c r="A2445" s="0" t="s">
        <v>740</v>
      </c>
      <c r="B2445" s="0" t="s">
        <v>3549</v>
      </c>
      <c r="C2445" s="0" t="s">
        <v>1859</v>
      </c>
      <c r="D2445" s="0" t="s">
        <v>93</v>
      </c>
      <c r="E2445" s="0" t="s">
        <v>1555</v>
      </c>
    </row>
    <row r="2446" customFormat="false" ht="15" hidden="false" customHeight="false" outlineLevel="0" collapsed="false">
      <c r="A2446" s="0" t="s">
        <v>740</v>
      </c>
      <c r="B2446" s="0" t="s">
        <v>3550</v>
      </c>
      <c r="C2446" s="0" t="s">
        <v>1859</v>
      </c>
      <c r="D2446" s="0" t="s">
        <v>93</v>
      </c>
      <c r="E2446" s="0" t="s">
        <v>1555</v>
      </c>
    </row>
    <row r="2447" customFormat="false" ht="15" hidden="false" customHeight="false" outlineLevel="0" collapsed="false">
      <c r="A2447" s="0" t="s">
        <v>740</v>
      </c>
      <c r="B2447" s="0" t="s">
        <v>3551</v>
      </c>
      <c r="C2447" s="0" t="s">
        <v>1859</v>
      </c>
      <c r="D2447" s="0" t="s">
        <v>93</v>
      </c>
      <c r="E2447" s="0" t="s">
        <v>1555</v>
      </c>
    </row>
    <row r="2448" customFormat="false" ht="15" hidden="false" customHeight="false" outlineLevel="0" collapsed="false">
      <c r="A2448" s="0" t="s">
        <v>740</v>
      </c>
      <c r="B2448" s="0" t="s">
        <v>3552</v>
      </c>
      <c r="C2448" s="0" t="s">
        <v>1859</v>
      </c>
      <c r="D2448" s="0" t="s">
        <v>93</v>
      </c>
      <c r="E2448" s="0" t="s">
        <v>1555</v>
      </c>
    </row>
    <row r="2449" customFormat="false" ht="15" hidden="false" customHeight="false" outlineLevel="0" collapsed="false">
      <c r="A2449" s="0" t="s">
        <v>740</v>
      </c>
      <c r="B2449" s="0" t="s">
        <v>3553</v>
      </c>
      <c r="C2449" s="0" t="s">
        <v>1859</v>
      </c>
      <c r="D2449" s="0" t="s">
        <v>93</v>
      </c>
      <c r="E2449" s="0" t="s">
        <v>1555</v>
      </c>
    </row>
    <row r="2450" customFormat="false" ht="15" hidden="false" customHeight="false" outlineLevel="0" collapsed="false">
      <c r="A2450" s="0" t="s">
        <v>740</v>
      </c>
      <c r="B2450" s="0" t="s">
        <v>3554</v>
      </c>
      <c r="C2450" s="0" t="s">
        <v>3555</v>
      </c>
      <c r="D2450" s="0" t="s">
        <v>98</v>
      </c>
      <c r="E2450" s="0" t="s">
        <v>826</v>
      </c>
    </row>
    <row r="2451" customFormat="false" ht="15" hidden="false" customHeight="false" outlineLevel="0" collapsed="false">
      <c r="A2451" s="0" t="s">
        <v>740</v>
      </c>
      <c r="B2451" s="0" t="s">
        <v>3556</v>
      </c>
      <c r="C2451" s="0" t="s">
        <v>3557</v>
      </c>
      <c r="D2451" s="0" t="s">
        <v>98</v>
      </c>
      <c r="E2451" s="0" t="s">
        <v>826</v>
      </c>
    </row>
    <row r="2452" customFormat="false" ht="15" hidden="false" customHeight="false" outlineLevel="0" collapsed="false">
      <c r="A2452" s="0" t="s">
        <v>740</v>
      </c>
      <c r="B2452" s="0" t="s">
        <v>3558</v>
      </c>
      <c r="C2452" s="0" t="s">
        <v>3559</v>
      </c>
      <c r="D2452" s="0" t="s">
        <v>98</v>
      </c>
      <c r="E2452" s="0" t="s">
        <v>826</v>
      </c>
    </row>
    <row r="2453" customFormat="false" ht="15" hidden="false" customHeight="false" outlineLevel="0" collapsed="false">
      <c r="A2453" s="0" t="s">
        <v>740</v>
      </c>
      <c r="B2453" s="0" t="s">
        <v>3560</v>
      </c>
      <c r="C2453" s="0" t="s">
        <v>3561</v>
      </c>
      <c r="D2453" s="0" t="s">
        <v>98</v>
      </c>
      <c r="E2453" s="0" t="s">
        <v>826</v>
      </c>
    </row>
    <row r="2454" customFormat="false" ht="15" hidden="false" customHeight="false" outlineLevel="0" collapsed="false">
      <c r="A2454" s="0" t="s">
        <v>740</v>
      </c>
      <c r="B2454" s="0" t="s">
        <v>3562</v>
      </c>
      <c r="C2454" s="0" t="s">
        <v>3563</v>
      </c>
      <c r="D2454" s="0" t="s">
        <v>98</v>
      </c>
      <c r="E2454" s="0" t="s">
        <v>826</v>
      </c>
    </row>
    <row r="2455" customFormat="false" ht="15" hidden="false" customHeight="false" outlineLevel="0" collapsed="false">
      <c r="A2455" s="0" t="s">
        <v>740</v>
      </c>
      <c r="B2455" s="0" t="s">
        <v>3564</v>
      </c>
      <c r="C2455" s="0" t="s">
        <v>3565</v>
      </c>
      <c r="D2455" s="0" t="s">
        <v>98</v>
      </c>
      <c r="E2455" s="0" t="s">
        <v>826</v>
      </c>
    </row>
    <row r="2456" customFormat="false" ht="15" hidden="false" customHeight="false" outlineLevel="0" collapsed="false">
      <c r="A2456" s="0" t="s">
        <v>740</v>
      </c>
      <c r="B2456" s="0" t="s">
        <v>3566</v>
      </c>
      <c r="C2456" s="0" t="s">
        <v>3567</v>
      </c>
      <c r="D2456" s="0" t="s">
        <v>98</v>
      </c>
      <c r="E2456" s="0" t="s">
        <v>826</v>
      </c>
    </row>
    <row r="2457" customFormat="false" ht="15" hidden="false" customHeight="false" outlineLevel="0" collapsed="false">
      <c r="A2457" s="0" t="s">
        <v>740</v>
      </c>
      <c r="B2457" s="0" t="s">
        <v>3568</v>
      </c>
      <c r="C2457" s="0" t="s">
        <v>3569</v>
      </c>
      <c r="D2457" s="0" t="s">
        <v>98</v>
      </c>
      <c r="E2457" s="0" t="s">
        <v>826</v>
      </c>
    </row>
    <row r="2458" customFormat="false" ht="15" hidden="false" customHeight="false" outlineLevel="0" collapsed="false">
      <c r="A2458" s="0" t="s">
        <v>740</v>
      </c>
      <c r="B2458" s="0" t="s">
        <v>3570</v>
      </c>
      <c r="C2458" s="0" t="s">
        <v>3571</v>
      </c>
      <c r="D2458" s="0" t="s">
        <v>98</v>
      </c>
      <c r="E2458" s="0" t="s">
        <v>826</v>
      </c>
    </row>
    <row r="2459" customFormat="false" ht="15" hidden="false" customHeight="false" outlineLevel="0" collapsed="false">
      <c r="A2459" s="0" t="s">
        <v>740</v>
      </c>
      <c r="B2459" s="0" t="s">
        <v>3572</v>
      </c>
      <c r="C2459" s="0" t="s">
        <v>3573</v>
      </c>
      <c r="D2459" s="0" t="s">
        <v>98</v>
      </c>
      <c r="E2459" s="0" t="s">
        <v>826</v>
      </c>
    </row>
    <row r="2460" customFormat="false" ht="15" hidden="false" customHeight="false" outlineLevel="0" collapsed="false">
      <c r="A2460" s="0" t="s">
        <v>740</v>
      </c>
      <c r="B2460" s="0" t="s">
        <v>3574</v>
      </c>
      <c r="C2460" s="0" t="s">
        <v>3575</v>
      </c>
      <c r="D2460" s="0" t="s">
        <v>98</v>
      </c>
      <c r="E2460" s="0" t="s">
        <v>826</v>
      </c>
    </row>
    <row r="2461" customFormat="false" ht="15" hidden="false" customHeight="false" outlineLevel="0" collapsed="false">
      <c r="A2461" s="0" t="s">
        <v>740</v>
      </c>
      <c r="B2461" s="0" t="s">
        <v>3576</v>
      </c>
      <c r="C2461" s="0" t="s">
        <v>3577</v>
      </c>
      <c r="D2461" s="0" t="s">
        <v>98</v>
      </c>
      <c r="E2461" s="0" t="s">
        <v>826</v>
      </c>
    </row>
    <row r="2462" customFormat="false" ht="15" hidden="false" customHeight="false" outlineLevel="0" collapsed="false">
      <c r="A2462" s="0" t="s">
        <v>740</v>
      </c>
      <c r="B2462" s="0" t="s">
        <v>3578</v>
      </c>
      <c r="C2462" s="0" t="s">
        <v>3579</v>
      </c>
      <c r="D2462" s="0" t="s">
        <v>98</v>
      </c>
      <c r="E2462" s="0" t="s">
        <v>826</v>
      </c>
    </row>
    <row r="2463" customFormat="false" ht="15" hidden="false" customHeight="false" outlineLevel="0" collapsed="false">
      <c r="A2463" s="0" t="s">
        <v>740</v>
      </c>
      <c r="B2463" s="0" t="s">
        <v>3580</v>
      </c>
      <c r="C2463" s="0" t="s">
        <v>3581</v>
      </c>
      <c r="D2463" s="0" t="s">
        <v>98</v>
      </c>
      <c r="E2463" s="0" t="s">
        <v>826</v>
      </c>
    </row>
    <row r="2464" customFormat="false" ht="15" hidden="false" customHeight="false" outlineLevel="0" collapsed="false">
      <c r="A2464" s="0" t="s">
        <v>740</v>
      </c>
      <c r="B2464" s="0" t="s">
        <v>3582</v>
      </c>
      <c r="C2464" s="0" t="s">
        <v>3583</v>
      </c>
      <c r="D2464" s="0" t="s">
        <v>98</v>
      </c>
      <c r="E2464" s="0" t="s">
        <v>826</v>
      </c>
    </row>
    <row r="2465" customFormat="false" ht="15" hidden="false" customHeight="false" outlineLevel="0" collapsed="false">
      <c r="A2465" s="0" t="s">
        <v>740</v>
      </c>
      <c r="B2465" s="0" t="s">
        <v>3584</v>
      </c>
      <c r="C2465" s="0" t="s">
        <v>3585</v>
      </c>
      <c r="D2465" s="0" t="s">
        <v>98</v>
      </c>
      <c r="E2465" s="0" t="s">
        <v>826</v>
      </c>
    </row>
    <row r="2466" customFormat="false" ht="15" hidden="false" customHeight="false" outlineLevel="0" collapsed="false">
      <c r="A2466" s="0" t="s">
        <v>740</v>
      </c>
      <c r="B2466" s="0" t="s">
        <v>3586</v>
      </c>
      <c r="C2466" s="0" t="s">
        <v>3587</v>
      </c>
      <c r="D2466" s="0" t="s">
        <v>98</v>
      </c>
      <c r="E2466" s="0" t="s">
        <v>826</v>
      </c>
    </row>
    <row r="2467" customFormat="false" ht="15" hidden="false" customHeight="false" outlineLevel="0" collapsed="false">
      <c r="A2467" s="0" t="s">
        <v>740</v>
      </c>
      <c r="B2467" s="0" t="s">
        <v>3588</v>
      </c>
      <c r="C2467" s="0" t="s">
        <v>3589</v>
      </c>
      <c r="D2467" s="0" t="s">
        <v>98</v>
      </c>
      <c r="E2467" s="0" t="s">
        <v>826</v>
      </c>
    </row>
    <row r="2468" customFormat="false" ht="15" hidden="false" customHeight="false" outlineLevel="0" collapsed="false">
      <c r="A2468" s="0" t="s">
        <v>740</v>
      </c>
      <c r="B2468" s="0" t="s">
        <v>3590</v>
      </c>
      <c r="C2468" s="0" t="s">
        <v>3591</v>
      </c>
      <c r="D2468" s="0" t="s">
        <v>98</v>
      </c>
      <c r="E2468" s="0" t="s">
        <v>826</v>
      </c>
    </row>
    <row r="2469" customFormat="false" ht="15" hidden="false" customHeight="false" outlineLevel="0" collapsed="false">
      <c r="A2469" s="0" t="s">
        <v>740</v>
      </c>
      <c r="B2469" s="0" t="s">
        <v>3592</v>
      </c>
      <c r="C2469" s="0" t="s">
        <v>3593</v>
      </c>
      <c r="D2469" s="0" t="s">
        <v>98</v>
      </c>
      <c r="E2469" s="0" t="s">
        <v>826</v>
      </c>
    </row>
    <row r="2470" customFormat="false" ht="15" hidden="false" customHeight="false" outlineLevel="0" collapsed="false">
      <c r="A2470" s="0" t="s">
        <v>740</v>
      </c>
      <c r="B2470" s="0" t="s">
        <v>3594</v>
      </c>
      <c r="C2470" s="0" t="s">
        <v>3595</v>
      </c>
      <c r="D2470" s="0" t="s">
        <v>98</v>
      </c>
      <c r="E2470" s="0" t="s">
        <v>826</v>
      </c>
    </row>
    <row r="2471" customFormat="false" ht="15" hidden="false" customHeight="false" outlineLevel="0" collapsed="false">
      <c r="A2471" s="0" t="s">
        <v>740</v>
      </c>
      <c r="B2471" s="0" t="s">
        <v>3596</v>
      </c>
      <c r="C2471" s="0" t="s">
        <v>3597</v>
      </c>
      <c r="D2471" s="0" t="s">
        <v>98</v>
      </c>
      <c r="E2471" s="0" t="s">
        <v>826</v>
      </c>
    </row>
    <row r="2472" customFormat="false" ht="15" hidden="false" customHeight="false" outlineLevel="0" collapsed="false">
      <c r="A2472" s="0" t="s">
        <v>740</v>
      </c>
      <c r="B2472" s="0" t="s">
        <v>3598</v>
      </c>
      <c r="C2472" s="0" t="s">
        <v>3599</v>
      </c>
      <c r="D2472" s="0" t="s">
        <v>98</v>
      </c>
      <c r="E2472" s="0" t="s">
        <v>826</v>
      </c>
    </row>
    <row r="2473" customFormat="false" ht="15" hidden="false" customHeight="false" outlineLevel="0" collapsed="false">
      <c r="A2473" s="0" t="s">
        <v>740</v>
      </c>
      <c r="B2473" s="0" t="s">
        <v>3600</v>
      </c>
      <c r="C2473" s="0" t="s">
        <v>3601</v>
      </c>
      <c r="D2473" s="0" t="s">
        <v>98</v>
      </c>
      <c r="E2473" s="0" t="s">
        <v>826</v>
      </c>
    </row>
    <row r="2474" customFormat="false" ht="15" hidden="false" customHeight="false" outlineLevel="0" collapsed="false">
      <c r="A2474" s="0" t="s">
        <v>740</v>
      </c>
      <c r="B2474" s="0" t="s">
        <v>3602</v>
      </c>
      <c r="C2474" s="0" t="s">
        <v>3603</v>
      </c>
      <c r="D2474" s="0" t="s">
        <v>98</v>
      </c>
      <c r="E2474" s="0" t="s">
        <v>826</v>
      </c>
    </row>
    <row r="2475" customFormat="false" ht="15" hidden="false" customHeight="false" outlineLevel="0" collapsed="false">
      <c r="A2475" s="0" t="s">
        <v>740</v>
      </c>
      <c r="B2475" s="0" t="s">
        <v>3604</v>
      </c>
      <c r="C2475" s="0" t="s">
        <v>3605</v>
      </c>
      <c r="D2475" s="0" t="s">
        <v>98</v>
      </c>
      <c r="E2475" s="0" t="s">
        <v>826</v>
      </c>
    </row>
    <row r="2476" customFormat="false" ht="15" hidden="false" customHeight="false" outlineLevel="0" collapsed="false">
      <c r="A2476" s="0" t="s">
        <v>740</v>
      </c>
      <c r="B2476" s="0" t="s">
        <v>3606</v>
      </c>
      <c r="C2476" s="0" t="s">
        <v>3607</v>
      </c>
      <c r="D2476" s="0" t="s">
        <v>98</v>
      </c>
      <c r="E2476" s="0" t="s">
        <v>826</v>
      </c>
    </row>
    <row r="2477" customFormat="false" ht="15" hidden="false" customHeight="false" outlineLevel="0" collapsed="false">
      <c r="A2477" s="0" t="s">
        <v>740</v>
      </c>
      <c r="B2477" s="0" t="s">
        <v>3608</v>
      </c>
      <c r="C2477" s="0" t="s">
        <v>3609</v>
      </c>
      <c r="D2477" s="0" t="s">
        <v>98</v>
      </c>
      <c r="E2477" s="0" t="s">
        <v>826</v>
      </c>
    </row>
    <row r="2478" customFormat="false" ht="15" hidden="false" customHeight="false" outlineLevel="0" collapsed="false">
      <c r="A2478" s="0" t="s">
        <v>740</v>
      </c>
      <c r="B2478" s="0" t="s">
        <v>3610</v>
      </c>
      <c r="C2478" s="0" t="s">
        <v>65</v>
      </c>
      <c r="D2478" s="0" t="s">
        <v>86</v>
      </c>
      <c r="E2478" s="0" t="s">
        <v>2501</v>
      </c>
    </row>
    <row r="2479" customFormat="false" ht="15" hidden="false" customHeight="false" outlineLevel="0" collapsed="false">
      <c r="A2479" s="0" t="s">
        <v>740</v>
      </c>
      <c r="B2479" s="0" t="s">
        <v>3611</v>
      </c>
      <c r="C2479" s="0" t="s">
        <v>65</v>
      </c>
      <c r="D2479" s="0" t="s">
        <v>86</v>
      </c>
      <c r="E2479" s="0" t="s">
        <v>2501</v>
      </c>
    </row>
    <row r="2480" customFormat="false" ht="15" hidden="false" customHeight="false" outlineLevel="0" collapsed="false">
      <c r="A2480" s="0" t="s">
        <v>740</v>
      </c>
      <c r="B2480" s="0" t="s">
        <v>3612</v>
      </c>
      <c r="C2480" s="0" t="s">
        <v>65</v>
      </c>
      <c r="D2480" s="0" t="s">
        <v>86</v>
      </c>
      <c r="E2480" s="0" t="s">
        <v>2501</v>
      </c>
    </row>
    <row r="2481" customFormat="false" ht="15" hidden="false" customHeight="false" outlineLevel="0" collapsed="false">
      <c r="A2481" s="0" t="s">
        <v>740</v>
      </c>
      <c r="B2481" s="0" t="s">
        <v>3613</v>
      </c>
      <c r="C2481" s="0" t="s">
        <v>65</v>
      </c>
      <c r="D2481" s="0" t="s">
        <v>86</v>
      </c>
      <c r="E2481" s="0" t="s">
        <v>2501</v>
      </c>
    </row>
    <row r="2482" customFormat="false" ht="15" hidden="false" customHeight="false" outlineLevel="0" collapsed="false">
      <c r="A2482" s="0" t="s">
        <v>740</v>
      </c>
      <c r="B2482" s="0" t="s">
        <v>3614</v>
      </c>
      <c r="C2482" s="0" t="s">
        <v>65</v>
      </c>
      <c r="D2482" s="0" t="s">
        <v>86</v>
      </c>
      <c r="E2482" s="0" t="s">
        <v>2501</v>
      </c>
    </row>
    <row r="2483" customFormat="false" ht="15" hidden="false" customHeight="false" outlineLevel="0" collapsed="false">
      <c r="A2483" s="0" t="s">
        <v>740</v>
      </c>
      <c r="B2483" s="0" t="s">
        <v>3615</v>
      </c>
      <c r="C2483" s="0" t="s">
        <v>65</v>
      </c>
      <c r="D2483" s="0" t="s">
        <v>86</v>
      </c>
      <c r="E2483" s="0" t="s">
        <v>2501</v>
      </c>
    </row>
    <row r="2484" customFormat="false" ht="15" hidden="false" customHeight="false" outlineLevel="0" collapsed="false">
      <c r="A2484" s="0" t="s">
        <v>740</v>
      </c>
      <c r="B2484" s="0" t="s">
        <v>3616</v>
      </c>
      <c r="C2484" s="0" t="s">
        <v>65</v>
      </c>
      <c r="D2484" s="0" t="s">
        <v>86</v>
      </c>
      <c r="E2484" s="0" t="s">
        <v>2501</v>
      </c>
    </row>
    <row r="2485" customFormat="false" ht="15" hidden="false" customHeight="false" outlineLevel="0" collapsed="false">
      <c r="A2485" s="0" t="s">
        <v>740</v>
      </c>
      <c r="B2485" s="0" t="s">
        <v>3617</v>
      </c>
      <c r="C2485" s="0" t="s">
        <v>65</v>
      </c>
      <c r="D2485" s="0" t="s">
        <v>86</v>
      </c>
      <c r="E2485" s="0" t="s">
        <v>2501</v>
      </c>
    </row>
    <row r="2486" customFormat="false" ht="15" hidden="false" customHeight="false" outlineLevel="0" collapsed="false">
      <c r="A2486" s="0" t="s">
        <v>740</v>
      </c>
      <c r="B2486" s="0" t="s">
        <v>3618</v>
      </c>
      <c r="C2486" s="0" t="s">
        <v>65</v>
      </c>
      <c r="D2486" s="0" t="s">
        <v>86</v>
      </c>
      <c r="E2486" s="0" t="s">
        <v>2501</v>
      </c>
    </row>
    <row r="2487" customFormat="false" ht="15" hidden="false" customHeight="false" outlineLevel="0" collapsed="false">
      <c r="A2487" s="0" t="s">
        <v>740</v>
      </c>
      <c r="B2487" s="0" t="s">
        <v>3619</v>
      </c>
      <c r="C2487" s="0" t="s">
        <v>65</v>
      </c>
      <c r="D2487" s="0" t="s">
        <v>86</v>
      </c>
      <c r="E2487" s="0" t="s">
        <v>2501</v>
      </c>
    </row>
    <row r="2488" customFormat="false" ht="15" hidden="false" customHeight="false" outlineLevel="0" collapsed="false">
      <c r="A2488" s="0" t="s">
        <v>740</v>
      </c>
      <c r="B2488" s="0" t="s">
        <v>3620</v>
      </c>
      <c r="C2488" s="0" t="s">
        <v>65</v>
      </c>
      <c r="D2488" s="0" t="s">
        <v>86</v>
      </c>
      <c r="E2488" s="0" t="s">
        <v>2501</v>
      </c>
    </row>
    <row r="2489" customFormat="false" ht="15" hidden="false" customHeight="false" outlineLevel="0" collapsed="false">
      <c r="A2489" s="0" t="s">
        <v>740</v>
      </c>
      <c r="B2489" s="0" t="s">
        <v>3621</v>
      </c>
      <c r="C2489" s="0" t="s">
        <v>65</v>
      </c>
      <c r="D2489" s="0" t="s">
        <v>86</v>
      </c>
      <c r="E2489" s="0" t="s">
        <v>2501</v>
      </c>
    </row>
    <row r="2490" customFormat="false" ht="15" hidden="false" customHeight="false" outlineLevel="0" collapsed="false">
      <c r="A2490" s="0" t="s">
        <v>740</v>
      </c>
      <c r="B2490" s="0" t="s">
        <v>3622</v>
      </c>
      <c r="C2490" s="0" t="s">
        <v>65</v>
      </c>
      <c r="D2490" s="0" t="s">
        <v>86</v>
      </c>
      <c r="E2490" s="0" t="s">
        <v>2501</v>
      </c>
    </row>
    <row r="2491" customFormat="false" ht="15" hidden="false" customHeight="false" outlineLevel="0" collapsed="false">
      <c r="A2491" s="0" t="s">
        <v>740</v>
      </c>
      <c r="B2491" s="0" t="s">
        <v>3623</v>
      </c>
      <c r="C2491" s="0" t="s">
        <v>65</v>
      </c>
      <c r="D2491" s="0" t="s">
        <v>86</v>
      </c>
      <c r="E2491" s="0" t="s">
        <v>2501</v>
      </c>
    </row>
    <row r="2492" customFormat="false" ht="15" hidden="false" customHeight="false" outlineLevel="0" collapsed="false">
      <c r="A2492" s="0" t="s">
        <v>740</v>
      </c>
      <c r="B2492" s="0" t="s">
        <v>3624</v>
      </c>
      <c r="C2492" s="0" t="s">
        <v>65</v>
      </c>
      <c r="D2492" s="0" t="s">
        <v>86</v>
      </c>
      <c r="E2492" s="0" t="s">
        <v>2501</v>
      </c>
    </row>
    <row r="2493" customFormat="false" ht="15" hidden="false" customHeight="false" outlineLevel="0" collapsed="false">
      <c r="A2493" s="0" t="s">
        <v>740</v>
      </c>
      <c r="B2493" s="0" t="s">
        <v>3625</v>
      </c>
      <c r="C2493" s="0" t="s">
        <v>65</v>
      </c>
      <c r="D2493" s="0" t="s">
        <v>86</v>
      </c>
      <c r="E2493" s="0" t="s">
        <v>2501</v>
      </c>
    </row>
    <row r="2494" customFormat="false" ht="15" hidden="false" customHeight="false" outlineLevel="0" collapsed="false">
      <c r="A2494" s="0" t="s">
        <v>740</v>
      </c>
      <c r="B2494" s="0" t="s">
        <v>3626</v>
      </c>
      <c r="C2494" s="0" t="s">
        <v>65</v>
      </c>
      <c r="D2494" s="0" t="s">
        <v>86</v>
      </c>
      <c r="E2494" s="0" t="s">
        <v>2501</v>
      </c>
    </row>
    <row r="2495" customFormat="false" ht="15" hidden="false" customHeight="false" outlineLevel="0" collapsed="false">
      <c r="A2495" s="0" t="s">
        <v>740</v>
      </c>
      <c r="B2495" s="0" t="s">
        <v>3627</v>
      </c>
      <c r="C2495" s="0" t="s">
        <v>65</v>
      </c>
      <c r="D2495" s="0" t="s">
        <v>86</v>
      </c>
      <c r="E2495" s="0" t="s">
        <v>2501</v>
      </c>
    </row>
    <row r="2496" customFormat="false" ht="15" hidden="false" customHeight="false" outlineLevel="0" collapsed="false">
      <c r="A2496" s="0" t="s">
        <v>740</v>
      </c>
      <c r="B2496" s="0" t="s">
        <v>3628</v>
      </c>
      <c r="C2496" s="0" t="s">
        <v>65</v>
      </c>
      <c r="D2496" s="0" t="s">
        <v>86</v>
      </c>
      <c r="E2496" s="0" t="s">
        <v>2501</v>
      </c>
    </row>
    <row r="2497" customFormat="false" ht="15" hidden="false" customHeight="false" outlineLevel="0" collapsed="false">
      <c r="A2497" s="0" t="s">
        <v>740</v>
      </c>
      <c r="B2497" s="0" t="s">
        <v>3629</v>
      </c>
      <c r="C2497" s="0" t="s">
        <v>65</v>
      </c>
      <c r="D2497" s="0" t="s">
        <v>86</v>
      </c>
      <c r="E2497" s="0" t="s">
        <v>2501</v>
      </c>
    </row>
    <row r="2498" customFormat="false" ht="15" hidden="false" customHeight="false" outlineLevel="0" collapsed="false">
      <c r="A2498" s="0" t="s">
        <v>740</v>
      </c>
      <c r="B2498" s="0" t="s">
        <v>3630</v>
      </c>
      <c r="C2498" s="0" t="s">
        <v>65</v>
      </c>
      <c r="D2498" s="0" t="s">
        <v>86</v>
      </c>
      <c r="E2498" s="0" t="s">
        <v>2501</v>
      </c>
    </row>
    <row r="2499" customFormat="false" ht="15" hidden="false" customHeight="false" outlineLevel="0" collapsed="false">
      <c r="A2499" s="0" t="s">
        <v>740</v>
      </c>
      <c r="B2499" s="0" t="s">
        <v>3631</v>
      </c>
      <c r="C2499" s="0" t="s">
        <v>65</v>
      </c>
      <c r="D2499" s="0" t="s">
        <v>86</v>
      </c>
      <c r="E2499" s="0" t="s">
        <v>2501</v>
      </c>
    </row>
    <row r="2500" customFormat="false" ht="15" hidden="false" customHeight="false" outlineLevel="0" collapsed="false">
      <c r="A2500" s="0" t="s">
        <v>740</v>
      </c>
      <c r="B2500" s="0" t="s">
        <v>3632</v>
      </c>
      <c r="C2500" s="0" t="s">
        <v>65</v>
      </c>
      <c r="D2500" s="0" t="s">
        <v>86</v>
      </c>
      <c r="E2500" s="0" t="s">
        <v>2501</v>
      </c>
    </row>
    <row r="2501" customFormat="false" ht="15" hidden="false" customHeight="false" outlineLevel="0" collapsed="false">
      <c r="A2501" s="0" t="s">
        <v>740</v>
      </c>
      <c r="B2501" s="0" t="s">
        <v>3633</v>
      </c>
      <c r="C2501" s="0" t="s">
        <v>65</v>
      </c>
      <c r="D2501" s="0" t="s">
        <v>86</v>
      </c>
      <c r="E2501" s="0" t="s">
        <v>2501</v>
      </c>
    </row>
    <row r="2502" customFormat="false" ht="15" hidden="false" customHeight="false" outlineLevel="0" collapsed="false">
      <c r="A2502" s="0" t="s">
        <v>740</v>
      </c>
      <c r="B2502" s="0" t="s">
        <v>3634</v>
      </c>
      <c r="C2502" s="0" t="s">
        <v>65</v>
      </c>
      <c r="D2502" s="0" t="s">
        <v>86</v>
      </c>
      <c r="E2502" s="0" t="s">
        <v>2501</v>
      </c>
    </row>
    <row r="2503" customFormat="false" ht="15" hidden="false" customHeight="false" outlineLevel="0" collapsed="false">
      <c r="A2503" s="0" t="s">
        <v>740</v>
      </c>
      <c r="B2503" s="0" t="s">
        <v>3635</v>
      </c>
      <c r="C2503" s="0" t="s">
        <v>65</v>
      </c>
      <c r="D2503" s="0" t="s">
        <v>86</v>
      </c>
      <c r="E2503" s="0" t="s">
        <v>2501</v>
      </c>
    </row>
    <row r="2504" customFormat="false" ht="15" hidden="false" customHeight="false" outlineLevel="0" collapsed="false">
      <c r="A2504" s="0" t="s">
        <v>740</v>
      </c>
      <c r="B2504" s="0" t="s">
        <v>3636</v>
      </c>
      <c r="C2504" s="0" t="s">
        <v>65</v>
      </c>
      <c r="D2504" s="0" t="s">
        <v>86</v>
      </c>
      <c r="E2504" s="0" t="s">
        <v>2501</v>
      </c>
    </row>
    <row r="2505" customFormat="false" ht="15" hidden="false" customHeight="false" outlineLevel="0" collapsed="false">
      <c r="A2505" s="0" t="s">
        <v>740</v>
      </c>
      <c r="B2505" s="0" t="s">
        <v>3637</v>
      </c>
      <c r="C2505" s="0" t="s">
        <v>65</v>
      </c>
      <c r="D2505" s="0" t="s">
        <v>86</v>
      </c>
      <c r="E2505" s="0" t="s">
        <v>2501</v>
      </c>
    </row>
    <row r="2506" customFormat="false" ht="15" hidden="false" customHeight="false" outlineLevel="0" collapsed="false">
      <c r="A2506" s="0" t="s">
        <v>740</v>
      </c>
      <c r="B2506" s="0" t="s">
        <v>3638</v>
      </c>
      <c r="C2506" s="0" t="s">
        <v>762</v>
      </c>
      <c r="D2506" s="0" t="s">
        <v>98</v>
      </c>
      <c r="E2506" s="0" t="s">
        <v>763</v>
      </c>
    </row>
    <row r="2507" customFormat="false" ht="15" hidden="false" customHeight="false" outlineLevel="0" collapsed="false">
      <c r="A2507" s="0" t="s">
        <v>740</v>
      </c>
      <c r="B2507" s="0" t="s">
        <v>3639</v>
      </c>
      <c r="C2507" s="0" t="s">
        <v>762</v>
      </c>
      <c r="D2507" s="0" t="s">
        <v>98</v>
      </c>
      <c r="E2507" s="0" t="s">
        <v>763</v>
      </c>
    </row>
    <row r="2508" customFormat="false" ht="15" hidden="false" customHeight="false" outlineLevel="0" collapsed="false">
      <c r="A2508" s="0" t="s">
        <v>740</v>
      </c>
      <c r="B2508" s="0" t="s">
        <v>3640</v>
      </c>
      <c r="C2508" s="0" t="s">
        <v>762</v>
      </c>
      <c r="D2508" s="0" t="s">
        <v>98</v>
      </c>
      <c r="E2508" s="0" t="s">
        <v>763</v>
      </c>
    </row>
    <row r="2509" customFormat="false" ht="15" hidden="false" customHeight="false" outlineLevel="0" collapsed="false">
      <c r="A2509" s="0" t="s">
        <v>740</v>
      </c>
      <c r="B2509" s="0" t="s">
        <v>3641</v>
      </c>
      <c r="C2509" s="0" t="s">
        <v>762</v>
      </c>
      <c r="D2509" s="0" t="s">
        <v>98</v>
      </c>
      <c r="E2509" s="0" t="s">
        <v>763</v>
      </c>
    </row>
    <row r="2510" customFormat="false" ht="15" hidden="false" customHeight="false" outlineLevel="0" collapsed="false">
      <c r="A2510" s="0" t="s">
        <v>740</v>
      </c>
      <c r="B2510" s="0" t="s">
        <v>3642</v>
      </c>
      <c r="C2510" s="0" t="s">
        <v>762</v>
      </c>
      <c r="D2510" s="0" t="s">
        <v>98</v>
      </c>
      <c r="E2510" s="0" t="s">
        <v>763</v>
      </c>
    </row>
    <row r="2511" customFormat="false" ht="15" hidden="false" customHeight="false" outlineLevel="0" collapsed="false">
      <c r="A2511" s="0" t="s">
        <v>740</v>
      </c>
      <c r="B2511" s="0" t="s">
        <v>3643</v>
      </c>
      <c r="C2511" s="0" t="s">
        <v>762</v>
      </c>
      <c r="D2511" s="0" t="s">
        <v>98</v>
      </c>
      <c r="E2511" s="0" t="s">
        <v>763</v>
      </c>
    </row>
    <row r="2512" customFormat="false" ht="15" hidden="false" customHeight="false" outlineLevel="0" collapsed="false">
      <c r="A2512" s="0" t="s">
        <v>740</v>
      </c>
      <c r="B2512" s="0" t="s">
        <v>3644</v>
      </c>
      <c r="C2512" s="0" t="s">
        <v>762</v>
      </c>
      <c r="D2512" s="0" t="s">
        <v>98</v>
      </c>
      <c r="E2512" s="0" t="s">
        <v>763</v>
      </c>
    </row>
    <row r="2513" customFormat="false" ht="15" hidden="false" customHeight="false" outlineLevel="0" collapsed="false">
      <c r="A2513" s="0" t="s">
        <v>740</v>
      </c>
      <c r="B2513" s="0" t="s">
        <v>3645</v>
      </c>
      <c r="C2513" s="0" t="s">
        <v>762</v>
      </c>
      <c r="D2513" s="0" t="s">
        <v>98</v>
      </c>
      <c r="E2513" s="0" t="s">
        <v>763</v>
      </c>
    </row>
    <row r="2514" customFormat="false" ht="15" hidden="false" customHeight="false" outlineLevel="0" collapsed="false">
      <c r="A2514" s="0" t="s">
        <v>740</v>
      </c>
      <c r="B2514" s="0" t="s">
        <v>3646</v>
      </c>
      <c r="C2514" s="0" t="s">
        <v>762</v>
      </c>
      <c r="D2514" s="0" t="s">
        <v>98</v>
      </c>
      <c r="E2514" s="0" t="s">
        <v>763</v>
      </c>
    </row>
    <row r="2515" customFormat="false" ht="15" hidden="false" customHeight="false" outlineLevel="0" collapsed="false">
      <c r="A2515" s="0" t="s">
        <v>740</v>
      </c>
      <c r="B2515" s="0" t="s">
        <v>3647</v>
      </c>
      <c r="C2515" s="0" t="s">
        <v>762</v>
      </c>
      <c r="D2515" s="0" t="s">
        <v>93</v>
      </c>
      <c r="E2515" s="0" t="s">
        <v>3648</v>
      </c>
    </row>
    <row r="2516" customFormat="false" ht="15" hidden="false" customHeight="false" outlineLevel="0" collapsed="false">
      <c r="A2516" s="0" t="s">
        <v>740</v>
      </c>
      <c r="B2516" s="0" t="s">
        <v>3649</v>
      </c>
      <c r="C2516" s="0" t="s">
        <v>600</v>
      </c>
      <c r="D2516" s="0" t="s">
        <v>93</v>
      </c>
      <c r="E2516" s="0" t="s">
        <v>3650</v>
      </c>
    </row>
    <row r="2517" customFormat="false" ht="15" hidden="false" customHeight="false" outlineLevel="0" collapsed="false">
      <c r="A2517" s="0" t="s">
        <v>740</v>
      </c>
      <c r="B2517" s="0" t="s">
        <v>3651</v>
      </c>
      <c r="C2517" s="0" t="s">
        <v>610</v>
      </c>
      <c r="D2517" s="0" t="s">
        <v>93</v>
      </c>
      <c r="E2517" s="0" t="s">
        <v>3652</v>
      </c>
    </row>
    <row r="2518" customFormat="false" ht="15" hidden="false" customHeight="false" outlineLevel="0" collapsed="false">
      <c r="A2518" s="0" t="s">
        <v>740</v>
      </c>
      <c r="B2518" s="0" t="s">
        <v>3653</v>
      </c>
      <c r="C2518" s="0" t="s">
        <v>1159</v>
      </c>
      <c r="D2518" s="0" t="s">
        <v>93</v>
      </c>
    </row>
    <row r="2519" customFormat="false" ht="15" hidden="false" customHeight="false" outlineLevel="0" collapsed="false">
      <c r="A2519" s="0" t="s">
        <v>740</v>
      </c>
      <c r="B2519" s="0" t="s">
        <v>3654</v>
      </c>
      <c r="C2519" s="0" t="s">
        <v>733</v>
      </c>
      <c r="D2519" s="0" t="s">
        <v>93</v>
      </c>
    </row>
    <row r="2520" customFormat="false" ht="15" hidden="false" customHeight="false" outlineLevel="0" collapsed="false">
      <c r="A2520" s="0" t="s">
        <v>740</v>
      </c>
      <c r="B2520" s="0" t="s">
        <v>3655</v>
      </c>
      <c r="C2520" s="0" t="s">
        <v>570</v>
      </c>
      <c r="D2520" s="0" t="s">
        <v>93</v>
      </c>
    </row>
    <row r="2521" customFormat="false" ht="15" hidden="false" customHeight="false" outlineLevel="0" collapsed="false">
      <c r="A2521" s="0" t="s">
        <v>740</v>
      </c>
      <c r="B2521" s="0" t="s">
        <v>3656</v>
      </c>
      <c r="C2521" s="0" t="s">
        <v>570</v>
      </c>
      <c r="D2521" s="0" t="s">
        <v>93</v>
      </c>
      <c r="E2521" s="0" t="s">
        <v>3657</v>
      </c>
    </row>
    <row r="2522" customFormat="false" ht="15" hidden="false" customHeight="false" outlineLevel="0" collapsed="false">
      <c r="A2522" s="0" t="s">
        <v>740</v>
      </c>
      <c r="B2522" s="0" t="s">
        <v>3658</v>
      </c>
      <c r="C2522" s="0" t="s">
        <v>570</v>
      </c>
      <c r="D2522" s="0" t="s">
        <v>93</v>
      </c>
      <c r="E2522" s="0" t="s">
        <v>788</v>
      </c>
    </row>
    <row r="2523" customFormat="false" ht="15" hidden="false" customHeight="false" outlineLevel="0" collapsed="false">
      <c r="A2523" s="0" t="s">
        <v>740</v>
      </c>
      <c r="B2523" s="0" t="s">
        <v>3659</v>
      </c>
      <c r="C2523" s="0" t="s">
        <v>570</v>
      </c>
      <c r="D2523" s="0" t="s">
        <v>93</v>
      </c>
      <c r="E2523" s="0" t="s">
        <v>788</v>
      </c>
    </row>
    <row r="2524" customFormat="false" ht="15" hidden="false" customHeight="false" outlineLevel="0" collapsed="false">
      <c r="A2524" s="0" t="s">
        <v>740</v>
      </c>
      <c r="B2524" s="0" t="s">
        <v>3660</v>
      </c>
      <c r="C2524" s="0" t="s">
        <v>570</v>
      </c>
      <c r="D2524" s="0" t="s">
        <v>93</v>
      </c>
      <c r="E2524" s="0" t="s">
        <v>788</v>
      </c>
    </row>
    <row r="2525" customFormat="false" ht="15" hidden="false" customHeight="false" outlineLevel="0" collapsed="false">
      <c r="A2525" s="0" t="s">
        <v>740</v>
      </c>
      <c r="B2525" s="0" t="s">
        <v>3661</v>
      </c>
      <c r="C2525" s="0" t="s">
        <v>570</v>
      </c>
      <c r="D2525" s="0" t="s">
        <v>93</v>
      </c>
      <c r="E2525" s="0" t="s">
        <v>788</v>
      </c>
    </row>
    <row r="2526" customFormat="false" ht="15" hidden="false" customHeight="false" outlineLevel="0" collapsed="false">
      <c r="A2526" s="0" t="s">
        <v>740</v>
      </c>
      <c r="B2526" s="0" t="s">
        <v>3662</v>
      </c>
      <c r="C2526" s="0" t="s">
        <v>570</v>
      </c>
      <c r="D2526" s="0" t="s">
        <v>93</v>
      </c>
      <c r="E2526" s="0" t="s">
        <v>788</v>
      </c>
    </row>
    <row r="2527" customFormat="false" ht="15" hidden="false" customHeight="false" outlineLevel="0" collapsed="false">
      <c r="A2527" s="0" t="s">
        <v>740</v>
      </c>
      <c r="B2527" s="0" t="s">
        <v>3663</v>
      </c>
      <c r="C2527" s="0" t="s">
        <v>570</v>
      </c>
      <c r="D2527" s="0" t="s">
        <v>93</v>
      </c>
      <c r="E2527" s="0" t="s">
        <v>788</v>
      </c>
    </row>
    <row r="2528" customFormat="false" ht="15" hidden="false" customHeight="false" outlineLevel="0" collapsed="false">
      <c r="A2528" s="0" t="s">
        <v>740</v>
      </c>
      <c r="B2528" s="0" t="s">
        <v>3664</v>
      </c>
      <c r="C2528" s="0" t="s">
        <v>570</v>
      </c>
      <c r="D2528" s="0" t="s">
        <v>93</v>
      </c>
      <c r="E2528" s="0" t="s">
        <v>788</v>
      </c>
    </row>
    <row r="2529" customFormat="false" ht="15" hidden="false" customHeight="false" outlineLevel="0" collapsed="false">
      <c r="A2529" s="0" t="s">
        <v>740</v>
      </c>
      <c r="B2529" s="0" t="s">
        <v>3665</v>
      </c>
      <c r="C2529" s="0" t="s">
        <v>570</v>
      </c>
      <c r="D2529" s="0" t="s">
        <v>93</v>
      </c>
      <c r="E2529" s="0" t="s">
        <v>788</v>
      </c>
    </row>
    <row r="2530" customFormat="false" ht="15" hidden="false" customHeight="false" outlineLevel="0" collapsed="false">
      <c r="A2530" s="0" t="s">
        <v>740</v>
      </c>
      <c r="B2530" s="0" t="s">
        <v>3666</v>
      </c>
      <c r="C2530" s="0" t="s">
        <v>570</v>
      </c>
      <c r="D2530" s="0" t="s">
        <v>93</v>
      </c>
      <c r="E2530" s="0" t="s">
        <v>788</v>
      </c>
    </row>
    <row r="2531" customFormat="false" ht="15" hidden="false" customHeight="false" outlineLevel="0" collapsed="false">
      <c r="A2531" s="0" t="s">
        <v>740</v>
      </c>
      <c r="B2531" s="0" t="s">
        <v>3667</v>
      </c>
      <c r="C2531" s="0" t="s">
        <v>570</v>
      </c>
      <c r="D2531" s="0" t="s">
        <v>93</v>
      </c>
      <c r="E2531" s="0" t="s">
        <v>788</v>
      </c>
    </row>
    <row r="2532" customFormat="false" ht="15" hidden="false" customHeight="false" outlineLevel="0" collapsed="false">
      <c r="A2532" s="0" t="s">
        <v>740</v>
      </c>
      <c r="B2532" s="0" t="s">
        <v>3668</v>
      </c>
      <c r="C2532" s="0" t="s">
        <v>570</v>
      </c>
      <c r="D2532" s="0" t="s">
        <v>93</v>
      </c>
      <c r="E2532" s="0" t="s">
        <v>788</v>
      </c>
    </row>
    <row r="2533" customFormat="false" ht="15" hidden="false" customHeight="false" outlineLevel="0" collapsed="false">
      <c r="A2533" s="0" t="s">
        <v>740</v>
      </c>
      <c r="B2533" s="0" t="s">
        <v>3669</v>
      </c>
      <c r="C2533" s="0" t="s">
        <v>570</v>
      </c>
      <c r="D2533" s="0" t="s">
        <v>93</v>
      </c>
      <c r="E2533" s="0" t="s">
        <v>788</v>
      </c>
    </row>
    <row r="2534" customFormat="false" ht="15" hidden="false" customHeight="false" outlineLevel="0" collapsed="false">
      <c r="A2534" s="0" t="s">
        <v>740</v>
      </c>
      <c r="B2534" s="0" t="s">
        <v>3670</v>
      </c>
      <c r="C2534" s="0" t="s">
        <v>762</v>
      </c>
      <c r="D2534" s="0" t="s">
        <v>98</v>
      </c>
      <c r="E2534" s="0" t="s">
        <v>763</v>
      </c>
    </row>
    <row r="2535" customFormat="false" ht="15" hidden="false" customHeight="false" outlineLevel="0" collapsed="false">
      <c r="A2535" s="0" t="s">
        <v>740</v>
      </c>
      <c r="B2535" s="0" t="s">
        <v>3671</v>
      </c>
      <c r="C2535" s="0" t="s">
        <v>762</v>
      </c>
      <c r="D2535" s="0" t="s">
        <v>98</v>
      </c>
      <c r="E2535" s="0" t="s">
        <v>763</v>
      </c>
    </row>
    <row r="2536" customFormat="false" ht="15" hidden="false" customHeight="false" outlineLevel="0" collapsed="false">
      <c r="A2536" s="0" t="s">
        <v>740</v>
      </c>
      <c r="B2536" s="0" t="s">
        <v>3672</v>
      </c>
      <c r="C2536" s="0" t="s">
        <v>762</v>
      </c>
      <c r="D2536" s="0" t="s">
        <v>98</v>
      </c>
      <c r="E2536" s="0" t="s">
        <v>763</v>
      </c>
    </row>
    <row r="2537" customFormat="false" ht="15" hidden="false" customHeight="false" outlineLevel="0" collapsed="false">
      <c r="A2537" s="0" t="s">
        <v>740</v>
      </c>
      <c r="B2537" s="0" t="s">
        <v>3673</v>
      </c>
      <c r="C2537" s="0" t="s">
        <v>762</v>
      </c>
      <c r="D2537" s="0" t="s">
        <v>98</v>
      </c>
      <c r="E2537" s="0" t="s">
        <v>763</v>
      </c>
    </row>
    <row r="2538" customFormat="false" ht="15" hidden="false" customHeight="false" outlineLevel="0" collapsed="false">
      <c r="A2538" s="0" t="s">
        <v>740</v>
      </c>
      <c r="B2538" s="0" t="s">
        <v>3674</v>
      </c>
      <c r="C2538" s="0" t="s">
        <v>762</v>
      </c>
      <c r="D2538" s="0" t="s">
        <v>98</v>
      </c>
      <c r="E2538" s="0" t="s">
        <v>763</v>
      </c>
    </row>
    <row r="2539" customFormat="false" ht="15" hidden="false" customHeight="false" outlineLevel="0" collapsed="false">
      <c r="A2539" s="0" t="s">
        <v>740</v>
      </c>
      <c r="B2539" s="0" t="s">
        <v>3675</v>
      </c>
      <c r="C2539" s="0" t="s">
        <v>762</v>
      </c>
      <c r="D2539" s="0" t="s">
        <v>98</v>
      </c>
      <c r="E2539" s="0" t="s">
        <v>763</v>
      </c>
    </row>
    <row r="2540" customFormat="false" ht="15" hidden="false" customHeight="false" outlineLevel="0" collapsed="false">
      <c r="A2540" s="0" t="s">
        <v>740</v>
      </c>
      <c r="B2540" s="0" t="s">
        <v>3676</v>
      </c>
      <c r="C2540" s="0" t="s">
        <v>762</v>
      </c>
      <c r="D2540" s="0" t="s">
        <v>98</v>
      </c>
      <c r="E2540" s="0" t="s">
        <v>763</v>
      </c>
    </row>
    <row r="2541" customFormat="false" ht="15" hidden="false" customHeight="false" outlineLevel="0" collapsed="false">
      <c r="A2541" s="0" t="s">
        <v>740</v>
      </c>
      <c r="B2541" s="0" t="s">
        <v>3677</v>
      </c>
      <c r="C2541" s="0" t="s">
        <v>762</v>
      </c>
      <c r="D2541" s="0" t="s">
        <v>98</v>
      </c>
      <c r="E2541" s="0" t="s">
        <v>763</v>
      </c>
    </row>
    <row r="2542" customFormat="false" ht="15" hidden="false" customHeight="false" outlineLevel="0" collapsed="false">
      <c r="A2542" s="0" t="s">
        <v>740</v>
      </c>
      <c r="B2542" s="0" t="s">
        <v>3678</v>
      </c>
      <c r="C2542" s="0" t="s">
        <v>762</v>
      </c>
      <c r="D2542" s="0" t="s">
        <v>98</v>
      </c>
      <c r="E2542" s="0" t="s">
        <v>763</v>
      </c>
    </row>
    <row r="2543" customFormat="false" ht="15" hidden="false" customHeight="false" outlineLevel="0" collapsed="false">
      <c r="A2543" s="0" t="s">
        <v>740</v>
      </c>
      <c r="B2543" s="0" t="s">
        <v>3679</v>
      </c>
      <c r="C2543" s="0" t="s">
        <v>1840</v>
      </c>
      <c r="D2543" s="0" t="s">
        <v>93</v>
      </c>
      <c r="E2543" s="0" t="s">
        <v>3648</v>
      </c>
    </row>
    <row r="2544" customFormat="false" ht="15" hidden="false" customHeight="false" outlineLevel="0" collapsed="false">
      <c r="A2544" s="0" t="s">
        <v>740</v>
      </c>
      <c r="B2544" s="0" t="s">
        <v>3680</v>
      </c>
      <c r="C2544" s="0" t="s">
        <v>1859</v>
      </c>
      <c r="D2544" s="0" t="s">
        <v>93</v>
      </c>
      <c r="E2544" s="0" t="s">
        <v>3650</v>
      </c>
    </row>
    <row r="2545" customFormat="false" ht="15" hidden="false" customHeight="false" outlineLevel="0" collapsed="false">
      <c r="A2545" s="0" t="s">
        <v>740</v>
      </c>
      <c r="B2545" s="0" t="s">
        <v>3681</v>
      </c>
      <c r="C2545" s="0" t="s">
        <v>590</v>
      </c>
      <c r="D2545" s="0" t="s">
        <v>93</v>
      </c>
      <c r="E2545" s="0" t="s">
        <v>3652</v>
      </c>
    </row>
    <row r="2546" customFormat="false" ht="15" hidden="false" customHeight="false" outlineLevel="0" collapsed="false">
      <c r="A2546" s="0" t="s">
        <v>740</v>
      </c>
      <c r="B2546" s="0" t="s">
        <v>3682</v>
      </c>
      <c r="C2546" s="0" t="s">
        <v>570</v>
      </c>
      <c r="D2546" s="0" t="s">
        <v>93</v>
      </c>
    </row>
    <row r="2547" customFormat="false" ht="15" hidden="false" customHeight="false" outlineLevel="0" collapsed="false">
      <c r="A2547" s="0" t="s">
        <v>740</v>
      </c>
      <c r="B2547" s="0" t="s">
        <v>3683</v>
      </c>
      <c r="C2547" s="0" t="s">
        <v>873</v>
      </c>
      <c r="D2547" s="0" t="s">
        <v>93</v>
      </c>
    </row>
    <row r="2548" customFormat="false" ht="15" hidden="false" customHeight="false" outlineLevel="0" collapsed="false">
      <c r="A2548" s="0" t="s">
        <v>740</v>
      </c>
      <c r="B2548" s="0" t="s">
        <v>3684</v>
      </c>
      <c r="C2548" s="0" t="s">
        <v>3685</v>
      </c>
      <c r="D2548" s="0" t="s">
        <v>93</v>
      </c>
    </row>
    <row r="2549" customFormat="false" ht="15" hidden="false" customHeight="false" outlineLevel="0" collapsed="false">
      <c r="A2549" s="0" t="s">
        <v>740</v>
      </c>
      <c r="B2549" s="0" t="s">
        <v>3686</v>
      </c>
      <c r="C2549" s="0" t="s">
        <v>3685</v>
      </c>
      <c r="D2549" s="0" t="s">
        <v>93</v>
      </c>
      <c r="E2549" s="0" t="s">
        <v>3657</v>
      </c>
    </row>
    <row r="2550" customFormat="false" ht="15" hidden="false" customHeight="false" outlineLevel="0" collapsed="false">
      <c r="A2550" s="0" t="s">
        <v>740</v>
      </c>
      <c r="B2550" s="0" t="s">
        <v>3687</v>
      </c>
      <c r="C2550" s="0" t="s">
        <v>3685</v>
      </c>
      <c r="D2550" s="0" t="s">
        <v>93</v>
      </c>
      <c r="E2550" s="0" t="s">
        <v>788</v>
      </c>
    </row>
    <row r="2551" customFormat="false" ht="15" hidden="false" customHeight="false" outlineLevel="0" collapsed="false">
      <c r="A2551" s="0" t="s">
        <v>740</v>
      </c>
      <c r="B2551" s="0" t="s">
        <v>3688</v>
      </c>
      <c r="C2551" s="0" t="s">
        <v>3685</v>
      </c>
      <c r="D2551" s="0" t="s">
        <v>93</v>
      </c>
      <c r="E2551" s="0" t="s">
        <v>788</v>
      </c>
    </row>
    <row r="2552" customFormat="false" ht="15" hidden="false" customHeight="false" outlineLevel="0" collapsed="false">
      <c r="A2552" s="0" t="s">
        <v>740</v>
      </c>
      <c r="B2552" s="0" t="s">
        <v>3689</v>
      </c>
      <c r="C2552" s="0" t="s">
        <v>3685</v>
      </c>
      <c r="D2552" s="0" t="s">
        <v>93</v>
      </c>
      <c r="E2552" s="0" t="s">
        <v>788</v>
      </c>
    </row>
    <row r="2553" customFormat="false" ht="15" hidden="false" customHeight="false" outlineLevel="0" collapsed="false">
      <c r="A2553" s="0" t="s">
        <v>740</v>
      </c>
      <c r="B2553" s="0" t="s">
        <v>3690</v>
      </c>
      <c r="C2553" s="0" t="s">
        <v>3685</v>
      </c>
      <c r="D2553" s="0" t="s">
        <v>93</v>
      </c>
      <c r="E2553" s="0" t="s">
        <v>788</v>
      </c>
    </row>
    <row r="2554" customFormat="false" ht="15" hidden="false" customHeight="false" outlineLevel="0" collapsed="false">
      <c r="A2554" s="0" t="s">
        <v>740</v>
      </c>
      <c r="B2554" s="0" t="s">
        <v>3691</v>
      </c>
      <c r="C2554" s="0" t="s">
        <v>3685</v>
      </c>
      <c r="D2554" s="0" t="s">
        <v>93</v>
      </c>
      <c r="E2554" s="0" t="s">
        <v>788</v>
      </c>
    </row>
    <row r="2555" customFormat="false" ht="15" hidden="false" customHeight="false" outlineLevel="0" collapsed="false">
      <c r="A2555" s="0" t="s">
        <v>740</v>
      </c>
      <c r="B2555" s="0" t="s">
        <v>3692</v>
      </c>
      <c r="C2555" s="0" t="s">
        <v>3685</v>
      </c>
      <c r="D2555" s="0" t="s">
        <v>93</v>
      </c>
      <c r="E2555" s="0" t="s">
        <v>788</v>
      </c>
    </row>
    <row r="2556" customFormat="false" ht="15" hidden="false" customHeight="false" outlineLevel="0" collapsed="false">
      <c r="A2556" s="0" t="s">
        <v>740</v>
      </c>
      <c r="B2556" s="0" t="s">
        <v>3693</v>
      </c>
      <c r="C2556" s="0" t="s">
        <v>3685</v>
      </c>
      <c r="D2556" s="0" t="s">
        <v>93</v>
      </c>
      <c r="E2556" s="0" t="s">
        <v>788</v>
      </c>
    </row>
    <row r="2557" customFormat="false" ht="15" hidden="false" customHeight="false" outlineLevel="0" collapsed="false">
      <c r="A2557" s="0" t="s">
        <v>740</v>
      </c>
      <c r="B2557" s="0" t="s">
        <v>3694</v>
      </c>
      <c r="C2557" s="0" t="s">
        <v>3685</v>
      </c>
      <c r="D2557" s="0" t="s">
        <v>93</v>
      </c>
      <c r="E2557" s="0" t="s">
        <v>788</v>
      </c>
    </row>
    <row r="2558" customFormat="false" ht="15" hidden="false" customHeight="false" outlineLevel="0" collapsed="false">
      <c r="A2558" s="0" t="s">
        <v>740</v>
      </c>
      <c r="B2558" s="0" t="s">
        <v>3695</v>
      </c>
      <c r="C2558" s="0" t="s">
        <v>3685</v>
      </c>
      <c r="D2558" s="0" t="s">
        <v>93</v>
      </c>
      <c r="E2558" s="0" t="s">
        <v>788</v>
      </c>
    </row>
    <row r="2559" customFormat="false" ht="15" hidden="false" customHeight="false" outlineLevel="0" collapsed="false">
      <c r="A2559" s="0" t="s">
        <v>740</v>
      </c>
      <c r="B2559" s="0" t="s">
        <v>3696</v>
      </c>
      <c r="C2559" s="0" t="s">
        <v>3685</v>
      </c>
      <c r="D2559" s="0" t="s">
        <v>93</v>
      </c>
      <c r="E2559" s="0" t="s">
        <v>788</v>
      </c>
    </row>
    <row r="2560" customFormat="false" ht="15" hidden="false" customHeight="false" outlineLevel="0" collapsed="false">
      <c r="A2560" s="0" t="s">
        <v>740</v>
      </c>
      <c r="B2560" s="0" t="s">
        <v>3697</v>
      </c>
      <c r="C2560" s="0" t="s">
        <v>3685</v>
      </c>
      <c r="D2560" s="0" t="s">
        <v>93</v>
      </c>
      <c r="E2560" s="0" t="s">
        <v>788</v>
      </c>
    </row>
    <row r="2561" customFormat="false" ht="15" hidden="false" customHeight="false" outlineLevel="0" collapsed="false">
      <c r="A2561" s="0" t="s">
        <v>740</v>
      </c>
      <c r="B2561" s="0" t="s">
        <v>3698</v>
      </c>
      <c r="C2561" s="0" t="s">
        <v>3685</v>
      </c>
      <c r="D2561" s="0" t="s">
        <v>93</v>
      </c>
      <c r="E2561" s="0" t="s">
        <v>788</v>
      </c>
    </row>
    <row r="2562" customFormat="false" ht="15" hidden="false" customHeight="false" outlineLevel="0" collapsed="false">
      <c r="A2562" s="0" t="s">
        <v>740</v>
      </c>
      <c r="B2562" s="0" t="s">
        <v>3699</v>
      </c>
      <c r="C2562" s="0" t="s">
        <v>3700</v>
      </c>
      <c r="D2562" s="0" t="s">
        <v>98</v>
      </c>
      <c r="E2562" s="0" t="s">
        <v>826</v>
      </c>
    </row>
    <row r="2563" customFormat="false" ht="15" hidden="false" customHeight="false" outlineLevel="0" collapsed="false">
      <c r="A2563" s="0" t="s">
        <v>740</v>
      </c>
      <c r="B2563" s="0" t="s">
        <v>3701</v>
      </c>
      <c r="C2563" s="0" t="s">
        <v>3702</v>
      </c>
      <c r="D2563" s="0" t="s">
        <v>98</v>
      </c>
      <c r="E2563" s="0" t="s">
        <v>826</v>
      </c>
    </row>
    <row r="2564" customFormat="false" ht="15" hidden="false" customHeight="false" outlineLevel="0" collapsed="false">
      <c r="A2564" s="0" t="s">
        <v>740</v>
      </c>
      <c r="B2564" s="0" t="s">
        <v>3703</v>
      </c>
      <c r="C2564" s="0" t="s">
        <v>3704</v>
      </c>
      <c r="D2564" s="0" t="s">
        <v>98</v>
      </c>
      <c r="E2564" s="0" t="s">
        <v>826</v>
      </c>
    </row>
    <row r="2565" customFormat="false" ht="15" hidden="false" customHeight="false" outlineLevel="0" collapsed="false">
      <c r="A2565" s="0" t="s">
        <v>740</v>
      </c>
      <c r="B2565" s="0" t="s">
        <v>3705</v>
      </c>
      <c r="C2565" s="0" t="s">
        <v>3706</v>
      </c>
      <c r="D2565" s="0" t="s">
        <v>98</v>
      </c>
      <c r="E2565" s="0" t="s">
        <v>826</v>
      </c>
    </row>
    <row r="2566" customFormat="false" ht="15" hidden="false" customHeight="false" outlineLevel="0" collapsed="false">
      <c r="A2566" s="0" t="s">
        <v>740</v>
      </c>
      <c r="B2566" s="0" t="s">
        <v>3707</v>
      </c>
      <c r="C2566" s="0" t="s">
        <v>3708</v>
      </c>
      <c r="D2566" s="0" t="s">
        <v>98</v>
      </c>
      <c r="E2566" s="0" t="s">
        <v>826</v>
      </c>
    </row>
    <row r="2567" customFormat="false" ht="15" hidden="false" customHeight="false" outlineLevel="0" collapsed="false">
      <c r="A2567" s="0" t="s">
        <v>740</v>
      </c>
      <c r="B2567" s="0" t="s">
        <v>3709</v>
      </c>
      <c r="C2567" s="0" t="s">
        <v>3710</v>
      </c>
      <c r="D2567" s="0" t="s">
        <v>98</v>
      </c>
      <c r="E2567" s="0" t="s">
        <v>826</v>
      </c>
    </row>
    <row r="2568" customFormat="false" ht="15" hidden="false" customHeight="false" outlineLevel="0" collapsed="false">
      <c r="A2568" s="0" t="s">
        <v>740</v>
      </c>
      <c r="B2568" s="0" t="s">
        <v>3711</v>
      </c>
      <c r="C2568" s="0" t="s">
        <v>3712</v>
      </c>
      <c r="D2568" s="0" t="s">
        <v>98</v>
      </c>
      <c r="E2568" s="0" t="s">
        <v>826</v>
      </c>
    </row>
    <row r="2569" customFormat="false" ht="15" hidden="false" customHeight="false" outlineLevel="0" collapsed="false">
      <c r="A2569" s="0" t="s">
        <v>740</v>
      </c>
      <c r="B2569" s="0" t="s">
        <v>3713</v>
      </c>
      <c r="C2569" s="0" t="s">
        <v>3714</v>
      </c>
      <c r="D2569" s="0" t="s">
        <v>98</v>
      </c>
      <c r="E2569" s="0" t="s">
        <v>826</v>
      </c>
    </row>
    <row r="2570" customFormat="false" ht="15" hidden="false" customHeight="false" outlineLevel="0" collapsed="false">
      <c r="A2570" s="0" t="s">
        <v>740</v>
      </c>
      <c r="B2570" s="0" t="s">
        <v>3715</v>
      </c>
      <c r="C2570" s="0" t="s">
        <v>3716</v>
      </c>
      <c r="D2570" s="0" t="s">
        <v>98</v>
      </c>
      <c r="E2570" s="0" t="s">
        <v>826</v>
      </c>
    </row>
    <row r="2571" customFormat="false" ht="15" hidden="false" customHeight="false" outlineLevel="0" collapsed="false">
      <c r="A2571" s="0" t="s">
        <v>740</v>
      </c>
      <c r="B2571" s="0" t="s">
        <v>3717</v>
      </c>
      <c r="C2571" s="0" t="s">
        <v>3718</v>
      </c>
      <c r="D2571" s="0" t="s">
        <v>98</v>
      </c>
      <c r="E2571" s="0" t="s">
        <v>826</v>
      </c>
    </row>
    <row r="2572" customFormat="false" ht="15" hidden="false" customHeight="false" outlineLevel="0" collapsed="false">
      <c r="A2572" s="0" t="s">
        <v>740</v>
      </c>
      <c r="B2572" s="0" t="s">
        <v>3719</v>
      </c>
      <c r="C2572" s="0" t="s">
        <v>3720</v>
      </c>
      <c r="D2572" s="0" t="s">
        <v>98</v>
      </c>
      <c r="E2572" s="0" t="s">
        <v>826</v>
      </c>
    </row>
    <row r="2573" customFormat="false" ht="15" hidden="false" customHeight="false" outlineLevel="0" collapsed="false">
      <c r="A2573" s="0" t="s">
        <v>740</v>
      </c>
      <c r="B2573" s="0" t="s">
        <v>3721</v>
      </c>
      <c r="C2573" s="0" t="s">
        <v>3722</v>
      </c>
      <c r="D2573" s="0" t="s">
        <v>98</v>
      </c>
      <c r="E2573" s="0" t="s">
        <v>826</v>
      </c>
    </row>
    <row r="2574" customFormat="false" ht="15" hidden="false" customHeight="false" outlineLevel="0" collapsed="false">
      <c r="A2574" s="0" t="s">
        <v>740</v>
      </c>
      <c r="B2574" s="0" t="s">
        <v>3723</v>
      </c>
      <c r="C2574" s="0" t="s">
        <v>3724</v>
      </c>
      <c r="D2574" s="0" t="s">
        <v>98</v>
      </c>
      <c r="E2574" s="0" t="s">
        <v>826</v>
      </c>
    </row>
    <row r="2575" customFormat="false" ht="15" hidden="false" customHeight="false" outlineLevel="0" collapsed="false">
      <c r="A2575" s="0" t="s">
        <v>740</v>
      </c>
      <c r="B2575" s="0" t="s">
        <v>3725</v>
      </c>
      <c r="C2575" s="0" t="s">
        <v>3726</v>
      </c>
      <c r="D2575" s="0" t="s">
        <v>98</v>
      </c>
      <c r="E2575" s="0" t="s">
        <v>826</v>
      </c>
    </row>
    <row r="2576" customFormat="false" ht="15" hidden="false" customHeight="false" outlineLevel="0" collapsed="false">
      <c r="A2576" s="0" t="s">
        <v>740</v>
      </c>
      <c r="B2576" s="0" t="s">
        <v>3727</v>
      </c>
      <c r="C2576" s="0" t="s">
        <v>3728</v>
      </c>
      <c r="D2576" s="0" t="s">
        <v>98</v>
      </c>
      <c r="E2576" s="0" t="s">
        <v>826</v>
      </c>
    </row>
    <row r="2577" customFormat="false" ht="15" hidden="false" customHeight="false" outlineLevel="0" collapsed="false">
      <c r="A2577" s="0" t="s">
        <v>740</v>
      </c>
      <c r="B2577" s="0" t="s">
        <v>3729</v>
      </c>
      <c r="C2577" s="0" t="s">
        <v>3730</v>
      </c>
      <c r="D2577" s="0" t="s">
        <v>98</v>
      </c>
      <c r="E2577" s="0" t="s">
        <v>826</v>
      </c>
    </row>
    <row r="2578" customFormat="false" ht="15" hidden="false" customHeight="false" outlineLevel="0" collapsed="false">
      <c r="A2578" s="0" t="s">
        <v>740</v>
      </c>
      <c r="B2578" s="0" t="s">
        <v>3731</v>
      </c>
      <c r="C2578" s="0" t="s">
        <v>3732</v>
      </c>
      <c r="D2578" s="0" t="s">
        <v>98</v>
      </c>
      <c r="E2578" s="0" t="s">
        <v>826</v>
      </c>
    </row>
    <row r="2579" customFormat="false" ht="15" hidden="false" customHeight="false" outlineLevel="0" collapsed="false">
      <c r="A2579" s="0" t="s">
        <v>740</v>
      </c>
      <c r="B2579" s="0" t="s">
        <v>3733</v>
      </c>
      <c r="C2579" s="0" t="s">
        <v>3734</v>
      </c>
      <c r="D2579" s="0" t="s">
        <v>98</v>
      </c>
      <c r="E2579" s="0" t="s">
        <v>826</v>
      </c>
    </row>
    <row r="2580" customFormat="false" ht="15" hidden="false" customHeight="false" outlineLevel="0" collapsed="false">
      <c r="A2580" s="0" t="s">
        <v>740</v>
      </c>
      <c r="B2580" s="0" t="s">
        <v>3735</v>
      </c>
      <c r="C2580" s="0" t="s">
        <v>3736</v>
      </c>
      <c r="D2580" s="0" t="s">
        <v>98</v>
      </c>
      <c r="E2580" s="0" t="s">
        <v>826</v>
      </c>
    </row>
    <row r="2581" customFormat="false" ht="15" hidden="false" customHeight="false" outlineLevel="0" collapsed="false">
      <c r="A2581" s="0" t="s">
        <v>740</v>
      </c>
      <c r="B2581" s="0" t="s">
        <v>3737</v>
      </c>
      <c r="C2581" s="0" t="s">
        <v>3738</v>
      </c>
      <c r="D2581" s="0" t="s">
        <v>98</v>
      </c>
      <c r="E2581" s="0" t="s">
        <v>826</v>
      </c>
    </row>
    <row r="2582" customFormat="false" ht="15" hidden="false" customHeight="false" outlineLevel="0" collapsed="false">
      <c r="A2582" s="0" t="s">
        <v>740</v>
      </c>
      <c r="B2582" s="0" t="s">
        <v>3739</v>
      </c>
      <c r="C2582" s="0" t="s">
        <v>3740</v>
      </c>
      <c r="D2582" s="0" t="s">
        <v>98</v>
      </c>
      <c r="E2582" s="0" t="s">
        <v>826</v>
      </c>
    </row>
    <row r="2583" customFormat="false" ht="15" hidden="false" customHeight="false" outlineLevel="0" collapsed="false">
      <c r="A2583" s="0" t="s">
        <v>740</v>
      </c>
      <c r="B2583" s="0" t="s">
        <v>3741</v>
      </c>
      <c r="C2583" s="0" t="s">
        <v>3742</v>
      </c>
      <c r="D2583" s="0" t="s">
        <v>98</v>
      </c>
      <c r="E2583" s="0" t="s">
        <v>826</v>
      </c>
    </row>
    <row r="2584" customFormat="false" ht="15" hidden="false" customHeight="false" outlineLevel="0" collapsed="false">
      <c r="A2584" s="0" t="s">
        <v>740</v>
      </c>
      <c r="B2584" s="0" t="s">
        <v>3743</v>
      </c>
      <c r="C2584" s="0" t="s">
        <v>3744</v>
      </c>
      <c r="D2584" s="0" t="s">
        <v>98</v>
      </c>
      <c r="E2584" s="0" t="s">
        <v>826</v>
      </c>
    </row>
    <row r="2585" customFormat="false" ht="15" hidden="false" customHeight="false" outlineLevel="0" collapsed="false">
      <c r="A2585" s="0" t="s">
        <v>740</v>
      </c>
      <c r="B2585" s="0" t="s">
        <v>3745</v>
      </c>
      <c r="C2585" s="0" t="s">
        <v>3746</v>
      </c>
      <c r="D2585" s="0" t="s">
        <v>98</v>
      </c>
      <c r="E2585" s="0" t="s">
        <v>826</v>
      </c>
    </row>
    <row r="2586" customFormat="false" ht="15" hidden="false" customHeight="false" outlineLevel="0" collapsed="false">
      <c r="A2586" s="0" t="s">
        <v>740</v>
      </c>
      <c r="B2586" s="0" t="s">
        <v>3747</v>
      </c>
      <c r="C2586" s="0" t="s">
        <v>3748</v>
      </c>
      <c r="D2586" s="0" t="s">
        <v>98</v>
      </c>
      <c r="E2586" s="0" t="s">
        <v>826</v>
      </c>
    </row>
    <row r="2587" customFormat="false" ht="15" hidden="false" customHeight="false" outlineLevel="0" collapsed="false">
      <c r="A2587" s="0" t="s">
        <v>740</v>
      </c>
      <c r="B2587" s="0" t="s">
        <v>3749</v>
      </c>
      <c r="C2587" s="0" t="s">
        <v>3750</v>
      </c>
      <c r="D2587" s="0" t="s">
        <v>98</v>
      </c>
      <c r="E2587" s="0" t="s">
        <v>826</v>
      </c>
    </row>
    <row r="2588" customFormat="false" ht="15" hidden="false" customHeight="false" outlineLevel="0" collapsed="false">
      <c r="A2588" s="0" t="s">
        <v>740</v>
      </c>
      <c r="B2588" s="0" t="s">
        <v>3751</v>
      </c>
      <c r="C2588" s="0" t="s">
        <v>3752</v>
      </c>
      <c r="D2588" s="0" t="s">
        <v>98</v>
      </c>
      <c r="E2588" s="0" t="s">
        <v>826</v>
      </c>
    </row>
    <row r="2589" customFormat="false" ht="15" hidden="false" customHeight="false" outlineLevel="0" collapsed="false">
      <c r="A2589" s="0" t="s">
        <v>740</v>
      </c>
      <c r="B2589" s="0" t="s">
        <v>3753</v>
      </c>
      <c r="C2589" s="0" t="s">
        <v>3754</v>
      </c>
      <c r="D2589" s="0" t="s">
        <v>98</v>
      </c>
      <c r="E2589" s="0" t="s">
        <v>826</v>
      </c>
    </row>
    <row r="2590" customFormat="false" ht="15" hidden="false" customHeight="false" outlineLevel="0" collapsed="false">
      <c r="A2590" s="0" t="s">
        <v>740</v>
      </c>
      <c r="B2590" s="0" t="s">
        <v>3755</v>
      </c>
      <c r="C2590" s="0" t="s">
        <v>358</v>
      </c>
      <c r="D2590" s="0" t="s">
        <v>86</v>
      </c>
      <c r="E2590" s="0" t="s">
        <v>3756</v>
      </c>
    </row>
    <row r="2591" customFormat="false" ht="15" hidden="false" customHeight="false" outlineLevel="0" collapsed="false">
      <c r="A2591" s="0" t="s">
        <v>740</v>
      </c>
      <c r="B2591" s="0" t="s">
        <v>3757</v>
      </c>
      <c r="C2591" s="0" t="s">
        <v>65</v>
      </c>
      <c r="D2591" s="0" t="s">
        <v>86</v>
      </c>
      <c r="E2591" s="0" t="s">
        <v>2501</v>
      </c>
    </row>
    <row r="2592" customFormat="false" ht="15" hidden="false" customHeight="false" outlineLevel="0" collapsed="false">
      <c r="A2592" s="0" t="s">
        <v>740</v>
      </c>
      <c r="B2592" s="0" t="s">
        <v>3758</v>
      </c>
      <c r="C2592" s="0" t="s">
        <v>65</v>
      </c>
      <c r="D2592" s="0" t="s">
        <v>86</v>
      </c>
      <c r="E2592" s="0" t="s">
        <v>2501</v>
      </c>
    </row>
    <row r="2593" customFormat="false" ht="15" hidden="false" customHeight="false" outlineLevel="0" collapsed="false">
      <c r="A2593" s="0" t="s">
        <v>740</v>
      </c>
      <c r="B2593" s="0" t="s">
        <v>3759</v>
      </c>
      <c r="C2593" s="0" t="s">
        <v>65</v>
      </c>
      <c r="D2593" s="0" t="s">
        <v>86</v>
      </c>
      <c r="E2593" s="0" t="s">
        <v>2501</v>
      </c>
    </row>
    <row r="2594" customFormat="false" ht="15" hidden="false" customHeight="false" outlineLevel="0" collapsed="false">
      <c r="A2594" s="0" t="s">
        <v>740</v>
      </c>
      <c r="B2594" s="0" t="s">
        <v>3760</v>
      </c>
      <c r="C2594" s="0" t="s">
        <v>65</v>
      </c>
      <c r="D2594" s="0" t="s">
        <v>86</v>
      </c>
      <c r="E2594" s="0" t="s">
        <v>2501</v>
      </c>
    </row>
    <row r="2595" customFormat="false" ht="15" hidden="false" customHeight="false" outlineLevel="0" collapsed="false">
      <c r="A2595" s="0" t="s">
        <v>740</v>
      </c>
      <c r="B2595" s="0" t="s">
        <v>3761</v>
      </c>
      <c r="C2595" s="0" t="s">
        <v>65</v>
      </c>
      <c r="D2595" s="0" t="s">
        <v>86</v>
      </c>
      <c r="E2595" s="0" t="s">
        <v>2501</v>
      </c>
    </row>
    <row r="2596" customFormat="false" ht="15" hidden="false" customHeight="false" outlineLevel="0" collapsed="false">
      <c r="A2596" s="0" t="s">
        <v>740</v>
      </c>
      <c r="B2596" s="0" t="s">
        <v>3762</v>
      </c>
      <c r="C2596" s="0" t="s">
        <v>65</v>
      </c>
      <c r="D2596" s="0" t="s">
        <v>86</v>
      </c>
      <c r="E2596" s="0" t="s">
        <v>2501</v>
      </c>
    </row>
    <row r="2597" customFormat="false" ht="15" hidden="false" customHeight="false" outlineLevel="0" collapsed="false">
      <c r="A2597" s="0" t="s">
        <v>740</v>
      </c>
      <c r="B2597" s="0" t="s">
        <v>3763</v>
      </c>
      <c r="C2597" s="0" t="s">
        <v>65</v>
      </c>
      <c r="D2597" s="0" t="s">
        <v>86</v>
      </c>
      <c r="E2597" s="0" t="s">
        <v>2501</v>
      </c>
    </row>
    <row r="2598" customFormat="false" ht="15" hidden="false" customHeight="false" outlineLevel="0" collapsed="false">
      <c r="A2598" s="0" t="s">
        <v>740</v>
      </c>
      <c r="B2598" s="0" t="s">
        <v>3764</v>
      </c>
      <c r="C2598" s="0" t="s">
        <v>65</v>
      </c>
      <c r="D2598" s="0" t="s">
        <v>86</v>
      </c>
      <c r="E2598" s="0" t="s">
        <v>2501</v>
      </c>
    </row>
    <row r="2599" customFormat="false" ht="15" hidden="false" customHeight="false" outlineLevel="0" collapsed="false">
      <c r="A2599" s="0" t="s">
        <v>740</v>
      </c>
      <c r="B2599" s="0" t="s">
        <v>3765</v>
      </c>
      <c r="C2599" s="0" t="s">
        <v>65</v>
      </c>
      <c r="D2599" s="0" t="s">
        <v>86</v>
      </c>
      <c r="E2599" s="0" t="s">
        <v>2501</v>
      </c>
    </row>
    <row r="2600" customFormat="false" ht="15" hidden="false" customHeight="false" outlineLevel="0" collapsed="false">
      <c r="A2600" s="0" t="s">
        <v>740</v>
      </c>
      <c r="B2600" s="0" t="s">
        <v>3766</v>
      </c>
      <c r="C2600" s="0" t="s">
        <v>65</v>
      </c>
      <c r="D2600" s="0" t="s">
        <v>86</v>
      </c>
      <c r="E2600" s="0" t="s">
        <v>2501</v>
      </c>
    </row>
    <row r="2601" customFormat="false" ht="15" hidden="false" customHeight="false" outlineLevel="0" collapsed="false">
      <c r="A2601" s="0" t="s">
        <v>740</v>
      </c>
      <c r="B2601" s="0" t="s">
        <v>3767</v>
      </c>
      <c r="C2601" s="0" t="s">
        <v>65</v>
      </c>
      <c r="D2601" s="0" t="s">
        <v>86</v>
      </c>
      <c r="E2601" s="0" t="s">
        <v>2501</v>
      </c>
    </row>
    <row r="2602" customFormat="false" ht="15" hidden="false" customHeight="false" outlineLevel="0" collapsed="false">
      <c r="A2602" s="0" t="s">
        <v>740</v>
      </c>
      <c r="B2602" s="0" t="s">
        <v>3768</v>
      </c>
      <c r="C2602" s="0" t="s">
        <v>65</v>
      </c>
      <c r="D2602" s="0" t="s">
        <v>86</v>
      </c>
      <c r="E2602" s="0" t="s">
        <v>2501</v>
      </c>
    </row>
    <row r="2603" customFormat="false" ht="15" hidden="false" customHeight="false" outlineLevel="0" collapsed="false">
      <c r="A2603" s="0" t="s">
        <v>740</v>
      </c>
      <c r="B2603" s="0" t="s">
        <v>3769</v>
      </c>
      <c r="C2603" s="0" t="s">
        <v>65</v>
      </c>
      <c r="D2603" s="0" t="s">
        <v>86</v>
      </c>
      <c r="E2603" s="0" t="s">
        <v>2501</v>
      </c>
    </row>
    <row r="2604" customFormat="false" ht="15" hidden="false" customHeight="false" outlineLevel="0" collapsed="false">
      <c r="A2604" s="0" t="s">
        <v>740</v>
      </c>
      <c r="B2604" s="0" t="s">
        <v>3770</v>
      </c>
      <c r="C2604" s="0" t="s">
        <v>65</v>
      </c>
      <c r="D2604" s="0" t="s">
        <v>86</v>
      </c>
      <c r="E2604" s="0" t="s">
        <v>2501</v>
      </c>
    </row>
    <row r="2605" customFormat="false" ht="15" hidden="false" customHeight="false" outlineLevel="0" collapsed="false">
      <c r="A2605" s="0" t="s">
        <v>740</v>
      </c>
      <c r="B2605" s="0" t="s">
        <v>3771</v>
      </c>
      <c r="C2605" s="0" t="s">
        <v>65</v>
      </c>
      <c r="D2605" s="0" t="s">
        <v>86</v>
      </c>
      <c r="E2605" s="0" t="s">
        <v>2501</v>
      </c>
    </row>
    <row r="2606" customFormat="false" ht="15" hidden="false" customHeight="false" outlineLevel="0" collapsed="false">
      <c r="A2606" s="0" t="s">
        <v>740</v>
      </c>
      <c r="B2606" s="0" t="s">
        <v>3772</v>
      </c>
      <c r="C2606" s="0" t="s">
        <v>65</v>
      </c>
      <c r="D2606" s="0" t="s">
        <v>86</v>
      </c>
      <c r="E2606" s="0" t="s">
        <v>2501</v>
      </c>
    </row>
    <row r="2607" customFormat="false" ht="15" hidden="false" customHeight="false" outlineLevel="0" collapsed="false">
      <c r="A2607" s="0" t="s">
        <v>740</v>
      </c>
      <c r="B2607" s="0" t="s">
        <v>3773</v>
      </c>
      <c r="C2607" s="0" t="s">
        <v>65</v>
      </c>
      <c r="D2607" s="0" t="s">
        <v>86</v>
      </c>
      <c r="E2607" s="0" t="s">
        <v>2501</v>
      </c>
    </row>
    <row r="2608" customFormat="false" ht="15" hidden="false" customHeight="false" outlineLevel="0" collapsed="false">
      <c r="A2608" s="0" t="s">
        <v>740</v>
      </c>
      <c r="B2608" s="0" t="s">
        <v>3774</v>
      </c>
      <c r="C2608" s="0" t="s">
        <v>65</v>
      </c>
      <c r="D2608" s="0" t="s">
        <v>86</v>
      </c>
      <c r="E2608" s="0" t="s">
        <v>2501</v>
      </c>
    </row>
    <row r="2609" customFormat="false" ht="15" hidden="false" customHeight="false" outlineLevel="0" collapsed="false">
      <c r="A2609" s="0" t="s">
        <v>740</v>
      </c>
      <c r="B2609" s="0" t="s">
        <v>3775</v>
      </c>
      <c r="C2609" s="0" t="s">
        <v>65</v>
      </c>
      <c r="D2609" s="0" t="s">
        <v>86</v>
      </c>
      <c r="E2609" s="0" t="s">
        <v>2501</v>
      </c>
    </row>
    <row r="2610" customFormat="false" ht="15" hidden="false" customHeight="false" outlineLevel="0" collapsed="false">
      <c r="A2610" s="0" t="s">
        <v>740</v>
      </c>
      <c r="B2610" s="0" t="s">
        <v>3776</v>
      </c>
      <c r="C2610" s="0" t="s">
        <v>65</v>
      </c>
      <c r="D2610" s="0" t="s">
        <v>86</v>
      </c>
      <c r="E2610" s="0" t="s">
        <v>2501</v>
      </c>
    </row>
    <row r="2611" customFormat="false" ht="15" hidden="false" customHeight="false" outlineLevel="0" collapsed="false">
      <c r="A2611" s="0" t="s">
        <v>740</v>
      </c>
      <c r="B2611" s="0" t="s">
        <v>3777</v>
      </c>
      <c r="C2611" s="0" t="s">
        <v>65</v>
      </c>
      <c r="D2611" s="0" t="s">
        <v>86</v>
      </c>
      <c r="E2611" s="0" t="s">
        <v>2501</v>
      </c>
    </row>
    <row r="2612" customFormat="false" ht="15" hidden="false" customHeight="false" outlineLevel="0" collapsed="false">
      <c r="A2612" s="0" t="s">
        <v>740</v>
      </c>
      <c r="B2612" s="0" t="s">
        <v>3778</v>
      </c>
      <c r="C2612" s="0" t="s">
        <v>65</v>
      </c>
      <c r="D2612" s="0" t="s">
        <v>86</v>
      </c>
      <c r="E2612" s="0" t="s">
        <v>2501</v>
      </c>
    </row>
    <row r="2613" customFormat="false" ht="15" hidden="false" customHeight="false" outlineLevel="0" collapsed="false">
      <c r="A2613" s="0" t="s">
        <v>740</v>
      </c>
      <c r="B2613" s="0" t="s">
        <v>3779</v>
      </c>
      <c r="C2613" s="0" t="s">
        <v>65</v>
      </c>
      <c r="D2613" s="0" t="s">
        <v>86</v>
      </c>
      <c r="E2613" s="0" t="s">
        <v>2501</v>
      </c>
    </row>
    <row r="2614" customFormat="false" ht="15" hidden="false" customHeight="false" outlineLevel="0" collapsed="false">
      <c r="A2614" s="0" t="s">
        <v>740</v>
      </c>
      <c r="B2614" s="0" t="s">
        <v>3780</v>
      </c>
      <c r="C2614" s="0" t="s">
        <v>65</v>
      </c>
      <c r="D2614" s="0" t="s">
        <v>86</v>
      </c>
      <c r="E2614" s="0" t="s">
        <v>2501</v>
      </c>
    </row>
    <row r="2615" customFormat="false" ht="15" hidden="false" customHeight="false" outlineLevel="0" collapsed="false">
      <c r="A2615" s="0" t="s">
        <v>740</v>
      </c>
      <c r="B2615" s="0" t="s">
        <v>3781</v>
      </c>
      <c r="C2615" s="0" t="s">
        <v>65</v>
      </c>
      <c r="D2615" s="0" t="s">
        <v>86</v>
      </c>
      <c r="E2615" s="0" t="s">
        <v>2501</v>
      </c>
    </row>
    <row r="2616" customFormat="false" ht="15" hidden="false" customHeight="false" outlineLevel="0" collapsed="false">
      <c r="A2616" s="0" t="s">
        <v>740</v>
      </c>
      <c r="B2616" s="0" t="s">
        <v>3782</v>
      </c>
      <c r="C2616" s="0" t="s">
        <v>65</v>
      </c>
      <c r="D2616" s="0" t="s">
        <v>86</v>
      </c>
      <c r="E2616" s="0" t="s">
        <v>2501</v>
      </c>
    </row>
    <row r="2617" customFormat="false" ht="15" hidden="false" customHeight="false" outlineLevel="0" collapsed="false">
      <c r="A2617" s="0" t="s">
        <v>740</v>
      </c>
      <c r="B2617" s="0" t="s">
        <v>3783</v>
      </c>
      <c r="C2617" s="0" t="s">
        <v>65</v>
      </c>
      <c r="D2617" s="0" t="s">
        <v>86</v>
      </c>
      <c r="E2617" s="0" t="s">
        <v>2501</v>
      </c>
    </row>
    <row r="2618" customFormat="false" ht="15" hidden="false" customHeight="false" outlineLevel="0" collapsed="false">
      <c r="A2618" s="0" t="s">
        <v>740</v>
      </c>
      <c r="B2618" s="0" t="s">
        <v>3784</v>
      </c>
      <c r="C2618" s="0" t="s">
        <v>65</v>
      </c>
      <c r="D2618" s="0" t="s">
        <v>86</v>
      </c>
      <c r="E2618" s="0" t="s">
        <v>2501</v>
      </c>
    </row>
    <row r="2619" customFormat="false" ht="15" hidden="false" customHeight="false" outlineLevel="0" collapsed="false">
      <c r="A2619" s="0" t="s">
        <v>740</v>
      </c>
      <c r="B2619" s="0" t="s">
        <v>3785</v>
      </c>
      <c r="C2619" s="0" t="s">
        <v>65</v>
      </c>
      <c r="D2619" s="0" t="s">
        <v>86</v>
      </c>
      <c r="E2619" s="0" t="s">
        <v>3786</v>
      </c>
    </row>
    <row r="2620" customFormat="false" ht="15" hidden="false" customHeight="false" outlineLevel="0" collapsed="false">
      <c r="A2620" s="0" t="s">
        <v>740</v>
      </c>
      <c r="B2620" s="0" t="s">
        <v>3787</v>
      </c>
      <c r="C2620" s="0" t="s">
        <v>65</v>
      </c>
      <c r="D2620" s="0" t="s">
        <v>86</v>
      </c>
      <c r="E2620" s="0" t="s">
        <v>3786</v>
      </c>
    </row>
    <row r="2621" customFormat="false" ht="15" hidden="false" customHeight="false" outlineLevel="0" collapsed="false">
      <c r="A2621" s="0" t="s">
        <v>740</v>
      </c>
      <c r="B2621" s="0" t="s">
        <v>3788</v>
      </c>
      <c r="C2621" s="0" t="s">
        <v>65</v>
      </c>
      <c r="D2621" s="0" t="s">
        <v>86</v>
      </c>
      <c r="E2621" s="0" t="s">
        <v>3786</v>
      </c>
    </row>
    <row r="2622" customFormat="false" ht="15" hidden="false" customHeight="false" outlineLevel="0" collapsed="false">
      <c r="A2622" s="0" t="s">
        <v>740</v>
      </c>
      <c r="B2622" s="0" t="s">
        <v>3789</v>
      </c>
      <c r="C2622" s="0" t="s">
        <v>65</v>
      </c>
      <c r="D2622" s="0" t="s">
        <v>86</v>
      </c>
      <c r="E2622" s="0" t="s">
        <v>3786</v>
      </c>
    </row>
    <row r="2623" customFormat="false" ht="15" hidden="false" customHeight="false" outlineLevel="0" collapsed="false">
      <c r="A2623" s="0" t="s">
        <v>740</v>
      </c>
      <c r="B2623" s="0" t="s">
        <v>3790</v>
      </c>
      <c r="C2623" s="0" t="s">
        <v>65</v>
      </c>
      <c r="D2623" s="0" t="s">
        <v>86</v>
      </c>
      <c r="E2623" s="0" t="s">
        <v>3786</v>
      </c>
    </row>
    <row r="2624" customFormat="false" ht="15" hidden="false" customHeight="false" outlineLevel="0" collapsed="false">
      <c r="A2624" s="0" t="s">
        <v>740</v>
      </c>
      <c r="B2624" s="0" t="s">
        <v>3791</v>
      </c>
      <c r="C2624" s="0" t="s">
        <v>65</v>
      </c>
      <c r="D2624" s="0" t="s">
        <v>86</v>
      </c>
      <c r="E2624" s="0" t="s">
        <v>3786</v>
      </c>
    </row>
    <row r="2625" customFormat="false" ht="15" hidden="false" customHeight="false" outlineLevel="0" collapsed="false">
      <c r="A2625" s="0" t="s">
        <v>740</v>
      </c>
      <c r="B2625" s="0" t="s">
        <v>3792</v>
      </c>
      <c r="C2625" s="0" t="s">
        <v>65</v>
      </c>
      <c r="D2625" s="0" t="s">
        <v>86</v>
      </c>
      <c r="E2625" s="0" t="s">
        <v>3786</v>
      </c>
    </row>
    <row r="2626" customFormat="false" ht="15" hidden="false" customHeight="false" outlineLevel="0" collapsed="false">
      <c r="A2626" s="0" t="s">
        <v>740</v>
      </c>
      <c r="B2626" s="0" t="s">
        <v>3793</v>
      </c>
      <c r="C2626" s="0" t="s">
        <v>65</v>
      </c>
      <c r="D2626" s="0" t="s">
        <v>86</v>
      </c>
      <c r="E2626" s="0" t="s">
        <v>3786</v>
      </c>
    </row>
    <row r="2627" customFormat="false" ht="15" hidden="false" customHeight="false" outlineLevel="0" collapsed="false">
      <c r="A2627" s="0" t="s">
        <v>740</v>
      </c>
      <c r="B2627" s="0" t="s">
        <v>3794</v>
      </c>
      <c r="C2627" s="0" t="s">
        <v>65</v>
      </c>
      <c r="D2627" s="0" t="s">
        <v>86</v>
      </c>
      <c r="E2627" s="0" t="s">
        <v>3786</v>
      </c>
    </row>
    <row r="2628" customFormat="false" ht="15" hidden="false" customHeight="false" outlineLevel="0" collapsed="false">
      <c r="A2628" s="0" t="s">
        <v>740</v>
      </c>
      <c r="B2628" s="0" t="s">
        <v>3795</v>
      </c>
      <c r="C2628" s="0" t="s">
        <v>65</v>
      </c>
      <c r="D2628" s="0" t="s">
        <v>86</v>
      </c>
      <c r="E2628" s="0" t="s">
        <v>3786</v>
      </c>
    </row>
    <row r="2629" customFormat="false" ht="15" hidden="false" customHeight="false" outlineLevel="0" collapsed="false">
      <c r="A2629" s="0" t="s">
        <v>740</v>
      </c>
      <c r="B2629" s="0" t="s">
        <v>3796</v>
      </c>
      <c r="C2629" s="0" t="s">
        <v>65</v>
      </c>
      <c r="D2629" s="0" t="s">
        <v>86</v>
      </c>
      <c r="E2629" s="0" t="s">
        <v>3786</v>
      </c>
    </row>
    <row r="2630" customFormat="false" ht="15" hidden="false" customHeight="false" outlineLevel="0" collapsed="false">
      <c r="A2630" s="0" t="s">
        <v>740</v>
      </c>
      <c r="B2630" s="0" t="s">
        <v>3797</v>
      </c>
      <c r="C2630" s="0" t="s">
        <v>65</v>
      </c>
      <c r="D2630" s="0" t="s">
        <v>86</v>
      </c>
      <c r="E2630" s="0" t="s">
        <v>3786</v>
      </c>
    </row>
    <row r="2631" customFormat="false" ht="15" hidden="false" customHeight="false" outlineLevel="0" collapsed="false">
      <c r="A2631" s="0" t="s">
        <v>740</v>
      </c>
      <c r="B2631" s="0" t="s">
        <v>3798</v>
      </c>
      <c r="C2631" s="0" t="s">
        <v>65</v>
      </c>
      <c r="D2631" s="0" t="s">
        <v>86</v>
      </c>
      <c r="E2631" s="0" t="s">
        <v>3786</v>
      </c>
    </row>
    <row r="2632" customFormat="false" ht="15" hidden="false" customHeight="false" outlineLevel="0" collapsed="false">
      <c r="A2632" s="0" t="s">
        <v>740</v>
      </c>
      <c r="B2632" s="0" t="s">
        <v>3799</v>
      </c>
      <c r="C2632" s="0" t="s">
        <v>65</v>
      </c>
      <c r="D2632" s="0" t="s">
        <v>86</v>
      </c>
      <c r="E2632" s="0" t="s">
        <v>3786</v>
      </c>
    </row>
    <row r="2633" customFormat="false" ht="15" hidden="false" customHeight="false" outlineLevel="0" collapsed="false">
      <c r="A2633" s="0" t="s">
        <v>740</v>
      </c>
      <c r="B2633" s="0" t="s">
        <v>3800</v>
      </c>
      <c r="C2633" s="0" t="s">
        <v>65</v>
      </c>
      <c r="D2633" s="0" t="s">
        <v>86</v>
      </c>
      <c r="E2633" s="0" t="s">
        <v>3786</v>
      </c>
    </row>
    <row r="2634" customFormat="false" ht="15" hidden="false" customHeight="false" outlineLevel="0" collapsed="false">
      <c r="A2634" s="0" t="s">
        <v>740</v>
      </c>
      <c r="B2634" s="0" t="s">
        <v>3801</v>
      </c>
      <c r="C2634" s="0" t="s">
        <v>65</v>
      </c>
      <c r="D2634" s="0" t="s">
        <v>86</v>
      </c>
      <c r="E2634" s="0" t="s">
        <v>3786</v>
      </c>
    </row>
    <row r="2635" customFormat="false" ht="15" hidden="false" customHeight="false" outlineLevel="0" collapsed="false">
      <c r="A2635" s="0" t="s">
        <v>740</v>
      </c>
      <c r="B2635" s="0" t="s">
        <v>3802</v>
      </c>
      <c r="C2635" s="0" t="s">
        <v>65</v>
      </c>
      <c r="D2635" s="0" t="s">
        <v>86</v>
      </c>
      <c r="E2635" s="0" t="s">
        <v>3786</v>
      </c>
    </row>
    <row r="2636" customFormat="false" ht="15" hidden="false" customHeight="false" outlineLevel="0" collapsed="false">
      <c r="A2636" s="0" t="s">
        <v>740</v>
      </c>
      <c r="B2636" s="0" t="s">
        <v>3803</v>
      </c>
      <c r="C2636" s="0" t="s">
        <v>65</v>
      </c>
      <c r="D2636" s="0" t="s">
        <v>86</v>
      </c>
      <c r="E2636" s="0" t="s">
        <v>3786</v>
      </c>
    </row>
    <row r="2637" customFormat="false" ht="15" hidden="false" customHeight="false" outlineLevel="0" collapsed="false">
      <c r="A2637" s="0" t="s">
        <v>740</v>
      </c>
      <c r="B2637" s="0" t="s">
        <v>3804</v>
      </c>
      <c r="C2637" s="0" t="s">
        <v>65</v>
      </c>
      <c r="D2637" s="0" t="s">
        <v>86</v>
      </c>
      <c r="E2637" s="0" t="s">
        <v>3786</v>
      </c>
    </row>
    <row r="2638" customFormat="false" ht="15" hidden="false" customHeight="false" outlineLevel="0" collapsed="false">
      <c r="A2638" s="0" t="s">
        <v>740</v>
      </c>
      <c r="B2638" s="0" t="s">
        <v>3805</v>
      </c>
      <c r="C2638" s="0" t="s">
        <v>65</v>
      </c>
      <c r="D2638" s="0" t="s">
        <v>86</v>
      </c>
      <c r="E2638" s="0" t="s">
        <v>3786</v>
      </c>
    </row>
    <row r="2639" customFormat="false" ht="15" hidden="false" customHeight="false" outlineLevel="0" collapsed="false">
      <c r="A2639" s="0" t="s">
        <v>740</v>
      </c>
      <c r="B2639" s="0" t="s">
        <v>3806</v>
      </c>
      <c r="C2639" s="0" t="s">
        <v>65</v>
      </c>
      <c r="D2639" s="0" t="s">
        <v>86</v>
      </c>
      <c r="E2639" s="0" t="s">
        <v>3786</v>
      </c>
    </row>
    <row r="2640" customFormat="false" ht="15" hidden="false" customHeight="false" outlineLevel="0" collapsed="false">
      <c r="A2640" s="0" t="s">
        <v>740</v>
      </c>
      <c r="B2640" s="0" t="s">
        <v>3807</v>
      </c>
      <c r="C2640" s="0" t="s">
        <v>65</v>
      </c>
      <c r="D2640" s="0" t="s">
        <v>86</v>
      </c>
      <c r="E2640" s="0" t="s">
        <v>3786</v>
      </c>
    </row>
    <row r="2641" customFormat="false" ht="15" hidden="false" customHeight="false" outlineLevel="0" collapsed="false">
      <c r="A2641" s="0" t="s">
        <v>740</v>
      </c>
      <c r="B2641" s="0" t="s">
        <v>3808</v>
      </c>
      <c r="C2641" s="0" t="s">
        <v>65</v>
      </c>
      <c r="D2641" s="0" t="s">
        <v>86</v>
      </c>
      <c r="E2641" s="0" t="s">
        <v>3786</v>
      </c>
    </row>
    <row r="2642" customFormat="false" ht="15" hidden="false" customHeight="false" outlineLevel="0" collapsed="false">
      <c r="A2642" s="0" t="s">
        <v>740</v>
      </c>
      <c r="B2642" s="0" t="s">
        <v>3809</v>
      </c>
      <c r="C2642" s="0" t="s">
        <v>65</v>
      </c>
      <c r="D2642" s="0" t="s">
        <v>86</v>
      </c>
      <c r="E2642" s="0" t="s">
        <v>3786</v>
      </c>
    </row>
    <row r="2643" customFormat="false" ht="15" hidden="false" customHeight="false" outlineLevel="0" collapsed="false">
      <c r="A2643" s="0" t="s">
        <v>740</v>
      </c>
      <c r="B2643" s="0" t="s">
        <v>3810</v>
      </c>
      <c r="C2643" s="0" t="s">
        <v>65</v>
      </c>
      <c r="D2643" s="0" t="s">
        <v>86</v>
      </c>
      <c r="E2643" s="0" t="s">
        <v>3786</v>
      </c>
    </row>
    <row r="2644" customFormat="false" ht="15" hidden="false" customHeight="false" outlineLevel="0" collapsed="false">
      <c r="A2644" s="0" t="s">
        <v>740</v>
      </c>
      <c r="B2644" s="0" t="s">
        <v>3811</v>
      </c>
      <c r="C2644" s="0" t="s">
        <v>65</v>
      </c>
      <c r="D2644" s="0" t="s">
        <v>86</v>
      </c>
      <c r="E2644" s="0" t="s">
        <v>3786</v>
      </c>
    </row>
    <row r="2645" customFormat="false" ht="15" hidden="false" customHeight="false" outlineLevel="0" collapsed="false">
      <c r="A2645" s="0" t="s">
        <v>740</v>
      </c>
      <c r="B2645" s="0" t="s">
        <v>3812</v>
      </c>
      <c r="C2645" s="0" t="s">
        <v>65</v>
      </c>
      <c r="D2645" s="0" t="s">
        <v>86</v>
      </c>
      <c r="E2645" s="0" t="s">
        <v>3786</v>
      </c>
    </row>
    <row r="2646" customFormat="false" ht="15" hidden="false" customHeight="false" outlineLevel="0" collapsed="false">
      <c r="A2646" s="0" t="s">
        <v>740</v>
      </c>
      <c r="B2646" s="0" t="s">
        <v>3813</v>
      </c>
      <c r="C2646" s="0" t="s">
        <v>65</v>
      </c>
      <c r="D2646" s="0" t="s">
        <v>86</v>
      </c>
      <c r="E2646" s="0" t="s">
        <v>3786</v>
      </c>
    </row>
    <row r="2647" customFormat="false" ht="15" hidden="false" customHeight="false" outlineLevel="0" collapsed="false">
      <c r="A2647" s="0" t="s">
        <v>740</v>
      </c>
      <c r="B2647" s="0" t="s">
        <v>3814</v>
      </c>
      <c r="C2647" s="0" t="s">
        <v>65</v>
      </c>
      <c r="D2647" s="0" t="s">
        <v>86</v>
      </c>
      <c r="E2647" s="0" t="s">
        <v>3786</v>
      </c>
    </row>
    <row r="2648" customFormat="false" ht="15" hidden="false" customHeight="false" outlineLevel="0" collapsed="false">
      <c r="A2648" s="0" t="s">
        <v>740</v>
      </c>
      <c r="B2648" s="0" t="s">
        <v>3815</v>
      </c>
      <c r="C2648" s="0" t="s">
        <v>65</v>
      </c>
      <c r="D2648" s="0" t="s">
        <v>86</v>
      </c>
      <c r="E2648" s="0" t="s">
        <v>3786</v>
      </c>
    </row>
    <row r="2649" customFormat="false" ht="15" hidden="false" customHeight="false" outlineLevel="0" collapsed="false">
      <c r="A2649" s="0" t="s">
        <v>740</v>
      </c>
      <c r="B2649" s="0" t="s">
        <v>3816</v>
      </c>
      <c r="C2649" s="0" t="s">
        <v>65</v>
      </c>
      <c r="D2649" s="0" t="s">
        <v>86</v>
      </c>
      <c r="E2649" s="0" t="s">
        <v>3786</v>
      </c>
    </row>
    <row r="2650" customFormat="false" ht="15" hidden="false" customHeight="false" outlineLevel="0" collapsed="false">
      <c r="A2650" s="0" t="s">
        <v>740</v>
      </c>
      <c r="B2650" s="0" t="s">
        <v>3817</v>
      </c>
      <c r="C2650" s="0" t="s">
        <v>65</v>
      </c>
      <c r="D2650" s="0" t="s">
        <v>86</v>
      </c>
      <c r="E2650" s="0" t="s">
        <v>3786</v>
      </c>
    </row>
    <row r="2651" customFormat="false" ht="15" hidden="false" customHeight="false" outlineLevel="0" collapsed="false">
      <c r="A2651" s="0" t="s">
        <v>740</v>
      </c>
      <c r="B2651" s="0" t="s">
        <v>3818</v>
      </c>
      <c r="C2651" s="0" t="s">
        <v>65</v>
      </c>
      <c r="D2651" s="0" t="s">
        <v>86</v>
      </c>
      <c r="E2651" s="0" t="s">
        <v>3786</v>
      </c>
    </row>
    <row r="2652" customFormat="false" ht="15" hidden="false" customHeight="false" outlineLevel="0" collapsed="false">
      <c r="A2652" s="0" t="s">
        <v>740</v>
      </c>
      <c r="B2652" s="0" t="s">
        <v>3819</v>
      </c>
      <c r="C2652" s="0" t="s">
        <v>65</v>
      </c>
      <c r="D2652" s="0" t="s">
        <v>86</v>
      </c>
      <c r="E2652" s="0" t="s">
        <v>3786</v>
      </c>
    </row>
    <row r="2653" customFormat="false" ht="15" hidden="false" customHeight="false" outlineLevel="0" collapsed="false">
      <c r="A2653" s="0" t="s">
        <v>740</v>
      </c>
      <c r="B2653" s="0" t="s">
        <v>3820</v>
      </c>
      <c r="C2653" s="0" t="s">
        <v>65</v>
      </c>
      <c r="D2653" s="0" t="s">
        <v>86</v>
      </c>
      <c r="E2653" s="0" t="s">
        <v>3786</v>
      </c>
    </row>
    <row r="2654" customFormat="false" ht="15" hidden="false" customHeight="false" outlineLevel="0" collapsed="false">
      <c r="A2654" s="0" t="s">
        <v>740</v>
      </c>
      <c r="B2654" s="0" t="s">
        <v>3821</v>
      </c>
      <c r="C2654" s="0" t="s">
        <v>65</v>
      </c>
      <c r="D2654" s="0" t="s">
        <v>86</v>
      </c>
      <c r="E2654" s="0" t="s">
        <v>3786</v>
      </c>
    </row>
    <row r="2655" customFormat="false" ht="15" hidden="false" customHeight="false" outlineLevel="0" collapsed="false">
      <c r="A2655" s="0" t="s">
        <v>740</v>
      </c>
      <c r="B2655" s="0" t="s">
        <v>3822</v>
      </c>
      <c r="C2655" s="0" t="s">
        <v>65</v>
      </c>
      <c r="D2655" s="0" t="s">
        <v>86</v>
      </c>
      <c r="E2655" s="0" t="s">
        <v>3786</v>
      </c>
    </row>
    <row r="2656" customFormat="false" ht="15" hidden="false" customHeight="false" outlineLevel="0" collapsed="false">
      <c r="A2656" s="0" t="s">
        <v>740</v>
      </c>
      <c r="B2656" s="0" t="s">
        <v>3823</v>
      </c>
      <c r="C2656" s="0" t="s">
        <v>65</v>
      </c>
      <c r="D2656" s="0" t="s">
        <v>86</v>
      </c>
      <c r="E2656" s="0" t="s">
        <v>3786</v>
      </c>
    </row>
    <row r="2657" customFormat="false" ht="15" hidden="false" customHeight="false" outlineLevel="0" collapsed="false">
      <c r="A2657" s="0" t="s">
        <v>740</v>
      </c>
      <c r="B2657" s="0" t="s">
        <v>3824</v>
      </c>
      <c r="C2657" s="0" t="s">
        <v>65</v>
      </c>
      <c r="D2657" s="0" t="s">
        <v>86</v>
      </c>
      <c r="E2657" s="0" t="s">
        <v>3786</v>
      </c>
    </row>
    <row r="2658" customFormat="false" ht="15" hidden="false" customHeight="false" outlineLevel="0" collapsed="false">
      <c r="A2658" s="0" t="s">
        <v>740</v>
      </c>
      <c r="B2658" s="0" t="s">
        <v>3825</v>
      </c>
      <c r="C2658" s="0" t="s">
        <v>65</v>
      </c>
      <c r="D2658" s="0" t="s">
        <v>86</v>
      </c>
      <c r="E2658" s="0" t="s">
        <v>3786</v>
      </c>
    </row>
    <row r="2659" customFormat="false" ht="15" hidden="false" customHeight="false" outlineLevel="0" collapsed="false">
      <c r="A2659" s="0" t="s">
        <v>740</v>
      </c>
      <c r="B2659" s="0" t="s">
        <v>3826</v>
      </c>
      <c r="C2659" s="0" t="s">
        <v>65</v>
      </c>
      <c r="D2659" s="0" t="s">
        <v>86</v>
      </c>
      <c r="E2659" s="0" t="s">
        <v>3786</v>
      </c>
    </row>
    <row r="2660" customFormat="false" ht="15" hidden="false" customHeight="false" outlineLevel="0" collapsed="false">
      <c r="A2660" s="0" t="s">
        <v>740</v>
      </c>
      <c r="B2660" s="0" t="s">
        <v>3827</v>
      </c>
      <c r="C2660" s="0" t="s">
        <v>65</v>
      </c>
      <c r="D2660" s="0" t="s">
        <v>86</v>
      </c>
      <c r="E2660" s="0" t="s">
        <v>3786</v>
      </c>
    </row>
    <row r="2661" customFormat="false" ht="15" hidden="false" customHeight="false" outlineLevel="0" collapsed="false">
      <c r="A2661" s="0" t="s">
        <v>740</v>
      </c>
      <c r="B2661" s="0" t="s">
        <v>3828</v>
      </c>
      <c r="C2661" s="0" t="s">
        <v>65</v>
      </c>
      <c r="D2661" s="0" t="s">
        <v>86</v>
      </c>
      <c r="E2661" s="0" t="s">
        <v>3786</v>
      </c>
    </row>
    <row r="2662" customFormat="false" ht="15" hidden="false" customHeight="false" outlineLevel="0" collapsed="false">
      <c r="A2662" s="0" t="s">
        <v>740</v>
      </c>
      <c r="B2662" s="0" t="s">
        <v>3829</v>
      </c>
      <c r="C2662" s="0" t="s">
        <v>65</v>
      </c>
      <c r="D2662" s="0" t="s">
        <v>86</v>
      </c>
      <c r="E2662" s="0" t="s">
        <v>3786</v>
      </c>
    </row>
    <row r="2663" customFormat="false" ht="15" hidden="false" customHeight="false" outlineLevel="0" collapsed="false">
      <c r="A2663" s="0" t="s">
        <v>740</v>
      </c>
      <c r="B2663" s="0" t="s">
        <v>3830</v>
      </c>
      <c r="C2663" s="0" t="s">
        <v>65</v>
      </c>
      <c r="D2663" s="0" t="s">
        <v>86</v>
      </c>
      <c r="E2663" s="0" t="s">
        <v>3786</v>
      </c>
    </row>
    <row r="2664" customFormat="false" ht="15" hidden="false" customHeight="false" outlineLevel="0" collapsed="false">
      <c r="A2664" s="0" t="s">
        <v>740</v>
      </c>
      <c r="B2664" s="0" t="s">
        <v>3831</v>
      </c>
      <c r="C2664" s="0" t="s">
        <v>65</v>
      </c>
      <c r="D2664" s="0" t="s">
        <v>86</v>
      </c>
      <c r="E2664" s="0" t="s">
        <v>3786</v>
      </c>
    </row>
    <row r="2665" customFormat="false" ht="15" hidden="false" customHeight="false" outlineLevel="0" collapsed="false">
      <c r="A2665" s="0" t="s">
        <v>740</v>
      </c>
      <c r="B2665" s="0" t="s">
        <v>3832</v>
      </c>
      <c r="C2665" s="0" t="s">
        <v>65</v>
      </c>
      <c r="D2665" s="0" t="s">
        <v>86</v>
      </c>
      <c r="E2665" s="0" t="s">
        <v>3786</v>
      </c>
    </row>
    <row r="2666" customFormat="false" ht="15" hidden="false" customHeight="false" outlineLevel="0" collapsed="false">
      <c r="A2666" s="0" t="s">
        <v>740</v>
      </c>
      <c r="B2666" s="0" t="s">
        <v>3833</v>
      </c>
      <c r="C2666" s="0" t="s">
        <v>65</v>
      </c>
      <c r="D2666" s="0" t="s">
        <v>86</v>
      </c>
      <c r="E2666" s="0" t="s">
        <v>3786</v>
      </c>
    </row>
    <row r="2667" customFormat="false" ht="15" hidden="false" customHeight="false" outlineLevel="0" collapsed="false">
      <c r="A2667" s="0" t="s">
        <v>740</v>
      </c>
      <c r="B2667" s="0" t="s">
        <v>3834</v>
      </c>
      <c r="C2667" s="0" t="s">
        <v>65</v>
      </c>
      <c r="D2667" s="0" t="s">
        <v>86</v>
      </c>
      <c r="E2667" s="0" t="s">
        <v>3786</v>
      </c>
    </row>
    <row r="2668" customFormat="false" ht="15" hidden="false" customHeight="false" outlineLevel="0" collapsed="false">
      <c r="A2668" s="0" t="s">
        <v>740</v>
      </c>
      <c r="B2668" s="0" t="s">
        <v>3835</v>
      </c>
      <c r="C2668" s="0" t="s">
        <v>65</v>
      </c>
      <c r="D2668" s="0" t="s">
        <v>86</v>
      </c>
      <c r="E2668" s="0" t="s">
        <v>3786</v>
      </c>
    </row>
    <row r="2669" customFormat="false" ht="15" hidden="false" customHeight="false" outlineLevel="0" collapsed="false">
      <c r="A2669" s="0" t="s">
        <v>740</v>
      </c>
      <c r="B2669" s="0" t="s">
        <v>3836</v>
      </c>
      <c r="C2669" s="0" t="s">
        <v>65</v>
      </c>
      <c r="D2669" s="0" t="s">
        <v>86</v>
      </c>
      <c r="E2669" s="0" t="s">
        <v>3786</v>
      </c>
    </row>
    <row r="2670" customFormat="false" ht="15" hidden="false" customHeight="false" outlineLevel="0" collapsed="false">
      <c r="A2670" s="0" t="s">
        <v>740</v>
      </c>
      <c r="B2670" s="0" t="s">
        <v>3837</v>
      </c>
      <c r="C2670" s="0" t="s">
        <v>65</v>
      </c>
      <c r="D2670" s="0" t="s">
        <v>86</v>
      </c>
      <c r="E2670" s="0" t="s">
        <v>3786</v>
      </c>
    </row>
    <row r="2671" customFormat="false" ht="15" hidden="false" customHeight="false" outlineLevel="0" collapsed="false">
      <c r="A2671" s="0" t="s">
        <v>740</v>
      </c>
      <c r="B2671" s="0" t="s">
        <v>3838</v>
      </c>
      <c r="C2671" s="0" t="s">
        <v>65</v>
      </c>
      <c r="D2671" s="0" t="s">
        <v>86</v>
      </c>
      <c r="E2671" s="0" t="s">
        <v>3786</v>
      </c>
    </row>
    <row r="2672" customFormat="false" ht="15" hidden="false" customHeight="false" outlineLevel="0" collapsed="false">
      <c r="A2672" s="0" t="s">
        <v>740</v>
      </c>
      <c r="B2672" s="0" t="s">
        <v>3839</v>
      </c>
      <c r="C2672" s="0" t="s">
        <v>65</v>
      </c>
      <c r="D2672" s="0" t="s">
        <v>86</v>
      </c>
      <c r="E2672" s="0" t="s">
        <v>3786</v>
      </c>
    </row>
    <row r="2673" customFormat="false" ht="15" hidden="false" customHeight="false" outlineLevel="0" collapsed="false">
      <c r="A2673" s="0" t="s">
        <v>740</v>
      </c>
      <c r="B2673" s="0" t="s">
        <v>3840</v>
      </c>
      <c r="C2673" s="0" t="s">
        <v>65</v>
      </c>
      <c r="D2673" s="0" t="s">
        <v>86</v>
      </c>
      <c r="E2673" s="0" t="s">
        <v>3786</v>
      </c>
    </row>
    <row r="2674" customFormat="false" ht="15" hidden="false" customHeight="false" outlineLevel="0" collapsed="false">
      <c r="A2674" s="0" t="s">
        <v>740</v>
      </c>
      <c r="B2674" s="0" t="s">
        <v>3841</v>
      </c>
      <c r="C2674" s="0" t="s">
        <v>65</v>
      </c>
      <c r="D2674" s="0" t="s">
        <v>86</v>
      </c>
      <c r="E2674" s="0" t="s">
        <v>3786</v>
      </c>
    </row>
    <row r="2675" customFormat="false" ht="15" hidden="false" customHeight="false" outlineLevel="0" collapsed="false">
      <c r="A2675" s="0" t="s">
        <v>740</v>
      </c>
      <c r="B2675" s="0" t="s">
        <v>3842</v>
      </c>
      <c r="C2675" s="0" t="s">
        <v>65</v>
      </c>
      <c r="D2675" s="0" t="s">
        <v>86</v>
      </c>
      <c r="E2675" s="0" t="s">
        <v>2501</v>
      </c>
    </row>
    <row r="2676" customFormat="false" ht="15" hidden="false" customHeight="false" outlineLevel="0" collapsed="false">
      <c r="A2676" s="0" t="s">
        <v>740</v>
      </c>
      <c r="B2676" s="0" t="s">
        <v>3843</v>
      </c>
      <c r="C2676" s="0" t="s">
        <v>65</v>
      </c>
      <c r="D2676" s="0" t="s">
        <v>86</v>
      </c>
      <c r="E2676" s="0" t="s">
        <v>2501</v>
      </c>
    </row>
    <row r="2677" customFormat="false" ht="15" hidden="false" customHeight="false" outlineLevel="0" collapsed="false">
      <c r="A2677" s="0" t="s">
        <v>740</v>
      </c>
      <c r="B2677" s="0" t="s">
        <v>3844</v>
      </c>
      <c r="C2677" s="0" t="s">
        <v>65</v>
      </c>
      <c r="D2677" s="0" t="s">
        <v>86</v>
      </c>
      <c r="E2677" s="0" t="s">
        <v>2501</v>
      </c>
    </row>
    <row r="2678" customFormat="false" ht="15" hidden="false" customHeight="false" outlineLevel="0" collapsed="false">
      <c r="A2678" s="0" t="s">
        <v>740</v>
      </c>
      <c r="B2678" s="0" t="s">
        <v>3845</v>
      </c>
      <c r="C2678" s="0" t="s">
        <v>65</v>
      </c>
      <c r="D2678" s="0" t="s">
        <v>86</v>
      </c>
      <c r="E2678" s="0" t="s">
        <v>2501</v>
      </c>
    </row>
    <row r="2679" customFormat="false" ht="15" hidden="false" customHeight="false" outlineLevel="0" collapsed="false">
      <c r="A2679" s="0" t="s">
        <v>740</v>
      </c>
      <c r="B2679" s="0" t="s">
        <v>3846</v>
      </c>
      <c r="C2679" s="0" t="s">
        <v>65</v>
      </c>
      <c r="D2679" s="0" t="s">
        <v>86</v>
      </c>
      <c r="E2679" s="0" t="s">
        <v>2501</v>
      </c>
    </row>
    <row r="2680" customFormat="false" ht="15" hidden="false" customHeight="false" outlineLevel="0" collapsed="false">
      <c r="A2680" s="0" t="s">
        <v>740</v>
      </c>
      <c r="B2680" s="0" t="s">
        <v>3847</v>
      </c>
      <c r="C2680" s="0" t="s">
        <v>65</v>
      </c>
      <c r="D2680" s="0" t="s">
        <v>86</v>
      </c>
      <c r="E2680" s="0" t="s">
        <v>2501</v>
      </c>
    </row>
    <row r="2681" customFormat="false" ht="15" hidden="false" customHeight="false" outlineLevel="0" collapsed="false">
      <c r="A2681" s="0" t="s">
        <v>740</v>
      </c>
      <c r="B2681" s="0" t="s">
        <v>3848</v>
      </c>
      <c r="C2681" s="0" t="s">
        <v>65</v>
      </c>
      <c r="D2681" s="0" t="s">
        <v>86</v>
      </c>
      <c r="E2681" s="0" t="s">
        <v>2501</v>
      </c>
    </row>
    <row r="2682" customFormat="false" ht="15" hidden="false" customHeight="false" outlineLevel="0" collapsed="false">
      <c r="A2682" s="0" t="s">
        <v>740</v>
      </c>
      <c r="B2682" s="0" t="s">
        <v>3849</v>
      </c>
      <c r="C2682" s="0" t="s">
        <v>65</v>
      </c>
      <c r="D2682" s="0" t="s">
        <v>86</v>
      </c>
      <c r="E2682" s="0" t="s">
        <v>2501</v>
      </c>
    </row>
    <row r="2683" customFormat="false" ht="15" hidden="false" customHeight="false" outlineLevel="0" collapsed="false">
      <c r="A2683" s="0" t="s">
        <v>740</v>
      </c>
      <c r="B2683" s="0" t="s">
        <v>3850</v>
      </c>
      <c r="C2683" s="0" t="s">
        <v>65</v>
      </c>
      <c r="D2683" s="0" t="s">
        <v>86</v>
      </c>
      <c r="E2683" s="0" t="s">
        <v>2501</v>
      </c>
    </row>
    <row r="2684" customFormat="false" ht="15" hidden="false" customHeight="false" outlineLevel="0" collapsed="false">
      <c r="A2684" s="0" t="s">
        <v>740</v>
      </c>
      <c r="B2684" s="0" t="s">
        <v>3851</v>
      </c>
      <c r="C2684" s="0" t="s">
        <v>65</v>
      </c>
      <c r="D2684" s="0" t="s">
        <v>86</v>
      </c>
      <c r="E2684" s="0" t="s">
        <v>2501</v>
      </c>
    </row>
    <row r="2685" customFormat="false" ht="15" hidden="false" customHeight="false" outlineLevel="0" collapsed="false">
      <c r="A2685" s="0" t="s">
        <v>740</v>
      </c>
      <c r="B2685" s="0" t="s">
        <v>3852</v>
      </c>
      <c r="C2685" s="0" t="s">
        <v>65</v>
      </c>
      <c r="D2685" s="0" t="s">
        <v>86</v>
      </c>
      <c r="E2685" s="0" t="s">
        <v>2501</v>
      </c>
    </row>
    <row r="2686" customFormat="false" ht="15" hidden="false" customHeight="false" outlineLevel="0" collapsed="false">
      <c r="A2686" s="0" t="s">
        <v>740</v>
      </c>
      <c r="B2686" s="0" t="s">
        <v>3853</v>
      </c>
      <c r="C2686" s="0" t="s">
        <v>65</v>
      </c>
      <c r="D2686" s="0" t="s">
        <v>86</v>
      </c>
      <c r="E2686" s="0" t="s">
        <v>2501</v>
      </c>
    </row>
    <row r="2687" customFormat="false" ht="15" hidden="false" customHeight="false" outlineLevel="0" collapsed="false">
      <c r="A2687" s="0" t="s">
        <v>740</v>
      </c>
      <c r="B2687" s="0" t="s">
        <v>3854</v>
      </c>
      <c r="C2687" s="0" t="s">
        <v>65</v>
      </c>
      <c r="D2687" s="0" t="s">
        <v>86</v>
      </c>
      <c r="E2687" s="0" t="s">
        <v>2501</v>
      </c>
    </row>
    <row r="2688" customFormat="false" ht="15" hidden="false" customHeight="false" outlineLevel="0" collapsed="false">
      <c r="A2688" s="0" t="s">
        <v>740</v>
      </c>
      <c r="B2688" s="0" t="s">
        <v>3855</v>
      </c>
      <c r="C2688" s="0" t="s">
        <v>65</v>
      </c>
      <c r="D2688" s="0" t="s">
        <v>86</v>
      </c>
      <c r="E2688" s="0" t="s">
        <v>2501</v>
      </c>
    </row>
    <row r="2689" customFormat="false" ht="15" hidden="false" customHeight="false" outlineLevel="0" collapsed="false">
      <c r="A2689" s="0" t="s">
        <v>740</v>
      </c>
      <c r="B2689" s="0" t="s">
        <v>3856</v>
      </c>
      <c r="C2689" s="0" t="s">
        <v>65</v>
      </c>
      <c r="D2689" s="0" t="s">
        <v>86</v>
      </c>
      <c r="E2689" s="0" t="s">
        <v>2501</v>
      </c>
    </row>
    <row r="2690" customFormat="false" ht="15" hidden="false" customHeight="false" outlineLevel="0" collapsed="false">
      <c r="A2690" s="0" t="s">
        <v>740</v>
      </c>
      <c r="B2690" s="0" t="s">
        <v>3857</v>
      </c>
      <c r="C2690" s="0" t="s">
        <v>65</v>
      </c>
      <c r="D2690" s="0" t="s">
        <v>86</v>
      </c>
      <c r="E2690" s="0" t="s">
        <v>2501</v>
      </c>
    </row>
    <row r="2691" customFormat="false" ht="15" hidden="false" customHeight="false" outlineLevel="0" collapsed="false">
      <c r="A2691" s="0" t="s">
        <v>740</v>
      </c>
      <c r="B2691" s="0" t="s">
        <v>3858</v>
      </c>
      <c r="C2691" s="0" t="s">
        <v>65</v>
      </c>
      <c r="D2691" s="0" t="s">
        <v>86</v>
      </c>
      <c r="E2691" s="0" t="s">
        <v>2501</v>
      </c>
    </row>
    <row r="2692" customFormat="false" ht="15" hidden="false" customHeight="false" outlineLevel="0" collapsed="false">
      <c r="A2692" s="0" t="s">
        <v>740</v>
      </c>
      <c r="B2692" s="0" t="s">
        <v>3859</v>
      </c>
      <c r="C2692" s="0" t="s">
        <v>65</v>
      </c>
      <c r="D2692" s="0" t="s">
        <v>86</v>
      </c>
      <c r="E2692" s="0" t="s">
        <v>2501</v>
      </c>
    </row>
    <row r="2693" customFormat="false" ht="15" hidden="false" customHeight="false" outlineLevel="0" collapsed="false">
      <c r="A2693" s="0" t="s">
        <v>740</v>
      </c>
      <c r="B2693" s="0" t="s">
        <v>3860</v>
      </c>
      <c r="C2693" s="0" t="s">
        <v>65</v>
      </c>
      <c r="D2693" s="0" t="s">
        <v>86</v>
      </c>
      <c r="E2693" s="0" t="s">
        <v>2501</v>
      </c>
    </row>
    <row r="2694" customFormat="false" ht="15" hidden="false" customHeight="false" outlineLevel="0" collapsed="false">
      <c r="A2694" s="0" t="s">
        <v>740</v>
      </c>
      <c r="B2694" s="0" t="s">
        <v>3861</v>
      </c>
      <c r="C2694" s="0" t="s">
        <v>65</v>
      </c>
      <c r="D2694" s="0" t="s">
        <v>86</v>
      </c>
      <c r="E2694" s="0" t="s">
        <v>2501</v>
      </c>
    </row>
    <row r="2695" customFormat="false" ht="15" hidden="false" customHeight="false" outlineLevel="0" collapsed="false">
      <c r="A2695" s="0" t="s">
        <v>740</v>
      </c>
      <c r="B2695" s="0" t="s">
        <v>3862</v>
      </c>
      <c r="C2695" s="0" t="s">
        <v>65</v>
      </c>
      <c r="D2695" s="0" t="s">
        <v>86</v>
      </c>
      <c r="E2695" s="0" t="s">
        <v>2501</v>
      </c>
    </row>
    <row r="2696" customFormat="false" ht="15" hidden="false" customHeight="false" outlineLevel="0" collapsed="false">
      <c r="A2696" s="0" t="s">
        <v>740</v>
      </c>
      <c r="B2696" s="0" t="s">
        <v>3863</v>
      </c>
      <c r="C2696" s="0" t="s">
        <v>65</v>
      </c>
      <c r="D2696" s="0" t="s">
        <v>86</v>
      </c>
      <c r="E2696" s="0" t="s">
        <v>2501</v>
      </c>
    </row>
    <row r="2697" customFormat="false" ht="15" hidden="false" customHeight="false" outlineLevel="0" collapsed="false">
      <c r="A2697" s="0" t="s">
        <v>740</v>
      </c>
      <c r="B2697" s="0" t="s">
        <v>3864</v>
      </c>
      <c r="C2697" s="0" t="s">
        <v>65</v>
      </c>
      <c r="D2697" s="0" t="s">
        <v>86</v>
      </c>
      <c r="E2697" s="0" t="s">
        <v>2501</v>
      </c>
    </row>
    <row r="2698" customFormat="false" ht="15" hidden="false" customHeight="false" outlineLevel="0" collapsed="false">
      <c r="A2698" s="0" t="s">
        <v>740</v>
      </c>
      <c r="B2698" s="0" t="s">
        <v>3865</v>
      </c>
      <c r="C2698" s="0" t="s">
        <v>65</v>
      </c>
      <c r="D2698" s="0" t="s">
        <v>86</v>
      </c>
      <c r="E2698" s="0" t="s">
        <v>2501</v>
      </c>
    </row>
    <row r="2699" customFormat="false" ht="15" hidden="false" customHeight="false" outlineLevel="0" collapsed="false">
      <c r="A2699" s="0" t="s">
        <v>740</v>
      </c>
      <c r="B2699" s="0" t="s">
        <v>3866</v>
      </c>
      <c r="C2699" s="0" t="s">
        <v>65</v>
      </c>
      <c r="D2699" s="0" t="s">
        <v>86</v>
      </c>
      <c r="E2699" s="0" t="s">
        <v>2501</v>
      </c>
    </row>
    <row r="2700" customFormat="false" ht="15" hidden="false" customHeight="false" outlineLevel="0" collapsed="false">
      <c r="A2700" s="0" t="s">
        <v>740</v>
      </c>
      <c r="B2700" s="0" t="s">
        <v>3867</v>
      </c>
      <c r="C2700" s="0" t="s">
        <v>65</v>
      </c>
      <c r="D2700" s="0" t="s">
        <v>86</v>
      </c>
      <c r="E2700" s="0" t="s">
        <v>2501</v>
      </c>
    </row>
    <row r="2701" customFormat="false" ht="15" hidden="false" customHeight="false" outlineLevel="0" collapsed="false">
      <c r="A2701" s="0" t="s">
        <v>740</v>
      </c>
      <c r="B2701" s="0" t="s">
        <v>3868</v>
      </c>
      <c r="C2701" s="0" t="s">
        <v>65</v>
      </c>
      <c r="D2701" s="0" t="s">
        <v>86</v>
      </c>
      <c r="E2701" s="0" t="s">
        <v>2501</v>
      </c>
    </row>
    <row r="2702" customFormat="false" ht="15" hidden="false" customHeight="false" outlineLevel="0" collapsed="false">
      <c r="A2702" s="0" t="s">
        <v>740</v>
      </c>
      <c r="B2702" s="0" t="s">
        <v>3869</v>
      </c>
      <c r="C2702" s="0" t="s">
        <v>65</v>
      </c>
      <c r="D2702" s="0" t="s">
        <v>86</v>
      </c>
      <c r="E2702" s="0" t="s">
        <v>2501</v>
      </c>
    </row>
    <row r="2703" customFormat="false" ht="15" hidden="false" customHeight="false" outlineLevel="0" collapsed="false">
      <c r="A2703" s="0" t="s">
        <v>740</v>
      </c>
      <c r="B2703" s="0" t="s">
        <v>3870</v>
      </c>
      <c r="C2703" s="0" t="s">
        <v>733</v>
      </c>
      <c r="D2703" s="0" t="s">
        <v>744</v>
      </c>
      <c r="E2703" s="0" t="s">
        <v>310</v>
      </c>
    </row>
    <row r="2704" customFormat="false" ht="15" hidden="false" customHeight="false" outlineLevel="0" collapsed="false">
      <c r="A2704" s="0" t="s">
        <v>740</v>
      </c>
      <c r="B2704" s="0" t="s">
        <v>3871</v>
      </c>
      <c r="C2704" s="0" t="s">
        <v>733</v>
      </c>
      <c r="D2704" s="0" t="s">
        <v>744</v>
      </c>
      <c r="E2704" s="0" t="s">
        <v>310</v>
      </c>
    </row>
    <row r="2705" customFormat="false" ht="15" hidden="false" customHeight="false" outlineLevel="0" collapsed="false">
      <c r="A2705" s="0" t="s">
        <v>740</v>
      </c>
      <c r="B2705" s="0" t="s">
        <v>3872</v>
      </c>
      <c r="C2705" s="0" t="s">
        <v>733</v>
      </c>
      <c r="D2705" s="0" t="s">
        <v>744</v>
      </c>
      <c r="E2705" s="0" t="s">
        <v>310</v>
      </c>
    </row>
    <row r="2706" customFormat="false" ht="15" hidden="false" customHeight="false" outlineLevel="0" collapsed="false">
      <c r="A2706" s="0" t="s">
        <v>740</v>
      </c>
      <c r="B2706" s="0" t="s">
        <v>3873</v>
      </c>
      <c r="C2706" s="0" t="s">
        <v>733</v>
      </c>
      <c r="D2706" s="0" t="s">
        <v>744</v>
      </c>
      <c r="E2706" s="0" t="s">
        <v>310</v>
      </c>
    </row>
    <row r="2707" customFormat="false" ht="15" hidden="false" customHeight="false" outlineLevel="0" collapsed="false">
      <c r="A2707" s="0" t="s">
        <v>740</v>
      </c>
      <c r="B2707" s="0" t="s">
        <v>3874</v>
      </c>
      <c r="C2707" s="0" t="s">
        <v>733</v>
      </c>
      <c r="D2707" s="0" t="s">
        <v>744</v>
      </c>
      <c r="E2707" s="0" t="s">
        <v>310</v>
      </c>
    </row>
    <row r="2708" customFormat="false" ht="15" hidden="false" customHeight="false" outlineLevel="0" collapsed="false">
      <c r="A2708" s="0" t="s">
        <v>740</v>
      </c>
      <c r="B2708" s="0" t="s">
        <v>3875</v>
      </c>
      <c r="C2708" s="0" t="s">
        <v>733</v>
      </c>
      <c r="D2708" s="0" t="s">
        <v>744</v>
      </c>
      <c r="E2708" s="0" t="s">
        <v>310</v>
      </c>
    </row>
    <row r="2709" customFormat="false" ht="15" hidden="false" customHeight="false" outlineLevel="0" collapsed="false">
      <c r="A2709" s="0" t="s">
        <v>740</v>
      </c>
      <c r="B2709" s="0" t="s">
        <v>3876</v>
      </c>
      <c r="C2709" s="0" t="s">
        <v>733</v>
      </c>
      <c r="D2709" s="0" t="s">
        <v>744</v>
      </c>
      <c r="E2709" s="0" t="s">
        <v>310</v>
      </c>
    </row>
    <row r="2710" customFormat="false" ht="15" hidden="false" customHeight="false" outlineLevel="0" collapsed="false">
      <c r="A2710" s="0" t="s">
        <v>740</v>
      </c>
      <c r="B2710" s="0" t="s">
        <v>3877</v>
      </c>
      <c r="C2710" s="0" t="s">
        <v>733</v>
      </c>
      <c r="D2710" s="0" t="s">
        <v>744</v>
      </c>
      <c r="E2710" s="0" t="s">
        <v>310</v>
      </c>
    </row>
    <row r="2711" customFormat="false" ht="15" hidden="false" customHeight="false" outlineLevel="0" collapsed="false">
      <c r="A2711" s="0" t="s">
        <v>740</v>
      </c>
      <c r="B2711" s="0" t="s">
        <v>3878</v>
      </c>
      <c r="C2711" s="0" t="s">
        <v>733</v>
      </c>
      <c r="D2711" s="0" t="s">
        <v>744</v>
      </c>
      <c r="E2711" s="0" t="s">
        <v>310</v>
      </c>
    </row>
    <row r="2712" customFormat="false" ht="15" hidden="false" customHeight="false" outlineLevel="0" collapsed="false">
      <c r="A2712" s="0" t="s">
        <v>740</v>
      </c>
      <c r="B2712" s="0" t="s">
        <v>3879</v>
      </c>
      <c r="C2712" s="0" t="s">
        <v>733</v>
      </c>
      <c r="D2712" s="0" t="s">
        <v>744</v>
      </c>
      <c r="E2712" s="0" t="s">
        <v>310</v>
      </c>
    </row>
    <row r="2713" customFormat="false" ht="15" hidden="false" customHeight="false" outlineLevel="0" collapsed="false">
      <c r="A2713" s="0" t="s">
        <v>740</v>
      </c>
      <c r="B2713" s="0" t="s">
        <v>3880</v>
      </c>
      <c r="C2713" s="0" t="s">
        <v>733</v>
      </c>
      <c r="D2713" s="0" t="s">
        <v>744</v>
      </c>
      <c r="E2713" s="0" t="s">
        <v>310</v>
      </c>
    </row>
    <row r="2714" customFormat="false" ht="15" hidden="false" customHeight="false" outlineLevel="0" collapsed="false">
      <c r="A2714" s="0" t="s">
        <v>740</v>
      </c>
      <c r="B2714" s="0" t="s">
        <v>3881</v>
      </c>
      <c r="C2714" s="0" t="s">
        <v>733</v>
      </c>
      <c r="D2714" s="0" t="s">
        <v>744</v>
      </c>
      <c r="E2714" s="0" t="s">
        <v>310</v>
      </c>
    </row>
    <row r="2715" customFormat="false" ht="15" hidden="false" customHeight="false" outlineLevel="0" collapsed="false">
      <c r="A2715" s="0" t="s">
        <v>740</v>
      </c>
      <c r="B2715" s="0" t="s">
        <v>3882</v>
      </c>
      <c r="C2715" s="0" t="s">
        <v>733</v>
      </c>
      <c r="D2715" s="0" t="s">
        <v>744</v>
      </c>
      <c r="E2715" s="0" t="s">
        <v>310</v>
      </c>
    </row>
    <row r="2716" customFormat="false" ht="15" hidden="false" customHeight="false" outlineLevel="0" collapsed="false">
      <c r="A2716" s="0" t="s">
        <v>740</v>
      </c>
      <c r="B2716" s="0" t="s">
        <v>3883</v>
      </c>
      <c r="C2716" s="0" t="s">
        <v>733</v>
      </c>
      <c r="D2716" s="0" t="s">
        <v>744</v>
      </c>
      <c r="E2716" s="0" t="s">
        <v>310</v>
      </c>
    </row>
    <row r="2717" customFormat="false" ht="15" hidden="false" customHeight="false" outlineLevel="0" collapsed="false">
      <c r="A2717" s="0" t="s">
        <v>740</v>
      </c>
      <c r="B2717" s="0" t="s">
        <v>3884</v>
      </c>
      <c r="C2717" s="0" t="s">
        <v>733</v>
      </c>
      <c r="D2717" s="0" t="s">
        <v>744</v>
      </c>
      <c r="E2717" s="0" t="s">
        <v>310</v>
      </c>
    </row>
    <row r="2718" customFormat="false" ht="15" hidden="false" customHeight="false" outlineLevel="0" collapsed="false">
      <c r="A2718" s="0" t="s">
        <v>740</v>
      </c>
      <c r="B2718" s="0" t="s">
        <v>3885</v>
      </c>
      <c r="C2718" s="0" t="s">
        <v>733</v>
      </c>
      <c r="D2718" s="0" t="s">
        <v>744</v>
      </c>
      <c r="E2718" s="0" t="s">
        <v>310</v>
      </c>
    </row>
    <row r="2719" customFormat="false" ht="15" hidden="false" customHeight="false" outlineLevel="0" collapsed="false">
      <c r="A2719" s="0" t="s">
        <v>740</v>
      </c>
      <c r="B2719" s="0" t="s">
        <v>3886</v>
      </c>
      <c r="C2719" s="0" t="s">
        <v>733</v>
      </c>
      <c r="D2719" s="0" t="s">
        <v>744</v>
      </c>
      <c r="E2719" s="0" t="s">
        <v>310</v>
      </c>
    </row>
    <row r="2720" customFormat="false" ht="15" hidden="false" customHeight="false" outlineLevel="0" collapsed="false">
      <c r="A2720" s="0" t="s">
        <v>740</v>
      </c>
      <c r="B2720" s="0" t="s">
        <v>3887</v>
      </c>
      <c r="C2720" s="0" t="s">
        <v>733</v>
      </c>
      <c r="D2720" s="0" t="s">
        <v>744</v>
      </c>
      <c r="E2720" s="0" t="s">
        <v>310</v>
      </c>
    </row>
    <row r="2721" customFormat="false" ht="15" hidden="false" customHeight="false" outlineLevel="0" collapsed="false">
      <c r="A2721" s="0" t="s">
        <v>740</v>
      </c>
      <c r="B2721" s="0" t="s">
        <v>3888</v>
      </c>
      <c r="C2721" s="0" t="s">
        <v>762</v>
      </c>
      <c r="D2721" s="0" t="s">
        <v>98</v>
      </c>
      <c r="E2721" s="0" t="s">
        <v>763</v>
      </c>
    </row>
    <row r="2722" customFormat="false" ht="15" hidden="false" customHeight="false" outlineLevel="0" collapsed="false">
      <c r="A2722" s="0" t="s">
        <v>740</v>
      </c>
      <c r="B2722" s="0" t="s">
        <v>3889</v>
      </c>
      <c r="C2722" s="0" t="s">
        <v>762</v>
      </c>
      <c r="D2722" s="0" t="s">
        <v>98</v>
      </c>
      <c r="E2722" s="0" t="s">
        <v>763</v>
      </c>
    </row>
    <row r="2723" customFormat="false" ht="15" hidden="false" customHeight="false" outlineLevel="0" collapsed="false">
      <c r="A2723" s="0" t="s">
        <v>740</v>
      </c>
      <c r="B2723" s="0" t="s">
        <v>3890</v>
      </c>
      <c r="C2723" s="0" t="s">
        <v>762</v>
      </c>
      <c r="D2723" s="0" t="s">
        <v>98</v>
      </c>
      <c r="E2723" s="0" t="s">
        <v>763</v>
      </c>
    </row>
    <row r="2724" customFormat="false" ht="15" hidden="false" customHeight="false" outlineLevel="0" collapsed="false">
      <c r="A2724" s="0" t="s">
        <v>740</v>
      </c>
      <c r="B2724" s="0" t="s">
        <v>3891</v>
      </c>
      <c r="C2724" s="0" t="s">
        <v>762</v>
      </c>
      <c r="D2724" s="0" t="s">
        <v>98</v>
      </c>
      <c r="E2724" s="0" t="s">
        <v>763</v>
      </c>
    </row>
    <row r="2725" customFormat="false" ht="15" hidden="false" customHeight="false" outlineLevel="0" collapsed="false">
      <c r="A2725" s="0" t="s">
        <v>740</v>
      </c>
      <c r="B2725" s="0" t="s">
        <v>3892</v>
      </c>
      <c r="C2725" s="0" t="s">
        <v>762</v>
      </c>
      <c r="D2725" s="0" t="s">
        <v>98</v>
      </c>
      <c r="E2725" s="0" t="s">
        <v>763</v>
      </c>
    </row>
    <row r="2726" customFormat="false" ht="15" hidden="false" customHeight="false" outlineLevel="0" collapsed="false">
      <c r="A2726" s="0" t="s">
        <v>740</v>
      </c>
      <c r="B2726" s="0" t="s">
        <v>3893</v>
      </c>
      <c r="C2726" s="0" t="s">
        <v>762</v>
      </c>
      <c r="D2726" s="0" t="s">
        <v>98</v>
      </c>
      <c r="E2726" s="0" t="s">
        <v>763</v>
      </c>
    </row>
    <row r="2727" customFormat="false" ht="15" hidden="false" customHeight="false" outlineLevel="0" collapsed="false">
      <c r="A2727" s="0" t="s">
        <v>740</v>
      </c>
      <c r="B2727" s="0" t="s">
        <v>3894</v>
      </c>
      <c r="C2727" s="0" t="s">
        <v>762</v>
      </c>
      <c r="D2727" s="0" t="s">
        <v>98</v>
      </c>
      <c r="E2727" s="0" t="s">
        <v>763</v>
      </c>
    </row>
    <row r="2728" customFormat="false" ht="15" hidden="false" customHeight="false" outlineLevel="0" collapsed="false">
      <c r="A2728" s="0" t="s">
        <v>740</v>
      </c>
      <c r="B2728" s="0" t="s">
        <v>3895</v>
      </c>
      <c r="C2728" s="0" t="s">
        <v>762</v>
      </c>
      <c r="D2728" s="0" t="s">
        <v>98</v>
      </c>
      <c r="E2728" s="0" t="s">
        <v>763</v>
      </c>
    </row>
    <row r="2729" customFormat="false" ht="15" hidden="false" customHeight="false" outlineLevel="0" collapsed="false">
      <c r="A2729" s="0" t="s">
        <v>740</v>
      </c>
      <c r="B2729" s="0" t="s">
        <v>3896</v>
      </c>
      <c r="C2729" s="0" t="s">
        <v>762</v>
      </c>
      <c r="D2729" s="0" t="s">
        <v>98</v>
      </c>
      <c r="E2729" s="0" t="s">
        <v>763</v>
      </c>
    </row>
    <row r="2730" customFormat="false" ht="15" hidden="false" customHeight="false" outlineLevel="0" collapsed="false">
      <c r="A2730" s="0" t="s">
        <v>740</v>
      </c>
      <c r="B2730" s="0" t="s">
        <v>3897</v>
      </c>
      <c r="C2730" s="0" t="s">
        <v>762</v>
      </c>
      <c r="D2730" s="0" t="s">
        <v>98</v>
      </c>
      <c r="E2730" s="0" t="s">
        <v>763</v>
      </c>
    </row>
    <row r="2731" customFormat="false" ht="15" hidden="false" customHeight="false" outlineLevel="0" collapsed="false">
      <c r="A2731" s="0" t="s">
        <v>740</v>
      </c>
      <c r="B2731" s="0" t="s">
        <v>3898</v>
      </c>
      <c r="C2731" s="0" t="s">
        <v>762</v>
      </c>
      <c r="D2731" s="0" t="s">
        <v>98</v>
      </c>
      <c r="E2731" s="0" t="s">
        <v>763</v>
      </c>
    </row>
    <row r="2732" customFormat="false" ht="15" hidden="false" customHeight="false" outlineLevel="0" collapsed="false">
      <c r="A2732" s="0" t="s">
        <v>740</v>
      </c>
      <c r="B2732" s="0" t="s">
        <v>3899</v>
      </c>
      <c r="C2732" s="0" t="s">
        <v>762</v>
      </c>
      <c r="D2732" s="0" t="s">
        <v>98</v>
      </c>
      <c r="E2732" s="0" t="s">
        <v>763</v>
      </c>
    </row>
    <row r="2733" customFormat="false" ht="15" hidden="false" customHeight="false" outlineLevel="0" collapsed="false">
      <c r="A2733" s="0" t="s">
        <v>740</v>
      </c>
      <c r="B2733" s="0" t="s">
        <v>3900</v>
      </c>
      <c r="C2733" s="0" t="s">
        <v>762</v>
      </c>
      <c r="D2733" s="0" t="s">
        <v>98</v>
      </c>
      <c r="E2733" s="0" t="s">
        <v>763</v>
      </c>
    </row>
    <row r="2734" customFormat="false" ht="15" hidden="false" customHeight="false" outlineLevel="0" collapsed="false">
      <c r="A2734" s="0" t="s">
        <v>740</v>
      </c>
      <c r="B2734" s="0" t="s">
        <v>3901</v>
      </c>
      <c r="C2734" s="0" t="s">
        <v>762</v>
      </c>
      <c r="D2734" s="0" t="s">
        <v>98</v>
      </c>
      <c r="E2734" s="0" t="s">
        <v>763</v>
      </c>
    </row>
    <row r="2735" customFormat="false" ht="15" hidden="false" customHeight="false" outlineLevel="0" collapsed="false">
      <c r="A2735" s="0" t="s">
        <v>740</v>
      </c>
      <c r="B2735" s="0" t="s">
        <v>3902</v>
      </c>
      <c r="C2735" s="0" t="s">
        <v>762</v>
      </c>
      <c r="D2735" s="0" t="s">
        <v>93</v>
      </c>
      <c r="E2735" s="0" t="s">
        <v>3903</v>
      </c>
    </row>
    <row r="2736" customFormat="false" ht="15" hidden="false" customHeight="false" outlineLevel="0" collapsed="false">
      <c r="A2736" s="0" t="s">
        <v>740</v>
      </c>
      <c r="B2736" s="0" t="s">
        <v>3904</v>
      </c>
      <c r="C2736" s="0" t="s">
        <v>762</v>
      </c>
      <c r="D2736" s="0" t="s">
        <v>93</v>
      </c>
      <c r="E2736" s="0" t="s">
        <v>3905</v>
      </c>
    </row>
    <row r="2737" customFormat="false" ht="15" hidden="false" customHeight="false" outlineLevel="0" collapsed="false">
      <c r="A2737" s="0" t="s">
        <v>740</v>
      </c>
      <c r="B2737" s="0" t="s">
        <v>3906</v>
      </c>
      <c r="C2737" s="0" t="s">
        <v>1159</v>
      </c>
      <c r="D2737" s="0" t="s">
        <v>93</v>
      </c>
      <c r="E2737" s="0" t="s">
        <v>3907</v>
      </c>
    </row>
    <row r="2738" customFormat="false" ht="15" hidden="false" customHeight="false" outlineLevel="0" collapsed="false">
      <c r="A2738" s="0" t="s">
        <v>740</v>
      </c>
      <c r="B2738" s="0" t="s">
        <v>3908</v>
      </c>
      <c r="C2738" s="0" t="s">
        <v>1159</v>
      </c>
      <c r="D2738" s="0" t="s">
        <v>93</v>
      </c>
      <c r="E2738" s="0" t="s">
        <v>1036</v>
      </c>
    </row>
    <row r="2739" customFormat="false" ht="15" hidden="false" customHeight="false" outlineLevel="0" collapsed="false">
      <c r="A2739" s="0" t="s">
        <v>740</v>
      </c>
      <c r="B2739" s="0" t="s">
        <v>3909</v>
      </c>
      <c r="C2739" s="0" t="s">
        <v>733</v>
      </c>
      <c r="D2739" s="0" t="s">
        <v>93</v>
      </c>
    </row>
    <row r="2740" customFormat="false" ht="15" hidden="false" customHeight="false" outlineLevel="0" collapsed="false">
      <c r="A2740" s="0" t="s">
        <v>740</v>
      </c>
      <c r="B2740" s="0" t="s">
        <v>3910</v>
      </c>
      <c r="C2740" s="0" t="s">
        <v>733</v>
      </c>
      <c r="D2740" s="0" t="s">
        <v>93</v>
      </c>
      <c r="E2740" s="0" t="s">
        <v>3911</v>
      </c>
    </row>
    <row r="2741" customFormat="false" ht="15" hidden="false" customHeight="false" outlineLevel="0" collapsed="false">
      <c r="A2741" s="0" t="s">
        <v>740</v>
      </c>
      <c r="B2741" s="0" t="s">
        <v>3912</v>
      </c>
      <c r="C2741" s="0" t="s">
        <v>733</v>
      </c>
      <c r="D2741" s="0" t="s">
        <v>93</v>
      </c>
      <c r="E2741" s="0" t="s">
        <v>3911</v>
      </c>
    </row>
    <row r="2742" customFormat="false" ht="15" hidden="false" customHeight="false" outlineLevel="0" collapsed="false">
      <c r="A2742" s="0" t="s">
        <v>740</v>
      </c>
      <c r="B2742" s="0" t="s">
        <v>3913</v>
      </c>
      <c r="C2742" s="0" t="s">
        <v>733</v>
      </c>
      <c r="D2742" s="0" t="s">
        <v>93</v>
      </c>
      <c r="E2742" s="0" t="s">
        <v>3911</v>
      </c>
    </row>
    <row r="2743" customFormat="false" ht="15" hidden="false" customHeight="false" outlineLevel="0" collapsed="false">
      <c r="A2743" s="0" t="s">
        <v>740</v>
      </c>
      <c r="B2743" s="0" t="s">
        <v>3914</v>
      </c>
      <c r="C2743" s="0" t="s">
        <v>733</v>
      </c>
      <c r="D2743" s="0" t="s">
        <v>93</v>
      </c>
      <c r="E2743" s="0" t="s">
        <v>3911</v>
      </c>
    </row>
    <row r="2744" customFormat="false" ht="15" hidden="false" customHeight="false" outlineLevel="0" collapsed="false">
      <c r="A2744" s="0" t="s">
        <v>740</v>
      </c>
      <c r="B2744" s="0" t="s">
        <v>3915</v>
      </c>
      <c r="C2744" s="0" t="s">
        <v>733</v>
      </c>
      <c r="D2744" s="0" t="s">
        <v>93</v>
      </c>
      <c r="E2744" s="0" t="s">
        <v>3911</v>
      </c>
    </row>
    <row r="2745" customFormat="false" ht="15" hidden="false" customHeight="false" outlineLevel="0" collapsed="false">
      <c r="A2745" s="0" t="s">
        <v>740</v>
      </c>
      <c r="B2745" s="0" t="s">
        <v>3916</v>
      </c>
      <c r="C2745" s="0" t="s">
        <v>733</v>
      </c>
      <c r="D2745" s="0" t="s">
        <v>93</v>
      </c>
      <c r="E2745" s="0" t="s">
        <v>3911</v>
      </c>
    </row>
    <row r="2746" customFormat="false" ht="15" hidden="false" customHeight="false" outlineLevel="0" collapsed="false">
      <c r="A2746" s="0" t="s">
        <v>740</v>
      </c>
      <c r="B2746" s="0" t="s">
        <v>3917</v>
      </c>
      <c r="C2746" s="0" t="s">
        <v>733</v>
      </c>
      <c r="D2746" s="0" t="s">
        <v>93</v>
      </c>
      <c r="E2746" s="0" t="s">
        <v>3911</v>
      </c>
    </row>
    <row r="2747" customFormat="false" ht="15" hidden="false" customHeight="false" outlineLevel="0" collapsed="false">
      <c r="A2747" s="0" t="s">
        <v>740</v>
      </c>
      <c r="B2747" s="0" t="s">
        <v>3918</v>
      </c>
      <c r="C2747" s="0" t="s">
        <v>733</v>
      </c>
      <c r="D2747" s="0" t="s">
        <v>93</v>
      </c>
      <c r="E2747" s="0" t="s">
        <v>3911</v>
      </c>
    </row>
    <row r="2748" customFormat="false" ht="15" hidden="false" customHeight="false" outlineLevel="0" collapsed="false">
      <c r="A2748" s="0" t="s">
        <v>740</v>
      </c>
      <c r="B2748" s="0" t="s">
        <v>3919</v>
      </c>
      <c r="C2748" s="0" t="s">
        <v>733</v>
      </c>
      <c r="D2748" s="0" t="s">
        <v>93</v>
      </c>
      <c r="E2748" s="0" t="s">
        <v>3911</v>
      </c>
    </row>
    <row r="2749" customFormat="false" ht="15" hidden="false" customHeight="false" outlineLevel="0" collapsed="false">
      <c r="A2749" s="0" t="s">
        <v>740</v>
      </c>
      <c r="B2749" s="0" t="s">
        <v>3920</v>
      </c>
      <c r="C2749" s="0" t="s">
        <v>762</v>
      </c>
      <c r="D2749" s="0" t="s">
        <v>98</v>
      </c>
      <c r="E2749" s="0" t="s">
        <v>763</v>
      </c>
    </row>
    <row r="2750" customFormat="false" ht="15" hidden="false" customHeight="false" outlineLevel="0" collapsed="false">
      <c r="A2750" s="0" t="s">
        <v>740</v>
      </c>
      <c r="B2750" s="0" t="s">
        <v>3921</v>
      </c>
      <c r="C2750" s="0" t="s">
        <v>762</v>
      </c>
      <c r="D2750" s="0" t="s">
        <v>98</v>
      </c>
      <c r="E2750" s="0" t="s">
        <v>763</v>
      </c>
    </row>
    <row r="2751" customFormat="false" ht="15" hidden="false" customHeight="false" outlineLevel="0" collapsed="false">
      <c r="A2751" s="0" t="s">
        <v>740</v>
      </c>
      <c r="B2751" s="0" t="s">
        <v>3922</v>
      </c>
      <c r="C2751" s="0" t="s">
        <v>762</v>
      </c>
      <c r="D2751" s="0" t="s">
        <v>98</v>
      </c>
      <c r="E2751" s="0" t="s">
        <v>763</v>
      </c>
    </row>
    <row r="2752" customFormat="false" ht="15" hidden="false" customHeight="false" outlineLevel="0" collapsed="false">
      <c r="A2752" s="0" t="s">
        <v>740</v>
      </c>
      <c r="B2752" s="0" t="s">
        <v>3923</v>
      </c>
      <c r="C2752" s="0" t="s">
        <v>762</v>
      </c>
      <c r="D2752" s="0" t="s">
        <v>98</v>
      </c>
      <c r="E2752" s="0" t="s">
        <v>763</v>
      </c>
    </row>
    <row r="2753" customFormat="false" ht="15" hidden="false" customHeight="false" outlineLevel="0" collapsed="false">
      <c r="A2753" s="0" t="s">
        <v>740</v>
      </c>
      <c r="B2753" s="0" t="s">
        <v>3924</v>
      </c>
      <c r="C2753" s="0" t="s">
        <v>762</v>
      </c>
      <c r="D2753" s="0" t="s">
        <v>98</v>
      </c>
      <c r="E2753" s="0" t="s">
        <v>763</v>
      </c>
    </row>
    <row r="2754" customFormat="false" ht="15" hidden="false" customHeight="false" outlineLevel="0" collapsed="false">
      <c r="A2754" s="0" t="s">
        <v>740</v>
      </c>
      <c r="B2754" s="0" t="s">
        <v>3925</v>
      </c>
      <c r="C2754" s="0" t="s">
        <v>762</v>
      </c>
      <c r="D2754" s="0" t="s">
        <v>98</v>
      </c>
      <c r="E2754" s="0" t="s">
        <v>763</v>
      </c>
    </row>
    <row r="2755" customFormat="false" ht="15" hidden="false" customHeight="false" outlineLevel="0" collapsed="false">
      <c r="A2755" s="0" t="s">
        <v>740</v>
      </c>
      <c r="B2755" s="0" t="s">
        <v>3926</v>
      </c>
      <c r="C2755" s="0" t="s">
        <v>762</v>
      </c>
      <c r="D2755" s="0" t="s">
        <v>98</v>
      </c>
      <c r="E2755" s="0" t="s">
        <v>763</v>
      </c>
    </row>
    <row r="2756" customFormat="false" ht="15" hidden="false" customHeight="false" outlineLevel="0" collapsed="false">
      <c r="A2756" s="0" t="s">
        <v>740</v>
      </c>
      <c r="B2756" s="0" t="s">
        <v>3927</v>
      </c>
      <c r="C2756" s="0" t="s">
        <v>762</v>
      </c>
      <c r="D2756" s="0" t="s">
        <v>98</v>
      </c>
      <c r="E2756" s="0" t="s">
        <v>763</v>
      </c>
    </row>
    <row r="2757" customFormat="false" ht="15" hidden="false" customHeight="false" outlineLevel="0" collapsed="false">
      <c r="A2757" s="0" t="s">
        <v>740</v>
      </c>
      <c r="B2757" s="0" t="s">
        <v>3928</v>
      </c>
      <c r="C2757" s="0" t="s">
        <v>762</v>
      </c>
      <c r="D2757" s="0" t="s">
        <v>98</v>
      </c>
      <c r="E2757" s="0" t="s">
        <v>763</v>
      </c>
    </row>
    <row r="2758" customFormat="false" ht="15" hidden="false" customHeight="false" outlineLevel="0" collapsed="false">
      <c r="A2758" s="0" t="s">
        <v>740</v>
      </c>
      <c r="B2758" s="0" t="s">
        <v>3929</v>
      </c>
      <c r="C2758" s="0" t="s">
        <v>762</v>
      </c>
      <c r="D2758" s="0" t="s">
        <v>98</v>
      </c>
      <c r="E2758" s="0" t="s">
        <v>763</v>
      </c>
    </row>
    <row r="2759" customFormat="false" ht="15" hidden="false" customHeight="false" outlineLevel="0" collapsed="false">
      <c r="A2759" s="0" t="s">
        <v>740</v>
      </c>
      <c r="B2759" s="0" t="s">
        <v>3930</v>
      </c>
      <c r="C2759" s="0" t="s">
        <v>762</v>
      </c>
      <c r="D2759" s="0" t="s">
        <v>98</v>
      </c>
      <c r="E2759" s="0" t="s">
        <v>763</v>
      </c>
    </row>
    <row r="2760" customFormat="false" ht="15" hidden="false" customHeight="false" outlineLevel="0" collapsed="false">
      <c r="A2760" s="0" t="s">
        <v>740</v>
      </c>
      <c r="B2760" s="0" t="s">
        <v>3931</v>
      </c>
      <c r="C2760" s="0" t="s">
        <v>762</v>
      </c>
      <c r="D2760" s="0" t="s">
        <v>98</v>
      </c>
      <c r="E2760" s="0" t="s">
        <v>763</v>
      </c>
    </row>
    <row r="2761" customFormat="false" ht="15" hidden="false" customHeight="false" outlineLevel="0" collapsed="false">
      <c r="A2761" s="0" t="s">
        <v>740</v>
      </c>
      <c r="B2761" s="0" t="s">
        <v>3932</v>
      </c>
      <c r="C2761" s="0" t="s">
        <v>762</v>
      </c>
      <c r="D2761" s="0" t="s">
        <v>98</v>
      </c>
      <c r="E2761" s="0" t="s">
        <v>763</v>
      </c>
    </row>
    <row r="2762" customFormat="false" ht="15" hidden="false" customHeight="false" outlineLevel="0" collapsed="false">
      <c r="A2762" s="0" t="s">
        <v>740</v>
      </c>
      <c r="B2762" s="0" t="s">
        <v>3933</v>
      </c>
      <c r="C2762" s="0" t="s">
        <v>762</v>
      </c>
      <c r="D2762" s="0" t="s">
        <v>98</v>
      </c>
      <c r="E2762" s="0" t="s">
        <v>763</v>
      </c>
    </row>
    <row r="2763" customFormat="false" ht="15" hidden="false" customHeight="false" outlineLevel="0" collapsed="false">
      <c r="A2763" s="0" t="s">
        <v>740</v>
      </c>
      <c r="B2763" s="0" t="s">
        <v>3934</v>
      </c>
      <c r="C2763" s="0" t="s">
        <v>1159</v>
      </c>
      <c r="D2763" s="0" t="s">
        <v>93</v>
      </c>
      <c r="E2763" s="0" t="s">
        <v>3903</v>
      </c>
    </row>
    <row r="2764" customFormat="false" ht="15" hidden="false" customHeight="false" outlineLevel="0" collapsed="false">
      <c r="A2764" s="0" t="s">
        <v>740</v>
      </c>
      <c r="B2764" s="0" t="s">
        <v>3935</v>
      </c>
      <c r="C2764" s="0" t="s">
        <v>733</v>
      </c>
      <c r="D2764" s="0" t="s">
        <v>93</v>
      </c>
      <c r="E2764" s="0" t="s">
        <v>3905</v>
      </c>
    </row>
    <row r="2765" customFormat="false" ht="15" hidden="false" customHeight="false" outlineLevel="0" collapsed="false">
      <c r="A2765" s="0" t="s">
        <v>740</v>
      </c>
      <c r="B2765" s="0" t="s">
        <v>3936</v>
      </c>
      <c r="C2765" s="0" t="s">
        <v>733</v>
      </c>
      <c r="D2765" s="0" t="s">
        <v>93</v>
      </c>
      <c r="E2765" s="0" t="s">
        <v>3907</v>
      </c>
    </row>
    <row r="2766" customFormat="false" ht="15" hidden="false" customHeight="false" outlineLevel="0" collapsed="false">
      <c r="A2766" s="0" t="s">
        <v>740</v>
      </c>
      <c r="B2766" s="0" t="s">
        <v>3937</v>
      </c>
      <c r="C2766" s="0" t="s">
        <v>733</v>
      </c>
      <c r="D2766" s="0" t="s">
        <v>93</v>
      </c>
      <c r="E2766" s="0" t="s">
        <v>1036</v>
      </c>
    </row>
    <row r="2767" customFormat="false" ht="15" hidden="false" customHeight="false" outlineLevel="0" collapsed="false">
      <c r="A2767" s="0" t="s">
        <v>740</v>
      </c>
      <c r="B2767" s="0" t="s">
        <v>3938</v>
      </c>
      <c r="C2767" s="0" t="s">
        <v>733</v>
      </c>
      <c r="D2767" s="0" t="s">
        <v>93</v>
      </c>
    </row>
    <row r="2768" customFormat="false" ht="15" hidden="false" customHeight="false" outlineLevel="0" collapsed="false">
      <c r="A2768" s="0" t="s">
        <v>740</v>
      </c>
      <c r="B2768" s="0" t="s">
        <v>3939</v>
      </c>
      <c r="C2768" s="0" t="s">
        <v>733</v>
      </c>
      <c r="D2768" s="0" t="s">
        <v>93</v>
      </c>
      <c r="E2768" s="0" t="s">
        <v>3911</v>
      </c>
    </row>
    <row r="2769" customFormat="false" ht="15" hidden="false" customHeight="false" outlineLevel="0" collapsed="false">
      <c r="A2769" s="0" t="s">
        <v>740</v>
      </c>
      <c r="B2769" s="0" t="s">
        <v>3940</v>
      </c>
      <c r="C2769" s="0" t="s">
        <v>733</v>
      </c>
      <c r="D2769" s="0" t="s">
        <v>93</v>
      </c>
      <c r="E2769" s="0" t="s">
        <v>3911</v>
      </c>
    </row>
    <row r="2770" customFormat="false" ht="15" hidden="false" customHeight="false" outlineLevel="0" collapsed="false">
      <c r="A2770" s="0" t="s">
        <v>740</v>
      </c>
      <c r="B2770" s="0" t="s">
        <v>3941</v>
      </c>
      <c r="C2770" s="0" t="s">
        <v>733</v>
      </c>
      <c r="D2770" s="0" t="s">
        <v>93</v>
      </c>
      <c r="E2770" s="0" t="s">
        <v>3911</v>
      </c>
    </row>
    <row r="2771" customFormat="false" ht="15" hidden="false" customHeight="false" outlineLevel="0" collapsed="false">
      <c r="A2771" s="0" t="s">
        <v>740</v>
      </c>
      <c r="B2771" s="0" t="s">
        <v>3942</v>
      </c>
      <c r="C2771" s="0" t="s">
        <v>733</v>
      </c>
      <c r="D2771" s="0" t="s">
        <v>93</v>
      </c>
      <c r="E2771" s="0" t="s">
        <v>3911</v>
      </c>
    </row>
    <row r="2772" customFormat="false" ht="15" hidden="false" customHeight="false" outlineLevel="0" collapsed="false">
      <c r="A2772" s="0" t="s">
        <v>740</v>
      </c>
      <c r="B2772" s="0" t="s">
        <v>3943</v>
      </c>
      <c r="C2772" s="0" t="s">
        <v>733</v>
      </c>
      <c r="D2772" s="0" t="s">
        <v>93</v>
      </c>
      <c r="E2772" s="0" t="s">
        <v>3911</v>
      </c>
    </row>
    <row r="2773" customFormat="false" ht="15" hidden="false" customHeight="false" outlineLevel="0" collapsed="false">
      <c r="A2773" s="0" t="s">
        <v>740</v>
      </c>
      <c r="B2773" s="0" t="s">
        <v>3944</v>
      </c>
      <c r="C2773" s="0" t="s">
        <v>733</v>
      </c>
      <c r="D2773" s="0" t="s">
        <v>93</v>
      </c>
      <c r="E2773" s="0" t="s">
        <v>3911</v>
      </c>
    </row>
    <row r="2774" customFormat="false" ht="15" hidden="false" customHeight="false" outlineLevel="0" collapsed="false">
      <c r="A2774" s="0" t="s">
        <v>740</v>
      </c>
      <c r="B2774" s="0" t="s">
        <v>3945</v>
      </c>
      <c r="C2774" s="0" t="s">
        <v>733</v>
      </c>
      <c r="D2774" s="0" t="s">
        <v>93</v>
      </c>
      <c r="E2774" s="0" t="s">
        <v>3911</v>
      </c>
    </row>
    <row r="2775" customFormat="false" ht="15" hidden="false" customHeight="false" outlineLevel="0" collapsed="false">
      <c r="A2775" s="0" t="s">
        <v>740</v>
      </c>
      <c r="B2775" s="0" t="s">
        <v>3946</v>
      </c>
      <c r="C2775" s="0" t="s">
        <v>733</v>
      </c>
      <c r="D2775" s="0" t="s">
        <v>93</v>
      </c>
      <c r="E2775" s="0" t="s">
        <v>3911</v>
      </c>
    </row>
    <row r="2776" customFormat="false" ht="15" hidden="false" customHeight="false" outlineLevel="0" collapsed="false">
      <c r="A2776" s="0" t="s">
        <v>740</v>
      </c>
      <c r="B2776" s="0" t="s">
        <v>3947</v>
      </c>
      <c r="C2776" s="0" t="s">
        <v>733</v>
      </c>
      <c r="D2776" s="0" t="s">
        <v>93</v>
      </c>
      <c r="E2776" s="0" t="s">
        <v>3911</v>
      </c>
    </row>
    <row r="2777" customFormat="false" ht="15" hidden="false" customHeight="false" outlineLevel="0" collapsed="false">
      <c r="A2777" s="0" t="s">
        <v>740</v>
      </c>
      <c r="B2777" s="0" t="s">
        <v>3948</v>
      </c>
      <c r="C2777" s="0" t="s">
        <v>3949</v>
      </c>
      <c r="D2777" s="0" t="s">
        <v>98</v>
      </c>
      <c r="E2777" s="0" t="s">
        <v>826</v>
      </c>
    </row>
    <row r="2778" customFormat="false" ht="15" hidden="false" customHeight="false" outlineLevel="0" collapsed="false">
      <c r="A2778" s="0" t="s">
        <v>740</v>
      </c>
      <c r="B2778" s="0" t="s">
        <v>3950</v>
      </c>
      <c r="C2778" s="0" t="s">
        <v>3951</v>
      </c>
      <c r="D2778" s="0" t="s">
        <v>98</v>
      </c>
      <c r="E2778" s="0" t="s">
        <v>826</v>
      </c>
    </row>
    <row r="2779" customFormat="false" ht="15" hidden="false" customHeight="false" outlineLevel="0" collapsed="false">
      <c r="A2779" s="0" t="s">
        <v>740</v>
      </c>
      <c r="B2779" s="0" t="s">
        <v>3952</v>
      </c>
      <c r="C2779" s="0" t="s">
        <v>3953</v>
      </c>
      <c r="D2779" s="0" t="s">
        <v>98</v>
      </c>
      <c r="E2779" s="0" t="s">
        <v>826</v>
      </c>
    </row>
    <row r="2780" customFormat="false" ht="15" hidden="false" customHeight="false" outlineLevel="0" collapsed="false">
      <c r="A2780" s="0" t="s">
        <v>740</v>
      </c>
      <c r="B2780" s="0" t="s">
        <v>3954</v>
      </c>
      <c r="C2780" s="0" t="s">
        <v>3955</v>
      </c>
      <c r="D2780" s="0" t="s">
        <v>98</v>
      </c>
      <c r="E2780" s="0" t="s">
        <v>826</v>
      </c>
    </row>
    <row r="2781" customFormat="false" ht="15" hidden="false" customHeight="false" outlineLevel="0" collapsed="false">
      <c r="A2781" s="0" t="s">
        <v>740</v>
      </c>
      <c r="B2781" s="0" t="s">
        <v>3956</v>
      </c>
      <c r="C2781" s="0" t="s">
        <v>3957</v>
      </c>
      <c r="D2781" s="0" t="s">
        <v>98</v>
      </c>
      <c r="E2781" s="0" t="s">
        <v>826</v>
      </c>
    </row>
    <row r="2782" customFormat="false" ht="15" hidden="false" customHeight="false" outlineLevel="0" collapsed="false">
      <c r="A2782" s="0" t="s">
        <v>740</v>
      </c>
      <c r="B2782" s="0" t="s">
        <v>3958</v>
      </c>
      <c r="C2782" s="0" t="s">
        <v>3959</v>
      </c>
      <c r="D2782" s="0" t="s">
        <v>98</v>
      </c>
      <c r="E2782" s="0" t="s">
        <v>826</v>
      </c>
    </row>
    <row r="2783" customFormat="false" ht="15" hidden="false" customHeight="false" outlineLevel="0" collapsed="false">
      <c r="A2783" s="0" t="s">
        <v>740</v>
      </c>
      <c r="B2783" s="0" t="s">
        <v>3960</v>
      </c>
      <c r="C2783" s="0" t="s">
        <v>3961</v>
      </c>
      <c r="D2783" s="0" t="s">
        <v>98</v>
      </c>
      <c r="E2783" s="0" t="s">
        <v>826</v>
      </c>
    </row>
    <row r="2784" customFormat="false" ht="15" hidden="false" customHeight="false" outlineLevel="0" collapsed="false">
      <c r="A2784" s="0" t="s">
        <v>740</v>
      </c>
      <c r="B2784" s="0" t="s">
        <v>3962</v>
      </c>
      <c r="C2784" s="0" t="s">
        <v>3963</v>
      </c>
      <c r="D2784" s="0" t="s">
        <v>98</v>
      </c>
      <c r="E2784" s="0" t="s">
        <v>826</v>
      </c>
    </row>
    <row r="2785" customFormat="false" ht="15" hidden="false" customHeight="false" outlineLevel="0" collapsed="false">
      <c r="A2785" s="0" t="s">
        <v>740</v>
      </c>
      <c r="B2785" s="0" t="s">
        <v>3964</v>
      </c>
      <c r="C2785" s="0" t="s">
        <v>3965</v>
      </c>
      <c r="D2785" s="0" t="s">
        <v>98</v>
      </c>
      <c r="E2785" s="0" t="s">
        <v>826</v>
      </c>
    </row>
    <row r="2786" customFormat="false" ht="15" hidden="false" customHeight="false" outlineLevel="0" collapsed="false">
      <c r="A2786" s="0" t="s">
        <v>740</v>
      </c>
      <c r="B2786" s="0" t="s">
        <v>3966</v>
      </c>
      <c r="C2786" s="0" t="s">
        <v>3967</v>
      </c>
      <c r="D2786" s="0" t="s">
        <v>98</v>
      </c>
      <c r="E2786" s="0" t="s">
        <v>826</v>
      </c>
    </row>
    <row r="2787" customFormat="false" ht="15" hidden="false" customHeight="false" outlineLevel="0" collapsed="false">
      <c r="A2787" s="0" t="s">
        <v>740</v>
      </c>
      <c r="B2787" s="0" t="s">
        <v>3968</v>
      </c>
      <c r="C2787" s="0" t="s">
        <v>3969</v>
      </c>
      <c r="D2787" s="0" t="s">
        <v>98</v>
      </c>
      <c r="E2787" s="0" t="s">
        <v>826</v>
      </c>
    </row>
    <row r="2788" customFormat="false" ht="15" hidden="false" customHeight="false" outlineLevel="0" collapsed="false">
      <c r="A2788" s="0" t="s">
        <v>740</v>
      </c>
      <c r="B2788" s="0" t="s">
        <v>3970</v>
      </c>
      <c r="C2788" s="0" t="s">
        <v>3971</v>
      </c>
      <c r="D2788" s="0" t="s">
        <v>98</v>
      </c>
      <c r="E2788" s="0" t="s">
        <v>826</v>
      </c>
    </row>
    <row r="2789" customFormat="false" ht="15" hidden="false" customHeight="false" outlineLevel="0" collapsed="false">
      <c r="A2789" s="0" t="s">
        <v>740</v>
      </c>
      <c r="B2789" s="0" t="s">
        <v>3972</v>
      </c>
      <c r="C2789" s="0" t="s">
        <v>3973</v>
      </c>
      <c r="D2789" s="0" t="s">
        <v>98</v>
      </c>
      <c r="E2789" s="0" t="s">
        <v>826</v>
      </c>
    </row>
    <row r="2790" customFormat="false" ht="15" hidden="false" customHeight="false" outlineLevel="0" collapsed="false">
      <c r="A2790" s="0" t="s">
        <v>740</v>
      </c>
      <c r="B2790" s="0" t="s">
        <v>3974</v>
      </c>
      <c r="C2790" s="0" t="s">
        <v>3975</v>
      </c>
      <c r="D2790" s="0" t="s">
        <v>98</v>
      </c>
      <c r="E2790" s="0" t="s">
        <v>826</v>
      </c>
    </row>
    <row r="2791" customFormat="false" ht="15" hidden="false" customHeight="false" outlineLevel="0" collapsed="false">
      <c r="A2791" s="0" t="s">
        <v>740</v>
      </c>
      <c r="B2791" s="0" t="s">
        <v>3976</v>
      </c>
      <c r="C2791" s="0" t="s">
        <v>3977</v>
      </c>
      <c r="D2791" s="0" t="s">
        <v>98</v>
      </c>
      <c r="E2791" s="0" t="s">
        <v>826</v>
      </c>
    </row>
    <row r="2792" customFormat="false" ht="15" hidden="false" customHeight="false" outlineLevel="0" collapsed="false">
      <c r="A2792" s="0" t="s">
        <v>740</v>
      </c>
      <c r="B2792" s="0" t="s">
        <v>3978</v>
      </c>
      <c r="C2792" s="0" t="s">
        <v>3979</v>
      </c>
      <c r="D2792" s="0" t="s">
        <v>98</v>
      </c>
      <c r="E2792" s="0" t="s">
        <v>826</v>
      </c>
    </row>
    <row r="2793" customFormat="false" ht="15" hidden="false" customHeight="false" outlineLevel="0" collapsed="false">
      <c r="A2793" s="0" t="s">
        <v>740</v>
      </c>
      <c r="B2793" s="0" t="s">
        <v>3980</v>
      </c>
      <c r="C2793" s="0" t="s">
        <v>3981</v>
      </c>
      <c r="D2793" s="0" t="s">
        <v>98</v>
      </c>
      <c r="E2793" s="0" t="s">
        <v>826</v>
      </c>
    </row>
    <row r="2794" customFormat="false" ht="15" hidden="false" customHeight="false" outlineLevel="0" collapsed="false">
      <c r="A2794" s="0" t="s">
        <v>740</v>
      </c>
      <c r="B2794" s="0" t="s">
        <v>3982</v>
      </c>
      <c r="C2794" s="0" t="s">
        <v>3983</v>
      </c>
      <c r="D2794" s="0" t="s">
        <v>98</v>
      </c>
      <c r="E2794" s="0" t="s">
        <v>826</v>
      </c>
    </row>
    <row r="2795" customFormat="false" ht="15" hidden="false" customHeight="false" outlineLevel="0" collapsed="false">
      <c r="A2795" s="0" t="s">
        <v>740</v>
      </c>
      <c r="B2795" s="0" t="s">
        <v>3984</v>
      </c>
      <c r="C2795" s="0" t="s">
        <v>3985</v>
      </c>
      <c r="D2795" s="0" t="s">
        <v>98</v>
      </c>
      <c r="E2795" s="0" t="s">
        <v>826</v>
      </c>
    </row>
    <row r="2796" customFormat="false" ht="15" hidden="false" customHeight="false" outlineLevel="0" collapsed="false">
      <c r="A2796" s="0" t="s">
        <v>740</v>
      </c>
      <c r="B2796" s="0" t="s">
        <v>3986</v>
      </c>
      <c r="C2796" s="0" t="s">
        <v>3987</v>
      </c>
      <c r="D2796" s="0" t="s">
        <v>98</v>
      </c>
      <c r="E2796" s="0" t="s">
        <v>826</v>
      </c>
    </row>
    <row r="2797" customFormat="false" ht="15" hidden="false" customHeight="false" outlineLevel="0" collapsed="false">
      <c r="A2797" s="0" t="s">
        <v>740</v>
      </c>
      <c r="B2797" s="0" t="s">
        <v>3988</v>
      </c>
      <c r="C2797" s="0" t="s">
        <v>3989</v>
      </c>
      <c r="D2797" s="0" t="s">
        <v>98</v>
      </c>
      <c r="E2797" s="0" t="s">
        <v>826</v>
      </c>
    </row>
    <row r="2798" customFormat="false" ht="15" hidden="false" customHeight="false" outlineLevel="0" collapsed="false">
      <c r="A2798" s="0" t="s">
        <v>740</v>
      </c>
      <c r="B2798" s="0" t="s">
        <v>3990</v>
      </c>
      <c r="C2798" s="0" t="s">
        <v>3991</v>
      </c>
      <c r="D2798" s="0" t="s">
        <v>98</v>
      </c>
      <c r="E2798" s="0" t="s">
        <v>826</v>
      </c>
    </row>
    <row r="2799" customFormat="false" ht="15" hidden="false" customHeight="false" outlineLevel="0" collapsed="false">
      <c r="A2799" s="0" t="s">
        <v>740</v>
      </c>
      <c r="B2799" s="0" t="s">
        <v>3992</v>
      </c>
      <c r="C2799" s="0" t="s">
        <v>3993</v>
      </c>
      <c r="D2799" s="0" t="s">
        <v>98</v>
      </c>
      <c r="E2799" s="0" t="s">
        <v>826</v>
      </c>
    </row>
    <row r="2800" customFormat="false" ht="15" hidden="false" customHeight="false" outlineLevel="0" collapsed="false">
      <c r="A2800" s="0" t="s">
        <v>740</v>
      </c>
      <c r="B2800" s="0" t="s">
        <v>3994</v>
      </c>
      <c r="C2800" s="0" t="s">
        <v>3995</v>
      </c>
      <c r="D2800" s="0" t="s">
        <v>98</v>
      </c>
      <c r="E2800" s="0" t="s">
        <v>826</v>
      </c>
    </row>
    <row r="2801" customFormat="false" ht="15" hidden="false" customHeight="false" outlineLevel="0" collapsed="false">
      <c r="A2801" s="0" t="s">
        <v>740</v>
      </c>
      <c r="B2801" s="0" t="s">
        <v>3996</v>
      </c>
      <c r="C2801" s="0" t="s">
        <v>3997</v>
      </c>
      <c r="D2801" s="0" t="s">
        <v>98</v>
      </c>
      <c r="E2801" s="0" t="s">
        <v>826</v>
      </c>
    </row>
    <row r="2802" customFormat="false" ht="15" hidden="false" customHeight="false" outlineLevel="0" collapsed="false">
      <c r="A2802" s="0" t="s">
        <v>740</v>
      </c>
      <c r="B2802" s="0" t="s">
        <v>3998</v>
      </c>
      <c r="C2802" s="0" t="s">
        <v>3999</v>
      </c>
      <c r="D2802" s="0" t="s">
        <v>98</v>
      </c>
      <c r="E2802" s="0" t="s">
        <v>826</v>
      </c>
    </row>
    <row r="2803" customFormat="false" ht="15" hidden="false" customHeight="false" outlineLevel="0" collapsed="false">
      <c r="A2803" s="0" t="s">
        <v>740</v>
      </c>
      <c r="B2803" s="0" t="s">
        <v>4000</v>
      </c>
      <c r="C2803" s="0" t="s">
        <v>4001</v>
      </c>
      <c r="D2803" s="0" t="s">
        <v>98</v>
      </c>
      <c r="E2803" s="0" t="s">
        <v>826</v>
      </c>
    </row>
    <row r="2804" customFormat="false" ht="15" hidden="false" customHeight="false" outlineLevel="0" collapsed="false">
      <c r="A2804" s="0" t="s">
        <v>740</v>
      </c>
      <c r="B2804" s="0" t="s">
        <v>4002</v>
      </c>
      <c r="C2804" s="0" t="s">
        <v>4003</v>
      </c>
      <c r="D2804" s="0" t="s">
        <v>98</v>
      </c>
      <c r="E2804" s="0" t="s">
        <v>826</v>
      </c>
    </row>
    <row r="2805" customFormat="false" ht="15" hidden="false" customHeight="false" outlineLevel="0" collapsed="false">
      <c r="A2805" s="0" t="s">
        <v>740</v>
      </c>
      <c r="B2805" s="0" t="s">
        <v>4004</v>
      </c>
      <c r="C2805" s="0" t="s">
        <v>1159</v>
      </c>
      <c r="D2805" s="0" t="s">
        <v>86</v>
      </c>
      <c r="E2805" s="0" t="s">
        <v>4005</v>
      </c>
    </row>
    <row r="2806" customFormat="false" ht="15" hidden="false" customHeight="false" outlineLevel="0" collapsed="false">
      <c r="A2806" s="0" t="s">
        <v>740</v>
      </c>
      <c r="B2806" s="0" t="s">
        <v>4006</v>
      </c>
      <c r="C2806" s="0" t="s">
        <v>733</v>
      </c>
      <c r="D2806" s="0" t="s">
        <v>86</v>
      </c>
      <c r="E2806" s="0" t="s">
        <v>4007</v>
      </c>
    </row>
    <row r="2807" customFormat="false" ht="15" hidden="false" customHeight="false" outlineLevel="0" collapsed="false">
      <c r="A2807" s="0" t="s">
        <v>740</v>
      </c>
      <c r="B2807" s="0" t="s">
        <v>4008</v>
      </c>
      <c r="C2807" s="0" t="s">
        <v>4009</v>
      </c>
      <c r="D2807" s="0" t="s">
        <v>98</v>
      </c>
      <c r="E2807" s="0" t="s">
        <v>4010</v>
      </c>
    </row>
    <row r="2808" customFormat="false" ht="15" hidden="false" customHeight="false" outlineLevel="0" collapsed="false">
      <c r="A2808" s="0" t="s">
        <v>740</v>
      </c>
      <c r="B2808" s="0" t="s">
        <v>4011</v>
      </c>
      <c r="C2808" s="0" t="s">
        <v>4012</v>
      </c>
      <c r="D2808" s="0" t="s">
        <v>98</v>
      </c>
      <c r="E2808" s="0" t="s">
        <v>4010</v>
      </c>
    </row>
    <row r="2809" customFormat="false" ht="15" hidden="false" customHeight="false" outlineLevel="0" collapsed="false">
      <c r="A2809" s="0" t="s">
        <v>740</v>
      </c>
      <c r="B2809" s="0" t="s">
        <v>4013</v>
      </c>
      <c r="C2809" s="0" t="s">
        <v>4014</v>
      </c>
      <c r="D2809" s="0" t="s">
        <v>98</v>
      </c>
      <c r="E2809" s="0" t="s">
        <v>4010</v>
      </c>
    </row>
    <row r="2810" customFormat="false" ht="15" hidden="false" customHeight="false" outlineLevel="0" collapsed="false">
      <c r="A2810" s="0" t="s">
        <v>740</v>
      </c>
      <c r="B2810" s="0" t="s">
        <v>4015</v>
      </c>
      <c r="C2810" s="0" t="s">
        <v>4016</v>
      </c>
      <c r="D2810" s="0" t="s">
        <v>98</v>
      </c>
      <c r="E2810" s="0" t="s">
        <v>4010</v>
      </c>
    </row>
    <row r="2811" customFormat="false" ht="15" hidden="false" customHeight="false" outlineLevel="0" collapsed="false">
      <c r="A2811" s="0" t="s">
        <v>740</v>
      </c>
      <c r="B2811" s="0" t="s">
        <v>4017</v>
      </c>
      <c r="C2811" s="0" t="s">
        <v>4018</v>
      </c>
      <c r="D2811" s="0" t="s">
        <v>98</v>
      </c>
      <c r="E2811" s="0" t="s">
        <v>4010</v>
      </c>
    </row>
    <row r="2812" customFormat="false" ht="15" hidden="false" customHeight="false" outlineLevel="0" collapsed="false">
      <c r="A2812" s="0" t="s">
        <v>740</v>
      </c>
      <c r="B2812" s="0" t="s">
        <v>4019</v>
      </c>
      <c r="C2812" s="0" t="s">
        <v>4020</v>
      </c>
      <c r="D2812" s="0" t="s">
        <v>98</v>
      </c>
      <c r="E2812" s="0" t="s">
        <v>4010</v>
      </c>
    </row>
    <row r="2813" customFormat="false" ht="15" hidden="false" customHeight="false" outlineLevel="0" collapsed="false">
      <c r="A2813" s="0" t="s">
        <v>740</v>
      </c>
      <c r="B2813" s="0" t="s">
        <v>4021</v>
      </c>
      <c r="C2813" s="0" t="s">
        <v>4022</v>
      </c>
      <c r="D2813" s="0" t="s">
        <v>98</v>
      </c>
      <c r="E2813" s="0" t="s">
        <v>4010</v>
      </c>
    </row>
    <row r="2814" customFormat="false" ht="15" hidden="false" customHeight="false" outlineLevel="0" collapsed="false">
      <c r="A2814" s="0" t="s">
        <v>740</v>
      </c>
      <c r="B2814" s="0" t="s">
        <v>4023</v>
      </c>
      <c r="C2814" s="0" t="s">
        <v>4024</v>
      </c>
      <c r="D2814" s="0" t="s">
        <v>98</v>
      </c>
      <c r="E2814" s="0" t="s">
        <v>4010</v>
      </c>
    </row>
    <row r="2815" customFormat="false" ht="15" hidden="false" customHeight="false" outlineLevel="0" collapsed="false">
      <c r="A2815" s="0" t="s">
        <v>740</v>
      </c>
      <c r="B2815" s="0" t="s">
        <v>4025</v>
      </c>
      <c r="C2815" s="0" t="s">
        <v>4026</v>
      </c>
      <c r="D2815" s="0" t="s">
        <v>98</v>
      </c>
      <c r="E2815" s="0" t="s">
        <v>4010</v>
      </c>
    </row>
    <row r="2816" customFormat="false" ht="15" hidden="false" customHeight="false" outlineLevel="0" collapsed="false">
      <c r="A2816" s="0" t="s">
        <v>740</v>
      </c>
      <c r="B2816" s="0" t="s">
        <v>4027</v>
      </c>
      <c r="C2816" s="0" t="s">
        <v>4028</v>
      </c>
      <c r="D2816" s="0" t="s">
        <v>98</v>
      </c>
      <c r="E2816" s="0" t="s">
        <v>4010</v>
      </c>
    </row>
    <row r="2817" customFormat="false" ht="15" hidden="false" customHeight="false" outlineLevel="0" collapsed="false">
      <c r="A2817" s="0" t="s">
        <v>740</v>
      </c>
      <c r="B2817" s="0" t="s">
        <v>4029</v>
      </c>
      <c r="C2817" s="0" t="s">
        <v>4030</v>
      </c>
      <c r="D2817" s="0" t="s">
        <v>98</v>
      </c>
      <c r="E2817" s="0" t="s">
        <v>4010</v>
      </c>
    </row>
    <row r="2818" customFormat="false" ht="15" hidden="false" customHeight="false" outlineLevel="0" collapsed="false">
      <c r="A2818" s="0" t="s">
        <v>740</v>
      </c>
      <c r="B2818" s="0" t="s">
        <v>4031</v>
      </c>
      <c r="C2818" s="0" t="s">
        <v>4032</v>
      </c>
      <c r="D2818" s="0" t="s">
        <v>98</v>
      </c>
      <c r="E2818" s="0" t="s">
        <v>4010</v>
      </c>
    </row>
    <row r="2819" customFormat="false" ht="15" hidden="false" customHeight="false" outlineLevel="0" collapsed="false">
      <c r="A2819" s="0" t="s">
        <v>740</v>
      </c>
      <c r="B2819" s="0" t="s">
        <v>4033</v>
      </c>
      <c r="C2819" s="0" t="s">
        <v>4034</v>
      </c>
      <c r="D2819" s="0" t="s">
        <v>98</v>
      </c>
      <c r="E2819" s="0" t="s">
        <v>4010</v>
      </c>
    </row>
    <row r="2820" customFormat="false" ht="15" hidden="false" customHeight="false" outlineLevel="0" collapsed="false">
      <c r="A2820" s="0" t="s">
        <v>740</v>
      </c>
      <c r="B2820" s="0" t="s">
        <v>4035</v>
      </c>
      <c r="C2820" s="0" t="s">
        <v>4036</v>
      </c>
      <c r="D2820" s="0" t="s">
        <v>98</v>
      </c>
      <c r="E2820" s="0" t="s">
        <v>4010</v>
      </c>
    </row>
    <row r="2821" customFormat="false" ht="15" hidden="false" customHeight="false" outlineLevel="0" collapsed="false">
      <c r="A2821" s="0" t="s">
        <v>740</v>
      </c>
      <c r="B2821" s="0" t="s">
        <v>4037</v>
      </c>
      <c r="C2821" s="0" t="s">
        <v>4038</v>
      </c>
      <c r="D2821" s="0" t="s">
        <v>98</v>
      </c>
      <c r="E2821" s="0" t="s">
        <v>4010</v>
      </c>
    </row>
    <row r="2822" customFormat="false" ht="15" hidden="false" customHeight="false" outlineLevel="0" collapsed="false">
      <c r="A2822" s="0" t="s">
        <v>740</v>
      </c>
      <c r="B2822" s="0" t="s">
        <v>4039</v>
      </c>
      <c r="C2822" s="0" t="s">
        <v>4040</v>
      </c>
      <c r="D2822" s="0" t="s">
        <v>98</v>
      </c>
      <c r="E2822" s="0" t="s">
        <v>4010</v>
      </c>
    </row>
    <row r="2823" customFormat="false" ht="15" hidden="false" customHeight="false" outlineLevel="0" collapsed="false">
      <c r="A2823" s="0" t="s">
        <v>740</v>
      </c>
      <c r="B2823" s="0" t="s">
        <v>4041</v>
      </c>
      <c r="C2823" s="0" t="s">
        <v>4042</v>
      </c>
      <c r="D2823" s="0" t="s">
        <v>98</v>
      </c>
      <c r="E2823" s="0" t="s">
        <v>4010</v>
      </c>
    </row>
    <row r="2824" customFormat="false" ht="15" hidden="false" customHeight="false" outlineLevel="0" collapsed="false">
      <c r="A2824" s="0" t="s">
        <v>740</v>
      </c>
      <c r="B2824" s="0" t="s">
        <v>4043</v>
      </c>
      <c r="C2824" s="0" t="s">
        <v>4044</v>
      </c>
      <c r="D2824" s="0" t="s">
        <v>98</v>
      </c>
      <c r="E2824" s="0" t="s">
        <v>4010</v>
      </c>
    </row>
    <row r="2825" customFormat="false" ht="15" hidden="false" customHeight="false" outlineLevel="0" collapsed="false">
      <c r="A2825" s="0" t="s">
        <v>740</v>
      </c>
      <c r="B2825" s="0" t="s">
        <v>4045</v>
      </c>
      <c r="C2825" s="0" t="s">
        <v>4046</v>
      </c>
      <c r="D2825" s="0" t="s">
        <v>98</v>
      </c>
      <c r="E2825" s="0" t="s">
        <v>4010</v>
      </c>
    </row>
    <row r="2826" customFormat="false" ht="15" hidden="false" customHeight="false" outlineLevel="0" collapsed="false">
      <c r="A2826" s="0" t="s">
        <v>740</v>
      </c>
      <c r="B2826" s="0" t="s">
        <v>4047</v>
      </c>
      <c r="C2826" s="0" t="s">
        <v>4048</v>
      </c>
      <c r="D2826" s="0" t="s">
        <v>98</v>
      </c>
      <c r="E2826" s="0" t="s">
        <v>4010</v>
      </c>
    </row>
    <row r="2827" customFormat="false" ht="15" hidden="false" customHeight="false" outlineLevel="0" collapsed="false">
      <c r="A2827" s="0" t="s">
        <v>740</v>
      </c>
      <c r="B2827" s="0" t="s">
        <v>4049</v>
      </c>
      <c r="C2827" s="0" t="s">
        <v>4050</v>
      </c>
      <c r="D2827" s="0" t="s">
        <v>98</v>
      </c>
      <c r="E2827" s="0" t="s">
        <v>4010</v>
      </c>
    </row>
    <row r="2828" customFormat="false" ht="15" hidden="false" customHeight="false" outlineLevel="0" collapsed="false">
      <c r="A2828" s="0" t="s">
        <v>740</v>
      </c>
      <c r="B2828" s="0" t="s">
        <v>4051</v>
      </c>
      <c r="C2828" s="0" t="s">
        <v>4052</v>
      </c>
      <c r="D2828" s="0" t="s">
        <v>98</v>
      </c>
      <c r="E2828" s="0" t="s">
        <v>4010</v>
      </c>
    </row>
    <row r="2829" customFormat="false" ht="15" hidden="false" customHeight="false" outlineLevel="0" collapsed="false">
      <c r="A2829" s="0" t="s">
        <v>740</v>
      </c>
      <c r="B2829" s="0" t="s">
        <v>4053</v>
      </c>
      <c r="C2829" s="0" t="s">
        <v>4054</v>
      </c>
      <c r="D2829" s="0" t="s">
        <v>98</v>
      </c>
      <c r="E2829" s="0" t="s">
        <v>4010</v>
      </c>
    </row>
    <row r="2830" customFormat="false" ht="15" hidden="false" customHeight="false" outlineLevel="0" collapsed="false">
      <c r="A2830" s="0" t="s">
        <v>740</v>
      </c>
      <c r="B2830" s="0" t="s">
        <v>4055</v>
      </c>
      <c r="C2830" s="0" t="s">
        <v>4056</v>
      </c>
      <c r="D2830" s="0" t="s">
        <v>98</v>
      </c>
      <c r="E2830" s="0" t="s">
        <v>4010</v>
      </c>
    </row>
    <row r="2831" customFormat="false" ht="15" hidden="false" customHeight="false" outlineLevel="0" collapsed="false">
      <c r="A2831" s="0" t="s">
        <v>740</v>
      </c>
      <c r="B2831" s="0" t="s">
        <v>4057</v>
      </c>
      <c r="C2831" s="0" t="s">
        <v>4058</v>
      </c>
      <c r="D2831" s="0" t="s">
        <v>98</v>
      </c>
      <c r="E2831" s="0" t="s">
        <v>4010</v>
      </c>
    </row>
    <row r="2832" customFormat="false" ht="15" hidden="false" customHeight="false" outlineLevel="0" collapsed="false">
      <c r="A2832" s="0" t="s">
        <v>740</v>
      </c>
      <c r="B2832" s="0" t="s">
        <v>4059</v>
      </c>
      <c r="C2832" s="0" t="s">
        <v>4060</v>
      </c>
      <c r="D2832" s="0" t="s">
        <v>98</v>
      </c>
      <c r="E2832" s="0" t="s">
        <v>4010</v>
      </c>
    </row>
    <row r="2833" customFormat="false" ht="15" hidden="false" customHeight="false" outlineLevel="0" collapsed="false">
      <c r="A2833" s="0" t="s">
        <v>740</v>
      </c>
      <c r="B2833" s="0" t="s">
        <v>4061</v>
      </c>
      <c r="C2833" s="0" t="s">
        <v>4062</v>
      </c>
      <c r="D2833" s="0" t="s">
        <v>98</v>
      </c>
      <c r="E2833" s="0" t="s">
        <v>4010</v>
      </c>
    </row>
    <row r="2834" customFormat="false" ht="15" hidden="false" customHeight="false" outlineLevel="0" collapsed="false">
      <c r="A2834" s="0" t="s">
        <v>740</v>
      </c>
      <c r="B2834" s="0" t="s">
        <v>4063</v>
      </c>
      <c r="C2834" s="0" t="s">
        <v>4064</v>
      </c>
      <c r="D2834" s="0" t="s">
        <v>98</v>
      </c>
      <c r="E2834" s="0" t="s">
        <v>4010</v>
      </c>
    </row>
    <row r="2835" customFormat="false" ht="15" hidden="false" customHeight="false" outlineLevel="0" collapsed="false">
      <c r="A2835" s="0" t="s">
        <v>740</v>
      </c>
      <c r="B2835" s="0" t="s">
        <v>4065</v>
      </c>
      <c r="C2835" s="0" t="s">
        <v>4066</v>
      </c>
      <c r="D2835" s="0" t="s">
        <v>98</v>
      </c>
      <c r="E2835" s="0" t="s">
        <v>4067</v>
      </c>
    </row>
    <row r="2836" customFormat="false" ht="15" hidden="false" customHeight="false" outlineLevel="0" collapsed="false">
      <c r="A2836" s="0" t="s">
        <v>740</v>
      </c>
      <c r="B2836" s="0" t="s">
        <v>4068</v>
      </c>
      <c r="C2836" s="0" t="s">
        <v>4069</v>
      </c>
      <c r="D2836" s="0" t="s">
        <v>98</v>
      </c>
      <c r="E2836" s="0" t="s">
        <v>4067</v>
      </c>
    </row>
    <row r="2837" customFormat="false" ht="15" hidden="false" customHeight="false" outlineLevel="0" collapsed="false">
      <c r="A2837" s="0" t="s">
        <v>740</v>
      </c>
      <c r="B2837" s="0" t="s">
        <v>4070</v>
      </c>
      <c r="C2837" s="0" t="s">
        <v>4071</v>
      </c>
      <c r="D2837" s="0" t="s">
        <v>98</v>
      </c>
      <c r="E2837" s="0" t="s">
        <v>4067</v>
      </c>
    </row>
    <row r="2838" customFormat="false" ht="15" hidden="false" customHeight="false" outlineLevel="0" collapsed="false">
      <c r="A2838" s="0" t="s">
        <v>740</v>
      </c>
      <c r="B2838" s="0" t="s">
        <v>4072</v>
      </c>
      <c r="C2838" s="0" t="s">
        <v>4073</v>
      </c>
      <c r="D2838" s="0" t="s">
        <v>98</v>
      </c>
      <c r="E2838" s="0" t="s">
        <v>4067</v>
      </c>
    </row>
    <row r="2839" customFormat="false" ht="15" hidden="false" customHeight="false" outlineLevel="0" collapsed="false">
      <c r="A2839" s="0" t="s">
        <v>740</v>
      </c>
      <c r="B2839" s="0" t="s">
        <v>4074</v>
      </c>
      <c r="C2839" s="0" t="s">
        <v>4075</v>
      </c>
      <c r="D2839" s="0" t="s">
        <v>98</v>
      </c>
      <c r="E2839" s="0" t="s">
        <v>4067</v>
      </c>
    </row>
    <row r="2840" customFormat="false" ht="15" hidden="false" customHeight="false" outlineLevel="0" collapsed="false">
      <c r="A2840" s="0" t="s">
        <v>740</v>
      </c>
      <c r="B2840" s="0" t="s">
        <v>4076</v>
      </c>
      <c r="C2840" s="0" t="s">
        <v>4077</v>
      </c>
      <c r="D2840" s="0" t="s">
        <v>98</v>
      </c>
      <c r="E2840" s="0" t="s">
        <v>4067</v>
      </c>
    </row>
    <row r="2841" customFormat="false" ht="15" hidden="false" customHeight="false" outlineLevel="0" collapsed="false">
      <c r="A2841" s="0" t="s">
        <v>740</v>
      </c>
      <c r="B2841" s="0" t="s">
        <v>4078</v>
      </c>
      <c r="C2841" s="0" t="s">
        <v>4079</v>
      </c>
      <c r="D2841" s="0" t="s">
        <v>98</v>
      </c>
      <c r="E2841" s="0" t="s">
        <v>4067</v>
      </c>
    </row>
    <row r="2842" customFormat="false" ht="15" hidden="false" customHeight="false" outlineLevel="0" collapsed="false">
      <c r="A2842" s="0" t="s">
        <v>740</v>
      </c>
      <c r="B2842" s="0" t="s">
        <v>4080</v>
      </c>
      <c r="C2842" s="0" t="s">
        <v>4081</v>
      </c>
      <c r="D2842" s="0" t="s">
        <v>98</v>
      </c>
      <c r="E2842" s="0" t="s">
        <v>4067</v>
      </c>
    </row>
    <row r="2843" customFormat="false" ht="15" hidden="false" customHeight="false" outlineLevel="0" collapsed="false">
      <c r="A2843" s="0" t="s">
        <v>740</v>
      </c>
      <c r="B2843" s="0" t="s">
        <v>4082</v>
      </c>
      <c r="C2843" s="0" t="s">
        <v>4083</v>
      </c>
      <c r="D2843" s="0" t="s">
        <v>98</v>
      </c>
      <c r="E2843" s="0" t="s">
        <v>4067</v>
      </c>
    </row>
    <row r="2844" customFormat="false" ht="15" hidden="false" customHeight="false" outlineLevel="0" collapsed="false">
      <c r="A2844" s="0" t="s">
        <v>740</v>
      </c>
      <c r="B2844" s="0" t="s">
        <v>4084</v>
      </c>
      <c r="C2844" s="0" t="s">
        <v>4085</v>
      </c>
      <c r="D2844" s="0" t="s">
        <v>98</v>
      </c>
      <c r="E2844" s="0" t="s">
        <v>4067</v>
      </c>
    </row>
    <row r="2845" customFormat="false" ht="15" hidden="false" customHeight="false" outlineLevel="0" collapsed="false">
      <c r="A2845" s="0" t="s">
        <v>740</v>
      </c>
      <c r="B2845" s="0" t="s">
        <v>4086</v>
      </c>
      <c r="C2845" s="0" t="s">
        <v>4087</v>
      </c>
      <c r="D2845" s="0" t="s">
        <v>98</v>
      </c>
      <c r="E2845" s="0" t="s">
        <v>4067</v>
      </c>
    </row>
    <row r="2846" customFormat="false" ht="15" hidden="false" customHeight="false" outlineLevel="0" collapsed="false">
      <c r="A2846" s="0" t="s">
        <v>740</v>
      </c>
      <c r="B2846" s="0" t="s">
        <v>4088</v>
      </c>
      <c r="C2846" s="0" t="s">
        <v>4089</v>
      </c>
      <c r="D2846" s="0" t="s">
        <v>98</v>
      </c>
      <c r="E2846" s="0" t="s">
        <v>4067</v>
      </c>
    </row>
    <row r="2847" customFormat="false" ht="15" hidden="false" customHeight="false" outlineLevel="0" collapsed="false">
      <c r="A2847" s="0" t="s">
        <v>740</v>
      </c>
      <c r="B2847" s="0" t="s">
        <v>4090</v>
      </c>
      <c r="C2847" s="0" t="s">
        <v>4091</v>
      </c>
      <c r="D2847" s="0" t="s">
        <v>98</v>
      </c>
      <c r="E2847" s="0" t="s">
        <v>4067</v>
      </c>
    </row>
    <row r="2848" customFormat="false" ht="15" hidden="false" customHeight="false" outlineLevel="0" collapsed="false">
      <c r="A2848" s="0" t="s">
        <v>740</v>
      </c>
      <c r="B2848" s="0" t="s">
        <v>4092</v>
      </c>
      <c r="C2848" s="0" t="s">
        <v>4093</v>
      </c>
      <c r="D2848" s="0" t="s">
        <v>98</v>
      </c>
      <c r="E2848" s="0" t="s">
        <v>4067</v>
      </c>
    </row>
    <row r="2849" customFormat="false" ht="15" hidden="false" customHeight="false" outlineLevel="0" collapsed="false">
      <c r="A2849" s="0" t="s">
        <v>740</v>
      </c>
      <c r="B2849" s="0" t="s">
        <v>4094</v>
      </c>
      <c r="C2849" s="0" t="s">
        <v>4095</v>
      </c>
      <c r="D2849" s="0" t="s">
        <v>98</v>
      </c>
      <c r="E2849" s="0" t="s">
        <v>4067</v>
      </c>
    </row>
    <row r="2850" customFormat="false" ht="15" hidden="false" customHeight="false" outlineLevel="0" collapsed="false">
      <c r="A2850" s="0" t="s">
        <v>740</v>
      </c>
      <c r="B2850" s="0" t="s">
        <v>4096</v>
      </c>
      <c r="C2850" s="0" t="s">
        <v>4097</v>
      </c>
      <c r="D2850" s="0" t="s">
        <v>98</v>
      </c>
      <c r="E2850" s="0" t="s">
        <v>4067</v>
      </c>
    </row>
    <row r="2851" customFormat="false" ht="15" hidden="false" customHeight="false" outlineLevel="0" collapsed="false">
      <c r="A2851" s="0" t="s">
        <v>740</v>
      </c>
      <c r="B2851" s="0" t="s">
        <v>4098</v>
      </c>
      <c r="C2851" s="0" t="s">
        <v>4099</v>
      </c>
      <c r="D2851" s="0" t="s">
        <v>98</v>
      </c>
      <c r="E2851" s="0" t="s">
        <v>4067</v>
      </c>
    </row>
    <row r="2852" customFormat="false" ht="15" hidden="false" customHeight="false" outlineLevel="0" collapsed="false">
      <c r="A2852" s="0" t="s">
        <v>740</v>
      </c>
      <c r="B2852" s="0" t="s">
        <v>4100</v>
      </c>
      <c r="C2852" s="0" t="s">
        <v>4101</v>
      </c>
      <c r="D2852" s="0" t="s">
        <v>98</v>
      </c>
      <c r="E2852" s="0" t="s">
        <v>4067</v>
      </c>
    </row>
    <row r="2853" customFormat="false" ht="15" hidden="false" customHeight="false" outlineLevel="0" collapsed="false">
      <c r="A2853" s="0" t="s">
        <v>740</v>
      </c>
      <c r="B2853" s="0" t="s">
        <v>4102</v>
      </c>
      <c r="C2853" s="0" t="s">
        <v>4103</v>
      </c>
      <c r="D2853" s="0" t="s">
        <v>98</v>
      </c>
      <c r="E2853" s="0" t="s">
        <v>4067</v>
      </c>
    </row>
    <row r="2854" customFormat="false" ht="15" hidden="false" customHeight="false" outlineLevel="0" collapsed="false">
      <c r="A2854" s="0" t="s">
        <v>740</v>
      </c>
      <c r="B2854" s="0" t="s">
        <v>4104</v>
      </c>
      <c r="C2854" s="0" t="s">
        <v>4105</v>
      </c>
      <c r="D2854" s="0" t="s">
        <v>98</v>
      </c>
      <c r="E2854" s="0" t="s">
        <v>4067</v>
      </c>
    </row>
    <row r="2855" customFormat="false" ht="15" hidden="false" customHeight="false" outlineLevel="0" collapsed="false">
      <c r="A2855" s="0" t="s">
        <v>740</v>
      </c>
      <c r="B2855" s="0" t="s">
        <v>4106</v>
      </c>
      <c r="C2855" s="0" t="s">
        <v>4107</v>
      </c>
      <c r="D2855" s="0" t="s">
        <v>98</v>
      </c>
      <c r="E2855" s="0" t="s">
        <v>4067</v>
      </c>
    </row>
    <row r="2856" customFormat="false" ht="15" hidden="false" customHeight="false" outlineLevel="0" collapsed="false">
      <c r="A2856" s="0" t="s">
        <v>740</v>
      </c>
      <c r="B2856" s="0" t="s">
        <v>4108</v>
      </c>
      <c r="C2856" s="0" t="s">
        <v>4109</v>
      </c>
      <c r="D2856" s="0" t="s">
        <v>98</v>
      </c>
      <c r="E2856" s="0" t="s">
        <v>4067</v>
      </c>
    </row>
    <row r="2857" customFormat="false" ht="15" hidden="false" customHeight="false" outlineLevel="0" collapsed="false">
      <c r="A2857" s="0" t="s">
        <v>740</v>
      </c>
      <c r="B2857" s="0" t="s">
        <v>4110</v>
      </c>
      <c r="C2857" s="0" t="s">
        <v>4111</v>
      </c>
      <c r="D2857" s="0" t="s">
        <v>98</v>
      </c>
      <c r="E2857" s="0" t="s">
        <v>4067</v>
      </c>
    </row>
    <row r="2858" customFormat="false" ht="15" hidden="false" customHeight="false" outlineLevel="0" collapsed="false">
      <c r="A2858" s="0" t="s">
        <v>740</v>
      </c>
      <c r="B2858" s="0" t="s">
        <v>4112</v>
      </c>
      <c r="C2858" s="0" t="s">
        <v>4113</v>
      </c>
      <c r="D2858" s="0" t="s">
        <v>98</v>
      </c>
      <c r="E2858" s="0" t="s">
        <v>4067</v>
      </c>
    </row>
    <row r="2859" customFormat="false" ht="15" hidden="false" customHeight="false" outlineLevel="0" collapsed="false">
      <c r="A2859" s="0" t="s">
        <v>740</v>
      </c>
      <c r="B2859" s="0" t="s">
        <v>4114</v>
      </c>
      <c r="C2859" s="0" t="s">
        <v>4115</v>
      </c>
      <c r="D2859" s="0" t="s">
        <v>98</v>
      </c>
      <c r="E2859" s="0" t="s">
        <v>4067</v>
      </c>
    </row>
    <row r="2860" customFormat="false" ht="15" hidden="false" customHeight="false" outlineLevel="0" collapsed="false">
      <c r="A2860" s="0" t="s">
        <v>740</v>
      </c>
      <c r="B2860" s="0" t="s">
        <v>4116</v>
      </c>
      <c r="C2860" s="0" t="s">
        <v>4117</v>
      </c>
      <c r="D2860" s="0" t="s">
        <v>98</v>
      </c>
      <c r="E2860" s="0" t="s">
        <v>4067</v>
      </c>
    </row>
    <row r="2861" customFormat="false" ht="15" hidden="false" customHeight="false" outlineLevel="0" collapsed="false">
      <c r="A2861" s="0" t="s">
        <v>740</v>
      </c>
      <c r="B2861" s="0" t="s">
        <v>4118</v>
      </c>
      <c r="C2861" s="0" t="s">
        <v>4119</v>
      </c>
      <c r="D2861" s="0" t="s">
        <v>98</v>
      </c>
      <c r="E2861" s="0" t="s">
        <v>4067</v>
      </c>
    </row>
    <row r="2862" customFormat="false" ht="15" hidden="false" customHeight="false" outlineLevel="0" collapsed="false">
      <c r="A2862" s="0" t="s">
        <v>740</v>
      </c>
      <c r="B2862" s="0" t="s">
        <v>4120</v>
      </c>
      <c r="C2862" s="0" t="s">
        <v>4121</v>
      </c>
      <c r="D2862" s="0" t="s">
        <v>98</v>
      </c>
      <c r="E2862" s="0" t="s">
        <v>4067</v>
      </c>
    </row>
    <row r="2863" customFormat="false" ht="15" hidden="false" customHeight="false" outlineLevel="0" collapsed="false">
      <c r="A2863" s="0" t="s">
        <v>740</v>
      </c>
      <c r="B2863" s="0" t="s">
        <v>4122</v>
      </c>
      <c r="C2863" s="0" t="s">
        <v>4123</v>
      </c>
      <c r="D2863" s="0" t="s">
        <v>98</v>
      </c>
      <c r="E2863" s="0" t="s">
        <v>4124</v>
      </c>
    </row>
    <row r="2864" customFormat="false" ht="15" hidden="false" customHeight="false" outlineLevel="0" collapsed="false">
      <c r="A2864" s="0" t="s">
        <v>740</v>
      </c>
      <c r="B2864" s="0" t="s">
        <v>4125</v>
      </c>
      <c r="C2864" s="0" t="s">
        <v>4126</v>
      </c>
      <c r="D2864" s="0" t="s">
        <v>98</v>
      </c>
      <c r="E2864" s="0" t="s">
        <v>4124</v>
      </c>
    </row>
    <row r="2865" customFormat="false" ht="15" hidden="false" customHeight="false" outlineLevel="0" collapsed="false">
      <c r="A2865" s="0" t="s">
        <v>740</v>
      </c>
      <c r="B2865" s="0" t="s">
        <v>4127</v>
      </c>
      <c r="C2865" s="0" t="s">
        <v>4128</v>
      </c>
      <c r="D2865" s="0" t="s">
        <v>98</v>
      </c>
      <c r="E2865" s="0" t="s">
        <v>4124</v>
      </c>
    </row>
    <row r="2866" customFormat="false" ht="15" hidden="false" customHeight="false" outlineLevel="0" collapsed="false">
      <c r="A2866" s="0" t="s">
        <v>740</v>
      </c>
      <c r="B2866" s="0" t="s">
        <v>4129</v>
      </c>
      <c r="C2866" s="0" t="s">
        <v>4130</v>
      </c>
      <c r="D2866" s="0" t="s">
        <v>98</v>
      </c>
      <c r="E2866" s="0" t="s">
        <v>4124</v>
      </c>
    </row>
    <row r="2867" customFormat="false" ht="15" hidden="false" customHeight="false" outlineLevel="0" collapsed="false">
      <c r="A2867" s="0" t="s">
        <v>740</v>
      </c>
      <c r="B2867" s="0" t="s">
        <v>4131</v>
      </c>
      <c r="C2867" s="0" t="s">
        <v>4132</v>
      </c>
      <c r="D2867" s="0" t="s">
        <v>98</v>
      </c>
      <c r="E2867" s="0" t="s">
        <v>4124</v>
      </c>
    </row>
    <row r="2868" customFormat="false" ht="15" hidden="false" customHeight="false" outlineLevel="0" collapsed="false">
      <c r="A2868" s="0" t="s">
        <v>740</v>
      </c>
      <c r="B2868" s="0" t="s">
        <v>4133</v>
      </c>
      <c r="C2868" s="0" t="s">
        <v>4134</v>
      </c>
      <c r="D2868" s="0" t="s">
        <v>98</v>
      </c>
      <c r="E2868" s="0" t="s">
        <v>4124</v>
      </c>
    </row>
    <row r="2869" customFormat="false" ht="15" hidden="false" customHeight="false" outlineLevel="0" collapsed="false">
      <c r="A2869" s="0" t="s">
        <v>740</v>
      </c>
      <c r="B2869" s="0" t="s">
        <v>4135</v>
      </c>
      <c r="C2869" s="0" t="s">
        <v>4136</v>
      </c>
      <c r="D2869" s="0" t="s">
        <v>98</v>
      </c>
      <c r="E2869" s="0" t="s">
        <v>4124</v>
      </c>
    </row>
    <row r="2870" customFormat="false" ht="15" hidden="false" customHeight="false" outlineLevel="0" collapsed="false">
      <c r="A2870" s="0" t="s">
        <v>740</v>
      </c>
      <c r="B2870" s="0" t="s">
        <v>4137</v>
      </c>
      <c r="C2870" s="0" t="s">
        <v>4138</v>
      </c>
      <c r="D2870" s="0" t="s">
        <v>98</v>
      </c>
      <c r="E2870" s="0" t="s">
        <v>4124</v>
      </c>
    </row>
    <row r="2871" customFormat="false" ht="15" hidden="false" customHeight="false" outlineLevel="0" collapsed="false">
      <c r="A2871" s="0" t="s">
        <v>740</v>
      </c>
      <c r="B2871" s="0" t="s">
        <v>4139</v>
      </c>
      <c r="C2871" s="0" t="s">
        <v>4140</v>
      </c>
      <c r="D2871" s="0" t="s">
        <v>98</v>
      </c>
      <c r="E2871" s="0" t="s">
        <v>4124</v>
      </c>
    </row>
    <row r="2872" customFormat="false" ht="15" hidden="false" customHeight="false" outlineLevel="0" collapsed="false">
      <c r="A2872" s="0" t="s">
        <v>740</v>
      </c>
      <c r="B2872" s="0" t="s">
        <v>4141</v>
      </c>
      <c r="C2872" s="0" t="s">
        <v>4142</v>
      </c>
      <c r="D2872" s="0" t="s">
        <v>98</v>
      </c>
      <c r="E2872" s="0" t="s">
        <v>4124</v>
      </c>
    </row>
    <row r="2873" customFormat="false" ht="15" hidden="false" customHeight="false" outlineLevel="0" collapsed="false">
      <c r="A2873" s="0" t="s">
        <v>740</v>
      </c>
      <c r="B2873" s="0" t="s">
        <v>4143</v>
      </c>
      <c r="C2873" s="0" t="s">
        <v>4144</v>
      </c>
      <c r="D2873" s="0" t="s">
        <v>98</v>
      </c>
      <c r="E2873" s="0" t="s">
        <v>4124</v>
      </c>
    </row>
    <row r="2874" customFormat="false" ht="15" hidden="false" customHeight="false" outlineLevel="0" collapsed="false">
      <c r="A2874" s="0" t="s">
        <v>740</v>
      </c>
      <c r="B2874" s="0" t="s">
        <v>4145</v>
      </c>
      <c r="C2874" s="0" t="s">
        <v>4146</v>
      </c>
      <c r="D2874" s="0" t="s">
        <v>98</v>
      </c>
      <c r="E2874" s="0" t="s">
        <v>4124</v>
      </c>
    </row>
    <row r="2875" customFormat="false" ht="15" hidden="false" customHeight="false" outlineLevel="0" collapsed="false">
      <c r="A2875" s="0" t="s">
        <v>740</v>
      </c>
      <c r="B2875" s="0" t="s">
        <v>4147</v>
      </c>
      <c r="C2875" s="0" t="s">
        <v>4148</v>
      </c>
      <c r="D2875" s="0" t="s">
        <v>98</v>
      </c>
      <c r="E2875" s="0" t="s">
        <v>4124</v>
      </c>
    </row>
    <row r="2876" customFormat="false" ht="15" hidden="false" customHeight="false" outlineLevel="0" collapsed="false">
      <c r="A2876" s="0" t="s">
        <v>740</v>
      </c>
      <c r="B2876" s="0" t="s">
        <v>4149</v>
      </c>
      <c r="C2876" s="0" t="s">
        <v>4150</v>
      </c>
      <c r="D2876" s="0" t="s">
        <v>98</v>
      </c>
      <c r="E2876" s="0" t="s">
        <v>4124</v>
      </c>
    </row>
    <row r="2877" customFormat="false" ht="15" hidden="false" customHeight="false" outlineLevel="0" collapsed="false">
      <c r="A2877" s="0" t="s">
        <v>740</v>
      </c>
      <c r="B2877" s="0" t="s">
        <v>4151</v>
      </c>
      <c r="C2877" s="0" t="s">
        <v>4152</v>
      </c>
      <c r="D2877" s="0" t="s">
        <v>98</v>
      </c>
      <c r="E2877" s="0" t="s">
        <v>4124</v>
      </c>
    </row>
    <row r="2878" customFormat="false" ht="15" hidden="false" customHeight="false" outlineLevel="0" collapsed="false">
      <c r="A2878" s="0" t="s">
        <v>740</v>
      </c>
      <c r="B2878" s="0" t="s">
        <v>4153</v>
      </c>
      <c r="C2878" s="0" t="s">
        <v>4154</v>
      </c>
      <c r="D2878" s="0" t="s">
        <v>98</v>
      </c>
      <c r="E2878" s="0" t="s">
        <v>4124</v>
      </c>
    </row>
    <row r="2879" customFormat="false" ht="15" hidden="false" customHeight="false" outlineLevel="0" collapsed="false">
      <c r="A2879" s="0" t="s">
        <v>740</v>
      </c>
      <c r="B2879" s="0" t="s">
        <v>4155</v>
      </c>
      <c r="C2879" s="0" t="s">
        <v>4156</v>
      </c>
      <c r="D2879" s="0" t="s">
        <v>98</v>
      </c>
      <c r="E2879" s="0" t="s">
        <v>4124</v>
      </c>
    </row>
    <row r="2880" customFormat="false" ht="15" hidden="false" customHeight="false" outlineLevel="0" collapsed="false">
      <c r="A2880" s="0" t="s">
        <v>740</v>
      </c>
      <c r="B2880" s="0" t="s">
        <v>4157</v>
      </c>
      <c r="C2880" s="0" t="s">
        <v>4158</v>
      </c>
      <c r="D2880" s="0" t="s">
        <v>98</v>
      </c>
      <c r="E2880" s="0" t="s">
        <v>4124</v>
      </c>
    </row>
    <row r="2881" customFormat="false" ht="15" hidden="false" customHeight="false" outlineLevel="0" collapsed="false">
      <c r="A2881" s="0" t="s">
        <v>740</v>
      </c>
      <c r="B2881" s="0" t="s">
        <v>4159</v>
      </c>
      <c r="C2881" s="0" t="s">
        <v>4160</v>
      </c>
      <c r="D2881" s="0" t="s">
        <v>98</v>
      </c>
      <c r="E2881" s="0" t="s">
        <v>4124</v>
      </c>
    </row>
    <row r="2882" customFormat="false" ht="15" hidden="false" customHeight="false" outlineLevel="0" collapsed="false">
      <c r="A2882" s="0" t="s">
        <v>740</v>
      </c>
      <c r="B2882" s="0" t="s">
        <v>4161</v>
      </c>
      <c r="C2882" s="0" t="s">
        <v>4162</v>
      </c>
      <c r="D2882" s="0" t="s">
        <v>98</v>
      </c>
      <c r="E2882" s="0" t="s">
        <v>4124</v>
      </c>
    </row>
    <row r="2883" customFormat="false" ht="15" hidden="false" customHeight="false" outlineLevel="0" collapsed="false">
      <c r="A2883" s="0" t="s">
        <v>740</v>
      </c>
      <c r="B2883" s="0" t="s">
        <v>4163</v>
      </c>
      <c r="C2883" s="0" t="s">
        <v>4164</v>
      </c>
      <c r="D2883" s="0" t="s">
        <v>98</v>
      </c>
      <c r="E2883" s="0" t="s">
        <v>4124</v>
      </c>
    </row>
    <row r="2884" customFormat="false" ht="15" hidden="false" customHeight="false" outlineLevel="0" collapsed="false">
      <c r="A2884" s="0" t="s">
        <v>740</v>
      </c>
      <c r="B2884" s="0" t="s">
        <v>4165</v>
      </c>
      <c r="C2884" s="0" t="s">
        <v>4166</v>
      </c>
      <c r="D2884" s="0" t="s">
        <v>98</v>
      </c>
      <c r="E2884" s="0" t="s">
        <v>4124</v>
      </c>
    </row>
    <row r="2885" customFormat="false" ht="15" hidden="false" customHeight="false" outlineLevel="0" collapsed="false">
      <c r="A2885" s="0" t="s">
        <v>740</v>
      </c>
      <c r="B2885" s="0" t="s">
        <v>4167</v>
      </c>
      <c r="C2885" s="0" t="s">
        <v>4168</v>
      </c>
      <c r="D2885" s="0" t="s">
        <v>98</v>
      </c>
      <c r="E2885" s="0" t="s">
        <v>4124</v>
      </c>
    </row>
    <row r="2886" customFormat="false" ht="15" hidden="false" customHeight="false" outlineLevel="0" collapsed="false">
      <c r="A2886" s="0" t="s">
        <v>740</v>
      </c>
      <c r="B2886" s="0" t="s">
        <v>4169</v>
      </c>
      <c r="C2886" s="0" t="s">
        <v>4170</v>
      </c>
      <c r="D2886" s="0" t="s">
        <v>98</v>
      </c>
      <c r="E2886" s="0" t="s">
        <v>4124</v>
      </c>
    </row>
    <row r="2887" customFormat="false" ht="15" hidden="false" customHeight="false" outlineLevel="0" collapsed="false">
      <c r="A2887" s="0" t="s">
        <v>740</v>
      </c>
      <c r="B2887" s="0" t="s">
        <v>4171</v>
      </c>
      <c r="C2887" s="0" t="s">
        <v>4172</v>
      </c>
      <c r="D2887" s="0" t="s">
        <v>98</v>
      </c>
      <c r="E2887" s="0" t="s">
        <v>4124</v>
      </c>
    </row>
    <row r="2888" customFormat="false" ht="15" hidden="false" customHeight="false" outlineLevel="0" collapsed="false">
      <c r="A2888" s="0" t="s">
        <v>740</v>
      </c>
      <c r="B2888" s="0" t="s">
        <v>4173</v>
      </c>
      <c r="C2888" s="0" t="s">
        <v>4174</v>
      </c>
      <c r="D2888" s="0" t="s">
        <v>98</v>
      </c>
      <c r="E2888" s="0" t="s">
        <v>4124</v>
      </c>
    </row>
    <row r="2889" customFormat="false" ht="15" hidden="false" customHeight="false" outlineLevel="0" collapsed="false">
      <c r="A2889" s="0" t="s">
        <v>740</v>
      </c>
      <c r="B2889" s="0" t="s">
        <v>4175</v>
      </c>
      <c r="C2889" s="0" t="s">
        <v>4176</v>
      </c>
      <c r="D2889" s="0" t="s">
        <v>98</v>
      </c>
      <c r="E2889" s="0" t="s">
        <v>4124</v>
      </c>
    </row>
    <row r="2890" customFormat="false" ht="15" hidden="false" customHeight="false" outlineLevel="0" collapsed="false">
      <c r="A2890" s="0" t="s">
        <v>740</v>
      </c>
      <c r="B2890" s="0" t="s">
        <v>4177</v>
      </c>
      <c r="C2890" s="0" t="s">
        <v>4178</v>
      </c>
      <c r="D2890" s="0" t="s">
        <v>98</v>
      </c>
      <c r="E2890" s="0" t="s">
        <v>4124</v>
      </c>
    </row>
    <row r="2891" customFormat="false" ht="15" hidden="false" customHeight="false" outlineLevel="0" collapsed="false">
      <c r="A2891" s="0" t="s">
        <v>740</v>
      </c>
      <c r="B2891" s="0" t="s">
        <v>4179</v>
      </c>
      <c r="C2891" s="0" t="s">
        <v>4180</v>
      </c>
      <c r="D2891" s="0" t="s">
        <v>98</v>
      </c>
      <c r="E2891" s="0" t="s">
        <v>4181</v>
      </c>
    </row>
    <row r="2892" customFormat="false" ht="15" hidden="false" customHeight="false" outlineLevel="0" collapsed="false">
      <c r="A2892" s="0" t="s">
        <v>740</v>
      </c>
      <c r="B2892" s="0" t="s">
        <v>4182</v>
      </c>
      <c r="C2892" s="0" t="s">
        <v>4183</v>
      </c>
      <c r="D2892" s="0" t="s">
        <v>98</v>
      </c>
      <c r="E2892" s="0" t="s">
        <v>4181</v>
      </c>
    </row>
    <row r="2893" customFormat="false" ht="15" hidden="false" customHeight="false" outlineLevel="0" collapsed="false">
      <c r="A2893" s="0" t="s">
        <v>740</v>
      </c>
      <c r="B2893" s="0" t="s">
        <v>4184</v>
      </c>
      <c r="C2893" s="0" t="s">
        <v>4185</v>
      </c>
      <c r="D2893" s="0" t="s">
        <v>98</v>
      </c>
      <c r="E2893" s="0" t="s">
        <v>4181</v>
      </c>
    </row>
    <row r="2894" customFormat="false" ht="15" hidden="false" customHeight="false" outlineLevel="0" collapsed="false">
      <c r="A2894" s="0" t="s">
        <v>740</v>
      </c>
      <c r="B2894" s="0" t="s">
        <v>4186</v>
      </c>
      <c r="C2894" s="0" t="s">
        <v>4187</v>
      </c>
      <c r="D2894" s="0" t="s">
        <v>98</v>
      </c>
      <c r="E2894" s="0" t="s">
        <v>4181</v>
      </c>
    </row>
    <row r="2895" customFormat="false" ht="15" hidden="false" customHeight="false" outlineLevel="0" collapsed="false">
      <c r="A2895" s="0" t="s">
        <v>740</v>
      </c>
      <c r="B2895" s="0" t="s">
        <v>4188</v>
      </c>
      <c r="C2895" s="0" t="s">
        <v>4189</v>
      </c>
      <c r="D2895" s="0" t="s">
        <v>98</v>
      </c>
      <c r="E2895" s="0" t="s">
        <v>4181</v>
      </c>
    </row>
    <row r="2896" customFormat="false" ht="15" hidden="false" customHeight="false" outlineLevel="0" collapsed="false">
      <c r="A2896" s="0" t="s">
        <v>740</v>
      </c>
      <c r="B2896" s="0" t="s">
        <v>4190</v>
      </c>
      <c r="C2896" s="0" t="s">
        <v>4191</v>
      </c>
      <c r="D2896" s="0" t="s">
        <v>98</v>
      </c>
      <c r="E2896" s="0" t="s">
        <v>4181</v>
      </c>
    </row>
    <row r="2897" customFormat="false" ht="15" hidden="false" customHeight="false" outlineLevel="0" collapsed="false">
      <c r="A2897" s="0" t="s">
        <v>740</v>
      </c>
      <c r="B2897" s="0" t="s">
        <v>4192</v>
      </c>
      <c r="C2897" s="0" t="s">
        <v>4193</v>
      </c>
      <c r="D2897" s="0" t="s">
        <v>98</v>
      </c>
      <c r="E2897" s="0" t="s">
        <v>4181</v>
      </c>
    </row>
    <row r="2898" customFormat="false" ht="15" hidden="false" customHeight="false" outlineLevel="0" collapsed="false">
      <c r="A2898" s="0" t="s">
        <v>740</v>
      </c>
      <c r="B2898" s="0" t="s">
        <v>4194</v>
      </c>
      <c r="C2898" s="0" t="s">
        <v>4195</v>
      </c>
      <c r="D2898" s="0" t="s">
        <v>98</v>
      </c>
      <c r="E2898" s="0" t="s">
        <v>4181</v>
      </c>
    </row>
    <row r="2899" customFormat="false" ht="15" hidden="false" customHeight="false" outlineLevel="0" collapsed="false">
      <c r="A2899" s="0" t="s">
        <v>740</v>
      </c>
      <c r="B2899" s="0" t="s">
        <v>4196</v>
      </c>
      <c r="C2899" s="0" t="s">
        <v>4197</v>
      </c>
      <c r="D2899" s="0" t="s">
        <v>98</v>
      </c>
      <c r="E2899" s="0" t="s">
        <v>4181</v>
      </c>
    </row>
    <row r="2900" customFormat="false" ht="15" hidden="false" customHeight="false" outlineLevel="0" collapsed="false">
      <c r="A2900" s="0" t="s">
        <v>740</v>
      </c>
      <c r="B2900" s="0" t="s">
        <v>4198</v>
      </c>
      <c r="C2900" s="0" t="s">
        <v>4199</v>
      </c>
      <c r="D2900" s="0" t="s">
        <v>98</v>
      </c>
      <c r="E2900" s="0" t="s">
        <v>4181</v>
      </c>
    </row>
    <row r="2901" customFormat="false" ht="15" hidden="false" customHeight="false" outlineLevel="0" collapsed="false">
      <c r="A2901" s="0" t="s">
        <v>740</v>
      </c>
      <c r="B2901" s="0" t="s">
        <v>4200</v>
      </c>
      <c r="C2901" s="0" t="s">
        <v>4201</v>
      </c>
      <c r="D2901" s="0" t="s">
        <v>98</v>
      </c>
      <c r="E2901" s="0" t="s">
        <v>4181</v>
      </c>
    </row>
    <row r="2902" customFormat="false" ht="15" hidden="false" customHeight="false" outlineLevel="0" collapsed="false">
      <c r="A2902" s="0" t="s">
        <v>740</v>
      </c>
      <c r="B2902" s="0" t="s">
        <v>4202</v>
      </c>
      <c r="C2902" s="0" t="s">
        <v>4203</v>
      </c>
      <c r="D2902" s="0" t="s">
        <v>98</v>
      </c>
      <c r="E2902" s="0" t="s">
        <v>4181</v>
      </c>
    </row>
    <row r="2903" customFormat="false" ht="15" hidden="false" customHeight="false" outlineLevel="0" collapsed="false">
      <c r="A2903" s="0" t="s">
        <v>740</v>
      </c>
      <c r="B2903" s="0" t="s">
        <v>4204</v>
      </c>
      <c r="C2903" s="0" t="s">
        <v>4205</v>
      </c>
      <c r="D2903" s="0" t="s">
        <v>98</v>
      </c>
      <c r="E2903" s="0" t="s">
        <v>4181</v>
      </c>
    </row>
    <row r="2904" customFormat="false" ht="15" hidden="false" customHeight="false" outlineLevel="0" collapsed="false">
      <c r="A2904" s="0" t="s">
        <v>740</v>
      </c>
      <c r="B2904" s="0" t="s">
        <v>4206</v>
      </c>
      <c r="C2904" s="0" t="s">
        <v>4207</v>
      </c>
      <c r="D2904" s="0" t="s">
        <v>98</v>
      </c>
      <c r="E2904" s="0" t="s">
        <v>4181</v>
      </c>
    </row>
    <row r="2905" customFormat="false" ht="15" hidden="false" customHeight="false" outlineLevel="0" collapsed="false">
      <c r="A2905" s="0" t="s">
        <v>740</v>
      </c>
      <c r="B2905" s="0" t="s">
        <v>4208</v>
      </c>
      <c r="C2905" s="0" t="s">
        <v>4209</v>
      </c>
      <c r="D2905" s="0" t="s">
        <v>98</v>
      </c>
      <c r="E2905" s="0" t="s">
        <v>4181</v>
      </c>
    </row>
    <row r="2906" customFormat="false" ht="15" hidden="false" customHeight="false" outlineLevel="0" collapsed="false">
      <c r="A2906" s="0" t="s">
        <v>740</v>
      </c>
      <c r="B2906" s="0" t="s">
        <v>4210</v>
      </c>
      <c r="C2906" s="0" t="s">
        <v>4211</v>
      </c>
      <c r="D2906" s="0" t="s">
        <v>98</v>
      </c>
      <c r="E2906" s="0" t="s">
        <v>4181</v>
      </c>
    </row>
    <row r="2907" customFormat="false" ht="15" hidden="false" customHeight="false" outlineLevel="0" collapsed="false">
      <c r="A2907" s="0" t="s">
        <v>740</v>
      </c>
      <c r="B2907" s="0" t="s">
        <v>4212</v>
      </c>
      <c r="C2907" s="0" t="s">
        <v>4213</v>
      </c>
      <c r="D2907" s="0" t="s">
        <v>98</v>
      </c>
      <c r="E2907" s="0" t="s">
        <v>4181</v>
      </c>
    </row>
    <row r="2908" customFormat="false" ht="15" hidden="false" customHeight="false" outlineLevel="0" collapsed="false">
      <c r="A2908" s="0" t="s">
        <v>740</v>
      </c>
      <c r="B2908" s="0" t="s">
        <v>4214</v>
      </c>
      <c r="C2908" s="0" t="s">
        <v>4215</v>
      </c>
      <c r="D2908" s="0" t="s">
        <v>98</v>
      </c>
      <c r="E2908" s="0" t="s">
        <v>4181</v>
      </c>
    </row>
    <row r="2909" customFormat="false" ht="15" hidden="false" customHeight="false" outlineLevel="0" collapsed="false">
      <c r="A2909" s="0" t="s">
        <v>740</v>
      </c>
      <c r="B2909" s="0" t="s">
        <v>4216</v>
      </c>
      <c r="C2909" s="0" t="s">
        <v>4217</v>
      </c>
      <c r="D2909" s="0" t="s">
        <v>98</v>
      </c>
      <c r="E2909" s="0" t="s">
        <v>4181</v>
      </c>
    </row>
    <row r="2910" customFormat="false" ht="15" hidden="false" customHeight="false" outlineLevel="0" collapsed="false">
      <c r="A2910" s="0" t="s">
        <v>740</v>
      </c>
      <c r="B2910" s="0" t="s">
        <v>4218</v>
      </c>
      <c r="C2910" s="0" t="s">
        <v>4219</v>
      </c>
      <c r="D2910" s="0" t="s">
        <v>98</v>
      </c>
      <c r="E2910" s="0" t="s">
        <v>4181</v>
      </c>
    </row>
    <row r="2911" customFormat="false" ht="15" hidden="false" customHeight="false" outlineLevel="0" collapsed="false">
      <c r="A2911" s="0" t="s">
        <v>740</v>
      </c>
      <c r="B2911" s="0" t="s">
        <v>4220</v>
      </c>
      <c r="C2911" s="0" t="s">
        <v>4221</v>
      </c>
      <c r="D2911" s="0" t="s">
        <v>98</v>
      </c>
      <c r="E2911" s="0" t="s">
        <v>4181</v>
      </c>
    </row>
    <row r="2912" customFormat="false" ht="15" hidden="false" customHeight="false" outlineLevel="0" collapsed="false">
      <c r="A2912" s="0" t="s">
        <v>740</v>
      </c>
      <c r="B2912" s="0" t="s">
        <v>4222</v>
      </c>
      <c r="C2912" s="0" t="s">
        <v>4223</v>
      </c>
      <c r="D2912" s="0" t="s">
        <v>98</v>
      </c>
      <c r="E2912" s="0" t="s">
        <v>4181</v>
      </c>
    </row>
    <row r="2913" customFormat="false" ht="15" hidden="false" customHeight="false" outlineLevel="0" collapsed="false">
      <c r="A2913" s="0" t="s">
        <v>740</v>
      </c>
      <c r="B2913" s="0" t="s">
        <v>4224</v>
      </c>
      <c r="C2913" s="0" t="s">
        <v>4225</v>
      </c>
      <c r="D2913" s="0" t="s">
        <v>98</v>
      </c>
      <c r="E2913" s="0" t="s">
        <v>4181</v>
      </c>
    </row>
    <row r="2914" customFormat="false" ht="15" hidden="false" customHeight="false" outlineLevel="0" collapsed="false">
      <c r="A2914" s="0" t="s">
        <v>740</v>
      </c>
      <c r="B2914" s="0" t="s">
        <v>4226</v>
      </c>
      <c r="C2914" s="0" t="s">
        <v>4227</v>
      </c>
      <c r="D2914" s="0" t="s">
        <v>98</v>
      </c>
      <c r="E2914" s="0" t="s">
        <v>4181</v>
      </c>
    </row>
    <row r="2915" customFormat="false" ht="15" hidden="false" customHeight="false" outlineLevel="0" collapsed="false">
      <c r="A2915" s="0" t="s">
        <v>740</v>
      </c>
      <c r="B2915" s="0" t="s">
        <v>4228</v>
      </c>
      <c r="C2915" s="0" t="s">
        <v>4229</v>
      </c>
      <c r="D2915" s="0" t="s">
        <v>98</v>
      </c>
      <c r="E2915" s="0" t="s">
        <v>4181</v>
      </c>
    </row>
    <row r="2916" customFormat="false" ht="15" hidden="false" customHeight="false" outlineLevel="0" collapsed="false">
      <c r="A2916" s="0" t="s">
        <v>740</v>
      </c>
      <c r="B2916" s="0" t="s">
        <v>4230</v>
      </c>
      <c r="C2916" s="0" t="s">
        <v>4231</v>
      </c>
      <c r="D2916" s="0" t="s">
        <v>98</v>
      </c>
      <c r="E2916" s="0" t="s">
        <v>4181</v>
      </c>
    </row>
    <row r="2917" customFormat="false" ht="15" hidden="false" customHeight="false" outlineLevel="0" collapsed="false">
      <c r="A2917" s="0" t="s">
        <v>740</v>
      </c>
      <c r="B2917" s="0" t="s">
        <v>4232</v>
      </c>
      <c r="C2917" s="0" t="s">
        <v>4233</v>
      </c>
      <c r="D2917" s="0" t="s">
        <v>98</v>
      </c>
      <c r="E2917" s="0" t="s">
        <v>4181</v>
      </c>
    </row>
    <row r="2918" customFormat="false" ht="15" hidden="false" customHeight="false" outlineLevel="0" collapsed="false">
      <c r="A2918" s="0" t="s">
        <v>740</v>
      </c>
      <c r="B2918" s="0" t="s">
        <v>4234</v>
      </c>
      <c r="C2918" s="0" t="s">
        <v>4235</v>
      </c>
      <c r="D2918" s="0" t="s">
        <v>98</v>
      </c>
      <c r="E2918" s="0" t="s">
        <v>4181</v>
      </c>
    </row>
    <row r="2919" customFormat="false" ht="15" hidden="false" customHeight="false" outlineLevel="0" collapsed="false">
      <c r="A2919" s="0" t="s">
        <v>740</v>
      </c>
      <c r="B2919" s="0" t="s">
        <v>4236</v>
      </c>
      <c r="C2919" s="0" t="s">
        <v>1159</v>
      </c>
      <c r="D2919" s="0" t="s">
        <v>86</v>
      </c>
      <c r="E2919" s="0" t="s">
        <v>4237</v>
      </c>
    </row>
    <row r="2920" customFormat="false" ht="15" hidden="false" customHeight="false" outlineLevel="0" collapsed="false">
      <c r="A2920" s="0" t="s">
        <v>740</v>
      </c>
      <c r="B2920" s="0" t="s">
        <v>4238</v>
      </c>
      <c r="C2920" s="0" t="s">
        <v>4239</v>
      </c>
      <c r="D2920" s="0" t="s">
        <v>86</v>
      </c>
      <c r="E2920" s="0" t="s">
        <v>4240</v>
      </c>
    </row>
    <row r="2921" customFormat="false" ht="15" hidden="false" customHeight="false" outlineLevel="0" collapsed="false">
      <c r="A2921" s="0" t="s">
        <v>740</v>
      </c>
      <c r="B2921" s="0" t="s">
        <v>4241</v>
      </c>
      <c r="C2921" s="0" t="s">
        <v>947</v>
      </c>
      <c r="D2921" s="0" t="s">
        <v>4242</v>
      </c>
      <c r="E2921" s="0" t="s">
        <v>4243</v>
      </c>
    </row>
    <row r="2922" customFormat="false" ht="15" hidden="false" customHeight="false" outlineLevel="0" collapsed="false">
      <c r="A2922" s="0" t="s">
        <v>740</v>
      </c>
      <c r="B2922" s="0" t="s">
        <v>4244</v>
      </c>
      <c r="C2922" s="0" t="s">
        <v>4245</v>
      </c>
      <c r="D2922" s="0" t="s">
        <v>98</v>
      </c>
      <c r="E2922" s="0" t="s">
        <v>4246</v>
      </c>
    </row>
    <row r="2923" customFormat="false" ht="15" hidden="false" customHeight="false" outlineLevel="0" collapsed="false">
      <c r="A2923" s="0" t="s">
        <v>740</v>
      </c>
      <c r="B2923" s="0" t="s">
        <v>4247</v>
      </c>
      <c r="C2923" s="0" t="s">
        <v>4248</v>
      </c>
      <c r="D2923" s="0" t="s">
        <v>98</v>
      </c>
      <c r="E2923" s="0" t="s">
        <v>4249</v>
      </c>
    </row>
    <row r="2924" customFormat="false" ht="15" hidden="false" customHeight="false" outlineLevel="0" collapsed="false">
      <c r="A2924" s="0" t="s">
        <v>740</v>
      </c>
      <c r="B2924" s="0" t="s">
        <v>4250</v>
      </c>
      <c r="C2924" s="0" t="s">
        <v>4251</v>
      </c>
      <c r="D2924" s="0" t="s">
        <v>98</v>
      </c>
      <c r="E2924" s="0" t="s">
        <v>4249</v>
      </c>
    </row>
    <row r="2925" customFormat="false" ht="15" hidden="false" customHeight="false" outlineLevel="0" collapsed="false">
      <c r="A2925" s="0" t="s">
        <v>740</v>
      </c>
      <c r="B2925" s="0" t="s">
        <v>4252</v>
      </c>
      <c r="C2925" s="0" t="s">
        <v>4253</v>
      </c>
      <c r="D2925" s="0" t="s">
        <v>98</v>
      </c>
      <c r="E2925" s="0" t="s">
        <v>4249</v>
      </c>
    </row>
    <row r="2926" customFormat="false" ht="15" hidden="false" customHeight="false" outlineLevel="0" collapsed="false">
      <c r="A2926" s="0" t="s">
        <v>740</v>
      </c>
      <c r="B2926" s="0" t="s">
        <v>4254</v>
      </c>
      <c r="C2926" s="0" t="s">
        <v>4255</v>
      </c>
      <c r="D2926" s="0" t="s">
        <v>98</v>
      </c>
      <c r="E2926" s="0" t="s">
        <v>4249</v>
      </c>
    </row>
    <row r="2927" customFormat="false" ht="15" hidden="false" customHeight="false" outlineLevel="0" collapsed="false">
      <c r="A2927" s="0" t="s">
        <v>740</v>
      </c>
      <c r="B2927" s="0" t="s">
        <v>4256</v>
      </c>
      <c r="C2927" s="0" t="s">
        <v>4257</v>
      </c>
      <c r="D2927" s="0" t="s">
        <v>98</v>
      </c>
      <c r="E2927" s="0" t="s">
        <v>4258</v>
      </c>
    </row>
    <row r="2928" customFormat="false" ht="15" hidden="false" customHeight="false" outlineLevel="0" collapsed="false">
      <c r="A2928" s="0" t="s">
        <v>740</v>
      </c>
      <c r="B2928" s="0" t="s">
        <v>4259</v>
      </c>
      <c r="C2928" s="0" t="s">
        <v>4260</v>
      </c>
      <c r="D2928" s="0" t="s">
        <v>98</v>
      </c>
      <c r="E2928" s="0" t="s">
        <v>4258</v>
      </c>
    </row>
    <row r="2929" customFormat="false" ht="15" hidden="false" customHeight="false" outlineLevel="0" collapsed="false">
      <c r="A2929" s="0" t="s">
        <v>740</v>
      </c>
      <c r="B2929" s="0" t="s">
        <v>4261</v>
      </c>
      <c r="C2929" s="0" t="s">
        <v>4262</v>
      </c>
      <c r="D2929" s="0" t="s">
        <v>98</v>
      </c>
      <c r="E2929" s="0" t="s">
        <v>4258</v>
      </c>
    </row>
    <row r="2930" customFormat="false" ht="15" hidden="false" customHeight="false" outlineLevel="0" collapsed="false">
      <c r="A2930" s="0" t="s">
        <v>740</v>
      </c>
      <c r="B2930" s="0" t="s">
        <v>4263</v>
      </c>
      <c r="C2930" s="0" t="s">
        <v>4264</v>
      </c>
      <c r="D2930" s="0" t="s">
        <v>98</v>
      </c>
      <c r="E2930" s="0" t="s">
        <v>4258</v>
      </c>
    </row>
    <row r="2931" customFormat="false" ht="15" hidden="false" customHeight="false" outlineLevel="0" collapsed="false">
      <c r="A2931" s="0" t="s">
        <v>740</v>
      </c>
      <c r="B2931" s="0" t="s">
        <v>4265</v>
      </c>
      <c r="C2931" s="0" t="s">
        <v>4266</v>
      </c>
      <c r="D2931" s="0" t="s">
        <v>98</v>
      </c>
      <c r="E2931" s="0" t="s">
        <v>4258</v>
      </c>
    </row>
    <row r="2932" customFormat="false" ht="15" hidden="false" customHeight="false" outlineLevel="0" collapsed="false">
      <c r="A2932" s="0" t="s">
        <v>740</v>
      </c>
      <c r="B2932" s="0" t="s">
        <v>4267</v>
      </c>
      <c r="C2932" s="0" t="s">
        <v>4268</v>
      </c>
      <c r="D2932" s="0" t="s">
        <v>98</v>
      </c>
      <c r="E2932" s="0" t="s">
        <v>4258</v>
      </c>
    </row>
    <row r="2933" customFormat="false" ht="15" hidden="false" customHeight="false" outlineLevel="0" collapsed="false">
      <c r="A2933" s="0" t="s">
        <v>740</v>
      </c>
      <c r="B2933" s="0" t="s">
        <v>4269</v>
      </c>
      <c r="C2933" s="0" t="s">
        <v>4270</v>
      </c>
      <c r="D2933" s="0" t="s">
        <v>98</v>
      </c>
      <c r="E2933" s="0" t="s">
        <v>4258</v>
      </c>
    </row>
    <row r="2934" customFormat="false" ht="15" hidden="false" customHeight="false" outlineLevel="0" collapsed="false">
      <c r="A2934" s="0" t="s">
        <v>740</v>
      </c>
      <c r="B2934" s="0" t="s">
        <v>4271</v>
      </c>
      <c r="C2934" s="0" t="s">
        <v>4272</v>
      </c>
      <c r="D2934" s="0" t="s">
        <v>98</v>
      </c>
      <c r="E2934" s="0" t="s">
        <v>4258</v>
      </c>
    </row>
    <row r="2935" customFormat="false" ht="15" hidden="false" customHeight="false" outlineLevel="0" collapsed="false">
      <c r="A2935" s="0" t="s">
        <v>740</v>
      </c>
      <c r="B2935" s="0" t="s">
        <v>4273</v>
      </c>
      <c r="C2935" s="0" t="s">
        <v>4274</v>
      </c>
      <c r="D2935" s="0" t="s">
        <v>98</v>
      </c>
      <c r="E2935" s="0" t="s">
        <v>4258</v>
      </c>
    </row>
    <row r="2936" customFormat="false" ht="15" hidden="false" customHeight="false" outlineLevel="0" collapsed="false">
      <c r="A2936" s="0" t="s">
        <v>740</v>
      </c>
      <c r="B2936" s="0" t="s">
        <v>4275</v>
      </c>
      <c r="C2936" s="0" t="s">
        <v>4276</v>
      </c>
      <c r="D2936" s="0" t="s">
        <v>98</v>
      </c>
      <c r="E2936" s="0" t="s">
        <v>4258</v>
      </c>
    </row>
    <row r="2937" customFormat="false" ht="15" hidden="false" customHeight="false" outlineLevel="0" collapsed="false">
      <c r="A2937" s="0" t="s">
        <v>740</v>
      </c>
      <c r="B2937" s="0" t="s">
        <v>4277</v>
      </c>
      <c r="C2937" s="0" t="s">
        <v>4278</v>
      </c>
      <c r="D2937" s="0" t="s">
        <v>98</v>
      </c>
      <c r="E2937" s="0" t="s">
        <v>4258</v>
      </c>
    </row>
    <row r="2938" customFormat="false" ht="15" hidden="false" customHeight="false" outlineLevel="0" collapsed="false">
      <c r="A2938" s="0" t="s">
        <v>740</v>
      </c>
      <c r="B2938" s="0" t="s">
        <v>4279</v>
      </c>
      <c r="C2938" s="0" t="s">
        <v>4280</v>
      </c>
      <c r="D2938" s="0" t="s">
        <v>98</v>
      </c>
      <c r="E2938" s="0" t="s">
        <v>4258</v>
      </c>
    </row>
    <row r="2939" customFormat="false" ht="15" hidden="false" customHeight="false" outlineLevel="0" collapsed="false">
      <c r="A2939" s="0" t="s">
        <v>740</v>
      </c>
      <c r="B2939" s="0" t="s">
        <v>4281</v>
      </c>
      <c r="C2939" s="0" t="s">
        <v>4282</v>
      </c>
      <c r="D2939" s="0" t="s">
        <v>98</v>
      </c>
      <c r="E2939" s="0" t="s">
        <v>4258</v>
      </c>
    </row>
    <row r="2940" customFormat="false" ht="15" hidden="false" customHeight="false" outlineLevel="0" collapsed="false">
      <c r="A2940" s="0" t="s">
        <v>740</v>
      </c>
      <c r="B2940" s="0" t="s">
        <v>4283</v>
      </c>
      <c r="C2940" s="0" t="s">
        <v>4284</v>
      </c>
      <c r="D2940" s="0" t="s">
        <v>98</v>
      </c>
      <c r="E2940" s="0" t="s">
        <v>4258</v>
      </c>
    </row>
    <row r="2941" customFormat="false" ht="15" hidden="false" customHeight="false" outlineLevel="0" collapsed="false">
      <c r="A2941" s="0" t="s">
        <v>740</v>
      </c>
      <c r="B2941" s="0" t="s">
        <v>4285</v>
      </c>
      <c r="C2941" s="0" t="s">
        <v>4286</v>
      </c>
      <c r="D2941" s="0" t="s">
        <v>98</v>
      </c>
      <c r="E2941" s="0" t="s">
        <v>4258</v>
      </c>
    </row>
    <row r="2942" customFormat="false" ht="15" hidden="false" customHeight="false" outlineLevel="0" collapsed="false">
      <c r="A2942" s="0" t="s">
        <v>740</v>
      </c>
      <c r="B2942" s="0" t="s">
        <v>4287</v>
      </c>
      <c r="C2942" s="0" t="s">
        <v>4288</v>
      </c>
      <c r="D2942" s="0" t="s">
        <v>98</v>
      </c>
      <c r="E2942" s="0" t="s">
        <v>4258</v>
      </c>
    </row>
    <row r="2943" customFormat="false" ht="15" hidden="false" customHeight="false" outlineLevel="0" collapsed="false">
      <c r="A2943" s="0" t="s">
        <v>740</v>
      </c>
      <c r="B2943" s="0" t="s">
        <v>4289</v>
      </c>
      <c r="C2943" s="0" t="s">
        <v>4290</v>
      </c>
      <c r="D2943" s="0" t="s">
        <v>98</v>
      </c>
      <c r="E2943" s="0" t="s">
        <v>4258</v>
      </c>
    </row>
    <row r="2944" customFormat="false" ht="15" hidden="false" customHeight="false" outlineLevel="0" collapsed="false">
      <c r="A2944" s="0" t="s">
        <v>740</v>
      </c>
      <c r="B2944" s="0" t="s">
        <v>4291</v>
      </c>
      <c r="C2944" s="0" t="s">
        <v>4292</v>
      </c>
      <c r="D2944" s="0" t="s">
        <v>98</v>
      </c>
      <c r="E2944" s="0" t="s">
        <v>4258</v>
      </c>
    </row>
    <row r="2945" customFormat="false" ht="15" hidden="false" customHeight="false" outlineLevel="0" collapsed="false">
      <c r="A2945" s="0" t="s">
        <v>740</v>
      </c>
      <c r="B2945" s="0" t="s">
        <v>4293</v>
      </c>
      <c r="C2945" s="0" t="s">
        <v>4294</v>
      </c>
      <c r="D2945" s="0" t="s">
        <v>98</v>
      </c>
      <c r="E2945" s="0" t="s">
        <v>4258</v>
      </c>
    </row>
    <row r="2946" customFormat="false" ht="15" hidden="false" customHeight="false" outlineLevel="0" collapsed="false">
      <c r="A2946" s="0" t="s">
        <v>740</v>
      </c>
      <c r="B2946" s="0" t="s">
        <v>4295</v>
      </c>
      <c r="C2946" s="0" t="s">
        <v>4296</v>
      </c>
      <c r="D2946" s="0" t="s">
        <v>98</v>
      </c>
      <c r="E2946" s="0" t="s">
        <v>4258</v>
      </c>
    </row>
    <row r="2947" customFormat="false" ht="15" hidden="false" customHeight="false" outlineLevel="0" collapsed="false">
      <c r="A2947" s="0" t="s">
        <v>740</v>
      </c>
      <c r="B2947" s="0" t="s">
        <v>4297</v>
      </c>
      <c r="C2947" s="0" t="s">
        <v>4298</v>
      </c>
      <c r="D2947" s="0" t="s">
        <v>98</v>
      </c>
      <c r="E2947" s="0" t="s">
        <v>4258</v>
      </c>
    </row>
    <row r="2948" customFormat="false" ht="15" hidden="false" customHeight="false" outlineLevel="0" collapsed="false">
      <c r="A2948" s="0" t="s">
        <v>740</v>
      </c>
      <c r="B2948" s="0" t="s">
        <v>4299</v>
      </c>
      <c r="C2948" s="0" t="s">
        <v>4300</v>
      </c>
      <c r="D2948" s="0" t="s">
        <v>98</v>
      </c>
      <c r="E2948" s="0" t="s">
        <v>4258</v>
      </c>
    </row>
    <row r="2949" customFormat="false" ht="15" hidden="false" customHeight="false" outlineLevel="0" collapsed="false">
      <c r="A2949" s="0" t="s">
        <v>740</v>
      </c>
      <c r="B2949" s="0" t="s">
        <v>4301</v>
      </c>
      <c r="C2949" s="0" t="s">
        <v>4302</v>
      </c>
      <c r="D2949" s="0" t="s">
        <v>98</v>
      </c>
      <c r="E2949" s="0" t="s">
        <v>4258</v>
      </c>
    </row>
    <row r="2950" customFormat="false" ht="15" hidden="false" customHeight="false" outlineLevel="0" collapsed="false">
      <c r="A2950" s="0" t="s">
        <v>740</v>
      </c>
      <c r="B2950" s="0" t="s">
        <v>4303</v>
      </c>
      <c r="C2950" s="0" t="s">
        <v>4304</v>
      </c>
      <c r="D2950" s="0" t="s">
        <v>98</v>
      </c>
      <c r="E2950" s="0" t="s">
        <v>4258</v>
      </c>
    </row>
    <row r="2951" customFormat="false" ht="15" hidden="false" customHeight="false" outlineLevel="0" collapsed="false">
      <c r="A2951" s="0" t="s">
        <v>740</v>
      </c>
      <c r="B2951" s="0" t="s">
        <v>4305</v>
      </c>
      <c r="C2951" s="0" t="s">
        <v>4306</v>
      </c>
      <c r="D2951" s="0" t="s">
        <v>98</v>
      </c>
      <c r="E2951" s="0" t="s">
        <v>4258</v>
      </c>
    </row>
    <row r="2952" customFormat="false" ht="15" hidden="false" customHeight="false" outlineLevel="0" collapsed="false">
      <c r="A2952" s="0" t="s">
        <v>740</v>
      </c>
      <c r="B2952" s="0" t="s">
        <v>4307</v>
      </c>
      <c r="C2952" s="0" t="s">
        <v>4308</v>
      </c>
      <c r="D2952" s="0" t="s">
        <v>98</v>
      </c>
      <c r="E2952" s="0" t="s">
        <v>4258</v>
      </c>
    </row>
    <row r="2953" customFormat="false" ht="15" hidden="false" customHeight="false" outlineLevel="0" collapsed="false">
      <c r="A2953" s="0" t="s">
        <v>740</v>
      </c>
      <c r="B2953" s="0" t="s">
        <v>4309</v>
      </c>
      <c r="C2953" s="0" t="s">
        <v>4310</v>
      </c>
      <c r="D2953" s="0" t="s">
        <v>98</v>
      </c>
      <c r="E2953" s="0" t="s">
        <v>4258</v>
      </c>
    </row>
    <row r="2954" customFormat="false" ht="15" hidden="false" customHeight="false" outlineLevel="0" collapsed="false">
      <c r="A2954" s="0" t="s">
        <v>740</v>
      </c>
      <c r="B2954" s="0" t="s">
        <v>4311</v>
      </c>
      <c r="C2954" s="0" t="s">
        <v>4312</v>
      </c>
      <c r="D2954" s="0" t="s">
        <v>98</v>
      </c>
      <c r="E2954" s="0" t="s">
        <v>4258</v>
      </c>
    </row>
    <row r="2955" customFormat="false" ht="15" hidden="false" customHeight="false" outlineLevel="0" collapsed="false">
      <c r="A2955" s="0" t="s">
        <v>740</v>
      </c>
      <c r="B2955" s="0" t="s">
        <v>4313</v>
      </c>
      <c r="C2955" s="0" t="s">
        <v>4314</v>
      </c>
      <c r="D2955" s="0" t="s">
        <v>86</v>
      </c>
      <c r="E2955" s="0" t="s">
        <v>4315</v>
      </c>
    </row>
    <row r="2956" customFormat="false" ht="15" hidden="false" customHeight="false" outlineLevel="0" collapsed="false">
      <c r="A2956" s="0" t="s">
        <v>740</v>
      </c>
      <c r="B2956" s="0" t="s">
        <v>4316</v>
      </c>
      <c r="C2956" s="0" t="s">
        <v>4317</v>
      </c>
      <c r="D2956" s="0" t="s">
        <v>86</v>
      </c>
      <c r="E2956" s="0" t="s">
        <v>4318</v>
      </c>
    </row>
    <row r="2957" customFormat="false" ht="15" hidden="false" customHeight="false" outlineLevel="0" collapsed="false">
      <c r="A2957" s="0" t="s">
        <v>740</v>
      </c>
      <c r="B2957" s="0" t="s">
        <v>4319</v>
      </c>
      <c r="C2957" s="0" t="s">
        <v>4320</v>
      </c>
      <c r="D2957" s="0" t="s">
        <v>4321</v>
      </c>
      <c r="E2957" s="0" t="s">
        <v>4322</v>
      </c>
    </row>
    <row r="2958" customFormat="false" ht="15" hidden="false" customHeight="false" outlineLevel="0" collapsed="false">
      <c r="A2958" s="0" t="s">
        <v>740</v>
      </c>
      <c r="B2958" s="0" t="s">
        <v>4323</v>
      </c>
      <c r="C2958" s="0" t="s">
        <v>4324</v>
      </c>
      <c r="D2958" s="0" t="s">
        <v>98</v>
      </c>
      <c r="E2958" s="0" t="s">
        <v>4325</v>
      </c>
    </row>
    <row r="2959" customFormat="false" ht="15" hidden="false" customHeight="false" outlineLevel="0" collapsed="false">
      <c r="A2959" s="0" t="s">
        <v>740</v>
      </c>
      <c r="B2959" s="0" t="s">
        <v>4326</v>
      </c>
      <c r="C2959" s="0" t="s">
        <v>4327</v>
      </c>
      <c r="D2959" s="0" t="s">
        <v>98</v>
      </c>
      <c r="E2959" s="0" t="s">
        <v>4325</v>
      </c>
    </row>
    <row r="2960" customFormat="false" ht="15" hidden="false" customHeight="false" outlineLevel="0" collapsed="false">
      <c r="A2960" s="0" t="s">
        <v>740</v>
      </c>
      <c r="B2960" s="0" t="s">
        <v>4328</v>
      </c>
      <c r="C2960" s="0" t="s">
        <v>4329</v>
      </c>
      <c r="D2960" s="0" t="s">
        <v>98</v>
      </c>
      <c r="E2960" s="0" t="s">
        <v>4325</v>
      </c>
    </row>
    <row r="2961" customFormat="false" ht="15" hidden="false" customHeight="false" outlineLevel="0" collapsed="false">
      <c r="A2961" s="0" t="s">
        <v>505</v>
      </c>
      <c r="B2961" s="0" t="s">
        <v>4330</v>
      </c>
      <c r="C2961" s="0" t="s">
        <v>4331</v>
      </c>
      <c r="D2961" s="0" t="s">
        <v>98</v>
      </c>
      <c r="E2961" s="0" t="s">
        <v>4332</v>
      </c>
    </row>
    <row r="2962" customFormat="false" ht="15" hidden="false" customHeight="false" outlineLevel="0" collapsed="false">
      <c r="A2962" s="0" t="s">
        <v>505</v>
      </c>
      <c r="B2962" s="0" t="s">
        <v>4333</v>
      </c>
      <c r="C2962" s="0" t="s">
        <v>4334</v>
      </c>
      <c r="D2962" s="0" t="s">
        <v>98</v>
      </c>
      <c r="E2962" s="0" t="s">
        <v>4332</v>
      </c>
    </row>
    <row r="2963" customFormat="false" ht="15" hidden="false" customHeight="false" outlineLevel="0" collapsed="false">
      <c r="A2963" s="0" t="s">
        <v>505</v>
      </c>
      <c r="B2963" s="0" t="s">
        <v>4335</v>
      </c>
      <c r="C2963" s="0" t="s">
        <v>4336</v>
      </c>
      <c r="D2963" s="0" t="s">
        <v>98</v>
      </c>
      <c r="E2963" s="0" t="s">
        <v>4332</v>
      </c>
    </row>
    <row r="2964" customFormat="false" ht="15" hidden="false" customHeight="false" outlineLevel="0" collapsed="false">
      <c r="A2964" s="0" t="s">
        <v>505</v>
      </c>
      <c r="B2964" s="0" t="s">
        <v>741</v>
      </c>
      <c r="C2964" s="0" t="s">
        <v>4337</v>
      </c>
      <c r="D2964" s="0" t="s">
        <v>98</v>
      </c>
      <c r="E2964" s="0" t="s">
        <v>4332</v>
      </c>
    </row>
    <row r="2965" customFormat="false" ht="15" hidden="false" customHeight="false" outlineLevel="0" collapsed="false">
      <c r="A2965" s="0" t="s">
        <v>505</v>
      </c>
      <c r="B2965" s="0" t="s">
        <v>742</v>
      </c>
      <c r="C2965" s="0" t="s">
        <v>4338</v>
      </c>
      <c r="D2965" s="0" t="s">
        <v>98</v>
      </c>
      <c r="E2965" s="0" t="s">
        <v>4332</v>
      </c>
    </row>
    <row r="2966" customFormat="false" ht="15" hidden="false" customHeight="false" outlineLevel="0" collapsed="false">
      <c r="A2966" s="0" t="s">
        <v>505</v>
      </c>
      <c r="B2966" s="0" t="s">
        <v>743</v>
      </c>
      <c r="C2966" s="0" t="s">
        <v>4339</v>
      </c>
      <c r="D2966" s="0" t="s">
        <v>98</v>
      </c>
      <c r="E2966" s="0" t="s">
        <v>4332</v>
      </c>
    </row>
    <row r="2967" customFormat="false" ht="15" hidden="false" customHeight="false" outlineLevel="0" collapsed="false">
      <c r="A2967" s="0" t="s">
        <v>505</v>
      </c>
      <c r="B2967" s="0" t="s">
        <v>766</v>
      </c>
      <c r="C2967" s="0" t="s">
        <v>4340</v>
      </c>
      <c r="D2967" s="0" t="s">
        <v>98</v>
      </c>
      <c r="E2967" s="0" t="s">
        <v>4332</v>
      </c>
    </row>
    <row r="2968" customFormat="false" ht="15" hidden="false" customHeight="false" outlineLevel="0" collapsed="false">
      <c r="A2968" s="0" t="s">
        <v>505</v>
      </c>
      <c r="B2968" s="0" t="s">
        <v>769</v>
      </c>
      <c r="C2968" s="0" t="s">
        <v>4341</v>
      </c>
      <c r="D2968" s="0" t="s">
        <v>98</v>
      </c>
      <c r="E2968" s="0" t="s">
        <v>4332</v>
      </c>
    </row>
    <row r="2969" customFormat="false" ht="15" hidden="false" customHeight="false" outlineLevel="0" collapsed="false">
      <c r="A2969" s="0" t="s">
        <v>505</v>
      </c>
      <c r="B2969" s="0" t="s">
        <v>772</v>
      </c>
      <c r="C2969" s="0" t="s">
        <v>4342</v>
      </c>
      <c r="D2969" s="0" t="s">
        <v>98</v>
      </c>
      <c r="E2969" s="0" t="s">
        <v>4332</v>
      </c>
    </row>
    <row r="2970" customFormat="false" ht="15" hidden="false" customHeight="false" outlineLevel="0" collapsed="false">
      <c r="A2970" s="0" t="s">
        <v>505</v>
      </c>
      <c r="B2970" s="0" t="s">
        <v>802</v>
      </c>
      <c r="C2970" s="0" t="s">
        <v>4343</v>
      </c>
      <c r="D2970" s="0" t="s">
        <v>98</v>
      </c>
      <c r="E2970" s="0" t="s">
        <v>4332</v>
      </c>
    </row>
    <row r="2971" customFormat="false" ht="15" hidden="false" customHeight="false" outlineLevel="0" collapsed="false">
      <c r="A2971" s="0" t="s">
        <v>505</v>
      </c>
      <c r="B2971" s="0" t="s">
        <v>804</v>
      </c>
      <c r="C2971" s="0" t="s">
        <v>4344</v>
      </c>
      <c r="D2971" s="0" t="s">
        <v>98</v>
      </c>
      <c r="E2971" s="0" t="s">
        <v>4332</v>
      </c>
    </row>
    <row r="2972" customFormat="false" ht="15" hidden="false" customHeight="false" outlineLevel="0" collapsed="false">
      <c r="A2972" s="0" t="s">
        <v>505</v>
      </c>
      <c r="B2972" s="0" t="s">
        <v>805</v>
      </c>
      <c r="C2972" s="0" t="s">
        <v>4345</v>
      </c>
      <c r="D2972" s="0" t="s">
        <v>98</v>
      </c>
      <c r="E2972" s="0" t="s">
        <v>4332</v>
      </c>
    </row>
    <row r="2973" customFormat="false" ht="15" hidden="false" customHeight="false" outlineLevel="0" collapsed="false">
      <c r="A2973" s="0" t="s">
        <v>505</v>
      </c>
      <c r="B2973" s="0" t="s">
        <v>834</v>
      </c>
      <c r="C2973" s="0" t="s">
        <v>4346</v>
      </c>
      <c r="D2973" s="0" t="s">
        <v>98</v>
      </c>
      <c r="E2973" s="0" t="s">
        <v>4332</v>
      </c>
    </row>
    <row r="2974" customFormat="false" ht="15" hidden="false" customHeight="false" outlineLevel="0" collapsed="false">
      <c r="A2974" s="0" t="s">
        <v>505</v>
      </c>
      <c r="B2974" s="0" t="s">
        <v>836</v>
      </c>
      <c r="C2974" s="0" t="s">
        <v>4347</v>
      </c>
      <c r="D2974" s="0" t="s">
        <v>98</v>
      </c>
      <c r="E2974" s="0" t="s">
        <v>4332</v>
      </c>
    </row>
    <row r="2975" customFormat="false" ht="15" hidden="false" customHeight="false" outlineLevel="0" collapsed="false">
      <c r="A2975" s="0" t="s">
        <v>505</v>
      </c>
      <c r="B2975" s="0" t="s">
        <v>838</v>
      </c>
      <c r="C2975" s="0" t="s">
        <v>4348</v>
      </c>
      <c r="D2975" s="0" t="s">
        <v>98</v>
      </c>
      <c r="E2975" s="0" t="s">
        <v>4332</v>
      </c>
    </row>
    <row r="2976" customFormat="false" ht="15" hidden="false" customHeight="false" outlineLevel="0" collapsed="false">
      <c r="A2976" s="0" t="s">
        <v>505</v>
      </c>
      <c r="B2976" s="0" t="s">
        <v>4349</v>
      </c>
      <c r="C2976" s="0" t="s">
        <v>4350</v>
      </c>
      <c r="D2976" s="0" t="s">
        <v>98</v>
      </c>
      <c r="E2976" s="0" t="s">
        <v>4332</v>
      </c>
    </row>
    <row r="2977" customFormat="false" ht="15" hidden="false" customHeight="false" outlineLevel="0" collapsed="false">
      <c r="A2977" s="0" t="s">
        <v>505</v>
      </c>
      <c r="B2977" s="0" t="s">
        <v>4351</v>
      </c>
      <c r="C2977" s="0" t="s">
        <v>4352</v>
      </c>
      <c r="D2977" s="0" t="s">
        <v>98</v>
      </c>
      <c r="E2977" s="0" t="s">
        <v>4332</v>
      </c>
    </row>
    <row r="2978" customFormat="false" ht="15" hidden="false" customHeight="false" outlineLevel="0" collapsed="false">
      <c r="A2978" s="0" t="s">
        <v>505</v>
      </c>
      <c r="B2978" s="0" t="s">
        <v>4353</v>
      </c>
      <c r="C2978" s="0" t="s">
        <v>4354</v>
      </c>
      <c r="D2978" s="0" t="s">
        <v>98</v>
      </c>
      <c r="E2978" s="0" t="s">
        <v>4332</v>
      </c>
    </row>
    <row r="2979" customFormat="false" ht="15" hidden="false" customHeight="false" outlineLevel="0" collapsed="false">
      <c r="A2979" s="0" t="s">
        <v>505</v>
      </c>
      <c r="B2979" s="0" t="s">
        <v>877</v>
      </c>
      <c r="C2979" s="0" t="s">
        <v>4355</v>
      </c>
      <c r="D2979" s="0" t="s">
        <v>98</v>
      </c>
      <c r="E2979" s="0" t="s">
        <v>4332</v>
      </c>
    </row>
    <row r="2980" customFormat="false" ht="15" hidden="false" customHeight="false" outlineLevel="0" collapsed="false">
      <c r="A2980" s="0" t="s">
        <v>505</v>
      </c>
      <c r="B2980" s="0" t="s">
        <v>878</v>
      </c>
      <c r="C2980" s="0" t="s">
        <v>4356</v>
      </c>
      <c r="D2980" s="0" t="s">
        <v>98</v>
      </c>
      <c r="E2980" s="0" t="s">
        <v>4332</v>
      </c>
    </row>
    <row r="2981" customFormat="false" ht="15" hidden="false" customHeight="false" outlineLevel="0" collapsed="false">
      <c r="A2981" s="0" t="s">
        <v>505</v>
      </c>
      <c r="B2981" s="0" t="s">
        <v>879</v>
      </c>
      <c r="C2981" s="0" t="s">
        <v>4357</v>
      </c>
      <c r="D2981" s="0" t="s">
        <v>98</v>
      </c>
      <c r="E2981" s="0" t="s">
        <v>4332</v>
      </c>
    </row>
    <row r="2982" customFormat="false" ht="15" hidden="false" customHeight="false" outlineLevel="0" collapsed="false">
      <c r="A2982" s="0" t="s">
        <v>505</v>
      </c>
      <c r="B2982" s="0" t="s">
        <v>897</v>
      </c>
      <c r="C2982" s="0" t="s">
        <v>4358</v>
      </c>
      <c r="D2982" s="0" t="s">
        <v>98</v>
      </c>
      <c r="E2982" s="0" t="s">
        <v>4332</v>
      </c>
    </row>
    <row r="2983" customFormat="false" ht="15" hidden="false" customHeight="false" outlineLevel="0" collapsed="false">
      <c r="A2983" s="0" t="s">
        <v>505</v>
      </c>
      <c r="B2983" s="0" t="s">
        <v>898</v>
      </c>
      <c r="C2983" s="0" t="s">
        <v>4359</v>
      </c>
      <c r="D2983" s="0" t="s">
        <v>98</v>
      </c>
      <c r="E2983" s="0" t="s">
        <v>4332</v>
      </c>
    </row>
    <row r="2984" customFormat="false" ht="15" hidden="false" customHeight="false" outlineLevel="0" collapsed="false">
      <c r="A2984" s="0" t="s">
        <v>505</v>
      </c>
      <c r="B2984" s="0" t="s">
        <v>899</v>
      </c>
      <c r="C2984" s="0" t="s">
        <v>4360</v>
      </c>
      <c r="D2984" s="0" t="s">
        <v>98</v>
      </c>
      <c r="E2984" s="0" t="s">
        <v>4332</v>
      </c>
    </row>
    <row r="2985" customFormat="false" ht="15" hidden="false" customHeight="false" outlineLevel="0" collapsed="false">
      <c r="A2985" s="0" t="s">
        <v>505</v>
      </c>
      <c r="B2985" s="0" t="s">
        <v>929</v>
      </c>
      <c r="C2985" s="0" t="s">
        <v>4361</v>
      </c>
      <c r="D2985" s="0" t="s">
        <v>98</v>
      </c>
      <c r="E2985" s="0" t="s">
        <v>4332</v>
      </c>
    </row>
    <row r="2986" customFormat="false" ht="15" hidden="false" customHeight="false" outlineLevel="0" collapsed="false">
      <c r="A2986" s="0" t="s">
        <v>505</v>
      </c>
      <c r="B2986" s="0" t="s">
        <v>930</v>
      </c>
      <c r="C2986" s="0" t="s">
        <v>4362</v>
      </c>
      <c r="D2986" s="0" t="s">
        <v>98</v>
      </c>
      <c r="E2986" s="0" t="s">
        <v>4332</v>
      </c>
    </row>
    <row r="2987" customFormat="false" ht="15" hidden="false" customHeight="false" outlineLevel="0" collapsed="false">
      <c r="A2987" s="0" t="s">
        <v>505</v>
      </c>
      <c r="B2987" s="0" t="s">
        <v>931</v>
      </c>
      <c r="C2987" s="0" t="s">
        <v>4363</v>
      </c>
      <c r="D2987" s="0" t="s">
        <v>98</v>
      </c>
      <c r="E2987" s="0" t="s">
        <v>4332</v>
      </c>
    </row>
    <row r="2988" customFormat="false" ht="15" hidden="false" customHeight="false" outlineLevel="0" collapsed="false">
      <c r="A2988" s="0" t="s">
        <v>505</v>
      </c>
      <c r="B2988" s="0" t="s">
        <v>961</v>
      </c>
      <c r="C2988" s="0" t="s">
        <v>4364</v>
      </c>
      <c r="D2988" s="0" t="s">
        <v>98</v>
      </c>
      <c r="E2988" s="0" t="s">
        <v>4332</v>
      </c>
    </row>
    <row r="2989" customFormat="false" ht="15" hidden="false" customHeight="false" outlineLevel="0" collapsed="false">
      <c r="A2989" s="0" t="s">
        <v>505</v>
      </c>
      <c r="B2989" s="0" t="s">
        <v>963</v>
      </c>
      <c r="C2989" s="0" t="s">
        <v>4365</v>
      </c>
      <c r="D2989" s="0" t="s">
        <v>98</v>
      </c>
      <c r="E2989" s="0" t="s">
        <v>4332</v>
      </c>
    </row>
    <row r="2990" customFormat="false" ht="15" hidden="false" customHeight="false" outlineLevel="0" collapsed="false">
      <c r="A2990" s="0" t="s">
        <v>505</v>
      </c>
      <c r="B2990" s="0" t="s">
        <v>965</v>
      </c>
      <c r="C2990" s="0" t="s">
        <v>4366</v>
      </c>
      <c r="D2990" s="0" t="s">
        <v>98</v>
      </c>
      <c r="E2990" s="0" t="s">
        <v>4332</v>
      </c>
    </row>
    <row r="2991" customFormat="false" ht="15" hidden="false" customHeight="false" outlineLevel="0" collapsed="false">
      <c r="A2991" s="0" t="s">
        <v>505</v>
      </c>
      <c r="B2991" s="0" t="s">
        <v>4367</v>
      </c>
      <c r="C2991" s="0" t="s">
        <v>4368</v>
      </c>
      <c r="D2991" s="0" t="s">
        <v>98</v>
      </c>
      <c r="E2991" s="0" t="s">
        <v>4332</v>
      </c>
    </row>
    <row r="2992" customFormat="false" ht="15" hidden="false" customHeight="false" outlineLevel="0" collapsed="false">
      <c r="A2992" s="0" t="s">
        <v>505</v>
      </c>
      <c r="B2992" s="0" t="s">
        <v>4369</v>
      </c>
      <c r="C2992" s="0" t="s">
        <v>4370</v>
      </c>
      <c r="D2992" s="0" t="s">
        <v>98</v>
      </c>
      <c r="E2992" s="0" t="s">
        <v>4332</v>
      </c>
    </row>
    <row r="2993" customFormat="false" ht="15" hidden="false" customHeight="false" outlineLevel="0" collapsed="false">
      <c r="A2993" s="0" t="s">
        <v>505</v>
      </c>
      <c r="B2993" s="0" t="s">
        <v>1001</v>
      </c>
      <c r="C2993" s="0" t="s">
        <v>4371</v>
      </c>
      <c r="D2993" s="0" t="s">
        <v>98</v>
      </c>
      <c r="E2993" s="0" t="s">
        <v>4332</v>
      </c>
    </row>
    <row r="2994" customFormat="false" ht="15" hidden="false" customHeight="false" outlineLevel="0" collapsed="false">
      <c r="A2994" s="0" t="s">
        <v>505</v>
      </c>
      <c r="B2994" s="0" t="s">
        <v>4372</v>
      </c>
      <c r="C2994" s="0" t="s">
        <v>4373</v>
      </c>
      <c r="D2994" s="0" t="s">
        <v>98</v>
      </c>
      <c r="E2994" s="0" t="s">
        <v>4332</v>
      </c>
    </row>
    <row r="2995" customFormat="false" ht="15" hidden="false" customHeight="false" outlineLevel="0" collapsed="false">
      <c r="A2995" s="0" t="s">
        <v>505</v>
      </c>
      <c r="B2995" s="0" t="s">
        <v>1005</v>
      </c>
      <c r="C2995" s="0" t="s">
        <v>4374</v>
      </c>
      <c r="D2995" s="0" t="s">
        <v>98</v>
      </c>
      <c r="E2995" s="0" t="s">
        <v>4332</v>
      </c>
    </row>
    <row r="2996" customFormat="false" ht="15" hidden="false" customHeight="false" outlineLevel="0" collapsed="false">
      <c r="A2996" s="0" t="s">
        <v>505</v>
      </c>
      <c r="B2996" s="0" t="s">
        <v>1006</v>
      </c>
      <c r="C2996" s="0" t="s">
        <v>4375</v>
      </c>
      <c r="D2996" s="0" t="s">
        <v>98</v>
      </c>
      <c r="E2996" s="0" t="s">
        <v>4332</v>
      </c>
    </row>
    <row r="2997" customFormat="false" ht="15" hidden="false" customHeight="false" outlineLevel="0" collapsed="false">
      <c r="A2997" s="0" t="s">
        <v>505</v>
      </c>
      <c r="B2997" s="0" t="s">
        <v>1025</v>
      </c>
      <c r="C2997" s="0" t="s">
        <v>4376</v>
      </c>
      <c r="D2997" s="0" t="s">
        <v>98</v>
      </c>
      <c r="E2997" s="0" t="s">
        <v>4332</v>
      </c>
    </row>
    <row r="2998" customFormat="false" ht="15" hidden="false" customHeight="false" outlineLevel="0" collapsed="false">
      <c r="A2998" s="0" t="s">
        <v>505</v>
      </c>
      <c r="B2998" s="0" t="s">
        <v>1026</v>
      </c>
      <c r="C2998" s="0" t="s">
        <v>4377</v>
      </c>
      <c r="D2998" s="0" t="s">
        <v>98</v>
      </c>
      <c r="E2998" s="0" t="s">
        <v>4332</v>
      </c>
    </row>
    <row r="2999" customFormat="false" ht="15" hidden="false" customHeight="false" outlineLevel="0" collapsed="false">
      <c r="A2999" s="0" t="s">
        <v>505</v>
      </c>
      <c r="B2999" s="0" t="s">
        <v>1027</v>
      </c>
      <c r="C2999" s="0" t="s">
        <v>4378</v>
      </c>
      <c r="D2999" s="0" t="s">
        <v>98</v>
      </c>
      <c r="E2999" s="0" t="s">
        <v>4332</v>
      </c>
    </row>
    <row r="3000" customFormat="false" ht="15" hidden="false" customHeight="false" outlineLevel="0" collapsed="false">
      <c r="A3000" s="0" t="s">
        <v>505</v>
      </c>
      <c r="B3000" s="0" t="s">
        <v>1054</v>
      </c>
      <c r="C3000" s="0" t="s">
        <v>4379</v>
      </c>
      <c r="D3000" s="0" t="s">
        <v>98</v>
      </c>
      <c r="E3000" s="0" t="s">
        <v>4332</v>
      </c>
    </row>
    <row r="3001" customFormat="false" ht="15" hidden="false" customHeight="false" outlineLevel="0" collapsed="false">
      <c r="A3001" s="0" t="s">
        <v>505</v>
      </c>
      <c r="B3001" s="0" t="s">
        <v>1055</v>
      </c>
      <c r="C3001" s="0" t="s">
        <v>4380</v>
      </c>
      <c r="D3001" s="0" t="s">
        <v>98</v>
      </c>
      <c r="E3001" s="0" t="s">
        <v>4332</v>
      </c>
    </row>
    <row r="3002" customFormat="false" ht="15" hidden="false" customHeight="false" outlineLevel="0" collapsed="false">
      <c r="A3002" s="0" t="s">
        <v>505</v>
      </c>
      <c r="B3002" s="0" t="s">
        <v>1056</v>
      </c>
      <c r="C3002" s="0" t="s">
        <v>4381</v>
      </c>
      <c r="D3002" s="0" t="s">
        <v>98</v>
      </c>
      <c r="E3002" s="0" t="s">
        <v>4332</v>
      </c>
    </row>
    <row r="3003" customFormat="false" ht="15" hidden="false" customHeight="false" outlineLevel="0" collapsed="false">
      <c r="A3003" s="0" t="s">
        <v>505</v>
      </c>
      <c r="B3003" s="0" t="s">
        <v>1084</v>
      </c>
      <c r="C3003" s="0" t="s">
        <v>4382</v>
      </c>
      <c r="D3003" s="0" t="s">
        <v>98</v>
      </c>
      <c r="E3003" s="0" t="s">
        <v>4332</v>
      </c>
    </row>
    <row r="3004" customFormat="false" ht="15" hidden="false" customHeight="false" outlineLevel="0" collapsed="false">
      <c r="A3004" s="0" t="s">
        <v>505</v>
      </c>
      <c r="B3004" s="0" t="s">
        <v>1086</v>
      </c>
      <c r="C3004" s="0" t="s">
        <v>4383</v>
      </c>
      <c r="D3004" s="0" t="s">
        <v>98</v>
      </c>
      <c r="E3004" s="0" t="s">
        <v>4332</v>
      </c>
    </row>
    <row r="3005" customFormat="false" ht="15" hidden="false" customHeight="false" outlineLevel="0" collapsed="false">
      <c r="A3005" s="0" t="s">
        <v>505</v>
      </c>
      <c r="B3005" s="0" t="s">
        <v>1088</v>
      </c>
      <c r="C3005" s="0" t="s">
        <v>4384</v>
      </c>
      <c r="D3005" s="0" t="s">
        <v>98</v>
      </c>
      <c r="E3005" s="0" t="s">
        <v>4332</v>
      </c>
    </row>
    <row r="3006" customFormat="false" ht="15" hidden="false" customHeight="false" outlineLevel="0" collapsed="false">
      <c r="A3006" s="0" t="s">
        <v>505</v>
      </c>
      <c r="B3006" s="0" t="s">
        <v>4385</v>
      </c>
      <c r="C3006" s="0" t="s">
        <v>4386</v>
      </c>
      <c r="D3006" s="0" t="s">
        <v>98</v>
      </c>
      <c r="E3006" s="0" t="s">
        <v>4332</v>
      </c>
    </row>
    <row r="3007" customFormat="false" ht="15" hidden="false" customHeight="false" outlineLevel="0" collapsed="false">
      <c r="A3007" s="0" t="s">
        <v>505</v>
      </c>
      <c r="B3007" s="0" t="s">
        <v>4387</v>
      </c>
      <c r="C3007" s="0" t="s">
        <v>4388</v>
      </c>
      <c r="D3007" s="0" t="s">
        <v>98</v>
      </c>
      <c r="E3007" s="0" t="s">
        <v>4332</v>
      </c>
    </row>
    <row r="3008" customFormat="false" ht="15" hidden="false" customHeight="false" outlineLevel="0" collapsed="false">
      <c r="A3008" s="0" t="s">
        <v>505</v>
      </c>
      <c r="B3008" s="0" t="s">
        <v>4389</v>
      </c>
      <c r="C3008" s="0" t="s">
        <v>4390</v>
      </c>
      <c r="D3008" s="0" t="s">
        <v>98</v>
      </c>
      <c r="E3008" s="0" t="s">
        <v>4332</v>
      </c>
    </row>
    <row r="3009" customFormat="false" ht="15" hidden="false" customHeight="false" outlineLevel="0" collapsed="false">
      <c r="A3009" s="0" t="s">
        <v>505</v>
      </c>
      <c r="B3009" s="0" t="s">
        <v>1130</v>
      </c>
      <c r="C3009" s="0" t="s">
        <v>4391</v>
      </c>
      <c r="D3009" s="0" t="s">
        <v>98</v>
      </c>
      <c r="E3009" s="0" t="s">
        <v>4332</v>
      </c>
    </row>
    <row r="3010" customFormat="false" ht="15" hidden="false" customHeight="false" outlineLevel="0" collapsed="false">
      <c r="A3010" s="0" t="s">
        <v>505</v>
      </c>
      <c r="B3010" s="0" t="s">
        <v>1131</v>
      </c>
      <c r="C3010" s="0" t="s">
        <v>4392</v>
      </c>
      <c r="D3010" s="0" t="s">
        <v>98</v>
      </c>
      <c r="E3010" s="0" t="s">
        <v>4332</v>
      </c>
    </row>
    <row r="3011" customFormat="false" ht="15" hidden="false" customHeight="false" outlineLevel="0" collapsed="false">
      <c r="A3011" s="0" t="s">
        <v>505</v>
      </c>
      <c r="B3011" s="0" t="s">
        <v>1132</v>
      </c>
      <c r="C3011" s="0" t="s">
        <v>4393</v>
      </c>
      <c r="D3011" s="0" t="s">
        <v>98</v>
      </c>
      <c r="E3011" s="0" t="s">
        <v>4332</v>
      </c>
    </row>
    <row r="3012" customFormat="false" ht="15" hidden="false" customHeight="false" outlineLevel="0" collapsed="false">
      <c r="A3012" s="0" t="s">
        <v>505</v>
      </c>
      <c r="B3012" s="0" t="s">
        <v>1151</v>
      </c>
      <c r="C3012" s="0" t="s">
        <v>4394</v>
      </c>
      <c r="D3012" s="0" t="s">
        <v>98</v>
      </c>
      <c r="E3012" s="0" t="s">
        <v>4332</v>
      </c>
    </row>
    <row r="3013" customFormat="false" ht="15" hidden="false" customHeight="false" outlineLevel="0" collapsed="false">
      <c r="A3013" s="0" t="s">
        <v>505</v>
      </c>
      <c r="B3013" s="0" t="s">
        <v>1152</v>
      </c>
      <c r="C3013" s="0" t="s">
        <v>4395</v>
      </c>
      <c r="D3013" s="0" t="s">
        <v>98</v>
      </c>
      <c r="E3013" s="0" t="s">
        <v>4332</v>
      </c>
    </row>
    <row r="3014" customFormat="false" ht="15" hidden="false" customHeight="false" outlineLevel="0" collapsed="false">
      <c r="A3014" s="0" t="s">
        <v>505</v>
      </c>
      <c r="B3014" s="0" t="s">
        <v>1153</v>
      </c>
      <c r="C3014" s="0" t="s">
        <v>4396</v>
      </c>
      <c r="D3014" s="0" t="s">
        <v>98</v>
      </c>
      <c r="E3014" s="0" t="s">
        <v>4332</v>
      </c>
    </row>
    <row r="3015" customFormat="false" ht="15" hidden="false" customHeight="false" outlineLevel="0" collapsed="false">
      <c r="A3015" s="0" t="s">
        <v>505</v>
      </c>
      <c r="B3015" s="0" t="s">
        <v>1176</v>
      </c>
      <c r="C3015" s="0" t="s">
        <v>4397</v>
      </c>
      <c r="D3015" s="0" t="s">
        <v>98</v>
      </c>
      <c r="E3015" s="0" t="s">
        <v>4332</v>
      </c>
    </row>
    <row r="3016" customFormat="false" ht="15" hidden="false" customHeight="false" outlineLevel="0" collapsed="false">
      <c r="A3016" s="0" t="s">
        <v>505</v>
      </c>
      <c r="B3016" s="0" t="s">
        <v>1177</v>
      </c>
      <c r="C3016" s="0" t="s">
        <v>4398</v>
      </c>
      <c r="D3016" s="0" t="s">
        <v>98</v>
      </c>
      <c r="E3016" s="0" t="s">
        <v>4332</v>
      </c>
    </row>
    <row r="3017" customFormat="false" ht="15" hidden="false" customHeight="false" outlineLevel="0" collapsed="false">
      <c r="A3017" s="0" t="s">
        <v>505</v>
      </c>
      <c r="B3017" s="0" t="s">
        <v>1178</v>
      </c>
      <c r="C3017" s="0" t="s">
        <v>4399</v>
      </c>
      <c r="D3017" s="0" t="s">
        <v>98</v>
      </c>
      <c r="E3017" s="0" t="s">
        <v>4332</v>
      </c>
    </row>
    <row r="3018" customFormat="false" ht="15" hidden="false" customHeight="false" outlineLevel="0" collapsed="false">
      <c r="A3018" s="0" t="s">
        <v>505</v>
      </c>
      <c r="B3018" s="0" t="s">
        <v>1205</v>
      </c>
      <c r="C3018" s="0" t="s">
        <v>4400</v>
      </c>
      <c r="D3018" s="0" t="s">
        <v>98</v>
      </c>
      <c r="E3018" s="0" t="s">
        <v>4332</v>
      </c>
    </row>
    <row r="3019" customFormat="false" ht="15" hidden="false" customHeight="false" outlineLevel="0" collapsed="false">
      <c r="A3019" s="0" t="s">
        <v>505</v>
      </c>
      <c r="B3019" s="0" t="s">
        <v>1207</v>
      </c>
      <c r="C3019" s="0" t="s">
        <v>4401</v>
      </c>
      <c r="D3019" s="0" t="s">
        <v>98</v>
      </c>
      <c r="E3019" s="0" t="s">
        <v>4332</v>
      </c>
    </row>
    <row r="3020" customFormat="false" ht="15" hidden="false" customHeight="false" outlineLevel="0" collapsed="false">
      <c r="A3020" s="0" t="s">
        <v>505</v>
      </c>
      <c r="B3020" s="0" t="s">
        <v>1209</v>
      </c>
      <c r="C3020" s="0" t="s">
        <v>4402</v>
      </c>
      <c r="D3020" s="0" t="s">
        <v>98</v>
      </c>
      <c r="E3020" s="0" t="s">
        <v>4332</v>
      </c>
    </row>
    <row r="3021" customFormat="false" ht="15" hidden="false" customHeight="false" outlineLevel="0" collapsed="false">
      <c r="A3021" s="0" t="s">
        <v>505</v>
      </c>
      <c r="B3021" s="0" t="s">
        <v>4403</v>
      </c>
      <c r="C3021" s="0" t="s">
        <v>4404</v>
      </c>
      <c r="D3021" s="0" t="s">
        <v>98</v>
      </c>
      <c r="E3021" s="0" t="s">
        <v>4332</v>
      </c>
    </row>
    <row r="3022" customFormat="false" ht="15" hidden="false" customHeight="false" outlineLevel="0" collapsed="false">
      <c r="A3022" s="0" t="s">
        <v>505</v>
      </c>
      <c r="B3022" s="0" t="s">
        <v>4405</v>
      </c>
      <c r="C3022" s="0" t="s">
        <v>4406</v>
      </c>
      <c r="D3022" s="0" t="s">
        <v>98</v>
      </c>
      <c r="E3022" s="0" t="s">
        <v>4332</v>
      </c>
    </row>
    <row r="3023" customFormat="false" ht="15" hidden="false" customHeight="false" outlineLevel="0" collapsed="false">
      <c r="A3023" s="0" t="s">
        <v>505</v>
      </c>
      <c r="B3023" s="0" t="s">
        <v>4407</v>
      </c>
      <c r="C3023" s="0" t="s">
        <v>4408</v>
      </c>
      <c r="D3023" s="0" t="s">
        <v>98</v>
      </c>
      <c r="E3023" s="0" t="s">
        <v>4332</v>
      </c>
    </row>
    <row r="3024" customFormat="false" ht="15" hidden="false" customHeight="false" outlineLevel="0" collapsed="false">
      <c r="A3024" s="0" t="s">
        <v>505</v>
      </c>
      <c r="B3024" s="0" t="s">
        <v>1247</v>
      </c>
      <c r="C3024" s="0" t="s">
        <v>4409</v>
      </c>
      <c r="D3024" s="0" t="s">
        <v>98</v>
      </c>
      <c r="E3024" s="0" t="s">
        <v>4332</v>
      </c>
    </row>
    <row r="3025" customFormat="false" ht="15" hidden="false" customHeight="false" outlineLevel="0" collapsed="false">
      <c r="A3025" s="0" t="s">
        <v>505</v>
      </c>
      <c r="B3025" s="0" t="s">
        <v>1248</v>
      </c>
      <c r="C3025" s="0" t="s">
        <v>4410</v>
      </c>
      <c r="D3025" s="0" t="s">
        <v>98</v>
      </c>
      <c r="E3025" s="0" t="s">
        <v>4332</v>
      </c>
    </row>
    <row r="3026" customFormat="false" ht="15" hidden="false" customHeight="false" outlineLevel="0" collapsed="false">
      <c r="A3026" s="0" t="s">
        <v>505</v>
      </c>
      <c r="B3026" s="0" t="s">
        <v>1249</v>
      </c>
      <c r="C3026" s="0" t="s">
        <v>4411</v>
      </c>
      <c r="D3026" s="0" t="s">
        <v>98</v>
      </c>
      <c r="E3026" s="0" t="s">
        <v>4332</v>
      </c>
    </row>
    <row r="3027" customFormat="false" ht="15" hidden="false" customHeight="false" outlineLevel="0" collapsed="false">
      <c r="A3027" s="0" t="s">
        <v>505</v>
      </c>
      <c r="B3027" s="0" t="s">
        <v>1268</v>
      </c>
      <c r="C3027" s="0" t="s">
        <v>4412</v>
      </c>
      <c r="D3027" s="0" t="s">
        <v>98</v>
      </c>
      <c r="E3027" s="0" t="s">
        <v>4332</v>
      </c>
    </row>
    <row r="3028" customFormat="false" ht="15" hidden="false" customHeight="false" outlineLevel="0" collapsed="false">
      <c r="A3028" s="0" t="s">
        <v>505</v>
      </c>
      <c r="B3028" s="0" t="s">
        <v>1269</v>
      </c>
      <c r="C3028" s="0" t="s">
        <v>4413</v>
      </c>
      <c r="D3028" s="0" t="s">
        <v>98</v>
      </c>
      <c r="E3028" s="0" t="s">
        <v>4332</v>
      </c>
    </row>
    <row r="3029" customFormat="false" ht="15" hidden="false" customHeight="false" outlineLevel="0" collapsed="false">
      <c r="A3029" s="0" t="s">
        <v>505</v>
      </c>
      <c r="B3029" s="0" t="s">
        <v>1270</v>
      </c>
      <c r="C3029" s="0" t="s">
        <v>4414</v>
      </c>
      <c r="D3029" s="0" t="s">
        <v>98</v>
      </c>
      <c r="E3029" s="0" t="s">
        <v>4332</v>
      </c>
    </row>
    <row r="3030" customFormat="false" ht="15" hidden="false" customHeight="false" outlineLevel="0" collapsed="false">
      <c r="A3030" s="0" t="s">
        <v>505</v>
      </c>
      <c r="B3030" s="0" t="s">
        <v>1295</v>
      </c>
      <c r="C3030" s="0" t="s">
        <v>4415</v>
      </c>
      <c r="D3030" s="0" t="s">
        <v>98</v>
      </c>
      <c r="E3030" s="0" t="s">
        <v>4332</v>
      </c>
    </row>
    <row r="3031" customFormat="false" ht="15" hidden="false" customHeight="false" outlineLevel="0" collapsed="false">
      <c r="A3031" s="0" t="s">
        <v>505</v>
      </c>
      <c r="B3031" s="0" t="s">
        <v>1296</v>
      </c>
      <c r="C3031" s="0" t="s">
        <v>4416</v>
      </c>
      <c r="D3031" s="0" t="s">
        <v>98</v>
      </c>
      <c r="E3031" s="0" t="s">
        <v>4332</v>
      </c>
    </row>
    <row r="3032" customFormat="false" ht="15" hidden="false" customHeight="false" outlineLevel="0" collapsed="false">
      <c r="A3032" s="0" t="s">
        <v>505</v>
      </c>
      <c r="B3032" s="0" t="s">
        <v>1297</v>
      </c>
      <c r="C3032" s="0" t="s">
        <v>4417</v>
      </c>
      <c r="D3032" s="0" t="s">
        <v>98</v>
      </c>
      <c r="E3032" s="0" t="s">
        <v>4332</v>
      </c>
    </row>
    <row r="3033" customFormat="false" ht="15" hidden="false" customHeight="false" outlineLevel="0" collapsed="false">
      <c r="A3033" s="0" t="s">
        <v>4418</v>
      </c>
      <c r="B3033" s="0" t="s">
        <v>4419</v>
      </c>
      <c r="C3033" s="0" t="s">
        <v>4420</v>
      </c>
      <c r="D3033" s="0" t="s">
        <v>93</v>
      </c>
      <c r="E3033" s="0" t="s">
        <v>4421</v>
      </c>
    </row>
    <row r="3034" customFormat="false" ht="15" hidden="false" customHeight="false" outlineLevel="0" collapsed="false">
      <c r="A3034" s="0" t="s">
        <v>4418</v>
      </c>
      <c r="B3034" s="0" t="s">
        <v>506</v>
      </c>
      <c r="C3034" s="0" t="s">
        <v>4422</v>
      </c>
      <c r="D3034" s="0" t="s">
        <v>93</v>
      </c>
      <c r="E3034" s="0" t="s">
        <v>4423</v>
      </c>
    </row>
    <row r="3035" customFormat="false" ht="15" hidden="false" customHeight="false" outlineLevel="0" collapsed="false">
      <c r="A3035" s="0" t="s">
        <v>4418</v>
      </c>
      <c r="B3035" s="0" t="s">
        <v>4424</v>
      </c>
      <c r="C3035" s="0" t="s">
        <v>4425</v>
      </c>
      <c r="D3035" s="0" t="s">
        <v>93</v>
      </c>
      <c r="E3035" s="0" t="s">
        <v>4426</v>
      </c>
    </row>
    <row r="3036" customFormat="false" ht="15" hidden="false" customHeight="false" outlineLevel="0" collapsed="false">
      <c r="A3036" s="0" t="s">
        <v>4418</v>
      </c>
      <c r="B3036" s="0" t="s">
        <v>518</v>
      </c>
      <c r="C3036" s="0" t="s">
        <v>4427</v>
      </c>
      <c r="D3036" s="0" t="s">
        <v>93</v>
      </c>
      <c r="E3036" s="0" t="s">
        <v>4428</v>
      </c>
    </row>
    <row r="3037" customFormat="false" ht="15" hidden="false" customHeight="false" outlineLevel="0" collapsed="false">
      <c r="A3037" s="0" t="s">
        <v>4418</v>
      </c>
      <c r="B3037" s="0" t="s">
        <v>4429</v>
      </c>
      <c r="C3037" s="0" t="s">
        <v>4430</v>
      </c>
      <c r="D3037" s="0" t="s">
        <v>93</v>
      </c>
      <c r="E3037" s="0" t="s">
        <v>4431</v>
      </c>
    </row>
    <row r="3038" customFormat="false" ht="15" hidden="false" customHeight="false" outlineLevel="0" collapsed="false">
      <c r="A3038" s="0" t="s">
        <v>4418</v>
      </c>
      <c r="B3038" s="0" t="s">
        <v>528</v>
      </c>
      <c r="C3038" s="0" t="s">
        <v>4432</v>
      </c>
      <c r="D3038" s="0" t="s">
        <v>93</v>
      </c>
      <c r="E3038" s="0" t="s">
        <v>4433</v>
      </c>
    </row>
    <row r="3039" customFormat="false" ht="15" hidden="false" customHeight="false" outlineLevel="0" collapsed="false">
      <c r="A3039" s="0" t="s">
        <v>4418</v>
      </c>
      <c r="B3039" s="0" t="s">
        <v>4434</v>
      </c>
      <c r="C3039" s="0" t="s">
        <v>4435</v>
      </c>
      <c r="D3039" s="0" t="s">
        <v>93</v>
      </c>
      <c r="E3039" s="0" t="s">
        <v>4436</v>
      </c>
    </row>
    <row r="3040" customFormat="false" ht="15" hidden="false" customHeight="false" outlineLevel="0" collapsed="false">
      <c r="A3040" s="0" t="s">
        <v>4418</v>
      </c>
      <c r="B3040" s="0" t="s">
        <v>537</v>
      </c>
      <c r="C3040" s="0" t="s">
        <v>4437</v>
      </c>
      <c r="D3040" s="0" t="s">
        <v>93</v>
      </c>
      <c r="E3040" s="0" t="s">
        <v>4438</v>
      </c>
    </row>
    <row r="3041" customFormat="false" ht="15" hidden="false" customHeight="false" outlineLevel="0" collapsed="false">
      <c r="A3041" s="0" t="s">
        <v>4418</v>
      </c>
      <c r="B3041" s="0" t="s">
        <v>4439</v>
      </c>
      <c r="C3041" s="0" t="s">
        <v>4440</v>
      </c>
      <c r="D3041" s="0" t="s">
        <v>93</v>
      </c>
      <c r="E3041" s="0" t="s">
        <v>4441</v>
      </c>
    </row>
    <row r="3042" customFormat="false" ht="15" hidden="false" customHeight="false" outlineLevel="0" collapsed="false">
      <c r="A3042" s="0" t="s">
        <v>4418</v>
      </c>
      <c r="B3042" s="0" t="s">
        <v>547</v>
      </c>
      <c r="C3042" s="0" t="s">
        <v>4442</v>
      </c>
      <c r="D3042" s="0" t="s">
        <v>93</v>
      </c>
      <c r="E3042" s="0" t="s">
        <v>4443</v>
      </c>
    </row>
    <row r="3043" customFormat="false" ht="15" hidden="false" customHeight="false" outlineLevel="0" collapsed="false">
      <c r="A3043" s="0" t="s">
        <v>4418</v>
      </c>
      <c r="B3043" s="0" t="s">
        <v>952</v>
      </c>
      <c r="C3043" s="0" t="s">
        <v>4444</v>
      </c>
      <c r="D3043" s="0" t="s">
        <v>98</v>
      </c>
      <c r="E3043" s="0" t="s">
        <v>4445</v>
      </c>
    </row>
    <row r="3044" customFormat="false" ht="15" hidden="false" customHeight="false" outlineLevel="0" collapsed="false">
      <c r="A3044" s="0" t="s">
        <v>4418</v>
      </c>
      <c r="B3044" s="0" t="s">
        <v>599</v>
      </c>
      <c r="C3044" s="0" t="s">
        <v>4446</v>
      </c>
      <c r="D3044" s="0" t="s">
        <v>98</v>
      </c>
      <c r="E3044" s="0" t="s">
        <v>4445</v>
      </c>
    </row>
    <row r="3045" customFormat="false" ht="15" hidden="false" customHeight="false" outlineLevel="0" collapsed="false">
      <c r="A3045" s="0" t="s">
        <v>4418</v>
      </c>
      <c r="B3045" s="0" t="s">
        <v>601</v>
      </c>
      <c r="C3045" s="0" t="s">
        <v>4447</v>
      </c>
      <c r="D3045" s="0" t="s">
        <v>98</v>
      </c>
      <c r="E3045" s="0" t="s">
        <v>4445</v>
      </c>
    </row>
    <row r="3046" customFormat="false" ht="15" hidden="false" customHeight="false" outlineLevel="0" collapsed="false">
      <c r="A3046" s="0" t="s">
        <v>4418</v>
      </c>
      <c r="B3046" s="0" t="s">
        <v>602</v>
      </c>
      <c r="C3046" s="0" t="s">
        <v>4448</v>
      </c>
      <c r="D3046" s="0" t="s">
        <v>98</v>
      </c>
      <c r="E3046" s="0" t="s">
        <v>4445</v>
      </c>
    </row>
    <row r="3047" customFormat="false" ht="15" hidden="false" customHeight="false" outlineLevel="0" collapsed="false">
      <c r="A3047" s="0" t="s">
        <v>4418</v>
      </c>
      <c r="B3047" s="0" t="s">
        <v>603</v>
      </c>
      <c r="C3047" s="0" t="s">
        <v>4449</v>
      </c>
      <c r="D3047" s="0" t="s">
        <v>98</v>
      </c>
      <c r="E3047" s="0" t="s">
        <v>4445</v>
      </c>
    </row>
    <row r="3048" customFormat="false" ht="15" hidden="false" customHeight="false" outlineLevel="0" collapsed="false">
      <c r="A3048" s="0" t="s">
        <v>4418</v>
      </c>
      <c r="B3048" s="0" t="s">
        <v>604</v>
      </c>
      <c r="C3048" s="0" t="s">
        <v>4450</v>
      </c>
      <c r="D3048" s="0" t="s">
        <v>98</v>
      </c>
      <c r="E3048" s="0" t="s">
        <v>4445</v>
      </c>
    </row>
    <row r="3049" customFormat="false" ht="15" hidden="false" customHeight="false" outlineLevel="0" collapsed="false">
      <c r="A3049" s="0" t="s">
        <v>4418</v>
      </c>
      <c r="B3049" s="0" t="s">
        <v>605</v>
      </c>
      <c r="C3049" s="0" t="s">
        <v>4451</v>
      </c>
      <c r="D3049" s="0" t="s">
        <v>98</v>
      </c>
      <c r="E3049" s="0" t="s">
        <v>4445</v>
      </c>
    </row>
    <row r="3050" customFormat="false" ht="15" hidden="false" customHeight="false" outlineLevel="0" collapsed="false">
      <c r="A3050" s="0" t="s">
        <v>4418</v>
      </c>
      <c r="B3050" s="0" t="s">
        <v>606</v>
      </c>
      <c r="C3050" s="0" t="s">
        <v>4452</v>
      </c>
      <c r="D3050" s="0" t="s">
        <v>98</v>
      </c>
      <c r="E3050" s="0" t="s">
        <v>4445</v>
      </c>
    </row>
    <row r="3051" customFormat="false" ht="15" hidden="false" customHeight="false" outlineLevel="0" collapsed="false">
      <c r="A3051" s="0" t="s">
        <v>4418</v>
      </c>
      <c r="B3051" s="0" t="s">
        <v>961</v>
      </c>
      <c r="C3051" s="0" t="s">
        <v>4453</v>
      </c>
      <c r="D3051" s="0" t="s">
        <v>98</v>
      </c>
      <c r="E3051" s="0" t="s">
        <v>4445</v>
      </c>
    </row>
    <row r="3052" customFormat="false" ht="15" hidden="false" customHeight="false" outlineLevel="0" collapsed="false">
      <c r="A3052" s="0" t="s">
        <v>4418</v>
      </c>
      <c r="B3052" s="0" t="s">
        <v>963</v>
      </c>
      <c r="C3052" s="0" t="s">
        <v>4454</v>
      </c>
      <c r="D3052" s="0" t="s">
        <v>98</v>
      </c>
      <c r="E3052" s="0" t="s">
        <v>4445</v>
      </c>
    </row>
    <row r="3053" customFormat="false" ht="15" hidden="false" customHeight="false" outlineLevel="0" collapsed="false">
      <c r="A3053" s="0" t="s">
        <v>4418</v>
      </c>
      <c r="B3053" s="0" t="s">
        <v>965</v>
      </c>
      <c r="C3053" s="0" t="s">
        <v>4455</v>
      </c>
      <c r="D3053" s="0" t="s">
        <v>98</v>
      </c>
      <c r="E3053" s="0" t="s">
        <v>4445</v>
      </c>
    </row>
    <row r="3054" customFormat="false" ht="15" hidden="false" customHeight="false" outlineLevel="0" collapsed="false">
      <c r="A3054" s="0" t="s">
        <v>4418</v>
      </c>
      <c r="B3054" s="0" t="s">
        <v>967</v>
      </c>
      <c r="C3054" s="0" t="s">
        <v>4456</v>
      </c>
      <c r="D3054" s="0" t="s">
        <v>98</v>
      </c>
      <c r="E3054" s="0" t="s">
        <v>4445</v>
      </c>
    </row>
    <row r="3055" customFormat="false" ht="15" hidden="false" customHeight="false" outlineLevel="0" collapsed="false">
      <c r="A3055" s="0" t="s">
        <v>4418</v>
      </c>
      <c r="B3055" s="0" t="s">
        <v>969</v>
      </c>
      <c r="C3055" s="0" t="s">
        <v>4457</v>
      </c>
      <c r="D3055" s="0" t="s">
        <v>98</v>
      </c>
      <c r="E3055" s="0" t="s">
        <v>4445</v>
      </c>
    </row>
    <row r="3056" customFormat="false" ht="15" hidden="false" customHeight="false" outlineLevel="0" collapsed="false">
      <c r="A3056" s="0" t="s">
        <v>4418</v>
      </c>
      <c r="B3056" s="0" t="s">
        <v>971</v>
      </c>
      <c r="C3056" s="0" t="s">
        <v>4458</v>
      </c>
      <c r="D3056" s="0" t="s">
        <v>98</v>
      </c>
      <c r="E3056" s="0" t="s">
        <v>4445</v>
      </c>
    </row>
    <row r="3057" customFormat="false" ht="15" hidden="false" customHeight="false" outlineLevel="0" collapsed="false">
      <c r="A3057" s="0" t="s">
        <v>4418</v>
      </c>
      <c r="B3057" s="0" t="s">
        <v>973</v>
      </c>
      <c r="C3057" s="0" t="s">
        <v>4459</v>
      </c>
      <c r="D3057" s="0" t="s">
        <v>98</v>
      </c>
      <c r="E3057" s="0" t="s">
        <v>4445</v>
      </c>
    </row>
    <row r="3058" customFormat="false" ht="15" hidden="false" customHeight="false" outlineLevel="0" collapsed="false">
      <c r="A3058" s="0" t="s">
        <v>4418</v>
      </c>
      <c r="B3058" s="0" t="s">
        <v>975</v>
      </c>
      <c r="C3058" s="0" t="s">
        <v>4460</v>
      </c>
      <c r="D3058" s="0" t="s">
        <v>98</v>
      </c>
      <c r="E3058" s="0" t="s">
        <v>4445</v>
      </c>
    </row>
    <row r="3059" customFormat="false" ht="15" hidden="false" customHeight="false" outlineLevel="0" collapsed="false">
      <c r="A3059" s="0" t="s">
        <v>4418</v>
      </c>
      <c r="B3059" s="0" t="s">
        <v>977</v>
      </c>
      <c r="C3059" s="0" t="s">
        <v>4461</v>
      </c>
      <c r="D3059" s="0" t="s">
        <v>98</v>
      </c>
      <c r="E3059" s="0" t="s">
        <v>4445</v>
      </c>
    </row>
    <row r="3060" customFormat="false" ht="15" hidden="false" customHeight="false" outlineLevel="0" collapsed="false">
      <c r="A3060" s="0" t="s">
        <v>4418</v>
      </c>
      <c r="B3060" s="0" t="s">
        <v>979</v>
      </c>
      <c r="C3060" s="0" t="s">
        <v>4462</v>
      </c>
      <c r="D3060" s="0" t="s">
        <v>98</v>
      </c>
      <c r="E3060" s="0" t="s">
        <v>4445</v>
      </c>
    </row>
    <row r="3061" customFormat="false" ht="15" hidden="false" customHeight="false" outlineLevel="0" collapsed="false">
      <c r="A3061" s="0" t="s">
        <v>4418</v>
      </c>
      <c r="B3061" s="0" t="s">
        <v>981</v>
      </c>
      <c r="C3061" s="0" t="s">
        <v>4463</v>
      </c>
      <c r="D3061" s="0" t="s">
        <v>98</v>
      </c>
      <c r="E3061" s="0" t="s">
        <v>4445</v>
      </c>
    </row>
    <row r="3062" customFormat="false" ht="15" hidden="false" customHeight="false" outlineLevel="0" collapsed="false">
      <c r="A3062" s="0" t="s">
        <v>4418</v>
      </c>
      <c r="B3062" s="0" t="s">
        <v>983</v>
      </c>
      <c r="C3062" s="0" t="s">
        <v>4464</v>
      </c>
      <c r="D3062" s="0" t="s">
        <v>98</v>
      </c>
      <c r="E3062" s="0" t="s">
        <v>4445</v>
      </c>
    </row>
    <row r="3063" customFormat="false" ht="15" hidden="false" customHeight="false" outlineLevel="0" collapsed="false">
      <c r="A3063" s="0" t="s">
        <v>4418</v>
      </c>
      <c r="B3063" s="0" t="s">
        <v>985</v>
      </c>
      <c r="C3063" s="0" t="s">
        <v>4465</v>
      </c>
      <c r="D3063" s="0" t="s">
        <v>98</v>
      </c>
      <c r="E3063" s="0" t="s">
        <v>4445</v>
      </c>
    </row>
    <row r="3064" customFormat="false" ht="15" hidden="false" customHeight="false" outlineLevel="0" collapsed="false">
      <c r="A3064" s="0" t="s">
        <v>4418</v>
      </c>
      <c r="B3064" s="0" t="s">
        <v>987</v>
      </c>
      <c r="C3064" s="0" t="s">
        <v>4466</v>
      </c>
      <c r="D3064" s="0" t="s">
        <v>98</v>
      </c>
      <c r="E3064" s="0" t="s">
        <v>4445</v>
      </c>
    </row>
    <row r="3065" customFormat="false" ht="15" hidden="false" customHeight="false" outlineLevel="0" collapsed="false">
      <c r="A3065" s="0" t="s">
        <v>4418</v>
      </c>
      <c r="B3065" s="0" t="s">
        <v>989</v>
      </c>
      <c r="C3065" s="0" t="s">
        <v>4467</v>
      </c>
      <c r="D3065" s="0" t="s">
        <v>98</v>
      </c>
      <c r="E3065" s="0" t="s">
        <v>4445</v>
      </c>
    </row>
    <row r="3066" customFormat="false" ht="15" hidden="false" customHeight="false" outlineLevel="0" collapsed="false">
      <c r="A3066" s="0" t="s">
        <v>4418</v>
      </c>
      <c r="B3066" s="0" t="s">
        <v>991</v>
      </c>
      <c r="C3066" s="0" t="s">
        <v>4468</v>
      </c>
      <c r="D3066" s="0" t="s">
        <v>98</v>
      </c>
      <c r="E3066" s="0" t="s">
        <v>4445</v>
      </c>
    </row>
    <row r="3067" customFormat="false" ht="15" hidden="false" customHeight="false" outlineLevel="0" collapsed="false">
      <c r="A3067" s="0" t="s">
        <v>4418</v>
      </c>
      <c r="B3067" s="0" t="s">
        <v>993</v>
      </c>
      <c r="C3067" s="0" t="s">
        <v>4469</v>
      </c>
      <c r="D3067" s="0" t="s">
        <v>98</v>
      </c>
      <c r="E3067" s="0" t="s">
        <v>4445</v>
      </c>
    </row>
    <row r="3068" customFormat="false" ht="15" hidden="false" customHeight="false" outlineLevel="0" collapsed="false">
      <c r="A3068" s="0" t="s">
        <v>4418</v>
      </c>
      <c r="B3068" s="0" t="s">
        <v>995</v>
      </c>
      <c r="C3068" s="0" t="s">
        <v>4470</v>
      </c>
      <c r="D3068" s="0" t="s">
        <v>98</v>
      </c>
      <c r="E3068" s="0" t="s">
        <v>4445</v>
      </c>
    </row>
    <row r="3069" customFormat="false" ht="15" hidden="false" customHeight="false" outlineLevel="0" collapsed="false">
      <c r="A3069" s="0" t="s">
        <v>4418</v>
      </c>
      <c r="B3069" s="0" t="s">
        <v>997</v>
      </c>
      <c r="C3069" s="0" t="s">
        <v>4471</v>
      </c>
      <c r="D3069" s="0" t="s">
        <v>98</v>
      </c>
      <c r="E3069" s="0" t="s">
        <v>4445</v>
      </c>
    </row>
    <row r="3070" customFormat="false" ht="15" hidden="false" customHeight="false" outlineLevel="0" collapsed="false">
      <c r="A3070" s="0" t="s">
        <v>4418</v>
      </c>
      <c r="B3070" s="0" t="s">
        <v>999</v>
      </c>
      <c r="C3070" s="0" t="s">
        <v>4472</v>
      </c>
      <c r="D3070" s="0" t="s">
        <v>98</v>
      </c>
      <c r="E3070" s="0" t="s">
        <v>4445</v>
      </c>
    </row>
    <row r="3071" customFormat="false" ht="15" hidden="false" customHeight="false" outlineLevel="0" collapsed="false">
      <c r="A3071" s="0" t="s">
        <v>4418</v>
      </c>
      <c r="B3071" s="0" t="s">
        <v>4473</v>
      </c>
      <c r="C3071" s="0" t="s">
        <v>4474</v>
      </c>
      <c r="D3071" s="0" t="s">
        <v>98</v>
      </c>
      <c r="E3071" s="0" t="s">
        <v>4445</v>
      </c>
    </row>
    <row r="3072" customFormat="false" ht="15" hidden="false" customHeight="false" outlineLevel="0" collapsed="false">
      <c r="A3072" s="0" t="s">
        <v>4418</v>
      </c>
      <c r="B3072" s="0" t="s">
        <v>609</v>
      </c>
      <c r="C3072" s="0" t="s">
        <v>4475</v>
      </c>
      <c r="D3072" s="0" t="s">
        <v>98</v>
      </c>
      <c r="E3072" s="0" t="s">
        <v>4445</v>
      </c>
    </row>
    <row r="3073" customFormat="false" ht="15" hidden="false" customHeight="false" outlineLevel="0" collapsed="false">
      <c r="A3073" s="0" t="s">
        <v>4418</v>
      </c>
      <c r="B3073" s="0" t="s">
        <v>611</v>
      </c>
      <c r="C3073" s="0" t="s">
        <v>4476</v>
      </c>
      <c r="D3073" s="0" t="s">
        <v>98</v>
      </c>
      <c r="E3073" s="0" t="s">
        <v>4445</v>
      </c>
    </row>
    <row r="3074" customFormat="false" ht="15" hidden="false" customHeight="false" outlineLevel="0" collapsed="false">
      <c r="A3074" s="0" t="s">
        <v>4418</v>
      </c>
      <c r="B3074" s="0" t="s">
        <v>612</v>
      </c>
      <c r="C3074" s="0" t="s">
        <v>4477</v>
      </c>
      <c r="D3074" s="0" t="s">
        <v>98</v>
      </c>
      <c r="E3074" s="0" t="s">
        <v>4445</v>
      </c>
    </row>
    <row r="3075" customFormat="false" ht="15" hidden="false" customHeight="false" outlineLevel="0" collapsed="false">
      <c r="A3075" s="0" t="s">
        <v>4418</v>
      </c>
      <c r="B3075" s="0" t="s">
        <v>613</v>
      </c>
      <c r="C3075" s="0" t="s">
        <v>4478</v>
      </c>
      <c r="D3075" s="0" t="s">
        <v>98</v>
      </c>
      <c r="E3075" s="0" t="s">
        <v>4445</v>
      </c>
    </row>
    <row r="3076" customFormat="false" ht="15" hidden="false" customHeight="false" outlineLevel="0" collapsed="false">
      <c r="A3076" s="0" t="s">
        <v>4418</v>
      </c>
      <c r="B3076" s="0" t="s">
        <v>614</v>
      </c>
      <c r="C3076" s="0" t="s">
        <v>4479</v>
      </c>
      <c r="D3076" s="0" t="s">
        <v>98</v>
      </c>
      <c r="E3076" s="0" t="s">
        <v>4445</v>
      </c>
    </row>
    <row r="3077" customFormat="false" ht="15" hidden="false" customHeight="false" outlineLevel="0" collapsed="false">
      <c r="A3077" s="0" t="s">
        <v>4418</v>
      </c>
      <c r="B3077" s="0" t="s">
        <v>615</v>
      </c>
      <c r="C3077" s="0" t="s">
        <v>4480</v>
      </c>
      <c r="D3077" s="0" t="s">
        <v>98</v>
      </c>
      <c r="E3077" s="0" t="s">
        <v>4445</v>
      </c>
    </row>
    <row r="3078" customFormat="false" ht="15" hidden="false" customHeight="false" outlineLevel="0" collapsed="false">
      <c r="A3078" s="0" t="s">
        <v>4418</v>
      </c>
      <c r="B3078" s="0" t="s">
        <v>616</v>
      </c>
      <c r="C3078" s="0" t="s">
        <v>4481</v>
      </c>
      <c r="D3078" s="0" t="s">
        <v>98</v>
      </c>
      <c r="E3078" s="0" t="s">
        <v>4445</v>
      </c>
    </row>
    <row r="3079" customFormat="false" ht="15" hidden="false" customHeight="false" outlineLevel="0" collapsed="false">
      <c r="A3079" s="0" t="s">
        <v>4418</v>
      </c>
      <c r="B3079" s="0" t="s">
        <v>4367</v>
      </c>
      <c r="C3079" s="0" t="s">
        <v>4482</v>
      </c>
      <c r="D3079" s="0" t="s">
        <v>98</v>
      </c>
      <c r="E3079" s="0" t="s">
        <v>4445</v>
      </c>
    </row>
    <row r="3080" customFormat="false" ht="15" hidden="false" customHeight="false" outlineLevel="0" collapsed="false">
      <c r="A3080" s="0" t="s">
        <v>4418</v>
      </c>
      <c r="B3080" s="0" t="s">
        <v>4369</v>
      </c>
      <c r="C3080" s="0" t="s">
        <v>4483</v>
      </c>
      <c r="D3080" s="0" t="s">
        <v>98</v>
      </c>
      <c r="E3080" s="0" t="s">
        <v>4445</v>
      </c>
    </row>
    <row r="3081" customFormat="false" ht="15" hidden="false" customHeight="false" outlineLevel="0" collapsed="false">
      <c r="A3081" s="0" t="s">
        <v>4418</v>
      </c>
      <c r="B3081" s="0" t="s">
        <v>1001</v>
      </c>
      <c r="C3081" s="0" t="s">
        <v>4484</v>
      </c>
      <c r="D3081" s="0" t="s">
        <v>98</v>
      </c>
      <c r="E3081" s="0" t="s">
        <v>4445</v>
      </c>
    </row>
    <row r="3082" customFormat="false" ht="15" hidden="false" customHeight="false" outlineLevel="0" collapsed="false">
      <c r="A3082" s="0" t="s">
        <v>4418</v>
      </c>
      <c r="B3082" s="0" t="s">
        <v>4485</v>
      </c>
      <c r="C3082" s="0" t="s">
        <v>4486</v>
      </c>
      <c r="D3082" s="0" t="s">
        <v>98</v>
      </c>
      <c r="E3082" s="0" t="s">
        <v>4445</v>
      </c>
    </row>
    <row r="3083" customFormat="false" ht="15" hidden="false" customHeight="false" outlineLevel="0" collapsed="false">
      <c r="A3083" s="0" t="s">
        <v>4418</v>
      </c>
      <c r="B3083" s="0" t="s">
        <v>4487</v>
      </c>
      <c r="C3083" s="0" t="s">
        <v>4488</v>
      </c>
      <c r="D3083" s="0" t="s">
        <v>98</v>
      </c>
      <c r="E3083" s="0" t="s">
        <v>4445</v>
      </c>
    </row>
    <row r="3084" customFormat="false" ht="15" hidden="false" customHeight="false" outlineLevel="0" collapsed="false">
      <c r="A3084" s="0" t="s">
        <v>4418</v>
      </c>
      <c r="B3084" s="0" t="s">
        <v>4489</v>
      </c>
      <c r="C3084" s="0" t="s">
        <v>4490</v>
      </c>
      <c r="D3084" s="0" t="s">
        <v>98</v>
      </c>
      <c r="E3084" s="0" t="s">
        <v>4445</v>
      </c>
    </row>
    <row r="3085" customFormat="false" ht="15" hidden="false" customHeight="false" outlineLevel="0" collapsed="false">
      <c r="A3085" s="0" t="s">
        <v>4418</v>
      </c>
      <c r="B3085" s="0" t="s">
        <v>4491</v>
      </c>
      <c r="C3085" s="0" t="s">
        <v>4492</v>
      </c>
      <c r="D3085" s="0" t="s">
        <v>98</v>
      </c>
      <c r="E3085" s="0" t="s">
        <v>4445</v>
      </c>
    </row>
    <row r="3086" customFormat="false" ht="15" hidden="false" customHeight="false" outlineLevel="0" collapsed="false">
      <c r="A3086" s="0" t="s">
        <v>4418</v>
      </c>
      <c r="B3086" s="0" t="s">
        <v>1003</v>
      </c>
      <c r="C3086" s="0" t="s">
        <v>4493</v>
      </c>
      <c r="D3086" s="0" t="s">
        <v>98</v>
      </c>
      <c r="E3086" s="0" t="s">
        <v>4445</v>
      </c>
    </row>
    <row r="3087" customFormat="false" ht="15" hidden="false" customHeight="false" outlineLevel="0" collapsed="false">
      <c r="A3087" s="0" t="s">
        <v>4418</v>
      </c>
      <c r="B3087" s="0" t="s">
        <v>4494</v>
      </c>
      <c r="C3087" s="0" t="s">
        <v>4495</v>
      </c>
      <c r="D3087" s="0" t="s">
        <v>98</v>
      </c>
      <c r="E3087" s="0" t="s">
        <v>4445</v>
      </c>
    </row>
    <row r="3088" customFormat="false" ht="15" hidden="false" customHeight="false" outlineLevel="0" collapsed="false">
      <c r="A3088" s="0" t="s">
        <v>4418</v>
      </c>
      <c r="B3088" s="0" t="s">
        <v>4496</v>
      </c>
      <c r="C3088" s="0" t="s">
        <v>4497</v>
      </c>
      <c r="D3088" s="0" t="s">
        <v>98</v>
      </c>
      <c r="E3088" s="0" t="s">
        <v>4445</v>
      </c>
    </row>
    <row r="3089" customFormat="false" ht="15" hidden="false" customHeight="false" outlineLevel="0" collapsed="false">
      <c r="A3089" s="0" t="s">
        <v>4418</v>
      </c>
      <c r="B3089" s="0" t="s">
        <v>4498</v>
      </c>
      <c r="C3089" s="0" t="s">
        <v>4499</v>
      </c>
      <c r="D3089" s="0" t="s">
        <v>98</v>
      </c>
      <c r="E3089" s="0" t="s">
        <v>4445</v>
      </c>
    </row>
    <row r="3090" customFormat="false" ht="15" hidden="false" customHeight="false" outlineLevel="0" collapsed="false">
      <c r="A3090" s="0" t="s">
        <v>4418</v>
      </c>
      <c r="B3090" s="0" t="s">
        <v>4500</v>
      </c>
      <c r="C3090" s="0" t="s">
        <v>4501</v>
      </c>
      <c r="D3090" s="0" t="s">
        <v>98</v>
      </c>
      <c r="E3090" s="0" t="s">
        <v>4445</v>
      </c>
    </row>
    <row r="3091" customFormat="false" ht="15" hidden="false" customHeight="false" outlineLevel="0" collapsed="false">
      <c r="A3091" s="0" t="s">
        <v>4418</v>
      </c>
      <c r="B3091" s="0" t="s">
        <v>4502</v>
      </c>
      <c r="C3091" s="0" t="s">
        <v>4503</v>
      </c>
      <c r="D3091" s="0" t="s">
        <v>98</v>
      </c>
      <c r="E3091" s="0" t="s">
        <v>4445</v>
      </c>
    </row>
    <row r="3092" customFormat="false" ht="15" hidden="false" customHeight="false" outlineLevel="0" collapsed="false">
      <c r="A3092" s="0" t="s">
        <v>4418</v>
      </c>
      <c r="B3092" s="0" t="s">
        <v>4504</v>
      </c>
      <c r="C3092" s="0" t="s">
        <v>4505</v>
      </c>
      <c r="D3092" s="0" t="s">
        <v>98</v>
      </c>
      <c r="E3092" s="0" t="s">
        <v>4445</v>
      </c>
    </row>
    <row r="3093" customFormat="false" ht="15" hidden="false" customHeight="false" outlineLevel="0" collapsed="false">
      <c r="A3093" s="0" t="s">
        <v>4418</v>
      </c>
      <c r="B3093" s="0" t="s">
        <v>4506</v>
      </c>
      <c r="C3093" s="0" t="s">
        <v>4507</v>
      </c>
      <c r="D3093" s="0" t="s">
        <v>98</v>
      </c>
      <c r="E3093" s="0" t="s">
        <v>4445</v>
      </c>
    </row>
    <row r="3094" customFormat="false" ht="15" hidden="false" customHeight="false" outlineLevel="0" collapsed="false">
      <c r="A3094" s="0" t="s">
        <v>4418</v>
      </c>
      <c r="B3094" s="0" t="s">
        <v>4508</v>
      </c>
      <c r="C3094" s="0" t="s">
        <v>4509</v>
      </c>
      <c r="D3094" s="0" t="s">
        <v>98</v>
      </c>
      <c r="E3094" s="0" t="s">
        <v>4445</v>
      </c>
    </row>
    <row r="3095" customFormat="false" ht="15" hidden="false" customHeight="false" outlineLevel="0" collapsed="false">
      <c r="A3095" s="0" t="s">
        <v>4418</v>
      </c>
      <c r="B3095" s="0" t="s">
        <v>4510</v>
      </c>
      <c r="C3095" s="0" t="s">
        <v>4511</v>
      </c>
      <c r="D3095" s="0" t="s">
        <v>98</v>
      </c>
      <c r="E3095" s="0" t="s">
        <v>4445</v>
      </c>
    </row>
    <row r="3096" customFormat="false" ht="15" hidden="false" customHeight="false" outlineLevel="0" collapsed="false">
      <c r="A3096" s="0" t="s">
        <v>4418</v>
      </c>
      <c r="B3096" s="0" t="s">
        <v>4512</v>
      </c>
      <c r="C3096" s="0" t="s">
        <v>4513</v>
      </c>
      <c r="D3096" s="0" t="s">
        <v>98</v>
      </c>
      <c r="E3096" s="0" t="s">
        <v>4445</v>
      </c>
    </row>
    <row r="3097" customFormat="false" ht="15" hidden="false" customHeight="false" outlineLevel="0" collapsed="false">
      <c r="A3097" s="0" t="s">
        <v>4418</v>
      </c>
      <c r="B3097" s="0" t="s">
        <v>4514</v>
      </c>
      <c r="C3097" s="0" t="s">
        <v>4515</v>
      </c>
      <c r="D3097" s="0" t="s">
        <v>98</v>
      </c>
      <c r="E3097" s="0" t="s">
        <v>4445</v>
      </c>
    </row>
    <row r="3098" customFormat="false" ht="15" hidden="false" customHeight="false" outlineLevel="0" collapsed="false">
      <c r="A3098" s="0" t="s">
        <v>4418</v>
      </c>
      <c r="B3098" s="0" t="s">
        <v>4516</v>
      </c>
      <c r="C3098" s="0" t="s">
        <v>4517</v>
      </c>
      <c r="D3098" s="0" t="s">
        <v>98</v>
      </c>
      <c r="E3098" s="0" t="s">
        <v>4445</v>
      </c>
    </row>
    <row r="3099" customFormat="false" ht="15" hidden="false" customHeight="false" outlineLevel="0" collapsed="false">
      <c r="A3099" s="0" t="s">
        <v>4418</v>
      </c>
      <c r="B3099" s="0" t="s">
        <v>4518</v>
      </c>
      <c r="C3099" s="0" t="s">
        <v>4519</v>
      </c>
      <c r="D3099" s="0" t="s">
        <v>98</v>
      </c>
      <c r="E3099" s="0" t="s">
        <v>4445</v>
      </c>
    </row>
    <row r="3100" customFormat="false" ht="15" hidden="false" customHeight="false" outlineLevel="0" collapsed="false">
      <c r="A3100" s="0" t="s">
        <v>4418</v>
      </c>
      <c r="B3100" s="0" t="s">
        <v>619</v>
      </c>
      <c r="C3100" s="0" t="s">
        <v>4520</v>
      </c>
      <c r="D3100" s="0" t="s">
        <v>98</v>
      </c>
      <c r="E3100" s="0" t="s">
        <v>4445</v>
      </c>
    </row>
    <row r="3101" customFormat="false" ht="15" hidden="false" customHeight="false" outlineLevel="0" collapsed="false">
      <c r="A3101" s="0" t="s">
        <v>4418</v>
      </c>
      <c r="B3101" s="0" t="s">
        <v>621</v>
      </c>
      <c r="C3101" s="0" t="s">
        <v>4521</v>
      </c>
      <c r="D3101" s="0" t="s">
        <v>98</v>
      </c>
      <c r="E3101" s="0" t="s">
        <v>4445</v>
      </c>
    </row>
    <row r="3102" customFormat="false" ht="15" hidden="false" customHeight="false" outlineLevel="0" collapsed="false">
      <c r="A3102" s="0" t="s">
        <v>4418</v>
      </c>
      <c r="B3102" s="0" t="s">
        <v>622</v>
      </c>
      <c r="C3102" s="0" t="s">
        <v>4522</v>
      </c>
      <c r="D3102" s="0" t="s">
        <v>98</v>
      </c>
      <c r="E3102" s="0" t="s">
        <v>4445</v>
      </c>
    </row>
    <row r="3103" customFormat="false" ht="15" hidden="false" customHeight="false" outlineLevel="0" collapsed="false">
      <c r="A3103" s="0" t="s">
        <v>4418</v>
      </c>
      <c r="B3103" s="0" t="s">
        <v>623</v>
      </c>
      <c r="C3103" s="0" t="s">
        <v>4523</v>
      </c>
      <c r="D3103" s="0" t="s">
        <v>98</v>
      </c>
      <c r="E3103" s="0" t="s">
        <v>4445</v>
      </c>
    </row>
    <row r="3104" customFormat="false" ht="15" hidden="false" customHeight="false" outlineLevel="0" collapsed="false">
      <c r="A3104" s="0" t="s">
        <v>4418</v>
      </c>
      <c r="B3104" s="0" t="s">
        <v>624</v>
      </c>
      <c r="C3104" s="0" t="s">
        <v>4524</v>
      </c>
      <c r="D3104" s="0" t="s">
        <v>98</v>
      </c>
      <c r="E3104" s="0" t="s">
        <v>4445</v>
      </c>
    </row>
    <row r="3105" customFormat="false" ht="15" hidden="false" customHeight="false" outlineLevel="0" collapsed="false">
      <c r="A3105" s="0" t="s">
        <v>4418</v>
      </c>
      <c r="B3105" s="0" t="s">
        <v>625</v>
      </c>
      <c r="C3105" s="0" t="s">
        <v>4525</v>
      </c>
      <c r="D3105" s="0" t="s">
        <v>98</v>
      </c>
      <c r="E3105" s="0" t="s">
        <v>4445</v>
      </c>
    </row>
    <row r="3106" customFormat="false" ht="15" hidden="false" customHeight="false" outlineLevel="0" collapsed="false">
      <c r="A3106" s="0" t="s">
        <v>4418</v>
      </c>
      <c r="B3106" s="0" t="s">
        <v>626</v>
      </c>
      <c r="C3106" s="0" t="s">
        <v>4526</v>
      </c>
      <c r="D3106" s="0" t="s">
        <v>98</v>
      </c>
      <c r="E3106" s="0" t="s">
        <v>4445</v>
      </c>
    </row>
    <row r="3107" customFormat="false" ht="15" hidden="false" customHeight="false" outlineLevel="0" collapsed="false">
      <c r="A3107" s="0" t="s">
        <v>4418</v>
      </c>
      <c r="B3107" s="0" t="s">
        <v>4372</v>
      </c>
      <c r="C3107" s="0" t="s">
        <v>4527</v>
      </c>
      <c r="D3107" s="0" t="s">
        <v>98</v>
      </c>
      <c r="E3107" s="0" t="s">
        <v>4445</v>
      </c>
    </row>
    <row r="3108" customFormat="false" ht="15" hidden="false" customHeight="false" outlineLevel="0" collapsed="false">
      <c r="A3108" s="0" t="s">
        <v>4418</v>
      </c>
      <c r="B3108" s="0" t="s">
        <v>1005</v>
      </c>
      <c r="C3108" s="0" t="s">
        <v>4528</v>
      </c>
      <c r="D3108" s="0" t="s">
        <v>98</v>
      </c>
      <c r="E3108" s="0" t="s">
        <v>4445</v>
      </c>
    </row>
    <row r="3109" customFormat="false" ht="15" hidden="false" customHeight="false" outlineLevel="0" collapsed="false">
      <c r="A3109" s="0" t="s">
        <v>4418</v>
      </c>
      <c r="B3109" s="0" t="s">
        <v>1006</v>
      </c>
      <c r="C3109" s="0" t="s">
        <v>4529</v>
      </c>
      <c r="D3109" s="0" t="s">
        <v>98</v>
      </c>
      <c r="E3109" s="0" t="s">
        <v>4445</v>
      </c>
    </row>
    <row r="3110" customFormat="false" ht="15" hidden="false" customHeight="false" outlineLevel="0" collapsed="false">
      <c r="A3110" s="0" t="s">
        <v>4418</v>
      </c>
      <c r="B3110" s="0" t="s">
        <v>1007</v>
      </c>
      <c r="C3110" s="0" t="s">
        <v>4530</v>
      </c>
      <c r="D3110" s="0" t="s">
        <v>98</v>
      </c>
      <c r="E3110" s="0" t="s">
        <v>4445</v>
      </c>
    </row>
    <row r="3111" customFormat="false" ht="15" hidden="false" customHeight="false" outlineLevel="0" collapsed="false">
      <c r="A3111" s="0" t="s">
        <v>4418</v>
      </c>
      <c r="B3111" s="0" t="s">
        <v>1008</v>
      </c>
      <c r="C3111" s="0" t="s">
        <v>4531</v>
      </c>
      <c r="D3111" s="0" t="s">
        <v>98</v>
      </c>
      <c r="E3111" s="0" t="s">
        <v>4445</v>
      </c>
    </row>
    <row r="3112" customFormat="false" ht="15" hidden="false" customHeight="false" outlineLevel="0" collapsed="false">
      <c r="A3112" s="0" t="s">
        <v>4418</v>
      </c>
      <c r="B3112" s="0" t="s">
        <v>1009</v>
      </c>
      <c r="C3112" s="0" t="s">
        <v>4532</v>
      </c>
      <c r="D3112" s="0" t="s">
        <v>98</v>
      </c>
      <c r="E3112" s="0" t="s">
        <v>4445</v>
      </c>
    </row>
    <row r="3113" customFormat="false" ht="15" hidden="false" customHeight="false" outlineLevel="0" collapsed="false">
      <c r="A3113" s="0" t="s">
        <v>4418</v>
      </c>
      <c r="B3113" s="0" t="s">
        <v>1010</v>
      </c>
      <c r="C3113" s="0" t="s">
        <v>4533</v>
      </c>
      <c r="D3113" s="0" t="s">
        <v>98</v>
      </c>
      <c r="E3113" s="0" t="s">
        <v>4445</v>
      </c>
    </row>
    <row r="3114" customFormat="false" ht="15" hidden="false" customHeight="false" outlineLevel="0" collapsed="false">
      <c r="A3114" s="0" t="s">
        <v>4418</v>
      </c>
      <c r="B3114" s="0" t="s">
        <v>1011</v>
      </c>
      <c r="C3114" s="0" t="s">
        <v>4534</v>
      </c>
      <c r="D3114" s="0" t="s">
        <v>98</v>
      </c>
      <c r="E3114" s="0" t="s">
        <v>4445</v>
      </c>
    </row>
    <row r="3115" customFormat="false" ht="15" hidden="false" customHeight="false" outlineLevel="0" collapsed="false">
      <c r="A3115" s="0" t="s">
        <v>4418</v>
      </c>
      <c r="B3115" s="0" t="s">
        <v>1012</v>
      </c>
      <c r="C3115" s="0" t="s">
        <v>4535</v>
      </c>
      <c r="D3115" s="0" t="s">
        <v>98</v>
      </c>
      <c r="E3115" s="0" t="s">
        <v>4445</v>
      </c>
    </row>
    <row r="3116" customFormat="false" ht="15" hidden="false" customHeight="false" outlineLevel="0" collapsed="false">
      <c r="A3116" s="0" t="s">
        <v>4418</v>
      </c>
      <c r="B3116" s="0" t="s">
        <v>1013</v>
      </c>
      <c r="C3116" s="0" t="s">
        <v>4536</v>
      </c>
      <c r="D3116" s="0" t="s">
        <v>98</v>
      </c>
      <c r="E3116" s="0" t="s">
        <v>4445</v>
      </c>
    </row>
    <row r="3117" customFormat="false" ht="15" hidden="false" customHeight="false" outlineLevel="0" collapsed="false">
      <c r="A3117" s="0" t="s">
        <v>4418</v>
      </c>
      <c r="B3117" s="0" t="s">
        <v>1014</v>
      </c>
      <c r="C3117" s="0" t="s">
        <v>4537</v>
      </c>
      <c r="D3117" s="0" t="s">
        <v>98</v>
      </c>
      <c r="E3117" s="0" t="s">
        <v>4445</v>
      </c>
    </row>
    <row r="3118" customFormat="false" ht="15" hidden="false" customHeight="false" outlineLevel="0" collapsed="false">
      <c r="A3118" s="0" t="s">
        <v>4418</v>
      </c>
      <c r="B3118" s="0" t="s">
        <v>1015</v>
      </c>
      <c r="C3118" s="0" t="s">
        <v>4538</v>
      </c>
      <c r="D3118" s="0" t="s">
        <v>98</v>
      </c>
      <c r="E3118" s="0" t="s">
        <v>4445</v>
      </c>
    </row>
    <row r="3119" customFormat="false" ht="15" hidden="false" customHeight="false" outlineLevel="0" collapsed="false">
      <c r="A3119" s="0" t="s">
        <v>4418</v>
      </c>
      <c r="B3119" s="0" t="s">
        <v>1016</v>
      </c>
      <c r="C3119" s="0" t="s">
        <v>4539</v>
      </c>
      <c r="D3119" s="0" t="s">
        <v>98</v>
      </c>
      <c r="E3119" s="0" t="s">
        <v>4445</v>
      </c>
    </row>
    <row r="3120" customFormat="false" ht="15" hidden="false" customHeight="false" outlineLevel="0" collapsed="false">
      <c r="A3120" s="0" t="s">
        <v>4418</v>
      </c>
      <c r="B3120" s="0" t="s">
        <v>1017</v>
      </c>
      <c r="C3120" s="0" t="s">
        <v>4540</v>
      </c>
      <c r="D3120" s="0" t="s">
        <v>98</v>
      </c>
      <c r="E3120" s="0" t="s">
        <v>4445</v>
      </c>
    </row>
    <row r="3121" customFormat="false" ht="15" hidden="false" customHeight="false" outlineLevel="0" collapsed="false">
      <c r="A3121" s="0" t="s">
        <v>4418</v>
      </c>
      <c r="B3121" s="0" t="s">
        <v>1018</v>
      </c>
      <c r="C3121" s="0" t="s">
        <v>4541</v>
      </c>
      <c r="D3121" s="0" t="s">
        <v>98</v>
      </c>
      <c r="E3121" s="0" t="s">
        <v>4445</v>
      </c>
    </row>
    <row r="3122" customFormat="false" ht="15" hidden="false" customHeight="false" outlineLevel="0" collapsed="false">
      <c r="A3122" s="0" t="s">
        <v>4418</v>
      </c>
      <c r="B3122" s="0" t="s">
        <v>1019</v>
      </c>
      <c r="C3122" s="0" t="s">
        <v>4542</v>
      </c>
      <c r="D3122" s="0" t="s">
        <v>98</v>
      </c>
      <c r="E3122" s="0" t="s">
        <v>4445</v>
      </c>
    </row>
    <row r="3123" customFormat="false" ht="15" hidden="false" customHeight="false" outlineLevel="0" collapsed="false">
      <c r="A3123" s="0" t="s">
        <v>4418</v>
      </c>
      <c r="B3123" s="0" t="s">
        <v>1020</v>
      </c>
      <c r="C3123" s="0" t="s">
        <v>4543</v>
      </c>
      <c r="D3123" s="0" t="s">
        <v>98</v>
      </c>
      <c r="E3123" s="0" t="s">
        <v>4445</v>
      </c>
    </row>
    <row r="3124" customFormat="false" ht="15" hidden="false" customHeight="false" outlineLevel="0" collapsed="false">
      <c r="A3124" s="0" t="s">
        <v>4418</v>
      </c>
      <c r="B3124" s="0" t="s">
        <v>1021</v>
      </c>
      <c r="C3124" s="0" t="s">
        <v>4544</v>
      </c>
      <c r="D3124" s="0" t="s">
        <v>98</v>
      </c>
      <c r="E3124" s="0" t="s">
        <v>4445</v>
      </c>
    </row>
    <row r="3125" customFormat="false" ht="15" hidden="false" customHeight="false" outlineLevel="0" collapsed="false">
      <c r="A3125" s="0" t="s">
        <v>4418</v>
      </c>
      <c r="B3125" s="0" t="s">
        <v>1022</v>
      </c>
      <c r="C3125" s="0" t="s">
        <v>4545</v>
      </c>
      <c r="D3125" s="0" t="s">
        <v>98</v>
      </c>
      <c r="E3125" s="0" t="s">
        <v>4445</v>
      </c>
    </row>
    <row r="3126" customFormat="false" ht="15" hidden="false" customHeight="false" outlineLevel="0" collapsed="false">
      <c r="A3126" s="0" t="s">
        <v>4418</v>
      </c>
      <c r="B3126" s="0" t="s">
        <v>1023</v>
      </c>
      <c r="C3126" s="0" t="s">
        <v>4546</v>
      </c>
      <c r="D3126" s="0" t="s">
        <v>98</v>
      </c>
      <c r="E3126" s="0" t="s">
        <v>4445</v>
      </c>
    </row>
    <row r="3127" customFormat="false" ht="15" hidden="false" customHeight="false" outlineLevel="0" collapsed="false">
      <c r="A3127" s="0" t="s">
        <v>4418</v>
      </c>
      <c r="B3127" s="0" t="s">
        <v>1024</v>
      </c>
      <c r="C3127" s="0" t="s">
        <v>4547</v>
      </c>
      <c r="D3127" s="0" t="s">
        <v>98</v>
      </c>
      <c r="E3127" s="0" t="s">
        <v>4445</v>
      </c>
    </row>
    <row r="3128" customFormat="false" ht="15" hidden="false" customHeight="false" outlineLevel="0" collapsed="false">
      <c r="A3128" s="0" t="s">
        <v>4418</v>
      </c>
      <c r="B3128" s="0" t="s">
        <v>629</v>
      </c>
      <c r="C3128" s="0" t="s">
        <v>4548</v>
      </c>
      <c r="D3128" s="0" t="s">
        <v>98</v>
      </c>
      <c r="E3128" s="0" t="s">
        <v>4445</v>
      </c>
    </row>
    <row r="3129" customFormat="false" ht="15" hidden="false" customHeight="false" outlineLevel="0" collapsed="false">
      <c r="A3129" s="0" t="s">
        <v>4418</v>
      </c>
      <c r="B3129" s="0" t="s">
        <v>631</v>
      </c>
      <c r="C3129" s="0" t="s">
        <v>4549</v>
      </c>
      <c r="D3129" s="0" t="s">
        <v>98</v>
      </c>
      <c r="E3129" s="0" t="s">
        <v>4445</v>
      </c>
    </row>
    <row r="3130" customFormat="false" ht="15" hidden="false" customHeight="false" outlineLevel="0" collapsed="false">
      <c r="A3130" s="0" t="s">
        <v>4418</v>
      </c>
      <c r="B3130" s="0" t="s">
        <v>632</v>
      </c>
      <c r="C3130" s="0" t="s">
        <v>4550</v>
      </c>
      <c r="D3130" s="0" t="s">
        <v>98</v>
      </c>
      <c r="E3130" s="0" t="s">
        <v>4445</v>
      </c>
    </row>
    <row r="3131" customFormat="false" ht="15" hidden="false" customHeight="false" outlineLevel="0" collapsed="false">
      <c r="A3131" s="0" t="s">
        <v>4418</v>
      </c>
      <c r="B3131" s="0" t="s">
        <v>633</v>
      </c>
      <c r="C3131" s="0" t="s">
        <v>4551</v>
      </c>
      <c r="D3131" s="0" t="s">
        <v>98</v>
      </c>
      <c r="E3131" s="0" t="s">
        <v>4445</v>
      </c>
    </row>
    <row r="3132" customFormat="false" ht="15" hidden="false" customHeight="false" outlineLevel="0" collapsed="false">
      <c r="A3132" s="0" t="s">
        <v>4418</v>
      </c>
      <c r="B3132" s="0" t="s">
        <v>634</v>
      </c>
      <c r="C3132" s="0" t="s">
        <v>4552</v>
      </c>
      <c r="D3132" s="0" t="s">
        <v>98</v>
      </c>
      <c r="E3132" s="0" t="s">
        <v>4445</v>
      </c>
    </row>
    <row r="3133" customFormat="false" ht="15" hidden="false" customHeight="false" outlineLevel="0" collapsed="false">
      <c r="A3133" s="0" t="s">
        <v>4418</v>
      </c>
      <c r="B3133" s="0" t="s">
        <v>635</v>
      </c>
      <c r="C3133" s="0" t="s">
        <v>4553</v>
      </c>
      <c r="D3133" s="0" t="s">
        <v>98</v>
      </c>
      <c r="E3133" s="0" t="s">
        <v>4445</v>
      </c>
    </row>
    <row r="3134" customFormat="false" ht="15" hidden="false" customHeight="false" outlineLevel="0" collapsed="false">
      <c r="A3134" s="0" t="s">
        <v>4418</v>
      </c>
      <c r="B3134" s="0" t="s">
        <v>636</v>
      </c>
      <c r="C3134" s="0" t="s">
        <v>4554</v>
      </c>
      <c r="D3134" s="0" t="s">
        <v>98</v>
      </c>
      <c r="E3134" s="0" t="s">
        <v>4445</v>
      </c>
    </row>
    <row r="3135" customFormat="false" ht="15" hidden="false" customHeight="false" outlineLevel="0" collapsed="false">
      <c r="A3135" s="0" t="s">
        <v>4418</v>
      </c>
      <c r="B3135" s="0" t="s">
        <v>1025</v>
      </c>
      <c r="C3135" s="0" t="s">
        <v>4555</v>
      </c>
      <c r="D3135" s="0" t="s">
        <v>98</v>
      </c>
      <c r="E3135" s="0" t="s">
        <v>4445</v>
      </c>
    </row>
    <row r="3136" customFormat="false" ht="15" hidden="false" customHeight="false" outlineLevel="0" collapsed="false">
      <c r="A3136" s="0" t="s">
        <v>4418</v>
      </c>
      <c r="B3136" s="0" t="s">
        <v>1026</v>
      </c>
      <c r="C3136" s="0" t="s">
        <v>4556</v>
      </c>
      <c r="D3136" s="0" t="s">
        <v>98</v>
      </c>
      <c r="E3136" s="0" t="s">
        <v>4445</v>
      </c>
    </row>
    <row r="3137" customFormat="false" ht="15" hidden="false" customHeight="false" outlineLevel="0" collapsed="false">
      <c r="A3137" s="0" t="s">
        <v>4418</v>
      </c>
      <c r="B3137" s="0" t="s">
        <v>1027</v>
      </c>
      <c r="C3137" s="0" t="s">
        <v>4557</v>
      </c>
      <c r="D3137" s="0" t="s">
        <v>98</v>
      </c>
      <c r="E3137" s="0" t="s">
        <v>4445</v>
      </c>
    </row>
    <row r="3138" customFormat="false" ht="15" hidden="false" customHeight="false" outlineLevel="0" collapsed="false">
      <c r="A3138" s="0" t="s">
        <v>4418</v>
      </c>
      <c r="B3138" s="0" t="s">
        <v>1028</v>
      </c>
      <c r="C3138" s="0" t="s">
        <v>4558</v>
      </c>
      <c r="D3138" s="0" t="s">
        <v>98</v>
      </c>
      <c r="E3138" s="0" t="s">
        <v>4445</v>
      </c>
    </row>
    <row r="3139" customFormat="false" ht="15" hidden="false" customHeight="false" outlineLevel="0" collapsed="false">
      <c r="A3139" s="0" t="s">
        <v>4418</v>
      </c>
      <c r="B3139" s="0" t="s">
        <v>1029</v>
      </c>
      <c r="C3139" s="0" t="s">
        <v>4559</v>
      </c>
      <c r="D3139" s="0" t="s">
        <v>98</v>
      </c>
      <c r="E3139" s="0" t="s">
        <v>4445</v>
      </c>
    </row>
    <row r="3140" customFormat="false" ht="15" hidden="false" customHeight="false" outlineLevel="0" collapsed="false">
      <c r="A3140" s="0" t="s">
        <v>4418</v>
      </c>
      <c r="B3140" s="0" t="s">
        <v>1030</v>
      </c>
      <c r="C3140" s="0" t="s">
        <v>4560</v>
      </c>
      <c r="D3140" s="0" t="s">
        <v>98</v>
      </c>
      <c r="E3140" s="0" t="s">
        <v>4445</v>
      </c>
    </row>
    <row r="3141" customFormat="false" ht="15" hidden="false" customHeight="false" outlineLevel="0" collapsed="false">
      <c r="A3141" s="0" t="s">
        <v>4418</v>
      </c>
      <c r="B3141" s="0" t="s">
        <v>1031</v>
      </c>
      <c r="C3141" s="0" t="s">
        <v>4561</v>
      </c>
      <c r="D3141" s="0" t="s">
        <v>98</v>
      </c>
      <c r="E3141" s="0" t="s">
        <v>4445</v>
      </c>
    </row>
    <row r="3142" customFormat="false" ht="15" hidden="false" customHeight="false" outlineLevel="0" collapsed="false">
      <c r="A3142" s="0" t="s">
        <v>4418</v>
      </c>
      <c r="B3142" s="0" t="s">
        <v>1032</v>
      </c>
      <c r="C3142" s="0" t="s">
        <v>4562</v>
      </c>
      <c r="D3142" s="0" t="s">
        <v>98</v>
      </c>
      <c r="E3142" s="0" t="s">
        <v>4445</v>
      </c>
    </row>
    <row r="3143" customFormat="false" ht="15" hidden="false" customHeight="false" outlineLevel="0" collapsed="false">
      <c r="A3143" s="0" t="s">
        <v>4418</v>
      </c>
      <c r="B3143" s="0" t="s">
        <v>1034</v>
      </c>
      <c r="C3143" s="0" t="s">
        <v>4563</v>
      </c>
      <c r="D3143" s="0" t="s">
        <v>98</v>
      </c>
      <c r="E3143" s="0" t="s">
        <v>4445</v>
      </c>
    </row>
    <row r="3144" customFormat="false" ht="15" hidden="false" customHeight="false" outlineLevel="0" collapsed="false">
      <c r="A3144" s="0" t="s">
        <v>4418</v>
      </c>
      <c r="B3144" s="0" t="s">
        <v>1035</v>
      </c>
      <c r="C3144" s="0" t="s">
        <v>4564</v>
      </c>
      <c r="D3144" s="0" t="s">
        <v>98</v>
      </c>
      <c r="E3144" s="0" t="s">
        <v>4445</v>
      </c>
    </row>
    <row r="3145" customFormat="false" ht="15" hidden="false" customHeight="false" outlineLevel="0" collapsed="false">
      <c r="A3145" s="0" t="s">
        <v>4418</v>
      </c>
      <c r="B3145" s="0" t="s">
        <v>1037</v>
      </c>
      <c r="C3145" s="0" t="s">
        <v>4565</v>
      </c>
      <c r="D3145" s="0" t="s">
        <v>98</v>
      </c>
      <c r="E3145" s="0" t="s">
        <v>4445</v>
      </c>
    </row>
    <row r="3146" customFormat="false" ht="15" hidden="false" customHeight="false" outlineLevel="0" collapsed="false">
      <c r="A3146" s="0" t="s">
        <v>4418</v>
      </c>
      <c r="B3146" s="0" t="s">
        <v>1038</v>
      </c>
      <c r="C3146" s="0" t="s">
        <v>4566</v>
      </c>
      <c r="D3146" s="0" t="s">
        <v>98</v>
      </c>
      <c r="E3146" s="0" t="s">
        <v>4445</v>
      </c>
    </row>
    <row r="3147" customFormat="false" ht="15" hidden="false" customHeight="false" outlineLevel="0" collapsed="false">
      <c r="A3147" s="0" t="s">
        <v>4418</v>
      </c>
      <c r="B3147" s="0" t="s">
        <v>1040</v>
      </c>
      <c r="C3147" s="0" t="s">
        <v>4567</v>
      </c>
      <c r="D3147" s="0" t="s">
        <v>98</v>
      </c>
      <c r="E3147" s="0" t="s">
        <v>4445</v>
      </c>
    </row>
    <row r="3148" customFormat="false" ht="15" hidden="false" customHeight="false" outlineLevel="0" collapsed="false">
      <c r="A3148" s="0" t="s">
        <v>4418</v>
      </c>
      <c r="B3148" s="0" t="s">
        <v>1041</v>
      </c>
      <c r="C3148" s="0" t="s">
        <v>4568</v>
      </c>
      <c r="D3148" s="0" t="s">
        <v>98</v>
      </c>
      <c r="E3148" s="0" t="s">
        <v>4445</v>
      </c>
    </row>
    <row r="3149" customFormat="false" ht="15" hidden="false" customHeight="false" outlineLevel="0" collapsed="false">
      <c r="A3149" s="0" t="s">
        <v>4418</v>
      </c>
      <c r="B3149" s="0" t="s">
        <v>1044</v>
      </c>
      <c r="C3149" s="0" t="s">
        <v>4569</v>
      </c>
      <c r="D3149" s="0" t="s">
        <v>98</v>
      </c>
      <c r="E3149" s="0" t="s">
        <v>4445</v>
      </c>
    </row>
    <row r="3150" customFormat="false" ht="15" hidden="false" customHeight="false" outlineLevel="0" collapsed="false">
      <c r="A3150" s="0" t="s">
        <v>4418</v>
      </c>
      <c r="B3150" s="0" t="s">
        <v>1045</v>
      </c>
      <c r="C3150" s="0" t="s">
        <v>4570</v>
      </c>
      <c r="D3150" s="0" t="s">
        <v>98</v>
      </c>
      <c r="E3150" s="0" t="s">
        <v>4445</v>
      </c>
    </row>
    <row r="3151" customFormat="false" ht="15" hidden="false" customHeight="false" outlineLevel="0" collapsed="false">
      <c r="A3151" s="0" t="s">
        <v>4418</v>
      </c>
      <c r="B3151" s="0" t="s">
        <v>1048</v>
      </c>
      <c r="C3151" s="0" t="s">
        <v>4571</v>
      </c>
      <c r="D3151" s="0" t="s">
        <v>98</v>
      </c>
      <c r="E3151" s="0" t="s">
        <v>4445</v>
      </c>
    </row>
    <row r="3152" customFormat="false" ht="15" hidden="false" customHeight="false" outlineLevel="0" collapsed="false">
      <c r="A3152" s="0" t="s">
        <v>4418</v>
      </c>
      <c r="B3152" s="0" t="s">
        <v>1049</v>
      </c>
      <c r="C3152" s="0" t="s">
        <v>4572</v>
      </c>
      <c r="D3152" s="0" t="s">
        <v>98</v>
      </c>
      <c r="E3152" s="0" t="s">
        <v>4445</v>
      </c>
    </row>
    <row r="3153" customFormat="false" ht="15" hidden="false" customHeight="false" outlineLevel="0" collapsed="false">
      <c r="A3153" s="0" t="s">
        <v>4418</v>
      </c>
      <c r="B3153" s="0" t="s">
        <v>1050</v>
      </c>
      <c r="C3153" s="0" t="s">
        <v>4573</v>
      </c>
      <c r="D3153" s="0" t="s">
        <v>98</v>
      </c>
      <c r="E3153" s="0" t="s">
        <v>4445</v>
      </c>
    </row>
    <row r="3154" customFormat="false" ht="15" hidden="false" customHeight="false" outlineLevel="0" collapsed="false">
      <c r="A3154" s="0" t="s">
        <v>4418</v>
      </c>
      <c r="B3154" s="0" t="s">
        <v>1051</v>
      </c>
      <c r="C3154" s="0" t="s">
        <v>4574</v>
      </c>
      <c r="D3154" s="0" t="s">
        <v>98</v>
      </c>
      <c r="E3154" s="0" t="s">
        <v>4445</v>
      </c>
    </row>
    <row r="3155" customFormat="false" ht="15" hidden="false" customHeight="false" outlineLevel="0" collapsed="false">
      <c r="A3155" s="0" t="s">
        <v>4418</v>
      </c>
      <c r="B3155" s="0" t="s">
        <v>1053</v>
      </c>
      <c r="C3155" s="0" t="s">
        <v>4575</v>
      </c>
      <c r="D3155" s="0" t="s">
        <v>98</v>
      </c>
      <c r="E3155" s="0" t="s">
        <v>4445</v>
      </c>
    </row>
    <row r="3156" customFormat="false" ht="15" hidden="false" customHeight="false" outlineLevel="0" collapsed="false">
      <c r="A3156" s="0" t="s">
        <v>4418</v>
      </c>
      <c r="B3156" s="0" t="s">
        <v>639</v>
      </c>
      <c r="C3156" s="0" t="s">
        <v>4576</v>
      </c>
      <c r="D3156" s="0" t="s">
        <v>98</v>
      </c>
      <c r="E3156" s="0" t="s">
        <v>4445</v>
      </c>
    </row>
    <row r="3157" customFormat="false" ht="15" hidden="false" customHeight="false" outlineLevel="0" collapsed="false">
      <c r="A3157" s="0" t="s">
        <v>4418</v>
      </c>
      <c r="B3157" s="0" t="s">
        <v>640</v>
      </c>
      <c r="C3157" s="0" t="s">
        <v>4577</v>
      </c>
      <c r="D3157" s="0" t="s">
        <v>98</v>
      </c>
      <c r="E3157" s="0" t="s">
        <v>4445</v>
      </c>
    </row>
    <row r="3158" customFormat="false" ht="15" hidden="false" customHeight="false" outlineLevel="0" collapsed="false">
      <c r="A3158" s="0" t="s">
        <v>4418</v>
      </c>
      <c r="B3158" s="0" t="s">
        <v>641</v>
      </c>
      <c r="C3158" s="0" t="s">
        <v>4578</v>
      </c>
      <c r="D3158" s="0" t="s">
        <v>98</v>
      </c>
      <c r="E3158" s="0" t="s">
        <v>4445</v>
      </c>
    </row>
    <row r="3159" customFormat="false" ht="15" hidden="false" customHeight="false" outlineLevel="0" collapsed="false">
      <c r="A3159" s="0" t="s">
        <v>4418</v>
      </c>
      <c r="B3159" s="0" t="s">
        <v>642</v>
      </c>
      <c r="C3159" s="0" t="s">
        <v>4579</v>
      </c>
      <c r="D3159" s="0" t="s">
        <v>98</v>
      </c>
      <c r="E3159" s="0" t="s">
        <v>4445</v>
      </c>
    </row>
    <row r="3160" customFormat="false" ht="15" hidden="false" customHeight="false" outlineLevel="0" collapsed="false">
      <c r="A3160" s="0" t="s">
        <v>4418</v>
      </c>
      <c r="B3160" s="0" t="s">
        <v>643</v>
      </c>
      <c r="C3160" s="0" t="s">
        <v>4580</v>
      </c>
      <c r="D3160" s="0" t="s">
        <v>98</v>
      </c>
      <c r="E3160" s="0" t="s">
        <v>4445</v>
      </c>
    </row>
    <row r="3161" customFormat="false" ht="15" hidden="false" customHeight="false" outlineLevel="0" collapsed="false">
      <c r="A3161" s="0" t="s">
        <v>4418</v>
      </c>
      <c r="B3161" s="0" t="s">
        <v>644</v>
      </c>
      <c r="C3161" s="0" t="s">
        <v>4581</v>
      </c>
      <c r="D3161" s="0" t="s">
        <v>98</v>
      </c>
      <c r="E3161" s="0" t="s">
        <v>4445</v>
      </c>
    </row>
    <row r="3162" customFormat="false" ht="15" hidden="false" customHeight="false" outlineLevel="0" collapsed="false">
      <c r="A3162" s="0" t="s">
        <v>4418</v>
      </c>
      <c r="B3162" s="0" t="s">
        <v>645</v>
      </c>
      <c r="C3162" s="0" t="s">
        <v>4582</v>
      </c>
      <c r="D3162" s="0" t="s">
        <v>98</v>
      </c>
      <c r="E3162" s="0" t="s">
        <v>4445</v>
      </c>
    </row>
    <row r="3163" customFormat="false" ht="15" hidden="false" customHeight="false" outlineLevel="0" collapsed="false">
      <c r="A3163" s="0" t="s">
        <v>4418</v>
      </c>
      <c r="B3163" s="0" t="s">
        <v>1054</v>
      </c>
      <c r="C3163" s="0" t="s">
        <v>4583</v>
      </c>
      <c r="D3163" s="0" t="s">
        <v>98</v>
      </c>
      <c r="E3163" s="0" t="s">
        <v>4445</v>
      </c>
    </row>
    <row r="3164" customFormat="false" ht="15" hidden="false" customHeight="false" outlineLevel="0" collapsed="false">
      <c r="A3164" s="0" t="s">
        <v>4418</v>
      </c>
      <c r="B3164" s="0" t="s">
        <v>1055</v>
      </c>
      <c r="C3164" s="0" t="s">
        <v>4584</v>
      </c>
      <c r="D3164" s="0" t="s">
        <v>98</v>
      </c>
      <c r="E3164" s="0" t="s">
        <v>4445</v>
      </c>
    </row>
    <row r="3165" customFormat="false" ht="15" hidden="false" customHeight="false" outlineLevel="0" collapsed="false">
      <c r="A3165" s="0" t="s">
        <v>4418</v>
      </c>
      <c r="B3165" s="0" t="s">
        <v>1056</v>
      </c>
      <c r="C3165" s="0" t="s">
        <v>4585</v>
      </c>
      <c r="D3165" s="0" t="s">
        <v>98</v>
      </c>
      <c r="E3165" s="0" t="s">
        <v>4445</v>
      </c>
    </row>
    <row r="3166" customFormat="false" ht="15" hidden="false" customHeight="false" outlineLevel="0" collapsed="false">
      <c r="A3166" s="0" t="s">
        <v>4418</v>
      </c>
      <c r="B3166" s="0" t="s">
        <v>1057</v>
      </c>
      <c r="C3166" s="0" t="s">
        <v>4586</v>
      </c>
      <c r="D3166" s="0" t="s">
        <v>98</v>
      </c>
      <c r="E3166" s="0" t="s">
        <v>4445</v>
      </c>
    </row>
    <row r="3167" customFormat="false" ht="15" hidden="false" customHeight="false" outlineLevel="0" collapsed="false">
      <c r="A3167" s="0" t="s">
        <v>4418</v>
      </c>
      <c r="B3167" s="0" t="s">
        <v>1058</v>
      </c>
      <c r="C3167" s="0" t="s">
        <v>4587</v>
      </c>
      <c r="D3167" s="0" t="s">
        <v>98</v>
      </c>
      <c r="E3167" s="0" t="s">
        <v>4445</v>
      </c>
    </row>
    <row r="3168" customFormat="false" ht="15" hidden="false" customHeight="false" outlineLevel="0" collapsed="false">
      <c r="A3168" s="0" t="s">
        <v>4418</v>
      </c>
      <c r="B3168" s="0" t="s">
        <v>1059</v>
      </c>
      <c r="C3168" s="0" t="s">
        <v>4588</v>
      </c>
      <c r="D3168" s="0" t="s">
        <v>98</v>
      </c>
      <c r="E3168" s="0" t="s">
        <v>4445</v>
      </c>
    </row>
    <row r="3169" customFormat="false" ht="15" hidden="false" customHeight="false" outlineLevel="0" collapsed="false">
      <c r="A3169" s="0" t="s">
        <v>4418</v>
      </c>
      <c r="B3169" s="0" t="s">
        <v>1060</v>
      </c>
      <c r="C3169" s="0" t="s">
        <v>4589</v>
      </c>
      <c r="D3169" s="0" t="s">
        <v>98</v>
      </c>
      <c r="E3169" s="0" t="s">
        <v>4445</v>
      </c>
    </row>
    <row r="3170" customFormat="false" ht="15" hidden="false" customHeight="false" outlineLevel="0" collapsed="false">
      <c r="A3170" s="0" t="s">
        <v>4418</v>
      </c>
      <c r="B3170" s="0" t="s">
        <v>1061</v>
      </c>
      <c r="C3170" s="0" t="s">
        <v>4590</v>
      </c>
      <c r="D3170" s="0" t="s">
        <v>98</v>
      </c>
      <c r="E3170" s="0" t="s">
        <v>4445</v>
      </c>
    </row>
    <row r="3171" customFormat="false" ht="15" hidden="false" customHeight="false" outlineLevel="0" collapsed="false">
      <c r="A3171" s="0" t="s">
        <v>4418</v>
      </c>
      <c r="B3171" s="0" t="s">
        <v>1062</v>
      </c>
      <c r="C3171" s="0" t="s">
        <v>4591</v>
      </c>
      <c r="D3171" s="0" t="s">
        <v>98</v>
      </c>
      <c r="E3171" s="0" t="s">
        <v>4445</v>
      </c>
    </row>
    <row r="3172" customFormat="false" ht="15" hidden="false" customHeight="false" outlineLevel="0" collapsed="false">
      <c r="A3172" s="0" t="s">
        <v>4418</v>
      </c>
      <c r="B3172" s="0" t="s">
        <v>1063</v>
      </c>
      <c r="C3172" s="0" t="s">
        <v>4592</v>
      </c>
      <c r="D3172" s="0" t="s">
        <v>98</v>
      </c>
      <c r="E3172" s="0" t="s">
        <v>4445</v>
      </c>
    </row>
    <row r="3173" customFormat="false" ht="15" hidden="false" customHeight="false" outlineLevel="0" collapsed="false">
      <c r="A3173" s="0" t="s">
        <v>4418</v>
      </c>
      <c r="B3173" s="0" t="s">
        <v>1064</v>
      </c>
      <c r="C3173" s="0" t="s">
        <v>4593</v>
      </c>
      <c r="D3173" s="0" t="s">
        <v>98</v>
      </c>
      <c r="E3173" s="0" t="s">
        <v>4445</v>
      </c>
    </row>
    <row r="3174" customFormat="false" ht="15" hidden="false" customHeight="false" outlineLevel="0" collapsed="false">
      <c r="A3174" s="0" t="s">
        <v>4418</v>
      </c>
      <c r="B3174" s="0" t="s">
        <v>1065</v>
      </c>
      <c r="C3174" s="0" t="s">
        <v>4594</v>
      </c>
      <c r="D3174" s="0" t="s">
        <v>98</v>
      </c>
      <c r="E3174" s="0" t="s">
        <v>4445</v>
      </c>
    </row>
    <row r="3175" customFormat="false" ht="15" hidden="false" customHeight="false" outlineLevel="0" collapsed="false">
      <c r="A3175" s="0" t="s">
        <v>4418</v>
      </c>
      <c r="B3175" s="0" t="s">
        <v>1066</v>
      </c>
      <c r="C3175" s="0" t="s">
        <v>4595</v>
      </c>
      <c r="D3175" s="0" t="s">
        <v>98</v>
      </c>
      <c r="E3175" s="0" t="s">
        <v>4445</v>
      </c>
    </row>
    <row r="3176" customFormat="false" ht="15" hidden="false" customHeight="false" outlineLevel="0" collapsed="false">
      <c r="A3176" s="0" t="s">
        <v>4418</v>
      </c>
      <c r="B3176" s="0" t="s">
        <v>1067</v>
      </c>
      <c r="C3176" s="0" t="s">
        <v>4596</v>
      </c>
      <c r="D3176" s="0" t="s">
        <v>98</v>
      </c>
      <c r="E3176" s="0" t="s">
        <v>4445</v>
      </c>
    </row>
    <row r="3177" customFormat="false" ht="15" hidden="false" customHeight="false" outlineLevel="0" collapsed="false">
      <c r="A3177" s="0" t="s">
        <v>4418</v>
      </c>
      <c r="B3177" s="0" t="s">
        <v>1068</v>
      </c>
      <c r="C3177" s="0" t="s">
        <v>4597</v>
      </c>
      <c r="D3177" s="0" t="s">
        <v>98</v>
      </c>
      <c r="E3177" s="0" t="s">
        <v>4445</v>
      </c>
    </row>
    <row r="3178" customFormat="false" ht="15" hidden="false" customHeight="false" outlineLevel="0" collapsed="false">
      <c r="A3178" s="0" t="s">
        <v>4418</v>
      </c>
      <c r="B3178" s="0" t="s">
        <v>1069</v>
      </c>
      <c r="C3178" s="0" t="s">
        <v>4598</v>
      </c>
      <c r="D3178" s="0" t="s">
        <v>98</v>
      </c>
      <c r="E3178" s="0" t="s">
        <v>4445</v>
      </c>
    </row>
    <row r="3179" customFormat="false" ht="15" hidden="false" customHeight="false" outlineLevel="0" collapsed="false">
      <c r="A3179" s="0" t="s">
        <v>4418</v>
      </c>
      <c r="B3179" s="0" t="s">
        <v>1071</v>
      </c>
      <c r="C3179" s="0" t="s">
        <v>4599</v>
      </c>
      <c r="D3179" s="0" t="s">
        <v>98</v>
      </c>
      <c r="E3179" s="0" t="s">
        <v>4445</v>
      </c>
    </row>
    <row r="3180" customFormat="false" ht="15" hidden="false" customHeight="false" outlineLevel="0" collapsed="false">
      <c r="A3180" s="0" t="s">
        <v>4418</v>
      </c>
      <c r="B3180" s="0" t="s">
        <v>1072</v>
      </c>
      <c r="C3180" s="0" t="s">
        <v>4600</v>
      </c>
      <c r="D3180" s="0" t="s">
        <v>98</v>
      </c>
      <c r="E3180" s="0" t="s">
        <v>4445</v>
      </c>
    </row>
    <row r="3181" customFormat="false" ht="15" hidden="false" customHeight="false" outlineLevel="0" collapsed="false">
      <c r="A3181" s="0" t="s">
        <v>4418</v>
      </c>
      <c r="B3181" s="0" t="s">
        <v>1073</v>
      </c>
      <c r="C3181" s="0" t="s">
        <v>4601</v>
      </c>
      <c r="D3181" s="0" t="s">
        <v>98</v>
      </c>
      <c r="E3181" s="0" t="s">
        <v>4445</v>
      </c>
    </row>
    <row r="3182" customFormat="false" ht="15" hidden="false" customHeight="false" outlineLevel="0" collapsed="false">
      <c r="A3182" s="0" t="s">
        <v>4418</v>
      </c>
      <c r="B3182" s="0" t="s">
        <v>1074</v>
      </c>
      <c r="C3182" s="0" t="s">
        <v>4602</v>
      </c>
      <c r="D3182" s="0" t="s">
        <v>98</v>
      </c>
      <c r="E3182" s="0" t="s">
        <v>4445</v>
      </c>
    </row>
    <row r="3183" customFormat="false" ht="15" hidden="false" customHeight="false" outlineLevel="0" collapsed="false">
      <c r="A3183" s="0" t="s">
        <v>4418</v>
      </c>
      <c r="B3183" s="0" t="s">
        <v>1075</v>
      </c>
      <c r="C3183" s="0" t="s">
        <v>4603</v>
      </c>
      <c r="D3183" s="0" t="s">
        <v>98</v>
      </c>
      <c r="E3183" s="0" t="s">
        <v>4445</v>
      </c>
    </row>
    <row r="3184" customFormat="false" ht="15" hidden="false" customHeight="false" outlineLevel="0" collapsed="false">
      <c r="A3184" s="0" t="s">
        <v>4418</v>
      </c>
      <c r="B3184" s="0" t="s">
        <v>648</v>
      </c>
      <c r="C3184" s="0" t="s">
        <v>4604</v>
      </c>
      <c r="D3184" s="0" t="s">
        <v>98</v>
      </c>
      <c r="E3184" s="0" t="s">
        <v>4445</v>
      </c>
    </row>
    <row r="3185" customFormat="false" ht="15" hidden="false" customHeight="false" outlineLevel="0" collapsed="false">
      <c r="A3185" s="0" t="s">
        <v>4418</v>
      </c>
      <c r="B3185" s="0" t="s">
        <v>649</v>
      </c>
      <c r="C3185" s="0" t="s">
        <v>4605</v>
      </c>
      <c r="D3185" s="0" t="s">
        <v>98</v>
      </c>
      <c r="E3185" s="0" t="s">
        <v>4445</v>
      </c>
    </row>
    <row r="3186" customFormat="false" ht="15" hidden="false" customHeight="false" outlineLevel="0" collapsed="false">
      <c r="A3186" s="0" t="s">
        <v>4418</v>
      </c>
      <c r="B3186" s="0" t="s">
        <v>650</v>
      </c>
      <c r="C3186" s="0" t="s">
        <v>4606</v>
      </c>
      <c r="D3186" s="0" t="s">
        <v>98</v>
      </c>
      <c r="E3186" s="0" t="s">
        <v>4445</v>
      </c>
    </row>
    <row r="3187" customFormat="false" ht="15" hidden="false" customHeight="false" outlineLevel="0" collapsed="false">
      <c r="A3187" s="0" t="s">
        <v>4418</v>
      </c>
      <c r="B3187" s="0" t="s">
        <v>651</v>
      </c>
      <c r="C3187" s="0" t="s">
        <v>4607</v>
      </c>
      <c r="D3187" s="0" t="s">
        <v>98</v>
      </c>
      <c r="E3187" s="0" t="s">
        <v>4445</v>
      </c>
    </row>
    <row r="3188" customFormat="false" ht="15" hidden="false" customHeight="false" outlineLevel="0" collapsed="false">
      <c r="A3188" s="0" t="s">
        <v>4418</v>
      </c>
      <c r="B3188" s="0" t="s">
        <v>652</v>
      </c>
      <c r="C3188" s="0" t="s">
        <v>4608</v>
      </c>
      <c r="D3188" s="0" t="s">
        <v>98</v>
      </c>
      <c r="E3188" s="0" t="s">
        <v>4445</v>
      </c>
    </row>
    <row r="3189" customFormat="false" ht="15" hidden="false" customHeight="false" outlineLevel="0" collapsed="false">
      <c r="A3189" s="0" t="s">
        <v>4418</v>
      </c>
      <c r="B3189" s="0" t="s">
        <v>653</v>
      </c>
      <c r="C3189" s="0" t="s">
        <v>4609</v>
      </c>
      <c r="D3189" s="0" t="s">
        <v>98</v>
      </c>
      <c r="E3189" s="0" t="s">
        <v>4445</v>
      </c>
    </row>
    <row r="3190" customFormat="false" ht="15" hidden="false" customHeight="false" outlineLevel="0" collapsed="false">
      <c r="A3190" s="0" t="s">
        <v>4418</v>
      </c>
      <c r="B3190" s="0" t="s">
        <v>654</v>
      </c>
      <c r="C3190" s="0" t="s">
        <v>4610</v>
      </c>
      <c r="D3190" s="0" t="s">
        <v>98</v>
      </c>
      <c r="E3190" s="0" t="s">
        <v>4445</v>
      </c>
    </row>
    <row r="3191" customFormat="false" ht="15" hidden="false" customHeight="false" outlineLevel="0" collapsed="false">
      <c r="A3191" s="0" t="s">
        <v>4418</v>
      </c>
      <c r="B3191" s="0" t="s">
        <v>1084</v>
      </c>
      <c r="C3191" s="0" t="s">
        <v>4611</v>
      </c>
      <c r="D3191" s="0" t="s">
        <v>98</v>
      </c>
      <c r="E3191" s="0" t="s">
        <v>4445</v>
      </c>
    </row>
    <row r="3192" customFormat="false" ht="15" hidden="false" customHeight="false" outlineLevel="0" collapsed="false">
      <c r="A3192" s="0" t="s">
        <v>4418</v>
      </c>
      <c r="B3192" s="0" t="s">
        <v>1086</v>
      </c>
      <c r="C3192" s="0" t="s">
        <v>4612</v>
      </c>
      <c r="D3192" s="0" t="s">
        <v>98</v>
      </c>
      <c r="E3192" s="0" t="s">
        <v>4445</v>
      </c>
    </row>
    <row r="3193" customFormat="false" ht="15" hidden="false" customHeight="false" outlineLevel="0" collapsed="false">
      <c r="A3193" s="0" t="s">
        <v>4418</v>
      </c>
      <c r="B3193" s="0" t="s">
        <v>1088</v>
      </c>
      <c r="C3193" s="0" t="s">
        <v>4613</v>
      </c>
      <c r="D3193" s="0" t="s">
        <v>98</v>
      </c>
      <c r="E3193" s="0" t="s">
        <v>4445</v>
      </c>
    </row>
    <row r="3194" customFormat="false" ht="15" hidden="false" customHeight="false" outlineLevel="0" collapsed="false">
      <c r="A3194" s="0" t="s">
        <v>4418</v>
      </c>
      <c r="B3194" s="0" t="s">
        <v>1090</v>
      </c>
      <c r="C3194" s="0" t="s">
        <v>4614</v>
      </c>
      <c r="D3194" s="0" t="s">
        <v>98</v>
      </c>
      <c r="E3194" s="0" t="s">
        <v>4445</v>
      </c>
    </row>
    <row r="3195" customFormat="false" ht="15" hidden="false" customHeight="false" outlineLevel="0" collapsed="false">
      <c r="A3195" s="0" t="s">
        <v>4418</v>
      </c>
      <c r="B3195" s="0" t="s">
        <v>1092</v>
      </c>
      <c r="C3195" s="0" t="s">
        <v>4615</v>
      </c>
      <c r="D3195" s="0" t="s">
        <v>98</v>
      </c>
      <c r="E3195" s="0" t="s">
        <v>4445</v>
      </c>
    </row>
    <row r="3196" customFormat="false" ht="15" hidden="false" customHeight="false" outlineLevel="0" collapsed="false">
      <c r="A3196" s="0" t="s">
        <v>4418</v>
      </c>
      <c r="B3196" s="0" t="s">
        <v>1094</v>
      </c>
      <c r="C3196" s="0" t="s">
        <v>4616</v>
      </c>
      <c r="D3196" s="0" t="s">
        <v>98</v>
      </c>
      <c r="E3196" s="0" t="s">
        <v>4445</v>
      </c>
    </row>
    <row r="3197" customFormat="false" ht="15" hidden="false" customHeight="false" outlineLevel="0" collapsed="false">
      <c r="A3197" s="0" t="s">
        <v>4418</v>
      </c>
      <c r="B3197" s="0" t="s">
        <v>1096</v>
      </c>
      <c r="C3197" s="0" t="s">
        <v>4617</v>
      </c>
      <c r="D3197" s="0" t="s">
        <v>98</v>
      </c>
      <c r="E3197" s="0" t="s">
        <v>4445</v>
      </c>
    </row>
    <row r="3198" customFormat="false" ht="15" hidden="false" customHeight="false" outlineLevel="0" collapsed="false">
      <c r="A3198" s="0" t="s">
        <v>4418</v>
      </c>
      <c r="B3198" s="0" t="s">
        <v>1098</v>
      </c>
      <c r="C3198" s="0" t="s">
        <v>4618</v>
      </c>
      <c r="D3198" s="0" t="s">
        <v>98</v>
      </c>
      <c r="E3198" s="0" t="s">
        <v>4445</v>
      </c>
    </row>
    <row r="3199" customFormat="false" ht="15" hidden="false" customHeight="false" outlineLevel="0" collapsed="false">
      <c r="A3199" s="0" t="s">
        <v>4418</v>
      </c>
      <c r="B3199" s="0" t="s">
        <v>1100</v>
      </c>
      <c r="C3199" s="0" t="s">
        <v>4619</v>
      </c>
      <c r="D3199" s="0" t="s">
        <v>98</v>
      </c>
      <c r="E3199" s="0" t="s">
        <v>4445</v>
      </c>
    </row>
    <row r="3200" customFormat="false" ht="15" hidden="false" customHeight="false" outlineLevel="0" collapsed="false">
      <c r="A3200" s="0" t="s">
        <v>4418</v>
      </c>
      <c r="B3200" s="0" t="s">
        <v>1102</v>
      </c>
      <c r="C3200" s="0" t="s">
        <v>4620</v>
      </c>
      <c r="D3200" s="0" t="s">
        <v>98</v>
      </c>
      <c r="E3200" s="0" t="s">
        <v>4445</v>
      </c>
    </row>
    <row r="3201" customFormat="false" ht="15" hidden="false" customHeight="false" outlineLevel="0" collapsed="false">
      <c r="A3201" s="0" t="s">
        <v>4418</v>
      </c>
      <c r="B3201" s="0" t="s">
        <v>1104</v>
      </c>
      <c r="C3201" s="0" t="s">
        <v>4621</v>
      </c>
      <c r="D3201" s="0" t="s">
        <v>98</v>
      </c>
      <c r="E3201" s="0" t="s">
        <v>4445</v>
      </c>
    </row>
    <row r="3202" customFormat="false" ht="15" hidden="false" customHeight="false" outlineLevel="0" collapsed="false">
      <c r="A3202" s="0" t="s">
        <v>4418</v>
      </c>
      <c r="B3202" s="0" t="s">
        <v>1106</v>
      </c>
      <c r="C3202" s="0" t="s">
        <v>4622</v>
      </c>
      <c r="D3202" s="0" t="s">
        <v>98</v>
      </c>
      <c r="E3202" s="0" t="s">
        <v>4445</v>
      </c>
    </row>
    <row r="3203" customFormat="false" ht="15" hidden="false" customHeight="false" outlineLevel="0" collapsed="false">
      <c r="A3203" s="0" t="s">
        <v>4418</v>
      </c>
      <c r="B3203" s="0" t="s">
        <v>1108</v>
      </c>
      <c r="C3203" s="0" t="s">
        <v>4623</v>
      </c>
      <c r="D3203" s="0" t="s">
        <v>98</v>
      </c>
      <c r="E3203" s="0" t="s">
        <v>4445</v>
      </c>
    </row>
    <row r="3204" customFormat="false" ht="15" hidden="false" customHeight="false" outlineLevel="0" collapsed="false">
      <c r="A3204" s="0" t="s">
        <v>4418</v>
      </c>
      <c r="B3204" s="0" t="s">
        <v>1110</v>
      </c>
      <c r="C3204" s="0" t="s">
        <v>4624</v>
      </c>
      <c r="D3204" s="0" t="s">
        <v>98</v>
      </c>
      <c r="E3204" s="0" t="s">
        <v>4445</v>
      </c>
    </row>
    <row r="3205" customFormat="false" ht="15" hidden="false" customHeight="false" outlineLevel="0" collapsed="false">
      <c r="A3205" s="0" t="s">
        <v>4418</v>
      </c>
      <c r="B3205" s="0" t="s">
        <v>1112</v>
      </c>
      <c r="C3205" s="0" t="s">
        <v>4625</v>
      </c>
      <c r="D3205" s="0" t="s">
        <v>98</v>
      </c>
      <c r="E3205" s="0" t="s">
        <v>4445</v>
      </c>
    </row>
    <row r="3206" customFormat="false" ht="15" hidden="false" customHeight="false" outlineLevel="0" collapsed="false">
      <c r="A3206" s="0" t="s">
        <v>4418</v>
      </c>
      <c r="B3206" s="0" t="s">
        <v>1114</v>
      </c>
      <c r="C3206" s="0" t="s">
        <v>4626</v>
      </c>
      <c r="D3206" s="0" t="s">
        <v>98</v>
      </c>
      <c r="E3206" s="0" t="s">
        <v>4445</v>
      </c>
    </row>
    <row r="3207" customFormat="false" ht="15" hidden="false" customHeight="false" outlineLevel="0" collapsed="false">
      <c r="A3207" s="0" t="s">
        <v>4418</v>
      </c>
      <c r="B3207" s="0" t="s">
        <v>1116</v>
      </c>
      <c r="C3207" s="0" t="s">
        <v>4627</v>
      </c>
      <c r="D3207" s="0" t="s">
        <v>98</v>
      </c>
      <c r="E3207" s="0" t="s">
        <v>4445</v>
      </c>
    </row>
    <row r="3208" customFormat="false" ht="15" hidden="false" customHeight="false" outlineLevel="0" collapsed="false">
      <c r="A3208" s="0" t="s">
        <v>4418</v>
      </c>
      <c r="B3208" s="0" t="s">
        <v>1118</v>
      </c>
      <c r="C3208" s="0" t="s">
        <v>4628</v>
      </c>
      <c r="D3208" s="0" t="s">
        <v>98</v>
      </c>
      <c r="E3208" s="0" t="s">
        <v>4445</v>
      </c>
    </row>
    <row r="3209" customFormat="false" ht="15" hidden="false" customHeight="false" outlineLevel="0" collapsed="false">
      <c r="A3209" s="0" t="s">
        <v>4418</v>
      </c>
      <c r="B3209" s="0" t="s">
        <v>1120</v>
      </c>
      <c r="C3209" s="0" t="s">
        <v>4629</v>
      </c>
      <c r="D3209" s="0" t="s">
        <v>98</v>
      </c>
      <c r="E3209" s="0" t="s">
        <v>4445</v>
      </c>
    </row>
    <row r="3210" customFormat="false" ht="15" hidden="false" customHeight="false" outlineLevel="0" collapsed="false">
      <c r="A3210" s="0" t="s">
        <v>4418</v>
      </c>
      <c r="B3210" s="0" t="s">
        <v>1122</v>
      </c>
      <c r="C3210" s="0" t="s">
        <v>4630</v>
      </c>
      <c r="D3210" s="0" t="s">
        <v>98</v>
      </c>
      <c r="E3210" s="0" t="s">
        <v>4445</v>
      </c>
    </row>
    <row r="3211" customFormat="false" ht="15" hidden="false" customHeight="false" outlineLevel="0" collapsed="false">
      <c r="A3211" s="0" t="s">
        <v>4418</v>
      </c>
      <c r="B3211" s="0" t="s">
        <v>4631</v>
      </c>
      <c r="C3211" s="0" t="s">
        <v>4632</v>
      </c>
      <c r="D3211" s="0" t="s">
        <v>98</v>
      </c>
      <c r="E3211" s="0" t="s">
        <v>4445</v>
      </c>
    </row>
    <row r="3212" customFormat="false" ht="15" hidden="false" customHeight="false" outlineLevel="0" collapsed="false">
      <c r="A3212" s="0" t="s">
        <v>4418</v>
      </c>
      <c r="B3212" s="0" t="s">
        <v>657</v>
      </c>
      <c r="C3212" s="0" t="s">
        <v>4633</v>
      </c>
      <c r="D3212" s="0" t="s">
        <v>98</v>
      </c>
      <c r="E3212" s="0" t="s">
        <v>4445</v>
      </c>
    </row>
    <row r="3213" customFormat="false" ht="15" hidden="false" customHeight="false" outlineLevel="0" collapsed="false">
      <c r="A3213" s="0" t="s">
        <v>4418</v>
      </c>
      <c r="B3213" s="0" t="s">
        <v>659</v>
      </c>
      <c r="C3213" s="0" t="s">
        <v>4634</v>
      </c>
      <c r="D3213" s="0" t="s">
        <v>98</v>
      </c>
      <c r="E3213" s="0" t="s">
        <v>4445</v>
      </c>
    </row>
    <row r="3214" customFormat="false" ht="15" hidden="false" customHeight="false" outlineLevel="0" collapsed="false">
      <c r="A3214" s="0" t="s">
        <v>4418</v>
      </c>
      <c r="B3214" s="0" t="s">
        <v>660</v>
      </c>
      <c r="C3214" s="0" t="s">
        <v>4635</v>
      </c>
      <c r="D3214" s="0" t="s">
        <v>98</v>
      </c>
      <c r="E3214" s="0" t="s">
        <v>4445</v>
      </c>
    </row>
    <row r="3215" customFormat="false" ht="15" hidden="false" customHeight="false" outlineLevel="0" collapsed="false">
      <c r="A3215" s="0" t="s">
        <v>4418</v>
      </c>
      <c r="B3215" s="0" t="s">
        <v>661</v>
      </c>
      <c r="C3215" s="0" t="s">
        <v>4636</v>
      </c>
      <c r="D3215" s="0" t="s">
        <v>98</v>
      </c>
      <c r="E3215" s="0" t="s">
        <v>4445</v>
      </c>
    </row>
    <row r="3216" customFormat="false" ht="15" hidden="false" customHeight="false" outlineLevel="0" collapsed="false">
      <c r="A3216" s="0" t="s">
        <v>4418</v>
      </c>
      <c r="B3216" s="0" t="s">
        <v>662</v>
      </c>
      <c r="C3216" s="0" t="s">
        <v>4637</v>
      </c>
      <c r="D3216" s="0" t="s">
        <v>98</v>
      </c>
      <c r="E3216" s="0" t="s">
        <v>4445</v>
      </c>
    </row>
    <row r="3217" customFormat="false" ht="15" hidden="false" customHeight="false" outlineLevel="0" collapsed="false">
      <c r="A3217" s="0" t="s">
        <v>4418</v>
      </c>
      <c r="B3217" s="0" t="s">
        <v>663</v>
      </c>
      <c r="C3217" s="0" t="s">
        <v>4638</v>
      </c>
      <c r="D3217" s="0" t="s">
        <v>98</v>
      </c>
      <c r="E3217" s="0" t="s">
        <v>4445</v>
      </c>
    </row>
    <row r="3218" customFormat="false" ht="15" hidden="false" customHeight="false" outlineLevel="0" collapsed="false">
      <c r="A3218" s="0" t="s">
        <v>4418</v>
      </c>
      <c r="B3218" s="0" t="s">
        <v>664</v>
      </c>
      <c r="C3218" s="0" t="s">
        <v>4639</v>
      </c>
      <c r="D3218" s="0" t="s">
        <v>98</v>
      </c>
      <c r="E3218" s="0" t="s">
        <v>4445</v>
      </c>
    </row>
    <row r="3219" customFormat="false" ht="15" hidden="false" customHeight="false" outlineLevel="0" collapsed="false">
      <c r="A3219" s="0" t="s">
        <v>4418</v>
      </c>
      <c r="B3219" s="0" t="s">
        <v>4385</v>
      </c>
      <c r="C3219" s="0" t="s">
        <v>4640</v>
      </c>
      <c r="D3219" s="0" t="s">
        <v>98</v>
      </c>
      <c r="E3219" s="0" t="s">
        <v>4445</v>
      </c>
    </row>
    <row r="3220" customFormat="false" ht="15" hidden="false" customHeight="false" outlineLevel="0" collapsed="false">
      <c r="A3220" s="0" t="s">
        <v>4418</v>
      </c>
      <c r="B3220" s="0" t="s">
        <v>4387</v>
      </c>
      <c r="C3220" s="0" t="s">
        <v>4641</v>
      </c>
      <c r="D3220" s="0" t="s">
        <v>98</v>
      </c>
      <c r="E3220" s="0" t="s">
        <v>4445</v>
      </c>
    </row>
    <row r="3221" customFormat="false" ht="15" hidden="false" customHeight="false" outlineLevel="0" collapsed="false">
      <c r="A3221" s="0" t="s">
        <v>4418</v>
      </c>
      <c r="B3221" s="0" t="s">
        <v>4389</v>
      </c>
      <c r="C3221" s="0" t="s">
        <v>4642</v>
      </c>
      <c r="D3221" s="0" t="s">
        <v>98</v>
      </c>
      <c r="E3221" s="0" t="s">
        <v>4445</v>
      </c>
    </row>
    <row r="3222" customFormat="false" ht="15" hidden="false" customHeight="false" outlineLevel="0" collapsed="false">
      <c r="A3222" s="0" t="s">
        <v>4418</v>
      </c>
      <c r="B3222" s="0" t="s">
        <v>4643</v>
      </c>
      <c r="C3222" s="0" t="s">
        <v>4644</v>
      </c>
      <c r="D3222" s="0" t="s">
        <v>98</v>
      </c>
      <c r="E3222" s="0" t="s">
        <v>4445</v>
      </c>
    </row>
    <row r="3223" customFormat="false" ht="15" hidden="false" customHeight="false" outlineLevel="0" collapsed="false">
      <c r="A3223" s="0" t="s">
        <v>4418</v>
      </c>
      <c r="B3223" s="0" t="s">
        <v>4645</v>
      </c>
      <c r="C3223" s="0" t="s">
        <v>4646</v>
      </c>
      <c r="D3223" s="0" t="s">
        <v>98</v>
      </c>
      <c r="E3223" s="0" t="s">
        <v>4445</v>
      </c>
    </row>
    <row r="3224" customFormat="false" ht="15" hidden="false" customHeight="false" outlineLevel="0" collapsed="false">
      <c r="A3224" s="0" t="s">
        <v>4418</v>
      </c>
      <c r="B3224" s="0" t="s">
        <v>4647</v>
      </c>
      <c r="C3224" s="0" t="s">
        <v>4648</v>
      </c>
      <c r="D3224" s="0" t="s">
        <v>98</v>
      </c>
      <c r="E3224" s="0" t="s">
        <v>4445</v>
      </c>
    </row>
    <row r="3225" customFormat="false" ht="15" hidden="false" customHeight="false" outlineLevel="0" collapsed="false">
      <c r="A3225" s="0" t="s">
        <v>4418</v>
      </c>
      <c r="B3225" s="0" t="s">
        <v>4649</v>
      </c>
      <c r="C3225" s="0" t="s">
        <v>4650</v>
      </c>
      <c r="D3225" s="0" t="s">
        <v>98</v>
      </c>
      <c r="E3225" s="0" t="s">
        <v>4445</v>
      </c>
    </row>
    <row r="3226" customFormat="false" ht="15" hidden="false" customHeight="false" outlineLevel="0" collapsed="false">
      <c r="A3226" s="0" t="s">
        <v>4418</v>
      </c>
      <c r="B3226" s="0" t="s">
        <v>1124</v>
      </c>
      <c r="C3226" s="0" t="s">
        <v>4651</v>
      </c>
      <c r="D3226" s="0" t="s">
        <v>98</v>
      </c>
      <c r="E3226" s="0" t="s">
        <v>4445</v>
      </c>
    </row>
    <row r="3227" customFormat="false" ht="15" hidden="false" customHeight="false" outlineLevel="0" collapsed="false">
      <c r="A3227" s="0" t="s">
        <v>4418</v>
      </c>
      <c r="B3227" s="0" t="s">
        <v>4652</v>
      </c>
      <c r="C3227" s="0" t="s">
        <v>4653</v>
      </c>
      <c r="D3227" s="0" t="s">
        <v>98</v>
      </c>
      <c r="E3227" s="0" t="s">
        <v>4445</v>
      </c>
    </row>
    <row r="3228" customFormat="false" ht="15" hidden="false" customHeight="false" outlineLevel="0" collapsed="false">
      <c r="A3228" s="0" t="s">
        <v>4418</v>
      </c>
      <c r="B3228" s="0" t="s">
        <v>4654</v>
      </c>
      <c r="C3228" s="0" t="s">
        <v>4655</v>
      </c>
      <c r="D3228" s="0" t="s">
        <v>98</v>
      </c>
      <c r="E3228" s="0" t="s">
        <v>4445</v>
      </c>
    </row>
    <row r="3229" customFormat="false" ht="15" hidden="false" customHeight="false" outlineLevel="0" collapsed="false">
      <c r="A3229" s="0" t="s">
        <v>4418</v>
      </c>
      <c r="B3229" s="0" t="s">
        <v>4656</v>
      </c>
      <c r="C3229" s="0" t="s">
        <v>4657</v>
      </c>
      <c r="D3229" s="0" t="s">
        <v>98</v>
      </c>
      <c r="E3229" s="0" t="s">
        <v>4445</v>
      </c>
    </row>
    <row r="3230" customFormat="false" ht="15" hidden="false" customHeight="false" outlineLevel="0" collapsed="false">
      <c r="A3230" s="0" t="s">
        <v>4418</v>
      </c>
      <c r="B3230" s="0" t="s">
        <v>4658</v>
      </c>
      <c r="C3230" s="0" t="s">
        <v>4659</v>
      </c>
      <c r="D3230" s="0" t="s">
        <v>98</v>
      </c>
      <c r="E3230" s="0" t="s">
        <v>4445</v>
      </c>
    </row>
    <row r="3231" customFormat="false" ht="15" hidden="false" customHeight="false" outlineLevel="0" collapsed="false">
      <c r="A3231" s="0" t="s">
        <v>4418</v>
      </c>
      <c r="B3231" s="0" t="s">
        <v>1126</v>
      </c>
      <c r="C3231" s="0" t="s">
        <v>4660</v>
      </c>
      <c r="D3231" s="0" t="s">
        <v>98</v>
      </c>
      <c r="E3231" s="0" t="s">
        <v>4445</v>
      </c>
    </row>
    <row r="3232" customFormat="false" ht="15" hidden="false" customHeight="false" outlineLevel="0" collapsed="false">
      <c r="A3232" s="0" t="s">
        <v>4418</v>
      </c>
      <c r="B3232" s="0" t="s">
        <v>4661</v>
      </c>
      <c r="C3232" s="0" t="s">
        <v>4662</v>
      </c>
      <c r="D3232" s="0" t="s">
        <v>98</v>
      </c>
      <c r="E3232" s="0" t="s">
        <v>4445</v>
      </c>
    </row>
    <row r="3233" customFormat="false" ht="15" hidden="false" customHeight="false" outlineLevel="0" collapsed="false">
      <c r="A3233" s="0" t="s">
        <v>4418</v>
      </c>
      <c r="B3233" s="0" t="s">
        <v>4663</v>
      </c>
      <c r="C3233" s="0" t="s">
        <v>4664</v>
      </c>
      <c r="D3233" s="0" t="s">
        <v>98</v>
      </c>
      <c r="E3233" s="0" t="s">
        <v>4445</v>
      </c>
    </row>
    <row r="3234" customFormat="false" ht="15" hidden="false" customHeight="false" outlineLevel="0" collapsed="false">
      <c r="A3234" s="0" t="s">
        <v>4418</v>
      </c>
      <c r="B3234" s="0" t="s">
        <v>1128</v>
      </c>
      <c r="C3234" s="0" t="s">
        <v>4665</v>
      </c>
      <c r="D3234" s="0" t="s">
        <v>98</v>
      </c>
      <c r="E3234" s="0" t="s">
        <v>4445</v>
      </c>
    </row>
    <row r="3235" customFormat="false" ht="15" hidden="false" customHeight="false" outlineLevel="0" collapsed="false">
      <c r="A3235" s="0" t="s">
        <v>4418</v>
      </c>
      <c r="B3235" s="0" t="s">
        <v>4666</v>
      </c>
      <c r="C3235" s="0" t="s">
        <v>4667</v>
      </c>
      <c r="D3235" s="0" t="s">
        <v>98</v>
      </c>
      <c r="E3235" s="0" t="s">
        <v>4445</v>
      </c>
    </row>
    <row r="3236" customFormat="false" ht="15" hidden="false" customHeight="false" outlineLevel="0" collapsed="false">
      <c r="A3236" s="0" t="s">
        <v>4418</v>
      </c>
      <c r="B3236" s="0" t="s">
        <v>4668</v>
      </c>
      <c r="C3236" s="0" t="s">
        <v>4669</v>
      </c>
      <c r="D3236" s="0" t="s">
        <v>98</v>
      </c>
      <c r="E3236" s="0" t="s">
        <v>4445</v>
      </c>
    </row>
    <row r="3237" customFormat="false" ht="15" hidden="false" customHeight="false" outlineLevel="0" collapsed="false">
      <c r="A3237" s="0" t="s">
        <v>4418</v>
      </c>
      <c r="B3237" s="0" t="s">
        <v>4670</v>
      </c>
      <c r="C3237" s="0" t="s">
        <v>4671</v>
      </c>
      <c r="D3237" s="0" t="s">
        <v>98</v>
      </c>
      <c r="E3237" s="0" t="s">
        <v>4445</v>
      </c>
    </row>
    <row r="3238" customFormat="false" ht="15" hidden="false" customHeight="false" outlineLevel="0" collapsed="false">
      <c r="A3238" s="0" t="s">
        <v>4418</v>
      </c>
      <c r="B3238" s="0" t="s">
        <v>4672</v>
      </c>
      <c r="C3238" s="0" t="s">
        <v>4673</v>
      </c>
      <c r="D3238" s="0" t="s">
        <v>98</v>
      </c>
      <c r="E3238" s="0" t="s">
        <v>4445</v>
      </c>
    </row>
    <row r="3239" customFormat="false" ht="15" hidden="false" customHeight="false" outlineLevel="0" collapsed="false">
      <c r="A3239" s="0" t="s">
        <v>4418</v>
      </c>
      <c r="B3239" s="0" t="s">
        <v>4674</v>
      </c>
      <c r="C3239" s="0" t="s">
        <v>4675</v>
      </c>
      <c r="D3239" s="0" t="s">
        <v>98</v>
      </c>
      <c r="E3239" s="0" t="s">
        <v>4445</v>
      </c>
    </row>
    <row r="3240" customFormat="false" ht="15" hidden="false" customHeight="false" outlineLevel="0" collapsed="false">
      <c r="A3240" s="0" t="s">
        <v>4418</v>
      </c>
      <c r="B3240" s="0" t="s">
        <v>667</v>
      </c>
      <c r="C3240" s="0" t="s">
        <v>4676</v>
      </c>
      <c r="D3240" s="0" t="s">
        <v>98</v>
      </c>
      <c r="E3240" s="0" t="s">
        <v>4445</v>
      </c>
    </row>
    <row r="3241" customFormat="false" ht="15" hidden="false" customHeight="false" outlineLevel="0" collapsed="false">
      <c r="A3241" s="0" t="s">
        <v>4418</v>
      </c>
      <c r="B3241" s="0" t="s">
        <v>668</v>
      </c>
      <c r="C3241" s="0" t="s">
        <v>4677</v>
      </c>
      <c r="D3241" s="0" t="s">
        <v>98</v>
      </c>
      <c r="E3241" s="0" t="s">
        <v>4445</v>
      </c>
    </row>
    <row r="3242" customFormat="false" ht="15" hidden="false" customHeight="false" outlineLevel="0" collapsed="false">
      <c r="A3242" s="0" t="s">
        <v>4418</v>
      </c>
      <c r="B3242" s="0" t="s">
        <v>669</v>
      </c>
      <c r="C3242" s="0" t="s">
        <v>4678</v>
      </c>
      <c r="D3242" s="0" t="s">
        <v>98</v>
      </c>
      <c r="E3242" s="0" t="s">
        <v>4445</v>
      </c>
    </row>
    <row r="3243" customFormat="false" ht="15" hidden="false" customHeight="false" outlineLevel="0" collapsed="false">
      <c r="A3243" s="0" t="s">
        <v>4418</v>
      </c>
      <c r="B3243" s="0" t="s">
        <v>670</v>
      </c>
      <c r="C3243" s="0" t="s">
        <v>4679</v>
      </c>
      <c r="D3243" s="0" t="s">
        <v>98</v>
      </c>
      <c r="E3243" s="0" t="s">
        <v>4445</v>
      </c>
    </row>
    <row r="3244" customFormat="false" ht="15" hidden="false" customHeight="false" outlineLevel="0" collapsed="false">
      <c r="A3244" s="0" t="s">
        <v>4418</v>
      </c>
      <c r="B3244" s="0" t="s">
        <v>671</v>
      </c>
      <c r="C3244" s="0" t="s">
        <v>4680</v>
      </c>
      <c r="D3244" s="0" t="s">
        <v>98</v>
      </c>
      <c r="E3244" s="0" t="s">
        <v>4445</v>
      </c>
    </row>
    <row r="3245" customFormat="false" ht="15" hidden="false" customHeight="false" outlineLevel="0" collapsed="false">
      <c r="A3245" s="0" t="s">
        <v>4418</v>
      </c>
      <c r="B3245" s="0" t="s">
        <v>672</v>
      </c>
      <c r="C3245" s="0" t="s">
        <v>4681</v>
      </c>
      <c r="D3245" s="0" t="s">
        <v>98</v>
      </c>
      <c r="E3245" s="0" t="s">
        <v>4445</v>
      </c>
    </row>
    <row r="3246" customFormat="false" ht="15" hidden="false" customHeight="false" outlineLevel="0" collapsed="false">
      <c r="A3246" s="0" t="s">
        <v>4418</v>
      </c>
      <c r="B3246" s="0" t="s">
        <v>673</v>
      </c>
      <c r="C3246" s="0" t="s">
        <v>4682</v>
      </c>
      <c r="D3246" s="0" t="s">
        <v>98</v>
      </c>
      <c r="E3246" s="0" t="s">
        <v>4445</v>
      </c>
    </row>
    <row r="3247" customFormat="false" ht="15" hidden="false" customHeight="false" outlineLevel="0" collapsed="false">
      <c r="A3247" s="0" t="s">
        <v>4418</v>
      </c>
      <c r="B3247" s="0" t="s">
        <v>1130</v>
      </c>
      <c r="C3247" s="0" t="s">
        <v>4683</v>
      </c>
      <c r="D3247" s="0" t="s">
        <v>98</v>
      </c>
      <c r="E3247" s="0" t="s">
        <v>4445</v>
      </c>
    </row>
    <row r="3248" customFormat="false" ht="15" hidden="false" customHeight="false" outlineLevel="0" collapsed="false">
      <c r="A3248" s="0" t="s">
        <v>4418</v>
      </c>
      <c r="B3248" s="0" t="s">
        <v>1131</v>
      </c>
      <c r="C3248" s="0" t="s">
        <v>4684</v>
      </c>
      <c r="D3248" s="0" t="s">
        <v>98</v>
      </c>
      <c r="E3248" s="0" t="s">
        <v>4445</v>
      </c>
    </row>
    <row r="3249" customFormat="false" ht="15" hidden="false" customHeight="false" outlineLevel="0" collapsed="false">
      <c r="A3249" s="0" t="s">
        <v>4418</v>
      </c>
      <c r="B3249" s="0" t="s">
        <v>1132</v>
      </c>
      <c r="C3249" s="0" t="s">
        <v>4685</v>
      </c>
      <c r="D3249" s="0" t="s">
        <v>98</v>
      </c>
      <c r="E3249" s="0" t="s">
        <v>4445</v>
      </c>
    </row>
    <row r="3250" customFormat="false" ht="15" hidden="false" customHeight="false" outlineLevel="0" collapsed="false">
      <c r="A3250" s="0" t="s">
        <v>4418</v>
      </c>
      <c r="B3250" s="0" t="s">
        <v>1133</v>
      </c>
      <c r="C3250" s="0" t="s">
        <v>4686</v>
      </c>
      <c r="D3250" s="0" t="s">
        <v>98</v>
      </c>
      <c r="E3250" s="0" t="s">
        <v>4445</v>
      </c>
    </row>
    <row r="3251" customFormat="false" ht="15" hidden="false" customHeight="false" outlineLevel="0" collapsed="false">
      <c r="A3251" s="0" t="s">
        <v>4418</v>
      </c>
      <c r="B3251" s="0" t="s">
        <v>1134</v>
      </c>
      <c r="C3251" s="0" t="s">
        <v>4687</v>
      </c>
      <c r="D3251" s="0" t="s">
        <v>98</v>
      </c>
      <c r="E3251" s="0" t="s">
        <v>4445</v>
      </c>
    </row>
    <row r="3252" customFormat="false" ht="15" hidden="false" customHeight="false" outlineLevel="0" collapsed="false">
      <c r="A3252" s="0" t="s">
        <v>4418</v>
      </c>
      <c r="B3252" s="0" t="s">
        <v>1135</v>
      </c>
      <c r="C3252" s="0" t="s">
        <v>4688</v>
      </c>
      <c r="D3252" s="0" t="s">
        <v>98</v>
      </c>
      <c r="E3252" s="0" t="s">
        <v>4445</v>
      </c>
    </row>
    <row r="3253" customFormat="false" ht="15" hidden="false" customHeight="false" outlineLevel="0" collapsed="false">
      <c r="A3253" s="0" t="s">
        <v>4418</v>
      </c>
      <c r="B3253" s="0" t="s">
        <v>1136</v>
      </c>
      <c r="C3253" s="0" t="s">
        <v>4689</v>
      </c>
      <c r="D3253" s="0" t="s">
        <v>98</v>
      </c>
      <c r="E3253" s="0" t="s">
        <v>4445</v>
      </c>
    </row>
    <row r="3254" customFormat="false" ht="15" hidden="false" customHeight="false" outlineLevel="0" collapsed="false">
      <c r="A3254" s="0" t="s">
        <v>4418</v>
      </c>
      <c r="B3254" s="0" t="s">
        <v>1137</v>
      </c>
      <c r="C3254" s="0" t="s">
        <v>4690</v>
      </c>
      <c r="D3254" s="0" t="s">
        <v>98</v>
      </c>
      <c r="E3254" s="0" t="s">
        <v>4445</v>
      </c>
    </row>
    <row r="3255" customFormat="false" ht="15" hidden="false" customHeight="false" outlineLevel="0" collapsed="false">
      <c r="A3255" s="0" t="s">
        <v>4418</v>
      </c>
      <c r="B3255" s="0" t="s">
        <v>1138</v>
      </c>
      <c r="C3255" s="0" t="s">
        <v>4691</v>
      </c>
      <c r="D3255" s="0" t="s">
        <v>98</v>
      </c>
      <c r="E3255" s="0" t="s">
        <v>4445</v>
      </c>
    </row>
    <row r="3256" customFormat="false" ht="15" hidden="false" customHeight="false" outlineLevel="0" collapsed="false">
      <c r="A3256" s="0" t="s">
        <v>4418</v>
      </c>
      <c r="B3256" s="0" t="s">
        <v>1139</v>
      </c>
      <c r="C3256" s="0" t="s">
        <v>4692</v>
      </c>
      <c r="D3256" s="0" t="s">
        <v>98</v>
      </c>
      <c r="E3256" s="0" t="s">
        <v>4445</v>
      </c>
    </row>
    <row r="3257" customFormat="false" ht="15" hidden="false" customHeight="false" outlineLevel="0" collapsed="false">
      <c r="A3257" s="0" t="s">
        <v>4418</v>
      </c>
      <c r="B3257" s="0" t="s">
        <v>1140</v>
      </c>
      <c r="C3257" s="0" t="s">
        <v>4693</v>
      </c>
      <c r="D3257" s="0" t="s">
        <v>98</v>
      </c>
      <c r="E3257" s="0" t="s">
        <v>4445</v>
      </c>
    </row>
    <row r="3258" customFormat="false" ht="15" hidden="false" customHeight="false" outlineLevel="0" collapsed="false">
      <c r="A3258" s="0" t="s">
        <v>4418</v>
      </c>
      <c r="B3258" s="0" t="s">
        <v>1141</v>
      </c>
      <c r="C3258" s="0" t="s">
        <v>4694</v>
      </c>
      <c r="D3258" s="0" t="s">
        <v>98</v>
      </c>
      <c r="E3258" s="0" t="s">
        <v>4445</v>
      </c>
    </row>
    <row r="3259" customFormat="false" ht="15" hidden="false" customHeight="false" outlineLevel="0" collapsed="false">
      <c r="A3259" s="0" t="s">
        <v>4418</v>
      </c>
      <c r="B3259" s="0" t="s">
        <v>1142</v>
      </c>
      <c r="C3259" s="0" t="s">
        <v>4695</v>
      </c>
      <c r="D3259" s="0" t="s">
        <v>98</v>
      </c>
      <c r="E3259" s="0" t="s">
        <v>4445</v>
      </c>
    </row>
    <row r="3260" customFormat="false" ht="15" hidden="false" customHeight="false" outlineLevel="0" collapsed="false">
      <c r="A3260" s="0" t="s">
        <v>4418</v>
      </c>
      <c r="B3260" s="0" t="s">
        <v>1143</v>
      </c>
      <c r="C3260" s="0" t="s">
        <v>4696</v>
      </c>
      <c r="D3260" s="0" t="s">
        <v>98</v>
      </c>
      <c r="E3260" s="0" t="s">
        <v>4445</v>
      </c>
    </row>
    <row r="3261" customFormat="false" ht="15" hidden="false" customHeight="false" outlineLevel="0" collapsed="false">
      <c r="A3261" s="0" t="s">
        <v>4418</v>
      </c>
      <c r="B3261" s="0" t="s">
        <v>1144</v>
      </c>
      <c r="C3261" s="0" t="s">
        <v>4697</v>
      </c>
      <c r="D3261" s="0" t="s">
        <v>98</v>
      </c>
      <c r="E3261" s="0" t="s">
        <v>4445</v>
      </c>
    </row>
    <row r="3262" customFormat="false" ht="15" hidden="false" customHeight="false" outlineLevel="0" collapsed="false">
      <c r="A3262" s="0" t="s">
        <v>4418</v>
      </c>
      <c r="B3262" s="0" t="s">
        <v>1145</v>
      </c>
      <c r="C3262" s="0" t="s">
        <v>4698</v>
      </c>
      <c r="D3262" s="0" t="s">
        <v>98</v>
      </c>
      <c r="E3262" s="0" t="s">
        <v>4445</v>
      </c>
    </row>
    <row r="3263" customFormat="false" ht="15" hidden="false" customHeight="false" outlineLevel="0" collapsed="false">
      <c r="A3263" s="0" t="s">
        <v>4418</v>
      </c>
      <c r="B3263" s="0" t="s">
        <v>1146</v>
      </c>
      <c r="C3263" s="0" t="s">
        <v>4699</v>
      </c>
      <c r="D3263" s="0" t="s">
        <v>98</v>
      </c>
      <c r="E3263" s="0" t="s">
        <v>4445</v>
      </c>
    </row>
    <row r="3264" customFormat="false" ht="15" hidden="false" customHeight="false" outlineLevel="0" collapsed="false">
      <c r="A3264" s="0" t="s">
        <v>4418</v>
      </c>
      <c r="B3264" s="0" t="s">
        <v>1147</v>
      </c>
      <c r="C3264" s="0" t="s">
        <v>4700</v>
      </c>
      <c r="D3264" s="0" t="s">
        <v>98</v>
      </c>
      <c r="E3264" s="0" t="s">
        <v>4445</v>
      </c>
    </row>
    <row r="3265" customFormat="false" ht="15" hidden="false" customHeight="false" outlineLevel="0" collapsed="false">
      <c r="A3265" s="0" t="s">
        <v>4418</v>
      </c>
      <c r="B3265" s="0" t="s">
        <v>1148</v>
      </c>
      <c r="C3265" s="0" t="s">
        <v>4701</v>
      </c>
      <c r="D3265" s="0" t="s">
        <v>98</v>
      </c>
      <c r="E3265" s="0" t="s">
        <v>4445</v>
      </c>
    </row>
    <row r="3266" customFormat="false" ht="15" hidden="false" customHeight="false" outlineLevel="0" collapsed="false">
      <c r="A3266" s="0" t="s">
        <v>4418</v>
      </c>
      <c r="B3266" s="0" t="s">
        <v>1149</v>
      </c>
      <c r="C3266" s="0" t="s">
        <v>4702</v>
      </c>
      <c r="D3266" s="0" t="s">
        <v>98</v>
      </c>
      <c r="E3266" s="0" t="s">
        <v>4445</v>
      </c>
    </row>
    <row r="3267" customFormat="false" ht="15" hidden="false" customHeight="false" outlineLevel="0" collapsed="false">
      <c r="A3267" s="0" t="s">
        <v>4418</v>
      </c>
      <c r="B3267" s="0" t="s">
        <v>1150</v>
      </c>
      <c r="C3267" s="0" t="s">
        <v>4703</v>
      </c>
      <c r="D3267" s="0" t="s">
        <v>98</v>
      </c>
      <c r="E3267" s="0" t="s">
        <v>4445</v>
      </c>
    </row>
    <row r="3268" customFormat="false" ht="15" hidden="false" customHeight="false" outlineLevel="0" collapsed="false">
      <c r="A3268" s="0" t="s">
        <v>4418</v>
      </c>
      <c r="B3268" s="0" t="s">
        <v>676</v>
      </c>
      <c r="C3268" s="0" t="s">
        <v>4704</v>
      </c>
      <c r="D3268" s="0" t="s">
        <v>98</v>
      </c>
      <c r="E3268" s="0" t="s">
        <v>4445</v>
      </c>
    </row>
    <row r="3269" customFormat="false" ht="15" hidden="false" customHeight="false" outlineLevel="0" collapsed="false">
      <c r="A3269" s="0" t="s">
        <v>4418</v>
      </c>
      <c r="B3269" s="0" t="s">
        <v>678</v>
      </c>
      <c r="C3269" s="0" t="s">
        <v>4705</v>
      </c>
      <c r="D3269" s="0" t="s">
        <v>98</v>
      </c>
      <c r="E3269" s="0" t="s">
        <v>4445</v>
      </c>
    </row>
    <row r="3270" customFormat="false" ht="15" hidden="false" customHeight="false" outlineLevel="0" collapsed="false">
      <c r="A3270" s="0" t="s">
        <v>4418</v>
      </c>
      <c r="B3270" s="0" t="s">
        <v>679</v>
      </c>
      <c r="C3270" s="0" t="s">
        <v>4706</v>
      </c>
      <c r="D3270" s="0" t="s">
        <v>98</v>
      </c>
      <c r="E3270" s="0" t="s">
        <v>4445</v>
      </c>
    </row>
    <row r="3271" customFormat="false" ht="15" hidden="false" customHeight="false" outlineLevel="0" collapsed="false">
      <c r="A3271" s="0" t="s">
        <v>4418</v>
      </c>
      <c r="B3271" s="0" t="s">
        <v>680</v>
      </c>
      <c r="C3271" s="0" t="s">
        <v>4707</v>
      </c>
      <c r="D3271" s="0" t="s">
        <v>98</v>
      </c>
      <c r="E3271" s="0" t="s">
        <v>4445</v>
      </c>
    </row>
    <row r="3272" customFormat="false" ht="15" hidden="false" customHeight="false" outlineLevel="0" collapsed="false">
      <c r="A3272" s="0" t="s">
        <v>4418</v>
      </c>
      <c r="B3272" s="0" t="s">
        <v>681</v>
      </c>
      <c r="C3272" s="0" t="s">
        <v>4708</v>
      </c>
      <c r="D3272" s="0" t="s">
        <v>98</v>
      </c>
      <c r="E3272" s="0" t="s">
        <v>4445</v>
      </c>
    </row>
    <row r="3273" customFormat="false" ht="15" hidden="false" customHeight="false" outlineLevel="0" collapsed="false">
      <c r="A3273" s="0" t="s">
        <v>4418</v>
      </c>
      <c r="B3273" s="0" t="s">
        <v>682</v>
      </c>
      <c r="C3273" s="0" t="s">
        <v>4709</v>
      </c>
      <c r="D3273" s="0" t="s">
        <v>98</v>
      </c>
      <c r="E3273" s="0" t="s">
        <v>4445</v>
      </c>
    </row>
    <row r="3274" customFormat="false" ht="15" hidden="false" customHeight="false" outlineLevel="0" collapsed="false">
      <c r="A3274" s="0" t="s">
        <v>4418</v>
      </c>
      <c r="B3274" s="0" t="s">
        <v>683</v>
      </c>
      <c r="C3274" s="0" t="s">
        <v>4710</v>
      </c>
      <c r="D3274" s="0" t="s">
        <v>98</v>
      </c>
      <c r="E3274" s="0" t="s">
        <v>4445</v>
      </c>
    </row>
    <row r="3275" customFormat="false" ht="15" hidden="false" customHeight="false" outlineLevel="0" collapsed="false">
      <c r="A3275" s="0" t="s">
        <v>4418</v>
      </c>
      <c r="B3275" s="0" t="s">
        <v>1151</v>
      </c>
      <c r="C3275" s="0" t="s">
        <v>4711</v>
      </c>
      <c r="D3275" s="0" t="s">
        <v>98</v>
      </c>
      <c r="E3275" s="0" t="s">
        <v>4445</v>
      </c>
    </row>
    <row r="3276" customFormat="false" ht="15" hidden="false" customHeight="false" outlineLevel="0" collapsed="false">
      <c r="A3276" s="0" t="s">
        <v>4418</v>
      </c>
      <c r="B3276" s="0" t="s">
        <v>1152</v>
      </c>
      <c r="C3276" s="0" t="s">
        <v>4712</v>
      </c>
      <c r="D3276" s="0" t="s">
        <v>98</v>
      </c>
      <c r="E3276" s="0" t="s">
        <v>4445</v>
      </c>
    </row>
    <row r="3277" customFormat="false" ht="15" hidden="false" customHeight="false" outlineLevel="0" collapsed="false">
      <c r="A3277" s="0" t="s">
        <v>4418</v>
      </c>
      <c r="B3277" s="0" t="s">
        <v>1153</v>
      </c>
      <c r="C3277" s="0" t="s">
        <v>4713</v>
      </c>
      <c r="D3277" s="0" t="s">
        <v>98</v>
      </c>
      <c r="E3277" s="0" t="s">
        <v>4445</v>
      </c>
    </row>
    <row r="3278" customFormat="false" ht="15" hidden="false" customHeight="false" outlineLevel="0" collapsed="false">
      <c r="A3278" s="0" t="s">
        <v>4418</v>
      </c>
      <c r="B3278" s="0" t="s">
        <v>1154</v>
      </c>
      <c r="C3278" s="0" t="s">
        <v>4714</v>
      </c>
      <c r="D3278" s="0" t="s">
        <v>98</v>
      </c>
      <c r="E3278" s="0" t="s">
        <v>4445</v>
      </c>
    </row>
    <row r="3279" customFormat="false" ht="15" hidden="false" customHeight="false" outlineLevel="0" collapsed="false">
      <c r="A3279" s="0" t="s">
        <v>4418</v>
      </c>
      <c r="B3279" s="0" t="s">
        <v>1155</v>
      </c>
      <c r="C3279" s="0" t="s">
        <v>4715</v>
      </c>
      <c r="D3279" s="0" t="s">
        <v>98</v>
      </c>
      <c r="E3279" s="0" t="s">
        <v>4445</v>
      </c>
    </row>
    <row r="3280" customFormat="false" ht="15" hidden="false" customHeight="false" outlineLevel="0" collapsed="false">
      <c r="A3280" s="0" t="s">
        <v>4418</v>
      </c>
      <c r="B3280" s="0" t="s">
        <v>1157</v>
      </c>
      <c r="C3280" s="0" t="s">
        <v>4716</v>
      </c>
      <c r="D3280" s="0" t="s">
        <v>98</v>
      </c>
      <c r="E3280" s="0" t="s">
        <v>4445</v>
      </c>
    </row>
    <row r="3281" customFormat="false" ht="15" hidden="false" customHeight="false" outlineLevel="0" collapsed="false">
      <c r="A3281" s="0" t="s">
        <v>4418</v>
      </c>
      <c r="B3281" s="0" t="s">
        <v>1158</v>
      </c>
      <c r="C3281" s="0" t="s">
        <v>4717</v>
      </c>
      <c r="D3281" s="0" t="s">
        <v>98</v>
      </c>
      <c r="E3281" s="0" t="s">
        <v>4445</v>
      </c>
    </row>
    <row r="3282" customFormat="false" ht="15" hidden="false" customHeight="false" outlineLevel="0" collapsed="false">
      <c r="A3282" s="0" t="s">
        <v>4418</v>
      </c>
      <c r="B3282" s="0" t="s">
        <v>1160</v>
      </c>
      <c r="C3282" s="0" t="s">
        <v>4718</v>
      </c>
      <c r="D3282" s="0" t="s">
        <v>98</v>
      </c>
      <c r="E3282" s="0" t="s">
        <v>4445</v>
      </c>
    </row>
    <row r="3283" customFormat="false" ht="15" hidden="false" customHeight="false" outlineLevel="0" collapsed="false">
      <c r="A3283" s="0" t="s">
        <v>4418</v>
      </c>
      <c r="B3283" s="0" t="s">
        <v>1162</v>
      </c>
      <c r="C3283" s="0" t="s">
        <v>4719</v>
      </c>
      <c r="D3283" s="0" t="s">
        <v>98</v>
      </c>
      <c r="E3283" s="0" t="s">
        <v>4445</v>
      </c>
    </row>
    <row r="3284" customFormat="false" ht="15" hidden="false" customHeight="false" outlineLevel="0" collapsed="false">
      <c r="A3284" s="0" t="s">
        <v>4418</v>
      </c>
      <c r="B3284" s="0" t="s">
        <v>1163</v>
      </c>
      <c r="C3284" s="0" t="s">
        <v>4720</v>
      </c>
      <c r="D3284" s="0" t="s">
        <v>98</v>
      </c>
      <c r="E3284" s="0" t="s">
        <v>4445</v>
      </c>
    </row>
    <row r="3285" customFormat="false" ht="15" hidden="false" customHeight="false" outlineLevel="0" collapsed="false">
      <c r="A3285" s="0" t="s">
        <v>4418</v>
      </c>
      <c r="B3285" s="0" t="s">
        <v>1164</v>
      </c>
      <c r="C3285" s="0" t="s">
        <v>4721</v>
      </c>
      <c r="D3285" s="0" t="s">
        <v>98</v>
      </c>
      <c r="E3285" s="0" t="s">
        <v>4445</v>
      </c>
    </row>
    <row r="3286" customFormat="false" ht="15" hidden="false" customHeight="false" outlineLevel="0" collapsed="false">
      <c r="A3286" s="0" t="s">
        <v>4418</v>
      </c>
      <c r="B3286" s="0" t="s">
        <v>1165</v>
      </c>
      <c r="C3286" s="0" t="s">
        <v>4722</v>
      </c>
      <c r="D3286" s="0" t="s">
        <v>98</v>
      </c>
      <c r="E3286" s="0" t="s">
        <v>4445</v>
      </c>
    </row>
    <row r="3287" customFormat="false" ht="15" hidden="false" customHeight="false" outlineLevel="0" collapsed="false">
      <c r="A3287" s="0" t="s">
        <v>4418</v>
      </c>
      <c r="B3287" s="0" t="s">
        <v>1167</v>
      </c>
      <c r="C3287" s="0" t="s">
        <v>4723</v>
      </c>
      <c r="D3287" s="0" t="s">
        <v>98</v>
      </c>
      <c r="E3287" s="0" t="s">
        <v>4445</v>
      </c>
    </row>
    <row r="3288" customFormat="false" ht="15" hidden="false" customHeight="false" outlineLevel="0" collapsed="false">
      <c r="A3288" s="0" t="s">
        <v>4418</v>
      </c>
      <c r="B3288" s="0" t="s">
        <v>1168</v>
      </c>
      <c r="C3288" s="0" t="s">
        <v>4724</v>
      </c>
      <c r="D3288" s="0" t="s">
        <v>98</v>
      </c>
      <c r="E3288" s="0" t="s">
        <v>4445</v>
      </c>
    </row>
    <row r="3289" customFormat="false" ht="15" hidden="false" customHeight="false" outlineLevel="0" collapsed="false">
      <c r="A3289" s="0" t="s">
        <v>4418</v>
      </c>
      <c r="B3289" s="0" t="s">
        <v>1169</v>
      </c>
      <c r="C3289" s="0" t="s">
        <v>4725</v>
      </c>
      <c r="D3289" s="0" t="s">
        <v>98</v>
      </c>
      <c r="E3289" s="0" t="s">
        <v>4445</v>
      </c>
    </row>
    <row r="3290" customFormat="false" ht="15" hidden="false" customHeight="false" outlineLevel="0" collapsed="false">
      <c r="A3290" s="0" t="s">
        <v>4418</v>
      </c>
      <c r="B3290" s="0" t="s">
        <v>1170</v>
      </c>
      <c r="C3290" s="0" t="s">
        <v>4726</v>
      </c>
      <c r="D3290" s="0" t="s">
        <v>98</v>
      </c>
      <c r="E3290" s="0" t="s">
        <v>4445</v>
      </c>
    </row>
    <row r="3291" customFormat="false" ht="15" hidden="false" customHeight="false" outlineLevel="0" collapsed="false">
      <c r="A3291" s="0" t="s">
        <v>4418</v>
      </c>
      <c r="B3291" s="0" t="s">
        <v>1171</v>
      </c>
      <c r="C3291" s="0" t="s">
        <v>4727</v>
      </c>
      <c r="D3291" s="0" t="s">
        <v>98</v>
      </c>
      <c r="E3291" s="0" t="s">
        <v>4445</v>
      </c>
    </row>
    <row r="3292" customFormat="false" ht="15" hidden="false" customHeight="false" outlineLevel="0" collapsed="false">
      <c r="A3292" s="0" t="s">
        <v>4418</v>
      </c>
      <c r="B3292" s="0" t="s">
        <v>1172</v>
      </c>
      <c r="C3292" s="0" t="s">
        <v>4728</v>
      </c>
      <c r="D3292" s="0" t="s">
        <v>98</v>
      </c>
      <c r="E3292" s="0" t="s">
        <v>4445</v>
      </c>
    </row>
    <row r="3293" customFormat="false" ht="15" hidden="false" customHeight="false" outlineLevel="0" collapsed="false">
      <c r="A3293" s="0" t="s">
        <v>4418</v>
      </c>
      <c r="B3293" s="0" t="s">
        <v>1173</v>
      </c>
      <c r="C3293" s="0" t="s">
        <v>4729</v>
      </c>
      <c r="D3293" s="0" t="s">
        <v>98</v>
      </c>
      <c r="E3293" s="0" t="s">
        <v>4445</v>
      </c>
    </row>
    <row r="3294" customFormat="false" ht="15" hidden="false" customHeight="false" outlineLevel="0" collapsed="false">
      <c r="A3294" s="0" t="s">
        <v>4418</v>
      </c>
      <c r="B3294" s="0" t="s">
        <v>1174</v>
      </c>
      <c r="C3294" s="0" t="s">
        <v>4730</v>
      </c>
      <c r="D3294" s="0" t="s">
        <v>98</v>
      </c>
      <c r="E3294" s="0" t="s">
        <v>4445</v>
      </c>
    </row>
    <row r="3295" customFormat="false" ht="15" hidden="false" customHeight="false" outlineLevel="0" collapsed="false">
      <c r="A3295" s="0" t="s">
        <v>4418</v>
      </c>
      <c r="B3295" s="0" t="s">
        <v>1175</v>
      </c>
      <c r="C3295" s="0" t="s">
        <v>4731</v>
      </c>
      <c r="D3295" s="0" t="s">
        <v>98</v>
      </c>
      <c r="E3295" s="0" t="s">
        <v>4445</v>
      </c>
    </row>
    <row r="3296" customFormat="false" ht="15" hidden="false" customHeight="false" outlineLevel="0" collapsed="false">
      <c r="A3296" s="0" t="s">
        <v>4418</v>
      </c>
      <c r="B3296" s="0" t="s">
        <v>686</v>
      </c>
      <c r="C3296" s="0" t="s">
        <v>4732</v>
      </c>
      <c r="D3296" s="0" t="s">
        <v>98</v>
      </c>
      <c r="E3296" s="0" t="s">
        <v>4445</v>
      </c>
    </row>
    <row r="3297" customFormat="false" ht="15" hidden="false" customHeight="false" outlineLevel="0" collapsed="false">
      <c r="A3297" s="0" t="s">
        <v>4418</v>
      </c>
      <c r="B3297" s="0" t="s">
        <v>688</v>
      </c>
      <c r="C3297" s="0" t="s">
        <v>4733</v>
      </c>
      <c r="D3297" s="0" t="s">
        <v>98</v>
      </c>
      <c r="E3297" s="0" t="s">
        <v>4445</v>
      </c>
    </row>
    <row r="3298" customFormat="false" ht="15" hidden="false" customHeight="false" outlineLevel="0" collapsed="false">
      <c r="A3298" s="0" t="s">
        <v>4418</v>
      </c>
      <c r="B3298" s="0" t="s">
        <v>689</v>
      </c>
      <c r="C3298" s="0" t="s">
        <v>4734</v>
      </c>
      <c r="D3298" s="0" t="s">
        <v>98</v>
      </c>
      <c r="E3298" s="0" t="s">
        <v>4445</v>
      </c>
    </row>
    <row r="3299" customFormat="false" ht="15" hidden="false" customHeight="false" outlineLevel="0" collapsed="false">
      <c r="A3299" s="0" t="s">
        <v>4418</v>
      </c>
      <c r="B3299" s="0" t="s">
        <v>690</v>
      </c>
      <c r="C3299" s="0" t="s">
        <v>4735</v>
      </c>
      <c r="D3299" s="0" t="s">
        <v>98</v>
      </c>
      <c r="E3299" s="0" t="s">
        <v>4445</v>
      </c>
    </row>
    <row r="3300" customFormat="false" ht="15" hidden="false" customHeight="false" outlineLevel="0" collapsed="false">
      <c r="A3300" s="0" t="s">
        <v>4418</v>
      </c>
      <c r="B3300" s="0" t="s">
        <v>691</v>
      </c>
      <c r="C3300" s="0" t="s">
        <v>4736</v>
      </c>
      <c r="D3300" s="0" t="s">
        <v>98</v>
      </c>
      <c r="E3300" s="0" t="s">
        <v>4445</v>
      </c>
    </row>
    <row r="3301" customFormat="false" ht="15" hidden="false" customHeight="false" outlineLevel="0" collapsed="false">
      <c r="A3301" s="0" t="s">
        <v>4418</v>
      </c>
      <c r="B3301" s="0" t="s">
        <v>692</v>
      </c>
      <c r="C3301" s="0" t="s">
        <v>4737</v>
      </c>
      <c r="D3301" s="0" t="s">
        <v>98</v>
      </c>
      <c r="E3301" s="0" t="s">
        <v>4445</v>
      </c>
    </row>
    <row r="3302" customFormat="false" ht="15" hidden="false" customHeight="false" outlineLevel="0" collapsed="false">
      <c r="A3302" s="0" t="s">
        <v>4418</v>
      </c>
      <c r="B3302" s="0" t="s">
        <v>693</v>
      </c>
      <c r="C3302" s="0" t="s">
        <v>4738</v>
      </c>
      <c r="D3302" s="0" t="s">
        <v>98</v>
      </c>
      <c r="E3302" s="0" t="s">
        <v>4445</v>
      </c>
    </row>
    <row r="3303" customFormat="false" ht="15" hidden="false" customHeight="false" outlineLevel="0" collapsed="false">
      <c r="A3303" s="0" t="s">
        <v>4418</v>
      </c>
      <c r="B3303" s="0" t="s">
        <v>1176</v>
      </c>
      <c r="C3303" s="0" t="s">
        <v>4739</v>
      </c>
      <c r="D3303" s="0" t="s">
        <v>98</v>
      </c>
      <c r="E3303" s="0" t="s">
        <v>4445</v>
      </c>
    </row>
    <row r="3304" customFormat="false" ht="15" hidden="false" customHeight="false" outlineLevel="0" collapsed="false">
      <c r="A3304" s="0" t="s">
        <v>4418</v>
      </c>
      <c r="B3304" s="0" t="s">
        <v>1177</v>
      </c>
      <c r="C3304" s="0" t="s">
        <v>4740</v>
      </c>
      <c r="D3304" s="0" t="s">
        <v>98</v>
      </c>
      <c r="E3304" s="0" t="s">
        <v>4445</v>
      </c>
    </row>
    <row r="3305" customFormat="false" ht="15" hidden="false" customHeight="false" outlineLevel="0" collapsed="false">
      <c r="A3305" s="0" t="s">
        <v>4418</v>
      </c>
      <c r="B3305" s="0" t="s">
        <v>1178</v>
      </c>
      <c r="C3305" s="0" t="s">
        <v>4741</v>
      </c>
      <c r="D3305" s="0" t="s">
        <v>98</v>
      </c>
      <c r="E3305" s="0" t="s">
        <v>4445</v>
      </c>
    </row>
    <row r="3306" customFormat="false" ht="15" hidden="false" customHeight="false" outlineLevel="0" collapsed="false">
      <c r="A3306" s="0" t="s">
        <v>4418</v>
      </c>
      <c r="B3306" s="0" t="s">
        <v>1179</v>
      </c>
      <c r="C3306" s="0" t="s">
        <v>4742</v>
      </c>
      <c r="D3306" s="0" t="s">
        <v>98</v>
      </c>
      <c r="E3306" s="0" t="s">
        <v>4445</v>
      </c>
    </row>
    <row r="3307" customFormat="false" ht="15" hidden="false" customHeight="false" outlineLevel="0" collapsed="false">
      <c r="A3307" s="0" t="s">
        <v>4418</v>
      </c>
      <c r="B3307" s="0" t="s">
        <v>1180</v>
      </c>
      <c r="C3307" s="0" t="s">
        <v>4743</v>
      </c>
      <c r="D3307" s="0" t="s">
        <v>98</v>
      </c>
      <c r="E3307" s="0" t="s">
        <v>4445</v>
      </c>
    </row>
    <row r="3308" customFormat="false" ht="15" hidden="false" customHeight="false" outlineLevel="0" collapsed="false">
      <c r="A3308" s="0" t="s">
        <v>4418</v>
      </c>
      <c r="B3308" s="0" t="s">
        <v>1181</v>
      </c>
      <c r="C3308" s="0" t="s">
        <v>4744</v>
      </c>
      <c r="D3308" s="0" t="s">
        <v>98</v>
      </c>
      <c r="E3308" s="0" t="s">
        <v>4445</v>
      </c>
    </row>
    <row r="3309" customFormat="false" ht="15" hidden="false" customHeight="false" outlineLevel="0" collapsed="false">
      <c r="A3309" s="0" t="s">
        <v>4418</v>
      </c>
      <c r="B3309" s="0" t="s">
        <v>1182</v>
      </c>
      <c r="C3309" s="0" t="s">
        <v>4745</v>
      </c>
      <c r="D3309" s="0" t="s">
        <v>98</v>
      </c>
      <c r="E3309" s="0" t="s">
        <v>4445</v>
      </c>
    </row>
    <row r="3310" customFormat="false" ht="15" hidden="false" customHeight="false" outlineLevel="0" collapsed="false">
      <c r="A3310" s="0" t="s">
        <v>4418</v>
      </c>
      <c r="B3310" s="0" t="s">
        <v>1183</v>
      </c>
      <c r="C3310" s="0" t="s">
        <v>4746</v>
      </c>
      <c r="D3310" s="0" t="s">
        <v>98</v>
      </c>
      <c r="E3310" s="0" t="s">
        <v>4445</v>
      </c>
    </row>
    <row r="3311" customFormat="false" ht="15" hidden="false" customHeight="false" outlineLevel="0" collapsed="false">
      <c r="A3311" s="0" t="s">
        <v>4418</v>
      </c>
      <c r="B3311" s="0" t="s">
        <v>1184</v>
      </c>
      <c r="C3311" s="0" t="s">
        <v>4747</v>
      </c>
      <c r="D3311" s="0" t="s">
        <v>98</v>
      </c>
      <c r="E3311" s="0" t="s">
        <v>4445</v>
      </c>
    </row>
    <row r="3312" customFormat="false" ht="15" hidden="false" customHeight="false" outlineLevel="0" collapsed="false">
      <c r="A3312" s="0" t="s">
        <v>4418</v>
      </c>
      <c r="B3312" s="0" t="s">
        <v>1185</v>
      </c>
      <c r="C3312" s="0" t="s">
        <v>4748</v>
      </c>
      <c r="D3312" s="0" t="s">
        <v>98</v>
      </c>
      <c r="E3312" s="0" t="s">
        <v>4445</v>
      </c>
    </row>
    <row r="3313" customFormat="false" ht="15" hidden="false" customHeight="false" outlineLevel="0" collapsed="false">
      <c r="A3313" s="0" t="s">
        <v>4418</v>
      </c>
      <c r="B3313" s="0" t="s">
        <v>1186</v>
      </c>
      <c r="C3313" s="0" t="s">
        <v>4749</v>
      </c>
      <c r="D3313" s="0" t="s">
        <v>98</v>
      </c>
      <c r="E3313" s="0" t="s">
        <v>4445</v>
      </c>
    </row>
    <row r="3314" customFormat="false" ht="15" hidden="false" customHeight="false" outlineLevel="0" collapsed="false">
      <c r="A3314" s="0" t="s">
        <v>4418</v>
      </c>
      <c r="B3314" s="0" t="s">
        <v>1187</v>
      </c>
      <c r="C3314" s="0" t="s">
        <v>4750</v>
      </c>
      <c r="D3314" s="0" t="s">
        <v>98</v>
      </c>
      <c r="E3314" s="0" t="s">
        <v>4445</v>
      </c>
    </row>
    <row r="3315" customFormat="false" ht="15" hidden="false" customHeight="false" outlineLevel="0" collapsed="false">
      <c r="A3315" s="0" t="s">
        <v>4418</v>
      </c>
      <c r="B3315" s="0" t="s">
        <v>1188</v>
      </c>
      <c r="C3315" s="0" t="s">
        <v>4751</v>
      </c>
      <c r="D3315" s="0" t="s">
        <v>98</v>
      </c>
      <c r="E3315" s="0" t="s">
        <v>4445</v>
      </c>
    </row>
    <row r="3316" customFormat="false" ht="15" hidden="false" customHeight="false" outlineLevel="0" collapsed="false">
      <c r="A3316" s="0" t="s">
        <v>4418</v>
      </c>
      <c r="B3316" s="0" t="s">
        <v>1189</v>
      </c>
      <c r="C3316" s="0" t="s">
        <v>4752</v>
      </c>
      <c r="D3316" s="0" t="s">
        <v>98</v>
      </c>
      <c r="E3316" s="0" t="s">
        <v>4445</v>
      </c>
    </row>
    <row r="3317" customFormat="false" ht="15" hidden="false" customHeight="false" outlineLevel="0" collapsed="false">
      <c r="A3317" s="0" t="s">
        <v>4418</v>
      </c>
      <c r="B3317" s="0" t="s">
        <v>1190</v>
      </c>
      <c r="C3317" s="0" t="s">
        <v>4753</v>
      </c>
      <c r="D3317" s="0" t="s">
        <v>98</v>
      </c>
      <c r="E3317" s="0" t="s">
        <v>4445</v>
      </c>
    </row>
    <row r="3318" customFormat="false" ht="15" hidden="false" customHeight="false" outlineLevel="0" collapsed="false">
      <c r="A3318" s="0" t="s">
        <v>4418</v>
      </c>
      <c r="B3318" s="0" t="s">
        <v>1191</v>
      </c>
      <c r="C3318" s="0" t="s">
        <v>4754</v>
      </c>
      <c r="D3318" s="0" t="s">
        <v>98</v>
      </c>
      <c r="E3318" s="0" t="s">
        <v>4445</v>
      </c>
    </row>
    <row r="3319" customFormat="false" ht="15" hidden="false" customHeight="false" outlineLevel="0" collapsed="false">
      <c r="A3319" s="0" t="s">
        <v>4418</v>
      </c>
      <c r="B3319" s="0" t="s">
        <v>1192</v>
      </c>
      <c r="C3319" s="0" t="s">
        <v>4755</v>
      </c>
      <c r="D3319" s="0" t="s">
        <v>98</v>
      </c>
      <c r="E3319" s="0" t="s">
        <v>4445</v>
      </c>
    </row>
    <row r="3320" customFormat="false" ht="15" hidden="false" customHeight="false" outlineLevel="0" collapsed="false">
      <c r="A3320" s="0" t="s">
        <v>4418</v>
      </c>
      <c r="B3320" s="0" t="s">
        <v>1193</v>
      </c>
      <c r="C3320" s="0" t="s">
        <v>4756</v>
      </c>
      <c r="D3320" s="0" t="s">
        <v>98</v>
      </c>
      <c r="E3320" s="0" t="s">
        <v>4445</v>
      </c>
    </row>
    <row r="3321" customFormat="false" ht="15" hidden="false" customHeight="false" outlineLevel="0" collapsed="false">
      <c r="A3321" s="0" t="s">
        <v>4418</v>
      </c>
      <c r="B3321" s="0" t="s">
        <v>1194</v>
      </c>
      <c r="C3321" s="0" t="s">
        <v>4757</v>
      </c>
      <c r="D3321" s="0" t="s">
        <v>98</v>
      </c>
      <c r="E3321" s="0" t="s">
        <v>4445</v>
      </c>
    </row>
    <row r="3322" customFormat="false" ht="15" hidden="false" customHeight="false" outlineLevel="0" collapsed="false">
      <c r="A3322" s="0" t="s">
        <v>4418</v>
      </c>
      <c r="B3322" s="0" t="s">
        <v>1195</v>
      </c>
      <c r="C3322" s="0" t="s">
        <v>4758</v>
      </c>
      <c r="D3322" s="0" t="s">
        <v>98</v>
      </c>
      <c r="E3322" s="0" t="s">
        <v>4445</v>
      </c>
    </row>
    <row r="3323" customFormat="false" ht="15" hidden="false" customHeight="false" outlineLevel="0" collapsed="false">
      <c r="A3323" s="0" t="s">
        <v>4418</v>
      </c>
      <c r="B3323" s="0" t="s">
        <v>1196</v>
      </c>
      <c r="C3323" s="0" t="s">
        <v>4759</v>
      </c>
      <c r="D3323" s="0" t="s">
        <v>98</v>
      </c>
      <c r="E3323" s="0" t="s">
        <v>4445</v>
      </c>
    </row>
    <row r="3324" customFormat="false" ht="15" hidden="false" customHeight="false" outlineLevel="0" collapsed="false">
      <c r="A3324" s="0" t="s">
        <v>4418</v>
      </c>
      <c r="B3324" s="0" t="s">
        <v>696</v>
      </c>
      <c r="C3324" s="0" t="s">
        <v>4760</v>
      </c>
      <c r="D3324" s="0" t="s">
        <v>98</v>
      </c>
      <c r="E3324" s="0" t="s">
        <v>4445</v>
      </c>
    </row>
    <row r="3325" customFormat="false" ht="15" hidden="false" customHeight="false" outlineLevel="0" collapsed="false">
      <c r="A3325" s="0" t="s">
        <v>4418</v>
      </c>
      <c r="B3325" s="0" t="s">
        <v>697</v>
      </c>
      <c r="C3325" s="0" t="s">
        <v>4761</v>
      </c>
      <c r="D3325" s="0" t="s">
        <v>98</v>
      </c>
      <c r="E3325" s="0" t="s">
        <v>4445</v>
      </c>
    </row>
    <row r="3326" customFormat="false" ht="15" hidden="false" customHeight="false" outlineLevel="0" collapsed="false">
      <c r="A3326" s="0" t="s">
        <v>4418</v>
      </c>
      <c r="B3326" s="0" t="s">
        <v>698</v>
      </c>
      <c r="C3326" s="0" t="s">
        <v>4762</v>
      </c>
      <c r="D3326" s="0" t="s">
        <v>98</v>
      </c>
      <c r="E3326" s="0" t="s">
        <v>4445</v>
      </c>
    </row>
    <row r="3327" customFormat="false" ht="15" hidden="false" customHeight="false" outlineLevel="0" collapsed="false">
      <c r="A3327" s="0" t="s">
        <v>4418</v>
      </c>
      <c r="B3327" s="0" t="s">
        <v>699</v>
      </c>
      <c r="C3327" s="0" t="s">
        <v>4763</v>
      </c>
      <c r="D3327" s="0" t="s">
        <v>98</v>
      </c>
      <c r="E3327" s="0" t="s">
        <v>4445</v>
      </c>
    </row>
    <row r="3328" customFormat="false" ht="15" hidden="false" customHeight="false" outlineLevel="0" collapsed="false">
      <c r="A3328" s="0" t="s">
        <v>4418</v>
      </c>
      <c r="B3328" s="0" t="s">
        <v>700</v>
      </c>
      <c r="C3328" s="0" t="s">
        <v>4764</v>
      </c>
      <c r="D3328" s="0" t="s">
        <v>98</v>
      </c>
      <c r="E3328" s="0" t="s">
        <v>4445</v>
      </c>
    </row>
    <row r="3329" customFormat="false" ht="15" hidden="false" customHeight="false" outlineLevel="0" collapsed="false">
      <c r="A3329" s="0" t="s">
        <v>4418</v>
      </c>
      <c r="B3329" s="0" t="s">
        <v>701</v>
      </c>
      <c r="C3329" s="0" t="s">
        <v>4765</v>
      </c>
      <c r="D3329" s="0" t="s">
        <v>98</v>
      </c>
      <c r="E3329" s="0" t="s">
        <v>4445</v>
      </c>
    </row>
    <row r="3330" customFormat="false" ht="15" hidden="false" customHeight="false" outlineLevel="0" collapsed="false">
      <c r="A3330" s="0" t="s">
        <v>4418</v>
      </c>
      <c r="B3330" s="0" t="s">
        <v>702</v>
      </c>
      <c r="C3330" s="0" t="s">
        <v>4766</v>
      </c>
      <c r="D3330" s="0" t="s">
        <v>98</v>
      </c>
      <c r="E3330" s="0" t="s">
        <v>4445</v>
      </c>
    </row>
    <row r="3331" customFormat="false" ht="15" hidden="false" customHeight="false" outlineLevel="0" collapsed="false">
      <c r="A3331" s="0" t="s">
        <v>4418</v>
      </c>
      <c r="B3331" s="0" t="s">
        <v>1205</v>
      </c>
      <c r="C3331" s="0" t="s">
        <v>4767</v>
      </c>
      <c r="D3331" s="0" t="s">
        <v>98</v>
      </c>
      <c r="E3331" s="0" t="s">
        <v>4445</v>
      </c>
    </row>
    <row r="3332" customFormat="false" ht="15" hidden="false" customHeight="false" outlineLevel="0" collapsed="false">
      <c r="A3332" s="0" t="s">
        <v>4418</v>
      </c>
      <c r="B3332" s="0" t="s">
        <v>1207</v>
      </c>
      <c r="C3332" s="0" t="s">
        <v>4768</v>
      </c>
      <c r="D3332" s="0" t="s">
        <v>98</v>
      </c>
      <c r="E3332" s="0" t="s">
        <v>4445</v>
      </c>
    </row>
    <row r="3333" customFormat="false" ht="15" hidden="false" customHeight="false" outlineLevel="0" collapsed="false">
      <c r="A3333" s="0" t="s">
        <v>4418</v>
      </c>
      <c r="B3333" s="0" t="s">
        <v>1209</v>
      </c>
      <c r="C3333" s="0" t="s">
        <v>4769</v>
      </c>
      <c r="D3333" s="0" t="s">
        <v>98</v>
      </c>
      <c r="E3333" s="0" t="s">
        <v>4445</v>
      </c>
    </row>
    <row r="3334" customFormat="false" ht="15" hidden="false" customHeight="false" outlineLevel="0" collapsed="false">
      <c r="A3334" s="0" t="s">
        <v>4418</v>
      </c>
      <c r="B3334" s="0" t="s">
        <v>1211</v>
      </c>
      <c r="C3334" s="0" t="s">
        <v>4770</v>
      </c>
      <c r="D3334" s="0" t="s">
        <v>98</v>
      </c>
      <c r="E3334" s="0" t="s">
        <v>4445</v>
      </c>
    </row>
    <row r="3335" customFormat="false" ht="15" hidden="false" customHeight="false" outlineLevel="0" collapsed="false">
      <c r="A3335" s="0" t="s">
        <v>4418</v>
      </c>
      <c r="B3335" s="0" t="s">
        <v>1213</v>
      </c>
      <c r="C3335" s="0" t="s">
        <v>4771</v>
      </c>
      <c r="D3335" s="0" t="s">
        <v>98</v>
      </c>
      <c r="E3335" s="0" t="s">
        <v>4445</v>
      </c>
    </row>
    <row r="3336" customFormat="false" ht="15" hidden="false" customHeight="false" outlineLevel="0" collapsed="false">
      <c r="A3336" s="0" t="s">
        <v>4418</v>
      </c>
      <c r="B3336" s="0" t="s">
        <v>1215</v>
      </c>
      <c r="C3336" s="0" t="s">
        <v>4772</v>
      </c>
      <c r="D3336" s="0" t="s">
        <v>98</v>
      </c>
      <c r="E3336" s="0" t="s">
        <v>4445</v>
      </c>
    </row>
    <row r="3337" customFormat="false" ht="15" hidden="false" customHeight="false" outlineLevel="0" collapsed="false">
      <c r="A3337" s="0" t="s">
        <v>4418</v>
      </c>
      <c r="B3337" s="0" t="s">
        <v>1217</v>
      </c>
      <c r="C3337" s="0" t="s">
        <v>4773</v>
      </c>
      <c r="D3337" s="0" t="s">
        <v>98</v>
      </c>
      <c r="E3337" s="0" t="s">
        <v>4445</v>
      </c>
    </row>
    <row r="3338" customFormat="false" ht="15" hidden="false" customHeight="false" outlineLevel="0" collapsed="false">
      <c r="A3338" s="0" t="s">
        <v>4418</v>
      </c>
      <c r="B3338" s="0" t="s">
        <v>1219</v>
      </c>
      <c r="C3338" s="0" t="s">
        <v>4774</v>
      </c>
      <c r="D3338" s="0" t="s">
        <v>98</v>
      </c>
      <c r="E3338" s="0" t="s">
        <v>4445</v>
      </c>
    </row>
    <row r="3339" customFormat="false" ht="15" hidden="false" customHeight="false" outlineLevel="0" collapsed="false">
      <c r="A3339" s="0" t="s">
        <v>4418</v>
      </c>
      <c r="B3339" s="0" t="s">
        <v>1221</v>
      </c>
      <c r="C3339" s="0" t="s">
        <v>4775</v>
      </c>
      <c r="D3339" s="0" t="s">
        <v>98</v>
      </c>
      <c r="E3339" s="0" t="s">
        <v>4445</v>
      </c>
    </row>
    <row r="3340" customFormat="false" ht="15" hidden="false" customHeight="false" outlineLevel="0" collapsed="false">
      <c r="A3340" s="0" t="s">
        <v>4418</v>
      </c>
      <c r="B3340" s="0" t="s">
        <v>1223</v>
      </c>
      <c r="C3340" s="0" t="s">
        <v>4776</v>
      </c>
      <c r="D3340" s="0" t="s">
        <v>98</v>
      </c>
      <c r="E3340" s="0" t="s">
        <v>4445</v>
      </c>
    </row>
    <row r="3341" customFormat="false" ht="15" hidden="false" customHeight="false" outlineLevel="0" collapsed="false">
      <c r="A3341" s="0" t="s">
        <v>4418</v>
      </c>
      <c r="B3341" s="0" t="s">
        <v>1225</v>
      </c>
      <c r="C3341" s="0" t="s">
        <v>4777</v>
      </c>
      <c r="D3341" s="0" t="s">
        <v>98</v>
      </c>
      <c r="E3341" s="0" t="s">
        <v>4445</v>
      </c>
    </row>
    <row r="3342" customFormat="false" ht="15" hidden="false" customHeight="false" outlineLevel="0" collapsed="false">
      <c r="A3342" s="0" t="s">
        <v>4418</v>
      </c>
      <c r="B3342" s="0" t="s">
        <v>1227</v>
      </c>
      <c r="C3342" s="0" t="s">
        <v>4778</v>
      </c>
      <c r="D3342" s="0" t="s">
        <v>98</v>
      </c>
      <c r="E3342" s="0" t="s">
        <v>4445</v>
      </c>
    </row>
    <row r="3343" customFormat="false" ht="15" hidden="false" customHeight="false" outlineLevel="0" collapsed="false">
      <c r="A3343" s="0" t="s">
        <v>4418</v>
      </c>
      <c r="B3343" s="0" t="s">
        <v>1229</v>
      </c>
      <c r="C3343" s="0" t="s">
        <v>4779</v>
      </c>
      <c r="D3343" s="0" t="s">
        <v>98</v>
      </c>
      <c r="E3343" s="0" t="s">
        <v>4445</v>
      </c>
    </row>
    <row r="3344" customFormat="false" ht="15" hidden="false" customHeight="false" outlineLevel="0" collapsed="false">
      <c r="A3344" s="0" t="s">
        <v>4418</v>
      </c>
      <c r="B3344" s="0" t="s">
        <v>1231</v>
      </c>
      <c r="C3344" s="0" t="s">
        <v>4780</v>
      </c>
      <c r="D3344" s="0" t="s">
        <v>98</v>
      </c>
      <c r="E3344" s="0" t="s">
        <v>4445</v>
      </c>
    </row>
    <row r="3345" customFormat="false" ht="15" hidden="false" customHeight="false" outlineLevel="0" collapsed="false">
      <c r="A3345" s="0" t="s">
        <v>4418</v>
      </c>
      <c r="B3345" s="0" t="s">
        <v>1233</v>
      </c>
      <c r="C3345" s="0" t="s">
        <v>4781</v>
      </c>
      <c r="D3345" s="0" t="s">
        <v>98</v>
      </c>
      <c r="E3345" s="0" t="s">
        <v>4445</v>
      </c>
    </row>
    <row r="3346" customFormat="false" ht="15" hidden="false" customHeight="false" outlineLevel="0" collapsed="false">
      <c r="A3346" s="0" t="s">
        <v>4418</v>
      </c>
      <c r="B3346" s="0" t="s">
        <v>1235</v>
      </c>
      <c r="C3346" s="0" t="s">
        <v>4782</v>
      </c>
      <c r="D3346" s="0" t="s">
        <v>98</v>
      </c>
      <c r="E3346" s="0" t="s">
        <v>4445</v>
      </c>
    </row>
    <row r="3347" customFormat="false" ht="15" hidden="false" customHeight="false" outlineLevel="0" collapsed="false">
      <c r="A3347" s="0" t="s">
        <v>4418</v>
      </c>
      <c r="B3347" s="0" t="s">
        <v>1237</v>
      </c>
      <c r="C3347" s="0" t="s">
        <v>4783</v>
      </c>
      <c r="D3347" s="0" t="s">
        <v>98</v>
      </c>
      <c r="E3347" s="0" t="s">
        <v>4445</v>
      </c>
    </row>
    <row r="3348" customFormat="false" ht="15" hidden="false" customHeight="false" outlineLevel="0" collapsed="false">
      <c r="A3348" s="0" t="s">
        <v>4418</v>
      </c>
      <c r="B3348" s="0" t="s">
        <v>1239</v>
      </c>
      <c r="C3348" s="0" t="s">
        <v>4784</v>
      </c>
      <c r="D3348" s="0" t="s">
        <v>98</v>
      </c>
      <c r="E3348" s="0" t="s">
        <v>4445</v>
      </c>
    </row>
    <row r="3349" customFormat="false" ht="15" hidden="false" customHeight="false" outlineLevel="0" collapsed="false">
      <c r="A3349" s="0" t="s">
        <v>4418</v>
      </c>
      <c r="B3349" s="0" t="s">
        <v>1241</v>
      </c>
      <c r="C3349" s="0" t="s">
        <v>4785</v>
      </c>
      <c r="D3349" s="0" t="s">
        <v>98</v>
      </c>
      <c r="E3349" s="0" t="s">
        <v>4445</v>
      </c>
    </row>
    <row r="3350" customFormat="false" ht="15" hidden="false" customHeight="false" outlineLevel="0" collapsed="false">
      <c r="A3350" s="0" t="s">
        <v>4418</v>
      </c>
      <c r="B3350" s="0" t="s">
        <v>1243</v>
      </c>
      <c r="C3350" s="0" t="s">
        <v>4786</v>
      </c>
      <c r="D3350" s="0" t="s">
        <v>98</v>
      </c>
      <c r="E3350" s="0" t="s">
        <v>4445</v>
      </c>
    </row>
    <row r="3351" customFormat="false" ht="15" hidden="false" customHeight="false" outlineLevel="0" collapsed="false">
      <c r="A3351" s="0" t="s">
        <v>4418</v>
      </c>
      <c r="B3351" s="0" t="s">
        <v>4787</v>
      </c>
      <c r="C3351" s="0" t="s">
        <v>4788</v>
      </c>
      <c r="D3351" s="0" t="s">
        <v>98</v>
      </c>
      <c r="E3351" s="0" t="s">
        <v>4445</v>
      </c>
    </row>
    <row r="3352" customFormat="false" ht="15" hidden="false" customHeight="false" outlineLevel="0" collapsed="false">
      <c r="A3352" s="0" t="s">
        <v>4418</v>
      </c>
      <c r="B3352" s="0" t="s">
        <v>705</v>
      </c>
      <c r="C3352" s="0" t="s">
        <v>4789</v>
      </c>
      <c r="D3352" s="0" t="s">
        <v>98</v>
      </c>
      <c r="E3352" s="0" t="s">
        <v>4445</v>
      </c>
    </row>
    <row r="3353" customFormat="false" ht="15" hidden="false" customHeight="false" outlineLevel="0" collapsed="false">
      <c r="A3353" s="0" t="s">
        <v>4418</v>
      </c>
      <c r="B3353" s="0" t="s">
        <v>706</v>
      </c>
      <c r="C3353" s="0" t="s">
        <v>4790</v>
      </c>
      <c r="D3353" s="0" t="s">
        <v>98</v>
      </c>
      <c r="E3353" s="0" t="s">
        <v>4445</v>
      </c>
    </row>
    <row r="3354" customFormat="false" ht="15" hidden="false" customHeight="false" outlineLevel="0" collapsed="false">
      <c r="A3354" s="0" t="s">
        <v>4418</v>
      </c>
      <c r="B3354" s="0" t="s">
        <v>707</v>
      </c>
      <c r="C3354" s="0" t="s">
        <v>4791</v>
      </c>
      <c r="D3354" s="0" t="s">
        <v>98</v>
      </c>
      <c r="E3354" s="0" t="s">
        <v>4445</v>
      </c>
    </row>
    <row r="3355" customFormat="false" ht="15" hidden="false" customHeight="false" outlineLevel="0" collapsed="false">
      <c r="A3355" s="0" t="s">
        <v>4418</v>
      </c>
      <c r="B3355" s="0" t="s">
        <v>708</v>
      </c>
      <c r="C3355" s="0" t="s">
        <v>4792</v>
      </c>
      <c r="D3355" s="0" t="s">
        <v>98</v>
      </c>
      <c r="E3355" s="0" t="s">
        <v>4445</v>
      </c>
    </row>
    <row r="3356" customFormat="false" ht="15" hidden="false" customHeight="false" outlineLevel="0" collapsed="false">
      <c r="A3356" s="0" t="s">
        <v>4418</v>
      </c>
      <c r="B3356" s="0" t="s">
        <v>709</v>
      </c>
      <c r="C3356" s="0" t="s">
        <v>4793</v>
      </c>
      <c r="D3356" s="0" t="s">
        <v>98</v>
      </c>
      <c r="E3356" s="0" t="s">
        <v>4445</v>
      </c>
    </row>
    <row r="3357" customFormat="false" ht="15" hidden="false" customHeight="false" outlineLevel="0" collapsed="false">
      <c r="A3357" s="0" t="s">
        <v>4418</v>
      </c>
      <c r="B3357" s="0" t="s">
        <v>710</v>
      </c>
      <c r="C3357" s="0" t="s">
        <v>4794</v>
      </c>
      <c r="D3357" s="0" t="s">
        <v>98</v>
      </c>
      <c r="E3357" s="0" t="s">
        <v>4445</v>
      </c>
    </row>
    <row r="3358" customFormat="false" ht="15" hidden="false" customHeight="false" outlineLevel="0" collapsed="false">
      <c r="A3358" s="0" t="s">
        <v>4418</v>
      </c>
      <c r="B3358" s="0" t="s">
        <v>711</v>
      </c>
      <c r="C3358" s="0" t="s">
        <v>4795</v>
      </c>
      <c r="D3358" s="0" t="s">
        <v>98</v>
      </c>
      <c r="E3358" s="0" t="s">
        <v>4445</v>
      </c>
    </row>
    <row r="3359" customFormat="false" ht="15" hidden="false" customHeight="false" outlineLevel="0" collapsed="false">
      <c r="A3359" s="0" t="s">
        <v>4418</v>
      </c>
      <c r="B3359" s="0" t="s">
        <v>4403</v>
      </c>
      <c r="C3359" s="0" t="s">
        <v>4796</v>
      </c>
      <c r="D3359" s="0" t="s">
        <v>98</v>
      </c>
      <c r="E3359" s="0" t="s">
        <v>4445</v>
      </c>
    </row>
    <row r="3360" customFormat="false" ht="15" hidden="false" customHeight="false" outlineLevel="0" collapsed="false">
      <c r="A3360" s="0" t="s">
        <v>4418</v>
      </c>
      <c r="B3360" s="0" t="s">
        <v>4405</v>
      </c>
      <c r="C3360" s="0" t="s">
        <v>4797</v>
      </c>
      <c r="D3360" s="0" t="s">
        <v>98</v>
      </c>
      <c r="E3360" s="0" t="s">
        <v>4445</v>
      </c>
    </row>
    <row r="3361" customFormat="false" ht="15" hidden="false" customHeight="false" outlineLevel="0" collapsed="false">
      <c r="A3361" s="0" t="s">
        <v>4418</v>
      </c>
      <c r="B3361" s="0" t="s">
        <v>4407</v>
      </c>
      <c r="C3361" s="0" t="s">
        <v>4798</v>
      </c>
      <c r="D3361" s="0" t="s">
        <v>98</v>
      </c>
      <c r="E3361" s="0" t="s">
        <v>4445</v>
      </c>
    </row>
    <row r="3362" customFormat="false" ht="15" hidden="false" customHeight="false" outlineLevel="0" collapsed="false">
      <c r="A3362" s="0" t="s">
        <v>4418</v>
      </c>
      <c r="B3362" s="0" t="s">
        <v>1245</v>
      </c>
      <c r="C3362" s="0" t="s">
        <v>4799</v>
      </c>
      <c r="D3362" s="0" t="s">
        <v>98</v>
      </c>
      <c r="E3362" s="0" t="s">
        <v>4445</v>
      </c>
    </row>
    <row r="3363" customFormat="false" ht="15" hidden="false" customHeight="false" outlineLevel="0" collapsed="false">
      <c r="A3363" s="0" t="s">
        <v>4418</v>
      </c>
      <c r="B3363" s="0" t="s">
        <v>4800</v>
      </c>
      <c r="C3363" s="0" t="s">
        <v>4801</v>
      </c>
      <c r="D3363" s="0" t="s">
        <v>98</v>
      </c>
      <c r="E3363" s="0" t="s">
        <v>4445</v>
      </c>
    </row>
    <row r="3364" customFormat="false" ht="15" hidden="false" customHeight="false" outlineLevel="0" collapsed="false">
      <c r="A3364" s="0" t="s">
        <v>4418</v>
      </c>
      <c r="B3364" s="0" t="s">
        <v>4802</v>
      </c>
      <c r="C3364" s="0" t="s">
        <v>4803</v>
      </c>
      <c r="D3364" s="0" t="s">
        <v>98</v>
      </c>
      <c r="E3364" s="0" t="s">
        <v>4445</v>
      </c>
    </row>
    <row r="3365" customFormat="false" ht="15" hidden="false" customHeight="false" outlineLevel="0" collapsed="false">
      <c r="A3365" s="0" t="s">
        <v>4418</v>
      </c>
      <c r="B3365" s="0" t="s">
        <v>4804</v>
      </c>
      <c r="C3365" s="0" t="s">
        <v>4805</v>
      </c>
      <c r="D3365" s="0" t="s">
        <v>98</v>
      </c>
      <c r="E3365" s="0" t="s">
        <v>4445</v>
      </c>
    </row>
    <row r="3366" customFormat="false" ht="15" hidden="false" customHeight="false" outlineLevel="0" collapsed="false">
      <c r="A3366" s="0" t="s">
        <v>4418</v>
      </c>
      <c r="B3366" s="0" t="s">
        <v>4806</v>
      </c>
      <c r="C3366" s="0" t="s">
        <v>4807</v>
      </c>
      <c r="D3366" s="0" t="s">
        <v>98</v>
      </c>
      <c r="E3366" s="0" t="s">
        <v>4445</v>
      </c>
    </row>
    <row r="3367" customFormat="false" ht="15" hidden="false" customHeight="false" outlineLevel="0" collapsed="false">
      <c r="A3367" s="0" t="s">
        <v>4418</v>
      </c>
      <c r="B3367" s="0" t="s">
        <v>4808</v>
      </c>
      <c r="C3367" s="0" t="s">
        <v>4809</v>
      </c>
      <c r="D3367" s="0" t="s">
        <v>98</v>
      </c>
      <c r="E3367" s="0" t="s">
        <v>4445</v>
      </c>
    </row>
    <row r="3368" customFormat="false" ht="15" hidden="false" customHeight="false" outlineLevel="0" collapsed="false">
      <c r="A3368" s="0" t="s">
        <v>4418</v>
      </c>
      <c r="B3368" s="0" t="s">
        <v>4810</v>
      </c>
      <c r="C3368" s="0" t="s">
        <v>4811</v>
      </c>
      <c r="D3368" s="0" t="s">
        <v>98</v>
      </c>
      <c r="E3368" s="0" t="s">
        <v>4445</v>
      </c>
    </row>
    <row r="3369" customFormat="false" ht="15" hidden="false" customHeight="false" outlineLevel="0" collapsed="false">
      <c r="A3369" s="0" t="s">
        <v>4418</v>
      </c>
      <c r="B3369" s="0" t="s">
        <v>4812</v>
      </c>
      <c r="C3369" s="0" t="s">
        <v>4813</v>
      </c>
      <c r="D3369" s="0" t="s">
        <v>98</v>
      </c>
      <c r="E3369" s="0" t="s">
        <v>4445</v>
      </c>
    </row>
    <row r="3370" customFormat="false" ht="15" hidden="false" customHeight="false" outlineLevel="0" collapsed="false">
      <c r="A3370" s="0" t="s">
        <v>4418</v>
      </c>
      <c r="B3370" s="0" t="s">
        <v>4814</v>
      </c>
      <c r="C3370" s="0" t="s">
        <v>4815</v>
      </c>
      <c r="D3370" s="0" t="s">
        <v>98</v>
      </c>
      <c r="E3370" s="0" t="s">
        <v>4445</v>
      </c>
    </row>
    <row r="3371" customFormat="false" ht="15" hidden="false" customHeight="false" outlineLevel="0" collapsed="false">
      <c r="A3371" s="0" t="s">
        <v>4418</v>
      </c>
      <c r="B3371" s="0" t="s">
        <v>4816</v>
      </c>
      <c r="C3371" s="0" t="s">
        <v>4817</v>
      </c>
      <c r="D3371" s="0" t="s">
        <v>98</v>
      </c>
      <c r="E3371" s="0" t="s">
        <v>4445</v>
      </c>
    </row>
    <row r="3372" customFormat="false" ht="15" hidden="false" customHeight="false" outlineLevel="0" collapsed="false">
      <c r="A3372" s="0" t="s">
        <v>4418</v>
      </c>
      <c r="B3372" s="0" t="s">
        <v>4818</v>
      </c>
      <c r="C3372" s="0" t="s">
        <v>4819</v>
      </c>
      <c r="D3372" s="0" t="s">
        <v>98</v>
      </c>
      <c r="E3372" s="0" t="s">
        <v>4445</v>
      </c>
    </row>
    <row r="3373" customFormat="false" ht="15" hidden="false" customHeight="false" outlineLevel="0" collapsed="false">
      <c r="A3373" s="0" t="s">
        <v>4418</v>
      </c>
      <c r="B3373" s="0" t="s">
        <v>4820</v>
      </c>
      <c r="C3373" s="0" t="s">
        <v>4821</v>
      </c>
      <c r="D3373" s="0" t="s">
        <v>98</v>
      </c>
      <c r="E3373" s="0" t="s">
        <v>4445</v>
      </c>
    </row>
    <row r="3374" customFormat="false" ht="15" hidden="false" customHeight="false" outlineLevel="0" collapsed="false">
      <c r="A3374" s="0" t="s">
        <v>4418</v>
      </c>
      <c r="B3374" s="0" t="s">
        <v>4822</v>
      </c>
      <c r="C3374" s="0" t="s">
        <v>4823</v>
      </c>
      <c r="D3374" s="0" t="s">
        <v>98</v>
      </c>
      <c r="E3374" s="0" t="s">
        <v>4445</v>
      </c>
    </row>
    <row r="3375" customFormat="false" ht="15" hidden="false" customHeight="false" outlineLevel="0" collapsed="false">
      <c r="A3375" s="0" t="s">
        <v>4418</v>
      </c>
      <c r="B3375" s="0" t="s">
        <v>4824</v>
      </c>
      <c r="C3375" s="0" t="s">
        <v>4825</v>
      </c>
      <c r="D3375" s="0" t="s">
        <v>98</v>
      </c>
      <c r="E3375" s="0" t="s">
        <v>4445</v>
      </c>
    </row>
    <row r="3376" customFormat="false" ht="15" hidden="false" customHeight="false" outlineLevel="0" collapsed="false">
      <c r="A3376" s="0" t="s">
        <v>4418</v>
      </c>
      <c r="B3376" s="0" t="s">
        <v>4826</v>
      </c>
      <c r="C3376" s="0" t="s">
        <v>4827</v>
      </c>
      <c r="D3376" s="0" t="s">
        <v>98</v>
      </c>
      <c r="E3376" s="0" t="s">
        <v>4445</v>
      </c>
    </row>
    <row r="3377" customFormat="false" ht="15" hidden="false" customHeight="false" outlineLevel="0" collapsed="false">
      <c r="A3377" s="0" t="s">
        <v>4418</v>
      </c>
      <c r="B3377" s="0" t="s">
        <v>4828</v>
      </c>
      <c r="C3377" s="0" t="s">
        <v>4829</v>
      </c>
      <c r="D3377" s="0" t="s">
        <v>98</v>
      </c>
      <c r="E3377" s="0" t="s">
        <v>4445</v>
      </c>
    </row>
    <row r="3378" customFormat="false" ht="15" hidden="false" customHeight="false" outlineLevel="0" collapsed="false">
      <c r="A3378" s="0" t="s">
        <v>4418</v>
      </c>
      <c r="B3378" s="0" t="s">
        <v>4830</v>
      </c>
      <c r="C3378" s="0" t="s">
        <v>4831</v>
      </c>
      <c r="D3378" s="0" t="s">
        <v>98</v>
      </c>
      <c r="E3378" s="0" t="s">
        <v>4445</v>
      </c>
    </row>
    <row r="3379" customFormat="false" ht="15" hidden="false" customHeight="false" outlineLevel="0" collapsed="false">
      <c r="A3379" s="0" t="s">
        <v>4418</v>
      </c>
      <c r="B3379" s="0" t="s">
        <v>4832</v>
      </c>
      <c r="C3379" s="0" t="s">
        <v>4833</v>
      </c>
      <c r="D3379" s="0" t="s">
        <v>98</v>
      </c>
      <c r="E3379" s="0" t="s">
        <v>4445</v>
      </c>
    </row>
    <row r="3380" customFormat="false" ht="15" hidden="false" customHeight="false" outlineLevel="0" collapsed="false">
      <c r="A3380" s="0" t="s">
        <v>4418</v>
      </c>
      <c r="B3380" s="0" t="s">
        <v>714</v>
      </c>
      <c r="C3380" s="0" t="s">
        <v>4834</v>
      </c>
      <c r="D3380" s="0" t="s">
        <v>98</v>
      </c>
      <c r="E3380" s="0" t="s">
        <v>4445</v>
      </c>
    </row>
    <row r="3381" customFormat="false" ht="15" hidden="false" customHeight="false" outlineLevel="0" collapsed="false">
      <c r="A3381" s="0" t="s">
        <v>4418</v>
      </c>
      <c r="B3381" s="0" t="s">
        <v>715</v>
      </c>
      <c r="C3381" s="0" t="s">
        <v>4835</v>
      </c>
      <c r="D3381" s="0" t="s">
        <v>98</v>
      </c>
      <c r="E3381" s="0" t="s">
        <v>4445</v>
      </c>
    </row>
    <row r="3382" customFormat="false" ht="15" hidden="false" customHeight="false" outlineLevel="0" collapsed="false">
      <c r="A3382" s="0" t="s">
        <v>4418</v>
      </c>
      <c r="B3382" s="0" t="s">
        <v>716</v>
      </c>
      <c r="C3382" s="0" t="s">
        <v>4836</v>
      </c>
      <c r="D3382" s="0" t="s">
        <v>98</v>
      </c>
      <c r="E3382" s="0" t="s">
        <v>4445</v>
      </c>
    </row>
    <row r="3383" customFormat="false" ht="15" hidden="false" customHeight="false" outlineLevel="0" collapsed="false">
      <c r="A3383" s="0" t="s">
        <v>4418</v>
      </c>
      <c r="B3383" s="0" t="s">
        <v>717</v>
      </c>
      <c r="C3383" s="0" t="s">
        <v>4837</v>
      </c>
      <c r="D3383" s="0" t="s">
        <v>98</v>
      </c>
      <c r="E3383" s="0" t="s">
        <v>4445</v>
      </c>
    </row>
    <row r="3384" customFormat="false" ht="15" hidden="false" customHeight="false" outlineLevel="0" collapsed="false">
      <c r="A3384" s="0" t="s">
        <v>4418</v>
      </c>
      <c r="B3384" s="0" t="s">
        <v>718</v>
      </c>
      <c r="C3384" s="0" t="s">
        <v>4838</v>
      </c>
      <c r="D3384" s="0" t="s">
        <v>98</v>
      </c>
      <c r="E3384" s="0" t="s">
        <v>4445</v>
      </c>
    </row>
    <row r="3385" customFormat="false" ht="15" hidden="false" customHeight="false" outlineLevel="0" collapsed="false">
      <c r="A3385" s="0" t="s">
        <v>4418</v>
      </c>
      <c r="B3385" s="0" t="s">
        <v>719</v>
      </c>
      <c r="C3385" s="0" t="s">
        <v>4839</v>
      </c>
      <c r="D3385" s="0" t="s">
        <v>98</v>
      </c>
      <c r="E3385" s="0" t="s">
        <v>4445</v>
      </c>
    </row>
    <row r="3386" customFormat="false" ht="15" hidden="false" customHeight="false" outlineLevel="0" collapsed="false">
      <c r="A3386" s="0" t="s">
        <v>4418</v>
      </c>
      <c r="B3386" s="0" t="s">
        <v>720</v>
      </c>
      <c r="C3386" s="0" t="s">
        <v>4840</v>
      </c>
      <c r="D3386" s="0" t="s">
        <v>98</v>
      </c>
      <c r="E3386" s="0" t="s">
        <v>4445</v>
      </c>
    </row>
    <row r="3387" customFormat="false" ht="15" hidden="false" customHeight="false" outlineLevel="0" collapsed="false">
      <c r="A3387" s="0" t="s">
        <v>4418</v>
      </c>
      <c r="B3387" s="0" t="s">
        <v>1247</v>
      </c>
      <c r="C3387" s="0" t="s">
        <v>4841</v>
      </c>
      <c r="D3387" s="0" t="s">
        <v>98</v>
      </c>
      <c r="E3387" s="0" t="s">
        <v>4445</v>
      </c>
    </row>
    <row r="3388" customFormat="false" ht="15" hidden="false" customHeight="false" outlineLevel="0" collapsed="false">
      <c r="A3388" s="0" t="s">
        <v>4418</v>
      </c>
      <c r="B3388" s="0" t="s">
        <v>1248</v>
      </c>
      <c r="C3388" s="0" t="s">
        <v>4842</v>
      </c>
      <c r="D3388" s="0" t="s">
        <v>98</v>
      </c>
      <c r="E3388" s="0" t="s">
        <v>4445</v>
      </c>
    </row>
    <row r="3389" customFormat="false" ht="15" hidden="false" customHeight="false" outlineLevel="0" collapsed="false">
      <c r="A3389" s="0" t="s">
        <v>4418</v>
      </c>
      <c r="B3389" s="0" t="s">
        <v>1249</v>
      </c>
      <c r="C3389" s="0" t="s">
        <v>4843</v>
      </c>
      <c r="D3389" s="0" t="s">
        <v>98</v>
      </c>
      <c r="E3389" s="0" t="s">
        <v>4445</v>
      </c>
    </row>
    <row r="3390" customFormat="false" ht="15" hidden="false" customHeight="false" outlineLevel="0" collapsed="false">
      <c r="A3390" s="0" t="s">
        <v>4418</v>
      </c>
      <c r="B3390" s="0" t="s">
        <v>1250</v>
      </c>
      <c r="C3390" s="0" t="s">
        <v>4844</v>
      </c>
      <c r="D3390" s="0" t="s">
        <v>98</v>
      </c>
      <c r="E3390" s="0" t="s">
        <v>4445</v>
      </c>
    </row>
    <row r="3391" customFormat="false" ht="15" hidden="false" customHeight="false" outlineLevel="0" collapsed="false">
      <c r="A3391" s="0" t="s">
        <v>4418</v>
      </c>
      <c r="B3391" s="0" t="s">
        <v>1251</v>
      </c>
      <c r="C3391" s="0" t="s">
        <v>4845</v>
      </c>
      <c r="D3391" s="0" t="s">
        <v>98</v>
      </c>
      <c r="E3391" s="0" t="s">
        <v>4445</v>
      </c>
    </row>
    <row r="3392" customFormat="false" ht="15" hidden="false" customHeight="false" outlineLevel="0" collapsed="false">
      <c r="A3392" s="0" t="s">
        <v>4418</v>
      </c>
      <c r="B3392" s="0" t="s">
        <v>1252</v>
      </c>
      <c r="C3392" s="0" t="s">
        <v>4846</v>
      </c>
      <c r="D3392" s="0" t="s">
        <v>98</v>
      </c>
      <c r="E3392" s="0" t="s">
        <v>4445</v>
      </c>
    </row>
    <row r="3393" customFormat="false" ht="15" hidden="false" customHeight="false" outlineLevel="0" collapsed="false">
      <c r="A3393" s="0" t="s">
        <v>4418</v>
      </c>
      <c r="B3393" s="0" t="s">
        <v>1253</v>
      </c>
      <c r="C3393" s="0" t="s">
        <v>4847</v>
      </c>
      <c r="D3393" s="0" t="s">
        <v>98</v>
      </c>
      <c r="E3393" s="0" t="s">
        <v>4445</v>
      </c>
    </row>
    <row r="3394" customFormat="false" ht="15" hidden="false" customHeight="false" outlineLevel="0" collapsed="false">
      <c r="A3394" s="0" t="s">
        <v>4418</v>
      </c>
      <c r="B3394" s="0" t="s">
        <v>1254</v>
      </c>
      <c r="C3394" s="0" t="s">
        <v>4848</v>
      </c>
      <c r="D3394" s="0" t="s">
        <v>98</v>
      </c>
      <c r="E3394" s="0" t="s">
        <v>4445</v>
      </c>
    </row>
    <row r="3395" customFormat="false" ht="15" hidden="false" customHeight="false" outlineLevel="0" collapsed="false">
      <c r="A3395" s="0" t="s">
        <v>4418</v>
      </c>
      <c r="B3395" s="0" t="s">
        <v>1255</v>
      </c>
      <c r="C3395" s="0" t="s">
        <v>4849</v>
      </c>
      <c r="D3395" s="0" t="s">
        <v>98</v>
      </c>
      <c r="E3395" s="0" t="s">
        <v>4445</v>
      </c>
    </row>
    <row r="3396" customFormat="false" ht="15" hidden="false" customHeight="false" outlineLevel="0" collapsed="false">
      <c r="A3396" s="0" t="s">
        <v>4418</v>
      </c>
      <c r="B3396" s="0" t="s">
        <v>1256</v>
      </c>
      <c r="C3396" s="0" t="s">
        <v>4850</v>
      </c>
      <c r="D3396" s="0" t="s">
        <v>98</v>
      </c>
      <c r="E3396" s="0" t="s">
        <v>4445</v>
      </c>
    </row>
    <row r="3397" customFormat="false" ht="15" hidden="false" customHeight="false" outlineLevel="0" collapsed="false">
      <c r="A3397" s="0" t="s">
        <v>4418</v>
      </c>
      <c r="B3397" s="0" t="s">
        <v>1257</v>
      </c>
      <c r="C3397" s="0" t="s">
        <v>4851</v>
      </c>
      <c r="D3397" s="0" t="s">
        <v>98</v>
      </c>
      <c r="E3397" s="0" t="s">
        <v>4445</v>
      </c>
    </row>
    <row r="3398" customFormat="false" ht="15" hidden="false" customHeight="false" outlineLevel="0" collapsed="false">
      <c r="A3398" s="0" t="s">
        <v>4418</v>
      </c>
      <c r="B3398" s="0" t="s">
        <v>1258</v>
      </c>
      <c r="C3398" s="0" t="s">
        <v>4852</v>
      </c>
      <c r="D3398" s="0" t="s">
        <v>98</v>
      </c>
      <c r="E3398" s="0" t="s">
        <v>4445</v>
      </c>
    </row>
    <row r="3399" customFormat="false" ht="15" hidden="false" customHeight="false" outlineLevel="0" collapsed="false">
      <c r="A3399" s="0" t="s">
        <v>4418</v>
      </c>
      <c r="B3399" s="0" t="s">
        <v>1259</v>
      </c>
      <c r="C3399" s="0" t="s">
        <v>4853</v>
      </c>
      <c r="D3399" s="0" t="s">
        <v>98</v>
      </c>
      <c r="E3399" s="0" t="s">
        <v>4445</v>
      </c>
    </row>
    <row r="3400" customFormat="false" ht="15" hidden="false" customHeight="false" outlineLevel="0" collapsed="false">
      <c r="A3400" s="0" t="s">
        <v>4418</v>
      </c>
      <c r="B3400" s="0" t="s">
        <v>1260</v>
      </c>
      <c r="C3400" s="0" t="s">
        <v>4854</v>
      </c>
      <c r="D3400" s="0" t="s">
        <v>98</v>
      </c>
      <c r="E3400" s="0" t="s">
        <v>4445</v>
      </c>
    </row>
    <row r="3401" customFormat="false" ht="15" hidden="false" customHeight="false" outlineLevel="0" collapsed="false">
      <c r="A3401" s="0" t="s">
        <v>4418</v>
      </c>
      <c r="B3401" s="0" t="s">
        <v>1261</v>
      </c>
      <c r="C3401" s="0" t="s">
        <v>4855</v>
      </c>
      <c r="D3401" s="0" t="s">
        <v>98</v>
      </c>
      <c r="E3401" s="0" t="s">
        <v>4445</v>
      </c>
    </row>
    <row r="3402" customFormat="false" ht="15" hidden="false" customHeight="false" outlineLevel="0" collapsed="false">
      <c r="A3402" s="0" t="s">
        <v>4418</v>
      </c>
      <c r="B3402" s="0" t="s">
        <v>1262</v>
      </c>
      <c r="C3402" s="0" t="s">
        <v>4856</v>
      </c>
      <c r="D3402" s="0" t="s">
        <v>98</v>
      </c>
      <c r="E3402" s="0" t="s">
        <v>4445</v>
      </c>
    </row>
    <row r="3403" customFormat="false" ht="15" hidden="false" customHeight="false" outlineLevel="0" collapsed="false">
      <c r="A3403" s="0" t="s">
        <v>4418</v>
      </c>
      <c r="B3403" s="0" t="s">
        <v>1263</v>
      </c>
      <c r="C3403" s="0" t="s">
        <v>4857</v>
      </c>
      <c r="D3403" s="0" t="s">
        <v>98</v>
      </c>
      <c r="E3403" s="0" t="s">
        <v>4445</v>
      </c>
    </row>
    <row r="3404" customFormat="false" ht="15" hidden="false" customHeight="false" outlineLevel="0" collapsed="false">
      <c r="A3404" s="0" t="s">
        <v>4418</v>
      </c>
      <c r="B3404" s="0" t="s">
        <v>1264</v>
      </c>
      <c r="C3404" s="0" t="s">
        <v>4858</v>
      </c>
      <c r="D3404" s="0" t="s">
        <v>98</v>
      </c>
      <c r="E3404" s="0" t="s">
        <v>4445</v>
      </c>
    </row>
    <row r="3405" customFormat="false" ht="15" hidden="false" customHeight="false" outlineLevel="0" collapsed="false">
      <c r="A3405" s="0" t="s">
        <v>4418</v>
      </c>
      <c r="B3405" s="0" t="s">
        <v>1265</v>
      </c>
      <c r="C3405" s="0" t="s">
        <v>4859</v>
      </c>
      <c r="D3405" s="0" t="s">
        <v>98</v>
      </c>
      <c r="E3405" s="0" t="s">
        <v>4445</v>
      </c>
    </row>
    <row r="3406" customFormat="false" ht="15" hidden="false" customHeight="false" outlineLevel="0" collapsed="false">
      <c r="A3406" s="0" t="s">
        <v>4418</v>
      </c>
      <c r="B3406" s="0" t="s">
        <v>1266</v>
      </c>
      <c r="C3406" s="0" t="s">
        <v>4860</v>
      </c>
      <c r="D3406" s="0" t="s">
        <v>98</v>
      </c>
      <c r="E3406" s="0" t="s">
        <v>4445</v>
      </c>
    </row>
    <row r="3407" customFormat="false" ht="15" hidden="false" customHeight="false" outlineLevel="0" collapsed="false">
      <c r="A3407" s="0" t="s">
        <v>4418</v>
      </c>
      <c r="B3407" s="0" t="s">
        <v>1267</v>
      </c>
      <c r="C3407" s="0" t="s">
        <v>4861</v>
      </c>
      <c r="D3407" s="0" t="s">
        <v>98</v>
      </c>
      <c r="E3407" s="0" t="s">
        <v>4445</v>
      </c>
    </row>
    <row r="3408" customFormat="false" ht="15" hidden="false" customHeight="false" outlineLevel="0" collapsed="false">
      <c r="A3408" s="0" t="s">
        <v>4418</v>
      </c>
      <c r="B3408" s="0" t="s">
        <v>723</v>
      </c>
      <c r="C3408" s="0" t="s">
        <v>4862</v>
      </c>
      <c r="D3408" s="0" t="s">
        <v>98</v>
      </c>
      <c r="E3408" s="0" t="s">
        <v>4445</v>
      </c>
    </row>
    <row r="3409" customFormat="false" ht="15" hidden="false" customHeight="false" outlineLevel="0" collapsed="false">
      <c r="A3409" s="0" t="s">
        <v>4418</v>
      </c>
      <c r="B3409" s="0" t="s">
        <v>724</v>
      </c>
      <c r="C3409" s="0" t="s">
        <v>4863</v>
      </c>
      <c r="D3409" s="0" t="s">
        <v>98</v>
      </c>
      <c r="E3409" s="0" t="s">
        <v>4445</v>
      </c>
    </row>
    <row r="3410" customFormat="false" ht="15" hidden="false" customHeight="false" outlineLevel="0" collapsed="false">
      <c r="A3410" s="0" t="s">
        <v>4418</v>
      </c>
      <c r="B3410" s="0" t="s">
        <v>725</v>
      </c>
      <c r="C3410" s="0" t="s">
        <v>4864</v>
      </c>
      <c r="D3410" s="0" t="s">
        <v>98</v>
      </c>
      <c r="E3410" s="0" t="s">
        <v>4445</v>
      </c>
    </row>
    <row r="3411" customFormat="false" ht="15" hidden="false" customHeight="false" outlineLevel="0" collapsed="false">
      <c r="A3411" s="0" t="s">
        <v>4418</v>
      </c>
      <c r="B3411" s="0" t="s">
        <v>726</v>
      </c>
      <c r="C3411" s="0" t="s">
        <v>4865</v>
      </c>
      <c r="D3411" s="0" t="s">
        <v>98</v>
      </c>
      <c r="E3411" s="0" t="s">
        <v>4445</v>
      </c>
    </row>
    <row r="3412" customFormat="false" ht="15" hidden="false" customHeight="false" outlineLevel="0" collapsed="false">
      <c r="A3412" s="0" t="s">
        <v>4418</v>
      </c>
      <c r="B3412" s="0" t="s">
        <v>727</v>
      </c>
      <c r="C3412" s="0" t="s">
        <v>4866</v>
      </c>
      <c r="D3412" s="0" t="s">
        <v>98</v>
      </c>
      <c r="E3412" s="0" t="s">
        <v>4445</v>
      </c>
    </row>
    <row r="3413" customFormat="false" ht="15" hidden="false" customHeight="false" outlineLevel="0" collapsed="false">
      <c r="A3413" s="0" t="s">
        <v>4418</v>
      </c>
      <c r="B3413" s="0" t="s">
        <v>728</v>
      </c>
      <c r="C3413" s="0" t="s">
        <v>4867</v>
      </c>
      <c r="D3413" s="0" t="s">
        <v>98</v>
      </c>
      <c r="E3413" s="0" t="s">
        <v>4445</v>
      </c>
    </row>
    <row r="3414" customFormat="false" ht="15" hidden="false" customHeight="false" outlineLevel="0" collapsed="false">
      <c r="A3414" s="0" t="s">
        <v>4418</v>
      </c>
      <c r="B3414" s="0" t="s">
        <v>729</v>
      </c>
      <c r="C3414" s="0" t="s">
        <v>4868</v>
      </c>
      <c r="D3414" s="0" t="s">
        <v>98</v>
      </c>
      <c r="E3414" s="0" t="s">
        <v>4445</v>
      </c>
    </row>
    <row r="3415" customFormat="false" ht="15" hidden="false" customHeight="false" outlineLevel="0" collapsed="false">
      <c r="A3415" s="0" t="s">
        <v>4418</v>
      </c>
      <c r="B3415" s="0" t="s">
        <v>1268</v>
      </c>
      <c r="C3415" s="0" t="s">
        <v>4869</v>
      </c>
      <c r="D3415" s="0" t="s">
        <v>98</v>
      </c>
      <c r="E3415" s="0" t="s">
        <v>4445</v>
      </c>
    </row>
    <row r="3416" customFormat="false" ht="15" hidden="false" customHeight="false" outlineLevel="0" collapsed="false">
      <c r="A3416" s="0" t="s">
        <v>4418</v>
      </c>
      <c r="B3416" s="0" t="s">
        <v>1269</v>
      </c>
      <c r="C3416" s="0" t="s">
        <v>4870</v>
      </c>
      <c r="D3416" s="0" t="s">
        <v>98</v>
      </c>
      <c r="E3416" s="0" t="s">
        <v>4445</v>
      </c>
    </row>
    <row r="3417" customFormat="false" ht="15" hidden="false" customHeight="false" outlineLevel="0" collapsed="false">
      <c r="A3417" s="0" t="s">
        <v>4418</v>
      </c>
      <c r="B3417" s="0" t="s">
        <v>1270</v>
      </c>
      <c r="C3417" s="0" t="s">
        <v>4871</v>
      </c>
      <c r="D3417" s="0" t="s">
        <v>98</v>
      </c>
      <c r="E3417" s="0" t="s">
        <v>4445</v>
      </c>
    </row>
    <row r="3418" customFormat="false" ht="15" hidden="false" customHeight="false" outlineLevel="0" collapsed="false">
      <c r="A3418" s="0" t="s">
        <v>4418</v>
      </c>
      <c r="B3418" s="0" t="s">
        <v>1271</v>
      </c>
      <c r="C3418" s="0" t="s">
        <v>4872</v>
      </c>
      <c r="D3418" s="0" t="s">
        <v>98</v>
      </c>
      <c r="E3418" s="0" t="s">
        <v>4445</v>
      </c>
    </row>
    <row r="3419" customFormat="false" ht="15" hidden="false" customHeight="false" outlineLevel="0" collapsed="false">
      <c r="A3419" s="0" t="s">
        <v>4418</v>
      </c>
      <c r="B3419" s="0" t="s">
        <v>1273</v>
      </c>
      <c r="C3419" s="0" t="s">
        <v>4873</v>
      </c>
      <c r="D3419" s="0" t="s">
        <v>98</v>
      </c>
      <c r="E3419" s="0" t="s">
        <v>4445</v>
      </c>
    </row>
    <row r="3420" customFormat="false" ht="15" hidden="false" customHeight="false" outlineLevel="0" collapsed="false">
      <c r="A3420" s="0" t="s">
        <v>4418</v>
      </c>
      <c r="B3420" s="0" t="s">
        <v>1275</v>
      </c>
      <c r="C3420" s="0" t="s">
        <v>4874</v>
      </c>
      <c r="D3420" s="0" t="s">
        <v>98</v>
      </c>
      <c r="E3420" s="0" t="s">
        <v>4445</v>
      </c>
    </row>
    <row r="3421" customFormat="false" ht="15" hidden="false" customHeight="false" outlineLevel="0" collapsed="false">
      <c r="A3421" s="0" t="s">
        <v>4418</v>
      </c>
      <c r="B3421" s="0" t="s">
        <v>1277</v>
      </c>
      <c r="C3421" s="0" t="s">
        <v>4875</v>
      </c>
      <c r="D3421" s="0" t="s">
        <v>98</v>
      </c>
      <c r="E3421" s="0" t="s">
        <v>4445</v>
      </c>
    </row>
    <row r="3422" customFormat="false" ht="15" hidden="false" customHeight="false" outlineLevel="0" collapsed="false">
      <c r="A3422" s="0" t="s">
        <v>4418</v>
      </c>
      <c r="B3422" s="0" t="s">
        <v>1279</v>
      </c>
      <c r="C3422" s="0" t="s">
        <v>4876</v>
      </c>
      <c r="D3422" s="0" t="s">
        <v>98</v>
      </c>
      <c r="E3422" s="0" t="s">
        <v>4445</v>
      </c>
    </row>
    <row r="3423" customFormat="false" ht="15" hidden="false" customHeight="false" outlineLevel="0" collapsed="false">
      <c r="A3423" s="0" t="s">
        <v>4418</v>
      </c>
      <c r="B3423" s="0" t="s">
        <v>1281</v>
      </c>
      <c r="C3423" s="0" t="s">
        <v>4877</v>
      </c>
      <c r="D3423" s="0" t="s">
        <v>98</v>
      </c>
      <c r="E3423" s="0" t="s">
        <v>4445</v>
      </c>
    </row>
    <row r="3424" customFormat="false" ht="15" hidden="false" customHeight="false" outlineLevel="0" collapsed="false">
      <c r="A3424" s="0" t="s">
        <v>4418</v>
      </c>
      <c r="B3424" s="0" t="s">
        <v>1282</v>
      </c>
      <c r="C3424" s="0" t="s">
        <v>4878</v>
      </c>
      <c r="D3424" s="0" t="s">
        <v>98</v>
      </c>
      <c r="E3424" s="0" t="s">
        <v>4445</v>
      </c>
    </row>
    <row r="3425" customFormat="false" ht="15" hidden="false" customHeight="false" outlineLevel="0" collapsed="false">
      <c r="A3425" s="0" t="s">
        <v>4418</v>
      </c>
      <c r="B3425" s="0" t="s">
        <v>1283</v>
      </c>
      <c r="C3425" s="0" t="s">
        <v>4879</v>
      </c>
      <c r="D3425" s="0" t="s">
        <v>98</v>
      </c>
      <c r="E3425" s="0" t="s">
        <v>4445</v>
      </c>
    </row>
    <row r="3426" customFormat="false" ht="15" hidden="false" customHeight="false" outlineLevel="0" collapsed="false">
      <c r="A3426" s="0" t="s">
        <v>4418</v>
      </c>
      <c r="B3426" s="0" t="s">
        <v>1284</v>
      </c>
      <c r="C3426" s="0" t="s">
        <v>4880</v>
      </c>
      <c r="D3426" s="0" t="s">
        <v>98</v>
      </c>
      <c r="E3426" s="0" t="s">
        <v>4445</v>
      </c>
    </row>
    <row r="3427" customFormat="false" ht="15" hidden="false" customHeight="false" outlineLevel="0" collapsed="false">
      <c r="A3427" s="0" t="s">
        <v>4418</v>
      </c>
      <c r="B3427" s="0" t="s">
        <v>1286</v>
      </c>
      <c r="C3427" s="0" t="s">
        <v>4881</v>
      </c>
      <c r="D3427" s="0" t="s">
        <v>98</v>
      </c>
      <c r="E3427" s="0" t="s">
        <v>4445</v>
      </c>
    </row>
    <row r="3428" customFormat="false" ht="15" hidden="false" customHeight="false" outlineLevel="0" collapsed="false">
      <c r="A3428" s="0" t="s">
        <v>4418</v>
      </c>
      <c r="B3428" s="0" t="s">
        <v>1287</v>
      </c>
      <c r="C3428" s="0" t="s">
        <v>4882</v>
      </c>
      <c r="D3428" s="0" t="s">
        <v>98</v>
      </c>
      <c r="E3428" s="0" t="s">
        <v>4445</v>
      </c>
    </row>
    <row r="3429" customFormat="false" ht="15" hidden="false" customHeight="false" outlineLevel="0" collapsed="false">
      <c r="A3429" s="0" t="s">
        <v>4418</v>
      </c>
      <c r="B3429" s="0" t="s">
        <v>1288</v>
      </c>
      <c r="C3429" s="0" t="s">
        <v>4883</v>
      </c>
      <c r="D3429" s="0" t="s">
        <v>98</v>
      </c>
      <c r="E3429" s="0" t="s">
        <v>4445</v>
      </c>
    </row>
    <row r="3430" customFormat="false" ht="15" hidden="false" customHeight="false" outlineLevel="0" collapsed="false">
      <c r="A3430" s="0" t="s">
        <v>4418</v>
      </c>
      <c r="B3430" s="0" t="s">
        <v>1289</v>
      </c>
      <c r="C3430" s="0" t="s">
        <v>4884</v>
      </c>
      <c r="D3430" s="0" t="s">
        <v>98</v>
      </c>
      <c r="E3430" s="0" t="s">
        <v>4445</v>
      </c>
    </row>
    <row r="3431" customFormat="false" ht="15" hidden="false" customHeight="false" outlineLevel="0" collapsed="false">
      <c r="A3431" s="0" t="s">
        <v>4418</v>
      </c>
      <c r="B3431" s="0" t="s">
        <v>1290</v>
      </c>
      <c r="C3431" s="0" t="s">
        <v>4885</v>
      </c>
      <c r="D3431" s="0" t="s">
        <v>98</v>
      </c>
      <c r="E3431" s="0" t="s">
        <v>4445</v>
      </c>
    </row>
    <row r="3432" customFormat="false" ht="15" hidden="false" customHeight="false" outlineLevel="0" collapsed="false">
      <c r="A3432" s="0" t="s">
        <v>4418</v>
      </c>
      <c r="B3432" s="0" t="s">
        <v>1291</v>
      </c>
      <c r="C3432" s="0" t="s">
        <v>4886</v>
      </c>
      <c r="D3432" s="0" t="s">
        <v>98</v>
      </c>
      <c r="E3432" s="0" t="s">
        <v>4445</v>
      </c>
    </row>
    <row r="3433" customFormat="false" ht="15" hidden="false" customHeight="false" outlineLevel="0" collapsed="false">
      <c r="A3433" s="0" t="s">
        <v>4418</v>
      </c>
      <c r="B3433" s="0" t="s">
        <v>1292</v>
      </c>
      <c r="C3433" s="0" t="s">
        <v>4887</v>
      </c>
      <c r="D3433" s="0" t="s">
        <v>98</v>
      </c>
      <c r="E3433" s="0" t="s">
        <v>4445</v>
      </c>
    </row>
    <row r="3434" customFormat="false" ht="15" hidden="false" customHeight="false" outlineLevel="0" collapsed="false">
      <c r="A3434" s="0" t="s">
        <v>4418</v>
      </c>
      <c r="B3434" s="0" t="s">
        <v>1293</v>
      </c>
      <c r="C3434" s="0" t="s">
        <v>4888</v>
      </c>
      <c r="D3434" s="0" t="s">
        <v>98</v>
      </c>
      <c r="E3434" s="0" t="s">
        <v>4445</v>
      </c>
    </row>
    <row r="3435" customFormat="false" ht="15" hidden="false" customHeight="false" outlineLevel="0" collapsed="false">
      <c r="A3435" s="0" t="s">
        <v>4418</v>
      </c>
      <c r="B3435" s="0" t="s">
        <v>1294</v>
      </c>
      <c r="C3435" s="0" t="s">
        <v>4889</v>
      </c>
      <c r="D3435" s="0" t="s">
        <v>98</v>
      </c>
      <c r="E3435" s="0" t="s">
        <v>4445</v>
      </c>
    </row>
    <row r="3436" customFormat="false" ht="15" hidden="false" customHeight="false" outlineLevel="0" collapsed="false">
      <c r="A3436" s="0" t="s">
        <v>4418</v>
      </c>
      <c r="B3436" s="0" t="s">
        <v>732</v>
      </c>
      <c r="C3436" s="0" t="s">
        <v>4890</v>
      </c>
      <c r="D3436" s="0" t="s">
        <v>98</v>
      </c>
      <c r="E3436" s="0" t="s">
        <v>4445</v>
      </c>
    </row>
    <row r="3437" customFormat="false" ht="15" hidden="false" customHeight="false" outlineLevel="0" collapsed="false">
      <c r="A3437" s="0" t="s">
        <v>4418</v>
      </c>
      <c r="B3437" s="0" t="s">
        <v>734</v>
      </c>
      <c r="C3437" s="0" t="s">
        <v>4891</v>
      </c>
      <c r="D3437" s="0" t="s">
        <v>98</v>
      </c>
      <c r="E3437" s="0" t="s">
        <v>4445</v>
      </c>
    </row>
    <row r="3438" customFormat="false" ht="15" hidden="false" customHeight="false" outlineLevel="0" collapsed="false">
      <c r="A3438" s="0" t="s">
        <v>4418</v>
      </c>
      <c r="B3438" s="0" t="s">
        <v>735</v>
      </c>
      <c r="C3438" s="0" t="s">
        <v>4892</v>
      </c>
      <c r="D3438" s="0" t="s">
        <v>98</v>
      </c>
      <c r="E3438" s="0" t="s">
        <v>4445</v>
      </c>
    </row>
    <row r="3439" customFormat="false" ht="15" hidden="false" customHeight="false" outlineLevel="0" collapsed="false">
      <c r="A3439" s="0" t="s">
        <v>4418</v>
      </c>
      <c r="B3439" s="0" t="s">
        <v>736</v>
      </c>
      <c r="C3439" s="0" t="s">
        <v>4893</v>
      </c>
      <c r="D3439" s="0" t="s">
        <v>98</v>
      </c>
      <c r="E3439" s="0" t="s">
        <v>4445</v>
      </c>
    </row>
    <row r="3440" customFormat="false" ht="15" hidden="false" customHeight="false" outlineLevel="0" collapsed="false">
      <c r="A3440" s="0" t="s">
        <v>4418</v>
      </c>
      <c r="B3440" s="0" t="s">
        <v>737</v>
      </c>
      <c r="C3440" s="0" t="s">
        <v>4894</v>
      </c>
      <c r="D3440" s="0" t="s">
        <v>98</v>
      </c>
      <c r="E3440" s="0" t="s">
        <v>4445</v>
      </c>
    </row>
    <row r="3441" customFormat="false" ht="15" hidden="false" customHeight="false" outlineLevel="0" collapsed="false">
      <c r="A3441" s="0" t="s">
        <v>4418</v>
      </c>
      <c r="B3441" s="0" t="s">
        <v>738</v>
      </c>
      <c r="C3441" s="0" t="s">
        <v>4895</v>
      </c>
      <c r="D3441" s="0" t="s">
        <v>98</v>
      </c>
      <c r="E3441" s="0" t="s">
        <v>4445</v>
      </c>
    </row>
    <row r="3442" customFormat="false" ht="15" hidden="false" customHeight="false" outlineLevel="0" collapsed="false">
      <c r="A3442" s="0" t="s">
        <v>4418</v>
      </c>
      <c r="B3442" s="0" t="s">
        <v>739</v>
      </c>
      <c r="C3442" s="0" t="s">
        <v>4896</v>
      </c>
      <c r="D3442" s="0" t="s">
        <v>98</v>
      </c>
      <c r="E3442" s="0" t="s">
        <v>4445</v>
      </c>
    </row>
    <row r="3443" customFormat="false" ht="15" hidden="false" customHeight="false" outlineLevel="0" collapsed="false">
      <c r="A3443" s="0" t="s">
        <v>4418</v>
      </c>
      <c r="B3443" s="0" t="s">
        <v>1295</v>
      </c>
      <c r="C3443" s="0" t="s">
        <v>4897</v>
      </c>
      <c r="D3443" s="0" t="s">
        <v>98</v>
      </c>
      <c r="E3443" s="0" t="s">
        <v>4445</v>
      </c>
    </row>
    <row r="3444" customFormat="false" ht="15" hidden="false" customHeight="false" outlineLevel="0" collapsed="false">
      <c r="A3444" s="0" t="s">
        <v>4418</v>
      </c>
      <c r="B3444" s="0" t="s">
        <v>1296</v>
      </c>
      <c r="C3444" s="0" t="s">
        <v>4898</v>
      </c>
      <c r="D3444" s="0" t="s">
        <v>98</v>
      </c>
      <c r="E3444" s="0" t="s">
        <v>4445</v>
      </c>
    </row>
    <row r="3445" customFormat="false" ht="15" hidden="false" customHeight="false" outlineLevel="0" collapsed="false">
      <c r="A3445" s="0" t="s">
        <v>4418</v>
      </c>
      <c r="B3445" s="0" t="s">
        <v>1297</v>
      </c>
      <c r="C3445" s="0" t="s">
        <v>4899</v>
      </c>
      <c r="D3445" s="0" t="s">
        <v>98</v>
      </c>
      <c r="E3445" s="0" t="s">
        <v>4445</v>
      </c>
    </row>
    <row r="3446" customFormat="false" ht="15" hidden="false" customHeight="false" outlineLevel="0" collapsed="false">
      <c r="A3446" s="0" t="s">
        <v>4418</v>
      </c>
      <c r="B3446" s="0" t="s">
        <v>1298</v>
      </c>
      <c r="C3446" s="0" t="s">
        <v>4900</v>
      </c>
      <c r="D3446" s="0" t="s">
        <v>98</v>
      </c>
      <c r="E3446" s="0" t="s">
        <v>4445</v>
      </c>
    </row>
    <row r="3447" customFormat="false" ht="15" hidden="false" customHeight="false" outlineLevel="0" collapsed="false">
      <c r="A3447" s="0" t="s">
        <v>4418</v>
      </c>
      <c r="B3447" s="0" t="s">
        <v>1299</v>
      </c>
      <c r="C3447" s="0" t="s">
        <v>4901</v>
      </c>
      <c r="D3447" s="0" t="s">
        <v>98</v>
      </c>
      <c r="E3447" s="0" t="s">
        <v>4445</v>
      </c>
    </row>
    <row r="3448" customFormat="false" ht="15" hidden="false" customHeight="false" outlineLevel="0" collapsed="false">
      <c r="A3448" s="0" t="s">
        <v>4418</v>
      </c>
      <c r="B3448" s="0" t="s">
        <v>1300</v>
      </c>
      <c r="C3448" s="0" t="s">
        <v>4902</v>
      </c>
      <c r="D3448" s="0" t="s">
        <v>98</v>
      </c>
      <c r="E3448" s="0" t="s">
        <v>4445</v>
      </c>
    </row>
    <row r="3449" customFormat="false" ht="15" hidden="false" customHeight="false" outlineLevel="0" collapsed="false">
      <c r="A3449" s="0" t="s">
        <v>4418</v>
      </c>
      <c r="B3449" s="0" t="s">
        <v>1301</v>
      </c>
      <c r="C3449" s="0" t="s">
        <v>4903</v>
      </c>
      <c r="D3449" s="0" t="s">
        <v>98</v>
      </c>
      <c r="E3449" s="0" t="s">
        <v>4445</v>
      </c>
    </row>
    <row r="3450" customFormat="false" ht="15" hidden="false" customHeight="false" outlineLevel="0" collapsed="false">
      <c r="A3450" s="0" t="s">
        <v>4418</v>
      </c>
      <c r="B3450" s="0" t="s">
        <v>1302</v>
      </c>
      <c r="C3450" s="0" t="s">
        <v>4904</v>
      </c>
      <c r="D3450" s="0" t="s">
        <v>98</v>
      </c>
      <c r="E3450" s="0" t="s">
        <v>4445</v>
      </c>
    </row>
    <row r="3451" customFormat="false" ht="15" hidden="false" customHeight="false" outlineLevel="0" collapsed="false">
      <c r="A3451" s="0" t="s">
        <v>4418</v>
      </c>
      <c r="B3451" s="0" t="s">
        <v>1303</v>
      </c>
      <c r="C3451" s="0" t="s">
        <v>4905</v>
      </c>
      <c r="D3451" s="0" t="s">
        <v>98</v>
      </c>
      <c r="E3451" s="0" t="s">
        <v>4445</v>
      </c>
    </row>
    <row r="3452" customFormat="false" ht="15" hidden="false" customHeight="false" outlineLevel="0" collapsed="false">
      <c r="A3452" s="0" t="s">
        <v>4418</v>
      </c>
      <c r="B3452" s="0" t="s">
        <v>1304</v>
      </c>
      <c r="C3452" s="0" t="s">
        <v>4906</v>
      </c>
      <c r="D3452" s="0" t="s">
        <v>98</v>
      </c>
      <c r="E3452" s="0" t="s">
        <v>4445</v>
      </c>
    </row>
    <row r="3453" customFormat="false" ht="15" hidden="false" customHeight="false" outlineLevel="0" collapsed="false">
      <c r="A3453" s="0" t="s">
        <v>4418</v>
      </c>
      <c r="B3453" s="0" t="s">
        <v>1305</v>
      </c>
      <c r="C3453" s="0" t="s">
        <v>4907</v>
      </c>
      <c r="D3453" s="0" t="s">
        <v>98</v>
      </c>
      <c r="E3453" s="0" t="s">
        <v>4445</v>
      </c>
    </row>
    <row r="3454" customFormat="false" ht="15" hidden="false" customHeight="false" outlineLevel="0" collapsed="false">
      <c r="A3454" s="0" t="s">
        <v>4418</v>
      </c>
      <c r="B3454" s="0" t="s">
        <v>1306</v>
      </c>
      <c r="C3454" s="0" t="s">
        <v>4908</v>
      </c>
      <c r="D3454" s="0" t="s">
        <v>98</v>
      </c>
      <c r="E3454" s="0" t="s">
        <v>4445</v>
      </c>
    </row>
    <row r="3455" customFormat="false" ht="15" hidden="false" customHeight="false" outlineLevel="0" collapsed="false">
      <c r="A3455" s="0" t="s">
        <v>4418</v>
      </c>
      <c r="B3455" s="0" t="s">
        <v>1307</v>
      </c>
      <c r="C3455" s="0" t="s">
        <v>4909</v>
      </c>
      <c r="D3455" s="0" t="s">
        <v>98</v>
      </c>
      <c r="E3455" s="0" t="s">
        <v>4445</v>
      </c>
    </row>
    <row r="3456" customFormat="false" ht="15" hidden="false" customHeight="false" outlineLevel="0" collapsed="false">
      <c r="A3456" s="0" t="s">
        <v>4418</v>
      </c>
      <c r="B3456" s="0" t="s">
        <v>1308</v>
      </c>
      <c r="C3456" s="0" t="s">
        <v>4910</v>
      </c>
      <c r="D3456" s="0" t="s">
        <v>98</v>
      </c>
      <c r="E3456" s="0" t="s">
        <v>4445</v>
      </c>
    </row>
    <row r="3457" customFormat="false" ht="15" hidden="false" customHeight="false" outlineLevel="0" collapsed="false">
      <c r="A3457" s="0" t="s">
        <v>4418</v>
      </c>
      <c r="B3457" s="0" t="s">
        <v>1309</v>
      </c>
      <c r="C3457" s="0" t="s">
        <v>4911</v>
      </c>
      <c r="D3457" s="0" t="s">
        <v>98</v>
      </c>
      <c r="E3457" s="0" t="s">
        <v>4445</v>
      </c>
    </row>
    <row r="3458" customFormat="false" ht="15" hidden="false" customHeight="false" outlineLevel="0" collapsed="false">
      <c r="A3458" s="0" t="s">
        <v>4418</v>
      </c>
      <c r="B3458" s="0" t="s">
        <v>1310</v>
      </c>
      <c r="C3458" s="0" t="s">
        <v>4912</v>
      </c>
      <c r="D3458" s="0" t="s">
        <v>98</v>
      </c>
      <c r="E3458" s="0" t="s">
        <v>4445</v>
      </c>
    </row>
    <row r="3459" customFormat="false" ht="15" hidden="false" customHeight="false" outlineLevel="0" collapsed="false">
      <c r="A3459" s="0" t="s">
        <v>4418</v>
      </c>
      <c r="B3459" s="0" t="s">
        <v>1311</v>
      </c>
      <c r="C3459" s="0" t="s">
        <v>4913</v>
      </c>
      <c r="D3459" s="0" t="s">
        <v>98</v>
      </c>
      <c r="E3459" s="0" t="s">
        <v>4445</v>
      </c>
    </row>
    <row r="3460" customFormat="false" ht="15" hidden="false" customHeight="false" outlineLevel="0" collapsed="false">
      <c r="A3460" s="0" t="s">
        <v>4418</v>
      </c>
      <c r="B3460" s="0" t="s">
        <v>1312</v>
      </c>
      <c r="C3460" s="0" t="s">
        <v>4914</v>
      </c>
      <c r="D3460" s="0" t="s">
        <v>98</v>
      </c>
      <c r="E3460" s="0" t="s">
        <v>4445</v>
      </c>
    </row>
    <row r="3461" customFormat="false" ht="15" hidden="false" customHeight="false" outlineLevel="0" collapsed="false">
      <c r="A3461" s="0" t="s">
        <v>4418</v>
      </c>
      <c r="B3461" s="0" t="s">
        <v>1313</v>
      </c>
      <c r="C3461" s="0" t="s">
        <v>4915</v>
      </c>
      <c r="D3461" s="0" t="s">
        <v>98</v>
      </c>
      <c r="E3461" s="0" t="s">
        <v>4445</v>
      </c>
    </row>
    <row r="3462" customFormat="false" ht="15" hidden="false" customHeight="false" outlineLevel="0" collapsed="false">
      <c r="A3462" s="0" t="s">
        <v>4418</v>
      </c>
      <c r="B3462" s="0" t="s">
        <v>1314</v>
      </c>
      <c r="C3462" s="0" t="s">
        <v>4916</v>
      </c>
      <c r="D3462" s="0" t="s">
        <v>98</v>
      </c>
      <c r="E3462" s="0" t="s">
        <v>4445</v>
      </c>
    </row>
    <row r="3463" customFormat="false" ht="15" hidden="false" customHeight="false" outlineLevel="0" collapsed="false">
      <c r="A3463" s="0" t="s">
        <v>4418</v>
      </c>
      <c r="B3463" s="0" t="s">
        <v>1315</v>
      </c>
      <c r="C3463" s="0" t="s">
        <v>4917</v>
      </c>
      <c r="D3463" s="0" t="s">
        <v>98</v>
      </c>
      <c r="E3463" s="0" t="s">
        <v>4445</v>
      </c>
    </row>
    <row r="3464" customFormat="false" ht="15" hidden="false" customHeight="false" outlineLevel="0" collapsed="false">
      <c r="A3464" s="0" t="s">
        <v>4418</v>
      </c>
      <c r="B3464" s="0" t="s">
        <v>1317</v>
      </c>
      <c r="C3464" s="0" t="s">
        <v>4918</v>
      </c>
      <c r="D3464" s="0" t="s">
        <v>98</v>
      </c>
      <c r="E3464" s="0" t="s">
        <v>4445</v>
      </c>
    </row>
    <row r="3465" customFormat="false" ht="15" hidden="false" customHeight="false" outlineLevel="0" collapsed="false">
      <c r="A3465" s="0" t="s">
        <v>4418</v>
      </c>
      <c r="B3465" s="0" t="s">
        <v>1319</v>
      </c>
      <c r="C3465" s="0" t="s">
        <v>4919</v>
      </c>
      <c r="D3465" s="0" t="s">
        <v>98</v>
      </c>
      <c r="E3465" s="0" t="s">
        <v>4445</v>
      </c>
    </row>
    <row r="3466" customFormat="false" ht="15" hidden="false" customHeight="false" outlineLevel="0" collapsed="false">
      <c r="A3466" s="0" t="s">
        <v>4418</v>
      </c>
      <c r="B3466" s="0" t="s">
        <v>1321</v>
      </c>
      <c r="C3466" s="0" t="s">
        <v>4920</v>
      </c>
      <c r="D3466" s="0" t="s">
        <v>98</v>
      </c>
      <c r="E3466" s="0" t="s">
        <v>4445</v>
      </c>
    </row>
    <row r="3467" customFormat="false" ht="15" hidden="false" customHeight="false" outlineLevel="0" collapsed="false">
      <c r="A3467" s="0" t="s">
        <v>4418</v>
      </c>
      <c r="B3467" s="0" t="s">
        <v>1323</v>
      </c>
      <c r="C3467" s="0" t="s">
        <v>4921</v>
      </c>
      <c r="D3467" s="0" t="s">
        <v>98</v>
      </c>
      <c r="E3467" s="0" t="s">
        <v>4445</v>
      </c>
    </row>
    <row r="3468" customFormat="false" ht="15" hidden="false" customHeight="false" outlineLevel="0" collapsed="false">
      <c r="A3468" s="0" t="s">
        <v>4418</v>
      </c>
      <c r="B3468" s="0" t="s">
        <v>1325</v>
      </c>
      <c r="C3468" s="0" t="s">
        <v>4922</v>
      </c>
      <c r="D3468" s="0" t="s">
        <v>98</v>
      </c>
      <c r="E3468" s="0" t="s">
        <v>4445</v>
      </c>
    </row>
    <row r="3469" customFormat="false" ht="15" hidden="false" customHeight="false" outlineLevel="0" collapsed="false">
      <c r="A3469" s="0" t="s">
        <v>4418</v>
      </c>
      <c r="B3469" s="0" t="s">
        <v>1327</v>
      </c>
      <c r="C3469" s="0" t="s">
        <v>4923</v>
      </c>
      <c r="D3469" s="0" t="s">
        <v>98</v>
      </c>
      <c r="E3469" s="0" t="s">
        <v>4445</v>
      </c>
    </row>
    <row r="3470" customFormat="false" ht="15" hidden="false" customHeight="false" outlineLevel="0" collapsed="false">
      <c r="A3470" s="0" t="s">
        <v>4418</v>
      </c>
      <c r="B3470" s="0" t="s">
        <v>1329</v>
      </c>
      <c r="C3470" s="0" t="s">
        <v>4924</v>
      </c>
      <c r="D3470" s="0" t="s">
        <v>98</v>
      </c>
      <c r="E3470" s="0" t="s">
        <v>4445</v>
      </c>
    </row>
    <row r="3471" customFormat="false" ht="15" hidden="false" customHeight="false" outlineLevel="0" collapsed="false">
      <c r="A3471" s="0" t="s">
        <v>4418</v>
      </c>
      <c r="B3471" s="0" t="s">
        <v>1331</v>
      </c>
      <c r="C3471" s="0" t="s">
        <v>4925</v>
      </c>
      <c r="D3471" s="0" t="s">
        <v>98</v>
      </c>
      <c r="E3471" s="0" t="s">
        <v>4445</v>
      </c>
    </row>
    <row r="3472" customFormat="false" ht="15" hidden="false" customHeight="false" outlineLevel="0" collapsed="false">
      <c r="A3472" s="0" t="s">
        <v>4418</v>
      </c>
      <c r="B3472" s="0" t="s">
        <v>1333</v>
      </c>
      <c r="C3472" s="0" t="s">
        <v>4926</v>
      </c>
      <c r="D3472" s="0" t="s">
        <v>98</v>
      </c>
      <c r="E3472" s="0" t="s">
        <v>4445</v>
      </c>
    </row>
    <row r="3473" customFormat="false" ht="15" hidden="false" customHeight="false" outlineLevel="0" collapsed="false">
      <c r="A3473" s="0" t="s">
        <v>4418</v>
      </c>
      <c r="B3473" s="0" t="s">
        <v>1335</v>
      </c>
      <c r="C3473" s="0" t="s">
        <v>4927</v>
      </c>
      <c r="D3473" s="0" t="s">
        <v>98</v>
      </c>
      <c r="E3473" s="0" t="s">
        <v>4445</v>
      </c>
    </row>
    <row r="3474" customFormat="false" ht="15" hidden="false" customHeight="false" outlineLevel="0" collapsed="false">
      <c r="A3474" s="0" t="s">
        <v>4418</v>
      </c>
      <c r="B3474" s="0" t="s">
        <v>1337</v>
      </c>
      <c r="C3474" s="0" t="s">
        <v>4928</v>
      </c>
      <c r="D3474" s="0" t="s">
        <v>98</v>
      </c>
      <c r="E3474" s="0" t="s">
        <v>4445</v>
      </c>
    </row>
    <row r="3475" customFormat="false" ht="15" hidden="false" customHeight="false" outlineLevel="0" collapsed="false">
      <c r="A3475" s="0" t="s">
        <v>4418</v>
      </c>
      <c r="B3475" s="0" t="s">
        <v>1339</v>
      </c>
      <c r="C3475" s="0" t="s">
        <v>4929</v>
      </c>
      <c r="D3475" s="0" t="s">
        <v>98</v>
      </c>
      <c r="E3475" s="0" t="s">
        <v>4445</v>
      </c>
    </row>
    <row r="3476" customFormat="false" ht="15" hidden="false" customHeight="false" outlineLevel="0" collapsed="false">
      <c r="A3476" s="0" t="s">
        <v>4418</v>
      </c>
      <c r="B3476" s="0" t="s">
        <v>1341</v>
      </c>
      <c r="C3476" s="0" t="s">
        <v>4930</v>
      </c>
      <c r="D3476" s="0" t="s">
        <v>98</v>
      </c>
      <c r="E3476" s="0" t="s">
        <v>4445</v>
      </c>
    </row>
    <row r="3477" customFormat="false" ht="15" hidden="false" customHeight="false" outlineLevel="0" collapsed="false">
      <c r="A3477" s="0" t="s">
        <v>4418</v>
      </c>
      <c r="B3477" s="0" t="s">
        <v>1343</v>
      </c>
      <c r="C3477" s="0" t="s">
        <v>4931</v>
      </c>
      <c r="D3477" s="0" t="s">
        <v>98</v>
      </c>
      <c r="E3477" s="0" t="s">
        <v>4445</v>
      </c>
    </row>
    <row r="3478" customFormat="false" ht="15" hidden="false" customHeight="false" outlineLevel="0" collapsed="false">
      <c r="A3478" s="0" t="s">
        <v>4418</v>
      </c>
      <c r="B3478" s="0" t="s">
        <v>1345</v>
      </c>
      <c r="C3478" s="0" t="s">
        <v>4932</v>
      </c>
      <c r="D3478" s="0" t="s">
        <v>98</v>
      </c>
      <c r="E3478" s="0" t="s">
        <v>4445</v>
      </c>
    </row>
    <row r="3479" customFormat="false" ht="15" hidden="false" customHeight="false" outlineLevel="0" collapsed="false">
      <c r="A3479" s="0" t="s">
        <v>4418</v>
      </c>
      <c r="B3479" s="0" t="s">
        <v>1347</v>
      </c>
      <c r="C3479" s="0" t="s">
        <v>4933</v>
      </c>
      <c r="D3479" s="0" t="s">
        <v>98</v>
      </c>
      <c r="E3479" s="0" t="s">
        <v>4445</v>
      </c>
    </row>
    <row r="3480" customFormat="false" ht="15" hidden="false" customHeight="false" outlineLevel="0" collapsed="false">
      <c r="A3480" s="0" t="s">
        <v>4418</v>
      </c>
      <c r="B3480" s="0" t="s">
        <v>1349</v>
      </c>
      <c r="C3480" s="0" t="s">
        <v>4934</v>
      </c>
      <c r="D3480" s="0" t="s">
        <v>98</v>
      </c>
      <c r="E3480" s="0" t="s">
        <v>4445</v>
      </c>
    </row>
    <row r="3481" customFormat="false" ht="15" hidden="false" customHeight="false" outlineLevel="0" collapsed="false">
      <c r="A3481" s="0" t="s">
        <v>4418</v>
      </c>
      <c r="B3481" s="0" t="s">
        <v>1351</v>
      </c>
      <c r="C3481" s="0" t="s">
        <v>4935</v>
      </c>
      <c r="D3481" s="0" t="s">
        <v>98</v>
      </c>
      <c r="E3481" s="0" t="s">
        <v>4445</v>
      </c>
    </row>
    <row r="3482" customFormat="false" ht="15" hidden="false" customHeight="false" outlineLevel="0" collapsed="false">
      <c r="A3482" s="0" t="s">
        <v>4418</v>
      </c>
      <c r="B3482" s="0" t="s">
        <v>1353</v>
      </c>
      <c r="C3482" s="0" t="s">
        <v>4936</v>
      </c>
      <c r="D3482" s="0" t="s">
        <v>98</v>
      </c>
      <c r="E3482" s="0" t="s">
        <v>4445</v>
      </c>
    </row>
    <row r="3483" customFormat="false" ht="15" hidden="false" customHeight="false" outlineLevel="0" collapsed="false">
      <c r="A3483" s="0" t="s">
        <v>4418</v>
      </c>
      <c r="B3483" s="0" t="s">
        <v>1355</v>
      </c>
      <c r="C3483" s="0" t="s">
        <v>4937</v>
      </c>
      <c r="D3483" s="0" t="s">
        <v>98</v>
      </c>
      <c r="E3483" s="0" t="s">
        <v>4445</v>
      </c>
    </row>
    <row r="3484" customFormat="false" ht="15" hidden="false" customHeight="false" outlineLevel="0" collapsed="false">
      <c r="A3484" s="0" t="s">
        <v>4418</v>
      </c>
      <c r="B3484" s="0" t="s">
        <v>1357</v>
      </c>
      <c r="C3484" s="0" t="s">
        <v>4938</v>
      </c>
      <c r="D3484" s="0" t="s">
        <v>98</v>
      </c>
      <c r="E3484" s="0" t="s">
        <v>4445</v>
      </c>
    </row>
    <row r="3485" customFormat="false" ht="15" hidden="false" customHeight="false" outlineLevel="0" collapsed="false">
      <c r="A3485" s="0" t="s">
        <v>4418</v>
      </c>
      <c r="B3485" s="0" t="s">
        <v>1359</v>
      </c>
      <c r="C3485" s="0" t="s">
        <v>4939</v>
      </c>
      <c r="D3485" s="0" t="s">
        <v>98</v>
      </c>
      <c r="E3485" s="0" t="s">
        <v>4445</v>
      </c>
    </row>
    <row r="3486" customFormat="false" ht="15" hidden="false" customHeight="false" outlineLevel="0" collapsed="false">
      <c r="A3486" s="0" t="s">
        <v>4418</v>
      </c>
      <c r="B3486" s="0" t="s">
        <v>1361</v>
      </c>
      <c r="C3486" s="0" t="s">
        <v>4940</v>
      </c>
      <c r="D3486" s="0" t="s">
        <v>98</v>
      </c>
      <c r="E3486" s="0" t="s">
        <v>4445</v>
      </c>
    </row>
    <row r="3487" customFormat="false" ht="15" hidden="false" customHeight="false" outlineLevel="0" collapsed="false">
      <c r="A3487" s="0" t="s">
        <v>4418</v>
      </c>
      <c r="B3487" s="0" t="s">
        <v>1363</v>
      </c>
      <c r="C3487" s="0" t="s">
        <v>4941</v>
      </c>
      <c r="D3487" s="0" t="s">
        <v>98</v>
      </c>
      <c r="E3487" s="0" t="s">
        <v>4445</v>
      </c>
    </row>
    <row r="3488" customFormat="false" ht="15" hidden="false" customHeight="false" outlineLevel="0" collapsed="false">
      <c r="A3488" s="0" t="s">
        <v>4418</v>
      </c>
      <c r="B3488" s="0" t="s">
        <v>1365</v>
      </c>
      <c r="C3488" s="0" t="s">
        <v>4942</v>
      </c>
      <c r="D3488" s="0" t="s">
        <v>98</v>
      </c>
      <c r="E3488" s="0" t="s">
        <v>4445</v>
      </c>
    </row>
    <row r="3489" customFormat="false" ht="15" hidden="false" customHeight="false" outlineLevel="0" collapsed="false">
      <c r="A3489" s="0" t="s">
        <v>4418</v>
      </c>
      <c r="B3489" s="0" t="s">
        <v>1367</v>
      </c>
      <c r="C3489" s="0" t="s">
        <v>4943</v>
      </c>
      <c r="D3489" s="0" t="s">
        <v>98</v>
      </c>
      <c r="E3489" s="0" t="s">
        <v>4445</v>
      </c>
    </row>
    <row r="3490" customFormat="false" ht="15" hidden="false" customHeight="false" outlineLevel="0" collapsed="false">
      <c r="A3490" s="0" t="s">
        <v>4418</v>
      </c>
      <c r="B3490" s="0" t="s">
        <v>1369</v>
      </c>
      <c r="C3490" s="0" t="s">
        <v>4944</v>
      </c>
      <c r="D3490" s="0" t="s">
        <v>98</v>
      </c>
      <c r="E3490" s="0" t="s">
        <v>4445</v>
      </c>
    </row>
    <row r="3491" customFormat="false" ht="15" hidden="false" customHeight="false" outlineLevel="0" collapsed="false">
      <c r="A3491" s="0" t="s">
        <v>4418</v>
      </c>
      <c r="B3491" s="0" t="s">
        <v>4945</v>
      </c>
      <c r="C3491" s="0" t="s">
        <v>4946</v>
      </c>
      <c r="D3491" s="0" t="s">
        <v>98</v>
      </c>
      <c r="E3491" s="0" t="s">
        <v>4445</v>
      </c>
    </row>
    <row r="3492" customFormat="false" ht="15" hidden="false" customHeight="false" outlineLevel="0" collapsed="false">
      <c r="A3492" s="0" t="s">
        <v>4418</v>
      </c>
      <c r="B3492" s="0" t="s">
        <v>4947</v>
      </c>
      <c r="C3492" s="0" t="s">
        <v>4948</v>
      </c>
      <c r="D3492" s="0" t="s">
        <v>98</v>
      </c>
      <c r="E3492" s="0" t="s">
        <v>4445</v>
      </c>
    </row>
    <row r="3493" customFormat="false" ht="15" hidden="false" customHeight="false" outlineLevel="0" collapsed="false">
      <c r="A3493" s="0" t="s">
        <v>4418</v>
      </c>
      <c r="B3493" s="0" t="s">
        <v>4949</v>
      </c>
      <c r="C3493" s="0" t="s">
        <v>4950</v>
      </c>
      <c r="D3493" s="0" t="s">
        <v>98</v>
      </c>
      <c r="E3493" s="0" t="s">
        <v>4445</v>
      </c>
    </row>
    <row r="3494" customFormat="false" ht="15" hidden="false" customHeight="false" outlineLevel="0" collapsed="false">
      <c r="A3494" s="0" t="s">
        <v>4418</v>
      </c>
      <c r="B3494" s="0" t="s">
        <v>4951</v>
      </c>
      <c r="C3494" s="0" t="s">
        <v>4952</v>
      </c>
      <c r="D3494" s="0" t="s">
        <v>98</v>
      </c>
      <c r="E3494" s="0" t="s">
        <v>4445</v>
      </c>
    </row>
    <row r="3495" customFormat="false" ht="15" hidden="false" customHeight="false" outlineLevel="0" collapsed="false">
      <c r="A3495" s="0" t="s">
        <v>4418</v>
      </c>
      <c r="B3495" s="0" t="s">
        <v>4953</v>
      </c>
      <c r="C3495" s="0" t="s">
        <v>4954</v>
      </c>
      <c r="D3495" s="0" t="s">
        <v>98</v>
      </c>
      <c r="E3495" s="0" t="s">
        <v>4445</v>
      </c>
    </row>
    <row r="3496" customFormat="false" ht="15" hidden="false" customHeight="false" outlineLevel="0" collapsed="false">
      <c r="A3496" s="0" t="s">
        <v>4418</v>
      </c>
      <c r="B3496" s="0" t="s">
        <v>4955</v>
      </c>
      <c r="C3496" s="0" t="s">
        <v>4956</v>
      </c>
      <c r="D3496" s="0" t="s">
        <v>98</v>
      </c>
      <c r="E3496" s="0" t="s">
        <v>4445</v>
      </c>
    </row>
    <row r="3497" customFormat="false" ht="15" hidden="false" customHeight="false" outlineLevel="0" collapsed="false">
      <c r="A3497" s="0" t="s">
        <v>4418</v>
      </c>
      <c r="B3497" s="0" t="s">
        <v>4957</v>
      </c>
      <c r="C3497" s="0" t="s">
        <v>4958</v>
      </c>
      <c r="D3497" s="0" t="s">
        <v>98</v>
      </c>
      <c r="E3497" s="0" t="s">
        <v>4445</v>
      </c>
    </row>
    <row r="3498" customFormat="false" ht="15" hidden="false" customHeight="false" outlineLevel="0" collapsed="false">
      <c r="A3498" s="0" t="s">
        <v>4418</v>
      </c>
      <c r="B3498" s="0" t="s">
        <v>4959</v>
      </c>
      <c r="C3498" s="0" t="s">
        <v>4960</v>
      </c>
      <c r="D3498" s="0" t="s">
        <v>98</v>
      </c>
      <c r="E3498" s="0" t="s">
        <v>4445</v>
      </c>
    </row>
    <row r="3499" customFormat="false" ht="15" hidden="false" customHeight="false" outlineLevel="0" collapsed="false">
      <c r="A3499" s="0" t="s">
        <v>4418</v>
      </c>
      <c r="B3499" s="0" t="s">
        <v>4961</v>
      </c>
      <c r="C3499" s="0" t="s">
        <v>4962</v>
      </c>
      <c r="D3499" s="0" t="s">
        <v>98</v>
      </c>
      <c r="E3499" s="0" t="s">
        <v>4445</v>
      </c>
    </row>
    <row r="3500" customFormat="false" ht="15" hidden="false" customHeight="false" outlineLevel="0" collapsed="false">
      <c r="A3500" s="0" t="s">
        <v>4418</v>
      </c>
      <c r="B3500" s="0" t="s">
        <v>4963</v>
      </c>
      <c r="C3500" s="0" t="s">
        <v>4964</v>
      </c>
      <c r="D3500" s="0" t="s">
        <v>98</v>
      </c>
      <c r="E3500" s="0" t="s">
        <v>4445</v>
      </c>
    </row>
    <row r="3501" customFormat="false" ht="15" hidden="false" customHeight="false" outlineLevel="0" collapsed="false">
      <c r="A3501" s="0" t="s">
        <v>4418</v>
      </c>
      <c r="B3501" s="0" t="s">
        <v>1371</v>
      </c>
      <c r="C3501" s="0" t="s">
        <v>4965</v>
      </c>
      <c r="D3501" s="0" t="s">
        <v>98</v>
      </c>
      <c r="E3501" s="0" t="s">
        <v>4445</v>
      </c>
    </row>
    <row r="3502" customFormat="false" ht="15" hidden="false" customHeight="false" outlineLevel="0" collapsed="false">
      <c r="A3502" s="0" t="s">
        <v>4418</v>
      </c>
      <c r="B3502" s="0" t="s">
        <v>1373</v>
      </c>
      <c r="C3502" s="0" t="s">
        <v>4966</v>
      </c>
      <c r="D3502" s="0" t="s">
        <v>98</v>
      </c>
      <c r="E3502" s="0" t="s">
        <v>4445</v>
      </c>
    </row>
    <row r="3503" customFormat="false" ht="15" hidden="false" customHeight="false" outlineLevel="0" collapsed="false">
      <c r="A3503" s="0" t="s">
        <v>4418</v>
      </c>
      <c r="B3503" s="0" t="s">
        <v>4967</v>
      </c>
      <c r="C3503" s="0" t="s">
        <v>4968</v>
      </c>
      <c r="D3503" s="0" t="s">
        <v>98</v>
      </c>
      <c r="E3503" s="0" t="s">
        <v>4445</v>
      </c>
    </row>
    <row r="3504" customFormat="false" ht="15" hidden="false" customHeight="false" outlineLevel="0" collapsed="false">
      <c r="A3504" s="0" t="s">
        <v>4418</v>
      </c>
      <c r="B3504" s="0" t="s">
        <v>4969</v>
      </c>
      <c r="C3504" s="0" t="s">
        <v>4970</v>
      </c>
      <c r="D3504" s="0" t="s">
        <v>98</v>
      </c>
      <c r="E3504" s="0" t="s">
        <v>4445</v>
      </c>
    </row>
    <row r="3505" customFormat="false" ht="15" hidden="false" customHeight="false" outlineLevel="0" collapsed="false">
      <c r="A3505" s="0" t="s">
        <v>4418</v>
      </c>
      <c r="B3505" s="0" t="s">
        <v>4971</v>
      </c>
      <c r="C3505" s="0" t="s">
        <v>4972</v>
      </c>
      <c r="D3505" s="0" t="s">
        <v>98</v>
      </c>
      <c r="E3505" s="0" t="s">
        <v>4445</v>
      </c>
    </row>
    <row r="3506" customFormat="false" ht="15" hidden="false" customHeight="false" outlineLevel="0" collapsed="false">
      <c r="A3506" s="0" t="s">
        <v>4418</v>
      </c>
      <c r="B3506" s="0" t="s">
        <v>1375</v>
      </c>
      <c r="C3506" s="0" t="s">
        <v>4973</v>
      </c>
      <c r="D3506" s="0" t="s">
        <v>98</v>
      </c>
      <c r="E3506" s="0" t="s">
        <v>4445</v>
      </c>
    </row>
    <row r="3507" customFormat="false" ht="15" hidden="false" customHeight="false" outlineLevel="0" collapsed="false">
      <c r="A3507" s="0" t="s">
        <v>4418</v>
      </c>
      <c r="B3507" s="0" t="s">
        <v>4974</v>
      </c>
      <c r="C3507" s="0" t="s">
        <v>4975</v>
      </c>
      <c r="D3507" s="0" t="s">
        <v>98</v>
      </c>
      <c r="E3507" s="0" t="s">
        <v>4445</v>
      </c>
    </row>
    <row r="3508" customFormat="false" ht="15" hidden="false" customHeight="false" outlineLevel="0" collapsed="false">
      <c r="A3508" s="0" t="s">
        <v>4418</v>
      </c>
      <c r="B3508" s="0" t="s">
        <v>4976</v>
      </c>
      <c r="C3508" s="0" t="s">
        <v>4977</v>
      </c>
      <c r="D3508" s="0" t="s">
        <v>98</v>
      </c>
      <c r="E3508" s="0" t="s">
        <v>4445</v>
      </c>
    </row>
    <row r="3509" customFormat="false" ht="15" hidden="false" customHeight="false" outlineLevel="0" collapsed="false">
      <c r="A3509" s="0" t="s">
        <v>4418</v>
      </c>
      <c r="B3509" s="0" t="s">
        <v>4978</v>
      </c>
      <c r="C3509" s="0" t="s">
        <v>4979</v>
      </c>
      <c r="D3509" s="0" t="s">
        <v>98</v>
      </c>
      <c r="E3509" s="0" t="s">
        <v>4445</v>
      </c>
    </row>
    <row r="3510" customFormat="false" ht="15" hidden="false" customHeight="false" outlineLevel="0" collapsed="false">
      <c r="A3510" s="0" t="s">
        <v>4418</v>
      </c>
      <c r="B3510" s="0" t="s">
        <v>4980</v>
      </c>
      <c r="C3510" s="0" t="s">
        <v>4981</v>
      </c>
      <c r="D3510" s="0" t="s">
        <v>98</v>
      </c>
      <c r="E3510" s="0" t="s">
        <v>4445</v>
      </c>
    </row>
    <row r="3511" customFormat="false" ht="15" hidden="false" customHeight="false" outlineLevel="0" collapsed="false">
      <c r="A3511" s="0" t="s">
        <v>4418</v>
      </c>
      <c r="B3511" s="0" t="s">
        <v>4982</v>
      </c>
      <c r="C3511" s="0" t="s">
        <v>4983</v>
      </c>
      <c r="D3511" s="0" t="s">
        <v>98</v>
      </c>
      <c r="E3511" s="0" t="s">
        <v>4445</v>
      </c>
    </row>
    <row r="3512" customFormat="false" ht="15" hidden="false" customHeight="false" outlineLevel="0" collapsed="false">
      <c r="A3512" s="0" t="s">
        <v>4418</v>
      </c>
      <c r="B3512" s="0" t="s">
        <v>4984</v>
      </c>
      <c r="C3512" s="0" t="s">
        <v>4985</v>
      </c>
      <c r="D3512" s="0" t="s">
        <v>98</v>
      </c>
      <c r="E3512" s="0" t="s">
        <v>4445</v>
      </c>
    </row>
    <row r="3513" customFormat="false" ht="15" hidden="false" customHeight="false" outlineLevel="0" collapsed="false">
      <c r="A3513" s="0" t="s">
        <v>4418</v>
      </c>
      <c r="B3513" s="0" t="s">
        <v>4986</v>
      </c>
      <c r="C3513" s="0" t="s">
        <v>4987</v>
      </c>
      <c r="D3513" s="0" t="s">
        <v>98</v>
      </c>
      <c r="E3513" s="0" t="s">
        <v>4445</v>
      </c>
    </row>
    <row r="3514" customFormat="false" ht="15" hidden="false" customHeight="false" outlineLevel="0" collapsed="false">
      <c r="A3514" s="0" t="s">
        <v>4418</v>
      </c>
      <c r="B3514" s="0" t="s">
        <v>4988</v>
      </c>
      <c r="C3514" s="0" t="s">
        <v>4989</v>
      </c>
      <c r="D3514" s="0" t="s">
        <v>98</v>
      </c>
      <c r="E3514" s="0" t="s">
        <v>4445</v>
      </c>
    </row>
    <row r="3515" customFormat="false" ht="15" hidden="false" customHeight="false" outlineLevel="0" collapsed="false">
      <c r="A3515" s="0" t="s">
        <v>4418</v>
      </c>
      <c r="B3515" s="0" t="s">
        <v>4990</v>
      </c>
      <c r="C3515" s="0" t="s">
        <v>4991</v>
      </c>
      <c r="D3515" s="0" t="s">
        <v>98</v>
      </c>
      <c r="E3515" s="0" t="s">
        <v>4445</v>
      </c>
    </row>
    <row r="3516" customFormat="false" ht="15" hidden="false" customHeight="false" outlineLevel="0" collapsed="false">
      <c r="A3516" s="0" t="s">
        <v>4418</v>
      </c>
      <c r="B3516" s="0" t="s">
        <v>4992</v>
      </c>
      <c r="C3516" s="0" t="s">
        <v>4993</v>
      </c>
      <c r="D3516" s="0" t="s">
        <v>98</v>
      </c>
      <c r="E3516" s="0" t="s">
        <v>4445</v>
      </c>
    </row>
    <row r="3517" customFormat="false" ht="15" hidden="false" customHeight="false" outlineLevel="0" collapsed="false">
      <c r="A3517" s="0" t="s">
        <v>4418</v>
      </c>
      <c r="B3517" s="0" t="s">
        <v>4994</v>
      </c>
      <c r="C3517" s="0" t="s">
        <v>4995</v>
      </c>
      <c r="D3517" s="0" t="s">
        <v>98</v>
      </c>
      <c r="E3517" s="0" t="s">
        <v>4445</v>
      </c>
    </row>
    <row r="3518" customFormat="false" ht="15" hidden="false" customHeight="false" outlineLevel="0" collapsed="false">
      <c r="A3518" s="0" t="s">
        <v>4418</v>
      </c>
      <c r="B3518" s="0" t="s">
        <v>4996</v>
      </c>
      <c r="C3518" s="0" t="s">
        <v>4997</v>
      </c>
      <c r="D3518" s="0" t="s">
        <v>98</v>
      </c>
      <c r="E3518" s="0" t="s">
        <v>4445</v>
      </c>
    </row>
    <row r="3519" customFormat="false" ht="15" hidden="false" customHeight="false" outlineLevel="0" collapsed="false">
      <c r="A3519" s="0" t="s">
        <v>4418</v>
      </c>
      <c r="B3519" s="0" t="s">
        <v>4998</v>
      </c>
      <c r="C3519" s="0" t="s">
        <v>4999</v>
      </c>
      <c r="D3519" s="0" t="s">
        <v>98</v>
      </c>
      <c r="E3519" s="0" t="s">
        <v>4445</v>
      </c>
    </row>
    <row r="3520" customFormat="false" ht="15" hidden="false" customHeight="false" outlineLevel="0" collapsed="false">
      <c r="A3520" s="0" t="s">
        <v>4418</v>
      </c>
      <c r="B3520" s="0" t="s">
        <v>5000</v>
      </c>
      <c r="C3520" s="0" t="s">
        <v>5001</v>
      </c>
      <c r="D3520" s="0" t="s">
        <v>98</v>
      </c>
      <c r="E3520" s="0" t="s">
        <v>4445</v>
      </c>
    </row>
    <row r="3521" customFormat="false" ht="15" hidden="false" customHeight="false" outlineLevel="0" collapsed="false">
      <c r="A3521" s="0" t="s">
        <v>4418</v>
      </c>
      <c r="B3521" s="0" t="s">
        <v>5002</v>
      </c>
      <c r="C3521" s="0" t="s">
        <v>5003</v>
      </c>
      <c r="D3521" s="0" t="s">
        <v>98</v>
      </c>
      <c r="E3521" s="0" t="s">
        <v>4445</v>
      </c>
    </row>
    <row r="3522" customFormat="false" ht="15" hidden="false" customHeight="false" outlineLevel="0" collapsed="false">
      <c r="A3522" s="0" t="s">
        <v>4418</v>
      </c>
      <c r="B3522" s="0" t="s">
        <v>5004</v>
      </c>
      <c r="C3522" s="0" t="s">
        <v>5005</v>
      </c>
      <c r="D3522" s="0" t="s">
        <v>98</v>
      </c>
      <c r="E3522" s="0" t="s">
        <v>4445</v>
      </c>
    </row>
    <row r="3523" customFormat="false" ht="15" hidden="false" customHeight="false" outlineLevel="0" collapsed="false">
      <c r="A3523" s="0" t="s">
        <v>4418</v>
      </c>
      <c r="B3523" s="0" t="s">
        <v>5006</v>
      </c>
      <c r="C3523" s="0" t="s">
        <v>5007</v>
      </c>
      <c r="D3523" s="0" t="s">
        <v>98</v>
      </c>
      <c r="E3523" s="0" t="s">
        <v>4445</v>
      </c>
    </row>
    <row r="3524" customFormat="false" ht="15" hidden="false" customHeight="false" outlineLevel="0" collapsed="false">
      <c r="A3524" s="0" t="s">
        <v>4418</v>
      </c>
      <c r="B3524" s="0" t="s">
        <v>5008</v>
      </c>
      <c r="C3524" s="0" t="s">
        <v>5009</v>
      </c>
      <c r="D3524" s="0" t="s">
        <v>98</v>
      </c>
      <c r="E3524" s="0" t="s">
        <v>4445</v>
      </c>
    </row>
    <row r="3525" customFormat="false" ht="15" hidden="false" customHeight="false" outlineLevel="0" collapsed="false">
      <c r="A3525" s="0" t="s">
        <v>4418</v>
      </c>
      <c r="B3525" s="0" t="s">
        <v>5010</v>
      </c>
      <c r="C3525" s="0" t="s">
        <v>5011</v>
      </c>
      <c r="D3525" s="0" t="s">
        <v>98</v>
      </c>
      <c r="E3525" s="0" t="s">
        <v>4445</v>
      </c>
    </row>
    <row r="3526" customFormat="false" ht="15" hidden="false" customHeight="false" outlineLevel="0" collapsed="false">
      <c r="A3526" s="0" t="s">
        <v>4418</v>
      </c>
      <c r="B3526" s="0" t="s">
        <v>5012</v>
      </c>
      <c r="C3526" s="0" t="s">
        <v>5013</v>
      </c>
      <c r="D3526" s="0" t="s">
        <v>98</v>
      </c>
      <c r="E3526" s="0" t="s">
        <v>4445</v>
      </c>
    </row>
    <row r="3527" customFormat="false" ht="15" hidden="false" customHeight="false" outlineLevel="0" collapsed="false">
      <c r="A3527" s="0" t="s">
        <v>4418</v>
      </c>
      <c r="B3527" s="0" t="s">
        <v>1377</v>
      </c>
      <c r="C3527" s="0" t="s">
        <v>5014</v>
      </c>
      <c r="D3527" s="0" t="s">
        <v>98</v>
      </c>
      <c r="E3527" s="0" t="s">
        <v>4445</v>
      </c>
    </row>
    <row r="3528" customFormat="false" ht="15" hidden="false" customHeight="false" outlineLevel="0" collapsed="false">
      <c r="A3528" s="0" t="s">
        <v>4418</v>
      </c>
      <c r="B3528" s="0" t="s">
        <v>1378</v>
      </c>
      <c r="C3528" s="0" t="s">
        <v>5015</v>
      </c>
      <c r="D3528" s="0" t="s">
        <v>98</v>
      </c>
      <c r="E3528" s="0" t="s">
        <v>4445</v>
      </c>
    </row>
    <row r="3529" customFormat="false" ht="15" hidden="false" customHeight="false" outlineLevel="0" collapsed="false">
      <c r="A3529" s="0" t="s">
        <v>4418</v>
      </c>
      <c r="B3529" s="0" t="s">
        <v>1379</v>
      </c>
      <c r="C3529" s="0" t="s">
        <v>5016</v>
      </c>
      <c r="D3529" s="0" t="s">
        <v>98</v>
      </c>
      <c r="E3529" s="0" t="s">
        <v>4445</v>
      </c>
    </row>
    <row r="3530" customFormat="false" ht="15" hidden="false" customHeight="false" outlineLevel="0" collapsed="false">
      <c r="A3530" s="0" t="s">
        <v>4418</v>
      </c>
      <c r="B3530" s="0" t="s">
        <v>1380</v>
      </c>
      <c r="C3530" s="0" t="s">
        <v>5017</v>
      </c>
      <c r="D3530" s="0" t="s">
        <v>98</v>
      </c>
      <c r="E3530" s="0" t="s">
        <v>4445</v>
      </c>
    </row>
    <row r="3531" customFormat="false" ht="15" hidden="false" customHeight="false" outlineLevel="0" collapsed="false">
      <c r="A3531" s="0" t="s">
        <v>4418</v>
      </c>
      <c r="B3531" s="0" t="s">
        <v>1381</v>
      </c>
      <c r="C3531" s="0" t="s">
        <v>5018</v>
      </c>
      <c r="D3531" s="0" t="s">
        <v>98</v>
      </c>
      <c r="E3531" s="0" t="s">
        <v>4445</v>
      </c>
    </row>
    <row r="3532" customFormat="false" ht="15" hidden="false" customHeight="false" outlineLevel="0" collapsed="false">
      <c r="A3532" s="0" t="s">
        <v>4418</v>
      </c>
      <c r="B3532" s="0" t="s">
        <v>1382</v>
      </c>
      <c r="C3532" s="0" t="s">
        <v>5019</v>
      </c>
      <c r="D3532" s="0" t="s">
        <v>98</v>
      </c>
      <c r="E3532" s="0" t="s">
        <v>4445</v>
      </c>
    </row>
    <row r="3533" customFormat="false" ht="15" hidden="false" customHeight="false" outlineLevel="0" collapsed="false">
      <c r="A3533" s="0" t="s">
        <v>4418</v>
      </c>
      <c r="B3533" s="0" t="s">
        <v>1383</v>
      </c>
      <c r="C3533" s="0" t="s">
        <v>5020</v>
      </c>
      <c r="D3533" s="0" t="s">
        <v>98</v>
      </c>
      <c r="E3533" s="0" t="s">
        <v>4445</v>
      </c>
    </row>
    <row r="3534" customFormat="false" ht="15" hidden="false" customHeight="false" outlineLevel="0" collapsed="false">
      <c r="A3534" s="0" t="s">
        <v>4418</v>
      </c>
      <c r="B3534" s="0" t="s">
        <v>1384</v>
      </c>
      <c r="C3534" s="0" t="s">
        <v>5021</v>
      </c>
      <c r="D3534" s="0" t="s">
        <v>98</v>
      </c>
      <c r="E3534" s="0" t="s">
        <v>4445</v>
      </c>
    </row>
    <row r="3535" customFormat="false" ht="15" hidden="false" customHeight="false" outlineLevel="0" collapsed="false">
      <c r="A3535" s="0" t="s">
        <v>4418</v>
      </c>
      <c r="B3535" s="0" t="s">
        <v>1385</v>
      </c>
      <c r="C3535" s="0" t="s">
        <v>5022</v>
      </c>
      <c r="D3535" s="0" t="s">
        <v>98</v>
      </c>
      <c r="E3535" s="0" t="s">
        <v>4445</v>
      </c>
    </row>
    <row r="3536" customFormat="false" ht="15" hidden="false" customHeight="false" outlineLevel="0" collapsed="false">
      <c r="A3536" s="0" t="s">
        <v>4418</v>
      </c>
      <c r="B3536" s="0" t="s">
        <v>1386</v>
      </c>
      <c r="C3536" s="0" t="s">
        <v>5023</v>
      </c>
      <c r="D3536" s="0" t="s">
        <v>98</v>
      </c>
      <c r="E3536" s="0" t="s">
        <v>4445</v>
      </c>
    </row>
    <row r="3537" customFormat="false" ht="15" hidden="false" customHeight="false" outlineLevel="0" collapsed="false">
      <c r="A3537" s="0" t="s">
        <v>4418</v>
      </c>
      <c r="B3537" s="0" t="s">
        <v>1387</v>
      </c>
      <c r="C3537" s="0" t="s">
        <v>5024</v>
      </c>
      <c r="D3537" s="0" t="s">
        <v>98</v>
      </c>
      <c r="E3537" s="0" t="s">
        <v>4445</v>
      </c>
    </row>
    <row r="3538" customFormat="false" ht="15" hidden="false" customHeight="false" outlineLevel="0" collapsed="false">
      <c r="A3538" s="0" t="s">
        <v>4418</v>
      </c>
      <c r="B3538" s="0" t="s">
        <v>1388</v>
      </c>
      <c r="C3538" s="0" t="s">
        <v>5025</v>
      </c>
      <c r="D3538" s="0" t="s">
        <v>98</v>
      </c>
      <c r="E3538" s="0" t="s">
        <v>4445</v>
      </c>
    </row>
    <row r="3539" customFormat="false" ht="15" hidden="false" customHeight="false" outlineLevel="0" collapsed="false">
      <c r="A3539" s="0" t="s">
        <v>4418</v>
      </c>
      <c r="B3539" s="0" t="s">
        <v>1389</v>
      </c>
      <c r="C3539" s="0" t="s">
        <v>5026</v>
      </c>
      <c r="D3539" s="0" t="s">
        <v>98</v>
      </c>
      <c r="E3539" s="0" t="s">
        <v>4445</v>
      </c>
    </row>
    <row r="3540" customFormat="false" ht="15" hidden="false" customHeight="false" outlineLevel="0" collapsed="false">
      <c r="A3540" s="0" t="s">
        <v>4418</v>
      </c>
      <c r="B3540" s="0" t="s">
        <v>1390</v>
      </c>
      <c r="C3540" s="0" t="s">
        <v>5027</v>
      </c>
      <c r="D3540" s="0" t="s">
        <v>98</v>
      </c>
      <c r="E3540" s="0" t="s">
        <v>4445</v>
      </c>
    </row>
    <row r="3541" customFormat="false" ht="15" hidden="false" customHeight="false" outlineLevel="0" collapsed="false">
      <c r="A3541" s="0" t="s">
        <v>4418</v>
      </c>
      <c r="B3541" s="0" t="s">
        <v>1391</v>
      </c>
      <c r="C3541" s="0" t="s">
        <v>5028</v>
      </c>
      <c r="D3541" s="0" t="s">
        <v>98</v>
      </c>
      <c r="E3541" s="0" t="s">
        <v>4445</v>
      </c>
    </row>
    <row r="3542" customFormat="false" ht="15" hidden="false" customHeight="false" outlineLevel="0" collapsed="false">
      <c r="A3542" s="0" t="s">
        <v>4418</v>
      </c>
      <c r="B3542" s="0" t="s">
        <v>1392</v>
      </c>
      <c r="C3542" s="0" t="s">
        <v>5029</v>
      </c>
      <c r="D3542" s="0" t="s">
        <v>98</v>
      </c>
      <c r="E3542" s="0" t="s">
        <v>4445</v>
      </c>
    </row>
    <row r="3543" customFormat="false" ht="15" hidden="false" customHeight="false" outlineLevel="0" collapsed="false">
      <c r="A3543" s="0" t="s">
        <v>4418</v>
      </c>
      <c r="B3543" s="0" t="s">
        <v>1393</v>
      </c>
      <c r="C3543" s="0" t="s">
        <v>5030</v>
      </c>
      <c r="D3543" s="0" t="s">
        <v>98</v>
      </c>
      <c r="E3543" s="0" t="s">
        <v>4445</v>
      </c>
    </row>
    <row r="3544" customFormat="false" ht="15" hidden="false" customHeight="false" outlineLevel="0" collapsed="false">
      <c r="A3544" s="0" t="s">
        <v>4418</v>
      </c>
      <c r="B3544" s="0" t="s">
        <v>1394</v>
      </c>
      <c r="C3544" s="0" t="s">
        <v>5031</v>
      </c>
      <c r="D3544" s="0" t="s">
        <v>98</v>
      </c>
      <c r="E3544" s="0" t="s">
        <v>4445</v>
      </c>
    </row>
    <row r="3545" customFormat="false" ht="15" hidden="false" customHeight="false" outlineLevel="0" collapsed="false">
      <c r="A3545" s="0" t="s">
        <v>4418</v>
      </c>
      <c r="B3545" s="0" t="s">
        <v>1395</v>
      </c>
      <c r="C3545" s="0" t="s">
        <v>5032</v>
      </c>
      <c r="D3545" s="0" t="s">
        <v>98</v>
      </c>
      <c r="E3545" s="0" t="s">
        <v>4445</v>
      </c>
    </row>
    <row r="3546" customFormat="false" ht="15" hidden="false" customHeight="false" outlineLevel="0" collapsed="false">
      <c r="A3546" s="0" t="s">
        <v>4418</v>
      </c>
      <c r="B3546" s="0" t="s">
        <v>1396</v>
      </c>
      <c r="C3546" s="0" t="s">
        <v>5033</v>
      </c>
      <c r="D3546" s="0" t="s">
        <v>98</v>
      </c>
      <c r="E3546" s="0" t="s">
        <v>4445</v>
      </c>
    </row>
    <row r="3547" customFormat="false" ht="15" hidden="false" customHeight="false" outlineLevel="0" collapsed="false">
      <c r="A3547" s="0" t="s">
        <v>4418</v>
      </c>
      <c r="B3547" s="0" t="s">
        <v>1397</v>
      </c>
      <c r="C3547" s="0" t="s">
        <v>5034</v>
      </c>
      <c r="D3547" s="0" t="s">
        <v>98</v>
      </c>
      <c r="E3547" s="0" t="s">
        <v>4445</v>
      </c>
    </row>
    <row r="3548" customFormat="false" ht="15" hidden="false" customHeight="false" outlineLevel="0" collapsed="false">
      <c r="A3548" s="0" t="s">
        <v>4418</v>
      </c>
      <c r="B3548" s="0" t="s">
        <v>1398</v>
      </c>
      <c r="C3548" s="0" t="s">
        <v>5035</v>
      </c>
      <c r="D3548" s="0" t="s">
        <v>98</v>
      </c>
      <c r="E3548" s="0" t="s">
        <v>4445</v>
      </c>
    </row>
    <row r="3549" customFormat="false" ht="15" hidden="false" customHeight="false" outlineLevel="0" collapsed="false">
      <c r="A3549" s="0" t="s">
        <v>4418</v>
      </c>
      <c r="B3549" s="0" t="s">
        <v>1399</v>
      </c>
      <c r="C3549" s="0" t="s">
        <v>5036</v>
      </c>
      <c r="D3549" s="0" t="s">
        <v>98</v>
      </c>
      <c r="E3549" s="0" t="s">
        <v>4445</v>
      </c>
    </row>
    <row r="3550" customFormat="false" ht="15" hidden="false" customHeight="false" outlineLevel="0" collapsed="false">
      <c r="A3550" s="0" t="s">
        <v>4418</v>
      </c>
      <c r="B3550" s="0" t="s">
        <v>1400</v>
      </c>
      <c r="C3550" s="0" t="s">
        <v>5037</v>
      </c>
      <c r="D3550" s="0" t="s">
        <v>98</v>
      </c>
      <c r="E3550" s="0" t="s">
        <v>4445</v>
      </c>
    </row>
    <row r="3551" customFormat="false" ht="15" hidden="false" customHeight="false" outlineLevel="0" collapsed="false">
      <c r="A3551" s="0" t="s">
        <v>4418</v>
      </c>
      <c r="B3551" s="0" t="s">
        <v>1401</v>
      </c>
      <c r="C3551" s="0" t="s">
        <v>5038</v>
      </c>
      <c r="D3551" s="0" t="s">
        <v>98</v>
      </c>
      <c r="E3551" s="0" t="s">
        <v>4445</v>
      </c>
    </row>
    <row r="3552" customFormat="false" ht="15" hidden="false" customHeight="false" outlineLevel="0" collapsed="false">
      <c r="A3552" s="0" t="s">
        <v>4418</v>
      </c>
      <c r="B3552" s="0" t="s">
        <v>1402</v>
      </c>
      <c r="C3552" s="0" t="s">
        <v>5039</v>
      </c>
      <c r="D3552" s="0" t="s">
        <v>98</v>
      </c>
      <c r="E3552" s="0" t="s">
        <v>4445</v>
      </c>
    </row>
    <row r="3553" customFormat="false" ht="15" hidden="false" customHeight="false" outlineLevel="0" collapsed="false">
      <c r="A3553" s="0" t="s">
        <v>4418</v>
      </c>
      <c r="B3553" s="0" t="s">
        <v>1403</v>
      </c>
      <c r="C3553" s="0" t="s">
        <v>5040</v>
      </c>
      <c r="D3553" s="0" t="s">
        <v>98</v>
      </c>
      <c r="E3553" s="0" t="s">
        <v>4445</v>
      </c>
    </row>
    <row r="3554" customFormat="false" ht="15" hidden="false" customHeight="false" outlineLevel="0" collapsed="false">
      <c r="A3554" s="0" t="s">
        <v>4418</v>
      </c>
      <c r="B3554" s="0" t="s">
        <v>1404</v>
      </c>
      <c r="C3554" s="0" t="s">
        <v>5041</v>
      </c>
      <c r="D3554" s="0" t="s">
        <v>98</v>
      </c>
      <c r="E3554" s="0" t="s">
        <v>4445</v>
      </c>
    </row>
    <row r="3555" customFormat="false" ht="15" hidden="false" customHeight="false" outlineLevel="0" collapsed="false">
      <c r="A3555" s="0" t="s">
        <v>4418</v>
      </c>
      <c r="B3555" s="0" t="s">
        <v>1405</v>
      </c>
      <c r="C3555" s="0" t="s">
        <v>5042</v>
      </c>
      <c r="D3555" s="0" t="s">
        <v>98</v>
      </c>
      <c r="E3555" s="0" t="s">
        <v>4445</v>
      </c>
    </row>
    <row r="3556" customFormat="false" ht="15" hidden="false" customHeight="false" outlineLevel="0" collapsed="false">
      <c r="A3556" s="0" t="s">
        <v>4418</v>
      </c>
      <c r="B3556" s="0" t="s">
        <v>1406</v>
      </c>
      <c r="C3556" s="0" t="s">
        <v>5043</v>
      </c>
      <c r="D3556" s="0" t="s">
        <v>98</v>
      </c>
      <c r="E3556" s="0" t="s">
        <v>4445</v>
      </c>
    </row>
    <row r="3557" customFormat="false" ht="15" hidden="false" customHeight="false" outlineLevel="0" collapsed="false">
      <c r="A3557" s="0" t="s">
        <v>4418</v>
      </c>
      <c r="B3557" s="0" t="s">
        <v>1407</v>
      </c>
      <c r="C3557" s="0" t="s">
        <v>5044</v>
      </c>
      <c r="D3557" s="0" t="s">
        <v>98</v>
      </c>
      <c r="E3557" s="0" t="s">
        <v>4445</v>
      </c>
    </row>
    <row r="3558" customFormat="false" ht="15" hidden="false" customHeight="false" outlineLevel="0" collapsed="false">
      <c r="A3558" s="0" t="s">
        <v>4418</v>
      </c>
      <c r="B3558" s="0" t="s">
        <v>1408</v>
      </c>
      <c r="C3558" s="0" t="s">
        <v>5045</v>
      </c>
      <c r="D3558" s="0" t="s">
        <v>98</v>
      </c>
      <c r="E3558" s="0" t="s">
        <v>4445</v>
      </c>
    </row>
    <row r="3559" customFormat="false" ht="15" hidden="false" customHeight="false" outlineLevel="0" collapsed="false">
      <c r="A3559" s="0" t="s">
        <v>4418</v>
      </c>
      <c r="B3559" s="0" t="s">
        <v>1409</v>
      </c>
      <c r="C3559" s="0" t="s">
        <v>5046</v>
      </c>
      <c r="D3559" s="0" t="s">
        <v>98</v>
      </c>
      <c r="E3559" s="0" t="s">
        <v>4445</v>
      </c>
    </row>
    <row r="3560" customFormat="false" ht="15" hidden="false" customHeight="false" outlineLevel="0" collapsed="false">
      <c r="A3560" s="0" t="s">
        <v>4418</v>
      </c>
      <c r="B3560" s="0" t="s">
        <v>1410</v>
      </c>
      <c r="C3560" s="0" t="s">
        <v>5047</v>
      </c>
      <c r="D3560" s="0" t="s">
        <v>98</v>
      </c>
      <c r="E3560" s="0" t="s">
        <v>4445</v>
      </c>
    </row>
    <row r="3561" customFormat="false" ht="15" hidden="false" customHeight="false" outlineLevel="0" collapsed="false">
      <c r="A3561" s="0" t="s">
        <v>4418</v>
      </c>
      <c r="B3561" s="0" t="s">
        <v>1412</v>
      </c>
      <c r="C3561" s="0" t="s">
        <v>5048</v>
      </c>
      <c r="D3561" s="0" t="s">
        <v>98</v>
      </c>
      <c r="E3561" s="0" t="s">
        <v>4445</v>
      </c>
    </row>
    <row r="3562" customFormat="false" ht="15" hidden="false" customHeight="false" outlineLevel="0" collapsed="false">
      <c r="A3562" s="0" t="s">
        <v>4418</v>
      </c>
      <c r="B3562" s="0" t="s">
        <v>1413</v>
      </c>
      <c r="C3562" s="0" t="s">
        <v>5049</v>
      </c>
      <c r="D3562" s="0" t="s">
        <v>98</v>
      </c>
      <c r="E3562" s="0" t="s">
        <v>4445</v>
      </c>
    </row>
    <row r="3563" customFormat="false" ht="15" hidden="false" customHeight="false" outlineLevel="0" collapsed="false">
      <c r="A3563" s="0" t="s">
        <v>4418</v>
      </c>
      <c r="B3563" s="0" t="s">
        <v>1415</v>
      </c>
      <c r="C3563" s="0" t="s">
        <v>5050</v>
      </c>
      <c r="D3563" s="0" t="s">
        <v>98</v>
      </c>
      <c r="E3563" s="0" t="s">
        <v>4445</v>
      </c>
    </row>
    <row r="3564" customFormat="false" ht="15" hidden="false" customHeight="false" outlineLevel="0" collapsed="false">
      <c r="A3564" s="0" t="s">
        <v>4418</v>
      </c>
      <c r="B3564" s="0" t="s">
        <v>1416</v>
      </c>
      <c r="C3564" s="0" t="s">
        <v>5051</v>
      </c>
      <c r="D3564" s="0" t="s">
        <v>98</v>
      </c>
      <c r="E3564" s="0" t="s">
        <v>4445</v>
      </c>
    </row>
    <row r="3565" customFormat="false" ht="15" hidden="false" customHeight="false" outlineLevel="0" collapsed="false">
      <c r="A3565" s="0" t="s">
        <v>4418</v>
      </c>
      <c r="B3565" s="0" t="s">
        <v>1417</v>
      </c>
      <c r="C3565" s="0" t="s">
        <v>5052</v>
      </c>
      <c r="D3565" s="0" t="s">
        <v>98</v>
      </c>
      <c r="E3565" s="0" t="s">
        <v>4445</v>
      </c>
    </row>
    <row r="3566" customFormat="false" ht="15" hidden="false" customHeight="false" outlineLevel="0" collapsed="false">
      <c r="A3566" s="0" t="s">
        <v>4418</v>
      </c>
      <c r="B3566" s="0" t="s">
        <v>1418</v>
      </c>
      <c r="C3566" s="0" t="s">
        <v>5053</v>
      </c>
      <c r="D3566" s="0" t="s">
        <v>98</v>
      </c>
      <c r="E3566" s="0" t="s">
        <v>4445</v>
      </c>
    </row>
    <row r="3567" customFormat="false" ht="15" hidden="false" customHeight="false" outlineLevel="0" collapsed="false">
      <c r="A3567" s="0" t="s">
        <v>4418</v>
      </c>
      <c r="B3567" s="0" t="s">
        <v>1420</v>
      </c>
      <c r="C3567" s="0" t="s">
        <v>5054</v>
      </c>
      <c r="D3567" s="0" t="s">
        <v>98</v>
      </c>
      <c r="E3567" s="0" t="s">
        <v>4445</v>
      </c>
    </row>
    <row r="3568" customFormat="false" ht="15" hidden="false" customHeight="false" outlineLevel="0" collapsed="false">
      <c r="A3568" s="0" t="s">
        <v>4418</v>
      </c>
      <c r="B3568" s="0" t="s">
        <v>1421</v>
      </c>
      <c r="C3568" s="0" t="s">
        <v>5055</v>
      </c>
      <c r="D3568" s="0" t="s">
        <v>98</v>
      </c>
      <c r="E3568" s="0" t="s">
        <v>4445</v>
      </c>
    </row>
    <row r="3569" customFormat="false" ht="15" hidden="false" customHeight="false" outlineLevel="0" collapsed="false">
      <c r="A3569" s="0" t="s">
        <v>4418</v>
      </c>
      <c r="B3569" s="0" t="s">
        <v>1422</v>
      </c>
      <c r="C3569" s="0" t="s">
        <v>5056</v>
      </c>
      <c r="D3569" s="0" t="s">
        <v>98</v>
      </c>
      <c r="E3569" s="0" t="s">
        <v>4445</v>
      </c>
    </row>
    <row r="3570" customFormat="false" ht="15" hidden="false" customHeight="false" outlineLevel="0" collapsed="false">
      <c r="A3570" s="0" t="s">
        <v>4418</v>
      </c>
      <c r="B3570" s="0" t="s">
        <v>1423</v>
      </c>
      <c r="C3570" s="0" t="s">
        <v>5057</v>
      </c>
      <c r="D3570" s="0" t="s">
        <v>98</v>
      </c>
      <c r="E3570" s="0" t="s">
        <v>4445</v>
      </c>
    </row>
    <row r="3571" customFormat="false" ht="15" hidden="false" customHeight="false" outlineLevel="0" collapsed="false">
      <c r="A3571" s="0" t="s">
        <v>4418</v>
      </c>
      <c r="B3571" s="0" t="s">
        <v>1425</v>
      </c>
      <c r="C3571" s="0" t="s">
        <v>5058</v>
      </c>
      <c r="D3571" s="0" t="s">
        <v>98</v>
      </c>
      <c r="E3571" s="0" t="s">
        <v>4445</v>
      </c>
    </row>
    <row r="3572" customFormat="false" ht="15" hidden="false" customHeight="false" outlineLevel="0" collapsed="false">
      <c r="A3572" s="0" t="s">
        <v>4418</v>
      </c>
      <c r="B3572" s="0" t="s">
        <v>1426</v>
      </c>
      <c r="C3572" s="0" t="s">
        <v>5059</v>
      </c>
      <c r="D3572" s="0" t="s">
        <v>98</v>
      </c>
      <c r="E3572" s="0" t="s">
        <v>4445</v>
      </c>
    </row>
    <row r="3573" customFormat="false" ht="15" hidden="false" customHeight="false" outlineLevel="0" collapsed="false">
      <c r="A3573" s="0" t="s">
        <v>4418</v>
      </c>
      <c r="B3573" s="0" t="s">
        <v>1427</v>
      </c>
      <c r="C3573" s="0" t="s">
        <v>5060</v>
      </c>
      <c r="D3573" s="0" t="s">
        <v>98</v>
      </c>
      <c r="E3573" s="0" t="s">
        <v>4445</v>
      </c>
    </row>
    <row r="3574" customFormat="false" ht="15" hidden="false" customHeight="false" outlineLevel="0" collapsed="false">
      <c r="A3574" s="0" t="s">
        <v>4418</v>
      </c>
      <c r="B3574" s="0" t="s">
        <v>1428</v>
      </c>
      <c r="C3574" s="0" t="s">
        <v>5061</v>
      </c>
      <c r="D3574" s="0" t="s">
        <v>98</v>
      </c>
      <c r="E3574" s="0" t="s">
        <v>4445</v>
      </c>
    </row>
    <row r="3575" customFormat="false" ht="15" hidden="false" customHeight="false" outlineLevel="0" collapsed="false">
      <c r="A3575" s="0" t="s">
        <v>4418</v>
      </c>
      <c r="B3575" s="0" t="s">
        <v>1429</v>
      </c>
      <c r="C3575" s="0" t="s">
        <v>5062</v>
      </c>
      <c r="D3575" s="0" t="s">
        <v>98</v>
      </c>
      <c r="E3575" s="0" t="s">
        <v>4445</v>
      </c>
    </row>
    <row r="3576" customFormat="false" ht="15" hidden="false" customHeight="false" outlineLevel="0" collapsed="false">
      <c r="A3576" s="0" t="s">
        <v>4418</v>
      </c>
      <c r="B3576" s="0" t="s">
        <v>1430</v>
      </c>
      <c r="C3576" s="0" t="s">
        <v>5063</v>
      </c>
      <c r="D3576" s="0" t="s">
        <v>98</v>
      </c>
      <c r="E3576" s="0" t="s">
        <v>4445</v>
      </c>
    </row>
    <row r="3577" customFormat="false" ht="15" hidden="false" customHeight="false" outlineLevel="0" collapsed="false">
      <c r="A3577" s="0" t="s">
        <v>4418</v>
      </c>
      <c r="B3577" s="0" t="s">
        <v>1431</v>
      </c>
      <c r="C3577" s="0" t="s">
        <v>5064</v>
      </c>
      <c r="D3577" s="0" t="s">
        <v>98</v>
      </c>
      <c r="E3577" s="0" t="s">
        <v>4445</v>
      </c>
    </row>
    <row r="3578" customFormat="false" ht="15" hidden="false" customHeight="false" outlineLevel="0" collapsed="false">
      <c r="A3578" s="0" t="s">
        <v>4418</v>
      </c>
      <c r="B3578" s="0" t="s">
        <v>1432</v>
      </c>
      <c r="C3578" s="0" t="s">
        <v>5065</v>
      </c>
      <c r="D3578" s="0" t="s">
        <v>98</v>
      </c>
      <c r="E3578" s="0" t="s">
        <v>4445</v>
      </c>
    </row>
    <row r="3579" customFormat="false" ht="15" hidden="false" customHeight="false" outlineLevel="0" collapsed="false">
      <c r="A3579" s="0" t="s">
        <v>4418</v>
      </c>
      <c r="B3579" s="0" t="s">
        <v>1433</v>
      </c>
      <c r="C3579" s="0" t="s">
        <v>5066</v>
      </c>
      <c r="D3579" s="0" t="s">
        <v>98</v>
      </c>
      <c r="E3579" s="0" t="s">
        <v>4445</v>
      </c>
    </row>
    <row r="3580" customFormat="false" ht="15" hidden="false" customHeight="false" outlineLevel="0" collapsed="false">
      <c r="A3580" s="0" t="s">
        <v>4418</v>
      </c>
      <c r="B3580" s="0" t="s">
        <v>1434</v>
      </c>
      <c r="C3580" s="0" t="s">
        <v>5067</v>
      </c>
      <c r="D3580" s="0" t="s">
        <v>98</v>
      </c>
      <c r="E3580" s="0" t="s">
        <v>4445</v>
      </c>
    </row>
    <row r="3581" customFormat="false" ht="15" hidden="false" customHeight="false" outlineLevel="0" collapsed="false">
      <c r="A3581" s="0" t="s">
        <v>4418</v>
      </c>
      <c r="B3581" s="0" t="s">
        <v>1435</v>
      </c>
      <c r="C3581" s="0" t="s">
        <v>5068</v>
      </c>
      <c r="D3581" s="0" t="s">
        <v>98</v>
      </c>
      <c r="E3581" s="0" t="s">
        <v>4445</v>
      </c>
    </row>
    <row r="3582" customFormat="false" ht="15" hidden="false" customHeight="false" outlineLevel="0" collapsed="false">
      <c r="A3582" s="0" t="s">
        <v>4418</v>
      </c>
      <c r="B3582" s="0" t="s">
        <v>1436</v>
      </c>
      <c r="C3582" s="0" t="s">
        <v>5069</v>
      </c>
      <c r="D3582" s="0" t="s">
        <v>98</v>
      </c>
      <c r="E3582" s="0" t="s">
        <v>4445</v>
      </c>
    </row>
    <row r="3583" customFormat="false" ht="15" hidden="false" customHeight="false" outlineLevel="0" collapsed="false">
      <c r="A3583" s="0" t="s">
        <v>4418</v>
      </c>
      <c r="B3583" s="0" t="s">
        <v>1437</v>
      </c>
      <c r="C3583" s="0" t="s">
        <v>5070</v>
      </c>
      <c r="D3583" s="0" t="s">
        <v>98</v>
      </c>
      <c r="E3583" s="0" t="s">
        <v>4445</v>
      </c>
    </row>
    <row r="3584" customFormat="false" ht="15" hidden="false" customHeight="false" outlineLevel="0" collapsed="false">
      <c r="A3584" s="0" t="s">
        <v>4418</v>
      </c>
      <c r="B3584" s="0" t="s">
        <v>1438</v>
      </c>
      <c r="C3584" s="0" t="s">
        <v>5071</v>
      </c>
      <c r="D3584" s="0" t="s">
        <v>98</v>
      </c>
      <c r="E3584" s="0" t="s">
        <v>4445</v>
      </c>
    </row>
    <row r="3585" customFormat="false" ht="15" hidden="false" customHeight="false" outlineLevel="0" collapsed="false">
      <c r="A3585" s="0" t="s">
        <v>4418</v>
      </c>
      <c r="B3585" s="0" t="s">
        <v>1439</v>
      </c>
      <c r="C3585" s="0" t="s">
        <v>5072</v>
      </c>
      <c r="D3585" s="0" t="s">
        <v>98</v>
      </c>
      <c r="E3585" s="0" t="s">
        <v>4445</v>
      </c>
    </row>
    <row r="3586" customFormat="false" ht="15" hidden="false" customHeight="false" outlineLevel="0" collapsed="false">
      <c r="A3586" s="0" t="s">
        <v>4418</v>
      </c>
      <c r="B3586" s="0" t="s">
        <v>1440</v>
      </c>
      <c r="C3586" s="0" t="s">
        <v>5073</v>
      </c>
      <c r="D3586" s="0" t="s">
        <v>98</v>
      </c>
      <c r="E3586" s="0" t="s">
        <v>4445</v>
      </c>
    </row>
    <row r="3587" customFormat="false" ht="15" hidden="false" customHeight="false" outlineLevel="0" collapsed="false">
      <c r="A3587" s="0" t="s">
        <v>4418</v>
      </c>
      <c r="B3587" s="0" t="s">
        <v>1441</v>
      </c>
      <c r="C3587" s="0" t="s">
        <v>5074</v>
      </c>
      <c r="D3587" s="0" t="s">
        <v>98</v>
      </c>
      <c r="E3587" s="0" t="s">
        <v>4445</v>
      </c>
    </row>
    <row r="3588" customFormat="false" ht="15" hidden="false" customHeight="false" outlineLevel="0" collapsed="false">
      <c r="A3588" s="0" t="s">
        <v>4418</v>
      </c>
      <c r="B3588" s="0" t="s">
        <v>1442</v>
      </c>
      <c r="C3588" s="0" t="s">
        <v>5075</v>
      </c>
      <c r="D3588" s="0" t="s">
        <v>98</v>
      </c>
      <c r="E3588" s="0" t="s">
        <v>4445</v>
      </c>
    </row>
    <row r="3589" customFormat="false" ht="15" hidden="false" customHeight="false" outlineLevel="0" collapsed="false">
      <c r="A3589" s="0" t="s">
        <v>4418</v>
      </c>
      <c r="B3589" s="0" t="s">
        <v>1443</v>
      </c>
      <c r="C3589" s="0" t="s">
        <v>5076</v>
      </c>
      <c r="D3589" s="0" t="s">
        <v>98</v>
      </c>
      <c r="E3589" s="0" t="s">
        <v>4445</v>
      </c>
    </row>
    <row r="3590" customFormat="false" ht="15" hidden="false" customHeight="false" outlineLevel="0" collapsed="false">
      <c r="A3590" s="0" t="s">
        <v>4418</v>
      </c>
      <c r="B3590" s="0" t="s">
        <v>1444</v>
      </c>
      <c r="C3590" s="0" t="s">
        <v>5077</v>
      </c>
      <c r="D3590" s="0" t="s">
        <v>98</v>
      </c>
      <c r="E3590" s="0" t="s">
        <v>4445</v>
      </c>
    </row>
    <row r="3591" customFormat="false" ht="15" hidden="false" customHeight="false" outlineLevel="0" collapsed="false">
      <c r="A3591" s="0" t="s">
        <v>4418</v>
      </c>
      <c r="B3591" s="0" t="s">
        <v>1445</v>
      </c>
      <c r="C3591" s="0" t="s">
        <v>5078</v>
      </c>
      <c r="D3591" s="0" t="s">
        <v>98</v>
      </c>
      <c r="E3591" s="0" t="s">
        <v>4445</v>
      </c>
    </row>
    <row r="3592" customFormat="false" ht="15" hidden="false" customHeight="false" outlineLevel="0" collapsed="false">
      <c r="A3592" s="0" t="s">
        <v>4418</v>
      </c>
      <c r="B3592" s="0" t="s">
        <v>1446</v>
      </c>
      <c r="C3592" s="0" t="s">
        <v>5079</v>
      </c>
      <c r="D3592" s="0" t="s">
        <v>98</v>
      </c>
      <c r="E3592" s="0" t="s">
        <v>4445</v>
      </c>
    </row>
    <row r="3593" customFormat="false" ht="15" hidden="false" customHeight="false" outlineLevel="0" collapsed="false">
      <c r="A3593" s="0" t="s">
        <v>4418</v>
      </c>
      <c r="B3593" s="0" t="s">
        <v>1447</v>
      </c>
      <c r="C3593" s="0" t="s">
        <v>5080</v>
      </c>
      <c r="D3593" s="0" t="s">
        <v>98</v>
      </c>
      <c r="E3593" s="0" t="s">
        <v>4445</v>
      </c>
    </row>
    <row r="3594" customFormat="false" ht="15" hidden="false" customHeight="false" outlineLevel="0" collapsed="false">
      <c r="A3594" s="0" t="s">
        <v>4418</v>
      </c>
      <c r="B3594" s="0" t="s">
        <v>1448</v>
      </c>
      <c r="C3594" s="0" t="s">
        <v>5081</v>
      </c>
      <c r="D3594" s="0" t="s">
        <v>98</v>
      </c>
      <c r="E3594" s="0" t="s">
        <v>4445</v>
      </c>
    </row>
    <row r="3595" customFormat="false" ht="15" hidden="false" customHeight="false" outlineLevel="0" collapsed="false">
      <c r="A3595" s="0" t="s">
        <v>4418</v>
      </c>
      <c r="B3595" s="0" t="s">
        <v>1449</v>
      </c>
      <c r="C3595" s="0" t="s">
        <v>5082</v>
      </c>
      <c r="D3595" s="0" t="s">
        <v>98</v>
      </c>
      <c r="E3595" s="0" t="s">
        <v>4445</v>
      </c>
    </row>
    <row r="3596" customFormat="false" ht="15" hidden="false" customHeight="false" outlineLevel="0" collapsed="false">
      <c r="A3596" s="0" t="s">
        <v>4418</v>
      </c>
      <c r="B3596" s="0" t="s">
        <v>1450</v>
      </c>
      <c r="C3596" s="0" t="s">
        <v>5083</v>
      </c>
      <c r="D3596" s="0" t="s">
        <v>98</v>
      </c>
      <c r="E3596" s="0" t="s">
        <v>4445</v>
      </c>
    </row>
    <row r="3597" customFormat="false" ht="15" hidden="false" customHeight="false" outlineLevel="0" collapsed="false">
      <c r="A3597" s="0" t="s">
        <v>4418</v>
      </c>
      <c r="B3597" s="0" t="s">
        <v>1451</v>
      </c>
      <c r="C3597" s="0" t="s">
        <v>5084</v>
      </c>
      <c r="D3597" s="0" t="s">
        <v>98</v>
      </c>
      <c r="E3597" s="0" t="s">
        <v>4445</v>
      </c>
    </row>
    <row r="3598" customFormat="false" ht="15" hidden="false" customHeight="false" outlineLevel="0" collapsed="false">
      <c r="A3598" s="0" t="s">
        <v>4418</v>
      </c>
      <c r="B3598" s="0" t="s">
        <v>1452</v>
      </c>
      <c r="C3598" s="0" t="s">
        <v>5085</v>
      </c>
      <c r="D3598" s="0" t="s">
        <v>98</v>
      </c>
      <c r="E3598" s="0" t="s">
        <v>4445</v>
      </c>
    </row>
    <row r="3599" customFormat="false" ht="15" hidden="false" customHeight="false" outlineLevel="0" collapsed="false">
      <c r="A3599" s="0" t="s">
        <v>4418</v>
      </c>
      <c r="B3599" s="0" t="s">
        <v>1453</v>
      </c>
      <c r="C3599" s="0" t="s">
        <v>5086</v>
      </c>
      <c r="D3599" s="0" t="s">
        <v>98</v>
      </c>
      <c r="E3599" s="0" t="s">
        <v>4445</v>
      </c>
    </row>
    <row r="3600" customFormat="false" ht="15" hidden="false" customHeight="false" outlineLevel="0" collapsed="false">
      <c r="A3600" s="0" t="s">
        <v>4418</v>
      </c>
      <c r="B3600" s="0" t="s">
        <v>1454</v>
      </c>
      <c r="C3600" s="0" t="s">
        <v>5087</v>
      </c>
      <c r="D3600" s="0" t="s">
        <v>98</v>
      </c>
      <c r="E3600" s="0" t="s">
        <v>4445</v>
      </c>
    </row>
    <row r="3601" customFormat="false" ht="15" hidden="false" customHeight="false" outlineLevel="0" collapsed="false">
      <c r="A3601" s="0" t="s">
        <v>4418</v>
      </c>
      <c r="B3601" s="0" t="s">
        <v>1455</v>
      </c>
      <c r="C3601" s="0" t="s">
        <v>5088</v>
      </c>
      <c r="D3601" s="0" t="s">
        <v>98</v>
      </c>
      <c r="E3601" s="0" t="s">
        <v>4445</v>
      </c>
    </row>
    <row r="3602" customFormat="false" ht="15" hidden="false" customHeight="false" outlineLevel="0" collapsed="false">
      <c r="A3602" s="0" t="s">
        <v>4418</v>
      </c>
      <c r="B3602" s="0" t="s">
        <v>1456</v>
      </c>
      <c r="C3602" s="0" t="s">
        <v>5089</v>
      </c>
      <c r="D3602" s="0" t="s">
        <v>98</v>
      </c>
      <c r="E3602" s="0" t="s">
        <v>4445</v>
      </c>
    </row>
    <row r="3603" customFormat="false" ht="15" hidden="false" customHeight="false" outlineLevel="0" collapsed="false">
      <c r="A3603" s="0" t="s">
        <v>4418</v>
      </c>
      <c r="B3603" s="0" t="s">
        <v>1457</v>
      </c>
      <c r="C3603" s="0" t="s">
        <v>5090</v>
      </c>
      <c r="D3603" s="0" t="s">
        <v>98</v>
      </c>
      <c r="E3603" s="0" t="s">
        <v>4445</v>
      </c>
    </row>
    <row r="3604" customFormat="false" ht="15" hidden="false" customHeight="false" outlineLevel="0" collapsed="false">
      <c r="A3604" s="0" t="s">
        <v>4418</v>
      </c>
      <c r="B3604" s="0" t="s">
        <v>1459</v>
      </c>
      <c r="C3604" s="0" t="s">
        <v>5091</v>
      </c>
      <c r="D3604" s="0" t="s">
        <v>98</v>
      </c>
      <c r="E3604" s="0" t="s">
        <v>4445</v>
      </c>
    </row>
    <row r="3605" customFormat="false" ht="15" hidden="false" customHeight="false" outlineLevel="0" collapsed="false">
      <c r="A3605" s="0" t="s">
        <v>4418</v>
      </c>
      <c r="B3605" s="0" t="s">
        <v>1461</v>
      </c>
      <c r="C3605" s="0" t="s">
        <v>5092</v>
      </c>
      <c r="D3605" s="0" t="s">
        <v>98</v>
      </c>
      <c r="E3605" s="0" t="s">
        <v>4445</v>
      </c>
    </row>
    <row r="3606" customFormat="false" ht="15" hidden="false" customHeight="false" outlineLevel="0" collapsed="false">
      <c r="A3606" s="0" t="s">
        <v>4418</v>
      </c>
      <c r="B3606" s="0" t="s">
        <v>1463</v>
      </c>
      <c r="C3606" s="0" t="s">
        <v>5093</v>
      </c>
      <c r="D3606" s="0" t="s">
        <v>98</v>
      </c>
      <c r="E3606" s="0" t="s">
        <v>4445</v>
      </c>
    </row>
    <row r="3607" customFormat="false" ht="15" hidden="false" customHeight="false" outlineLevel="0" collapsed="false">
      <c r="A3607" s="0" t="s">
        <v>4418</v>
      </c>
      <c r="B3607" s="0" t="s">
        <v>1465</v>
      </c>
      <c r="C3607" s="0" t="s">
        <v>5094</v>
      </c>
      <c r="D3607" s="0" t="s">
        <v>98</v>
      </c>
      <c r="E3607" s="0" t="s">
        <v>4445</v>
      </c>
    </row>
    <row r="3608" customFormat="false" ht="15" hidden="false" customHeight="false" outlineLevel="0" collapsed="false">
      <c r="A3608" s="0" t="s">
        <v>4418</v>
      </c>
      <c r="B3608" s="0" t="s">
        <v>1467</v>
      </c>
      <c r="C3608" s="0" t="s">
        <v>5095</v>
      </c>
      <c r="D3608" s="0" t="s">
        <v>98</v>
      </c>
      <c r="E3608" s="0" t="s">
        <v>4445</v>
      </c>
    </row>
    <row r="3609" customFormat="false" ht="15" hidden="false" customHeight="false" outlineLevel="0" collapsed="false">
      <c r="A3609" s="0" t="s">
        <v>4418</v>
      </c>
      <c r="B3609" s="0" t="s">
        <v>1469</v>
      </c>
      <c r="C3609" s="0" t="s">
        <v>5096</v>
      </c>
      <c r="D3609" s="0" t="s">
        <v>98</v>
      </c>
      <c r="E3609" s="0" t="s">
        <v>4445</v>
      </c>
    </row>
    <row r="3610" customFormat="false" ht="15" hidden="false" customHeight="false" outlineLevel="0" collapsed="false">
      <c r="A3610" s="0" t="s">
        <v>4418</v>
      </c>
      <c r="B3610" s="0" t="s">
        <v>1471</v>
      </c>
      <c r="C3610" s="0" t="s">
        <v>5097</v>
      </c>
      <c r="D3610" s="0" t="s">
        <v>98</v>
      </c>
      <c r="E3610" s="0" t="s">
        <v>4445</v>
      </c>
    </row>
    <row r="3611" customFormat="false" ht="15" hidden="false" customHeight="false" outlineLevel="0" collapsed="false">
      <c r="A3611" s="0" t="s">
        <v>4418</v>
      </c>
      <c r="B3611" s="0" t="s">
        <v>1473</v>
      </c>
      <c r="C3611" s="0" t="s">
        <v>5098</v>
      </c>
      <c r="D3611" s="0" t="s">
        <v>98</v>
      </c>
      <c r="E3611" s="0" t="s">
        <v>4445</v>
      </c>
    </row>
    <row r="3612" customFormat="false" ht="15" hidden="false" customHeight="false" outlineLevel="0" collapsed="false">
      <c r="A3612" s="0" t="s">
        <v>4418</v>
      </c>
      <c r="B3612" s="0" t="s">
        <v>1475</v>
      </c>
      <c r="C3612" s="0" t="s">
        <v>5099</v>
      </c>
      <c r="D3612" s="0" t="s">
        <v>98</v>
      </c>
      <c r="E3612" s="0" t="s">
        <v>4445</v>
      </c>
    </row>
    <row r="3613" customFormat="false" ht="15" hidden="false" customHeight="false" outlineLevel="0" collapsed="false">
      <c r="A3613" s="0" t="s">
        <v>4418</v>
      </c>
      <c r="B3613" s="0" t="s">
        <v>1477</v>
      </c>
      <c r="C3613" s="0" t="s">
        <v>5100</v>
      </c>
      <c r="D3613" s="0" t="s">
        <v>98</v>
      </c>
      <c r="E3613" s="0" t="s">
        <v>4445</v>
      </c>
    </row>
    <row r="3614" customFormat="false" ht="15" hidden="false" customHeight="false" outlineLevel="0" collapsed="false">
      <c r="A3614" s="0" t="s">
        <v>4418</v>
      </c>
      <c r="B3614" s="0" t="s">
        <v>1479</v>
      </c>
      <c r="C3614" s="0" t="s">
        <v>5101</v>
      </c>
      <c r="D3614" s="0" t="s">
        <v>98</v>
      </c>
      <c r="E3614" s="0" t="s">
        <v>4445</v>
      </c>
    </row>
    <row r="3615" customFormat="false" ht="15" hidden="false" customHeight="false" outlineLevel="0" collapsed="false">
      <c r="A3615" s="0" t="s">
        <v>4418</v>
      </c>
      <c r="B3615" s="0" t="s">
        <v>1481</v>
      </c>
      <c r="C3615" s="0" t="s">
        <v>5102</v>
      </c>
      <c r="D3615" s="0" t="s">
        <v>98</v>
      </c>
      <c r="E3615" s="0" t="s">
        <v>4445</v>
      </c>
    </row>
    <row r="3616" customFormat="false" ht="15" hidden="false" customHeight="false" outlineLevel="0" collapsed="false">
      <c r="A3616" s="0" t="s">
        <v>4418</v>
      </c>
      <c r="B3616" s="0" t="s">
        <v>1483</v>
      </c>
      <c r="C3616" s="0" t="s">
        <v>5103</v>
      </c>
      <c r="D3616" s="0" t="s">
        <v>98</v>
      </c>
      <c r="E3616" s="0" t="s">
        <v>4445</v>
      </c>
    </row>
    <row r="3617" customFormat="false" ht="15" hidden="false" customHeight="false" outlineLevel="0" collapsed="false">
      <c r="A3617" s="0" t="s">
        <v>4418</v>
      </c>
      <c r="B3617" s="0" t="s">
        <v>1485</v>
      </c>
      <c r="C3617" s="0" t="s">
        <v>5104</v>
      </c>
      <c r="D3617" s="0" t="s">
        <v>98</v>
      </c>
      <c r="E3617" s="0" t="s">
        <v>4445</v>
      </c>
    </row>
    <row r="3618" customFormat="false" ht="15" hidden="false" customHeight="false" outlineLevel="0" collapsed="false">
      <c r="A3618" s="0" t="s">
        <v>4418</v>
      </c>
      <c r="B3618" s="0" t="s">
        <v>1487</v>
      </c>
      <c r="C3618" s="0" t="s">
        <v>5105</v>
      </c>
      <c r="D3618" s="0" t="s">
        <v>98</v>
      </c>
      <c r="E3618" s="0" t="s">
        <v>4445</v>
      </c>
    </row>
    <row r="3619" customFormat="false" ht="15" hidden="false" customHeight="false" outlineLevel="0" collapsed="false">
      <c r="A3619" s="0" t="s">
        <v>4418</v>
      </c>
      <c r="B3619" s="0" t="s">
        <v>1489</v>
      </c>
      <c r="C3619" s="0" t="s">
        <v>5106</v>
      </c>
      <c r="D3619" s="0" t="s">
        <v>98</v>
      </c>
      <c r="E3619" s="0" t="s">
        <v>4445</v>
      </c>
    </row>
    <row r="3620" customFormat="false" ht="15" hidden="false" customHeight="false" outlineLevel="0" collapsed="false">
      <c r="A3620" s="0" t="s">
        <v>4418</v>
      </c>
      <c r="B3620" s="0" t="s">
        <v>1491</v>
      </c>
      <c r="C3620" s="0" t="s">
        <v>5107</v>
      </c>
      <c r="D3620" s="0" t="s">
        <v>98</v>
      </c>
      <c r="E3620" s="0" t="s">
        <v>4445</v>
      </c>
    </row>
    <row r="3621" customFormat="false" ht="15" hidden="false" customHeight="false" outlineLevel="0" collapsed="false">
      <c r="A3621" s="0" t="s">
        <v>4418</v>
      </c>
      <c r="B3621" s="0" t="s">
        <v>1493</v>
      </c>
      <c r="C3621" s="0" t="s">
        <v>5108</v>
      </c>
      <c r="D3621" s="0" t="s">
        <v>98</v>
      </c>
      <c r="E3621" s="0" t="s">
        <v>4445</v>
      </c>
    </row>
    <row r="3622" customFormat="false" ht="15" hidden="false" customHeight="false" outlineLevel="0" collapsed="false">
      <c r="A3622" s="0" t="s">
        <v>4418</v>
      </c>
      <c r="B3622" s="0" t="s">
        <v>1495</v>
      </c>
      <c r="C3622" s="0" t="s">
        <v>5109</v>
      </c>
      <c r="D3622" s="0" t="s">
        <v>98</v>
      </c>
      <c r="E3622" s="0" t="s">
        <v>4445</v>
      </c>
    </row>
    <row r="3623" customFormat="false" ht="15" hidden="false" customHeight="false" outlineLevel="0" collapsed="false">
      <c r="A3623" s="0" t="s">
        <v>4418</v>
      </c>
      <c r="B3623" s="0" t="s">
        <v>1497</v>
      </c>
      <c r="C3623" s="0" t="s">
        <v>5110</v>
      </c>
      <c r="D3623" s="0" t="s">
        <v>98</v>
      </c>
      <c r="E3623" s="0" t="s">
        <v>4445</v>
      </c>
    </row>
    <row r="3624" customFormat="false" ht="15" hidden="false" customHeight="false" outlineLevel="0" collapsed="false">
      <c r="A3624" s="0" t="s">
        <v>4418</v>
      </c>
      <c r="B3624" s="0" t="s">
        <v>1499</v>
      </c>
      <c r="C3624" s="0" t="s">
        <v>5111</v>
      </c>
      <c r="D3624" s="0" t="s">
        <v>98</v>
      </c>
      <c r="E3624" s="0" t="s">
        <v>4445</v>
      </c>
    </row>
    <row r="3625" customFormat="false" ht="15" hidden="false" customHeight="false" outlineLevel="0" collapsed="false">
      <c r="A3625" s="0" t="s">
        <v>4418</v>
      </c>
      <c r="B3625" s="0" t="s">
        <v>1501</v>
      </c>
      <c r="C3625" s="0" t="s">
        <v>5112</v>
      </c>
      <c r="D3625" s="0" t="s">
        <v>98</v>
      </c>
      <c r="E3625" s="0" t="s">
        <v>4445</v>
      </c>
    </row>
    <row r="3626" customFormat="false" ht="15" hidden="false" customHeight="false" outlineLevel="0" collapsed="false">
      <c r="A3626" s="0" t="s">
        <v>4418</v>
      </c>
      <c r="B3626" s="0" t="s">
        <v>1503</v>
      </c>
      <c r="C3626" s="0" t="s">
        <v>5113</v>
      </c>
      <c r="D3626" s="0" t="s">
        <v>98</v>
      </c>
      <c r="E3626" s="0" t="s">
        <v>4445</v>
      </c>
    </row>
    <row r="3627" customFormat="false" ht="15" hidden="false" customHeight="false" outlineLevel="0" collapsed="false">
      <c r="A3627" s="0" t="s">
        <v>4418</v>
      </c>
      <c r="B3627" s="0" t="s">
        <v>1505</v>
      </c>
      <c r="C3627" s="0" t="s">
        <v>5114</v>
      </c>
      <c r="D3627" s="0" t="s">
        <v>98</v>
      </c>
      <c r="E3627" s="0" t="s">
        <v>4445</v>
      </c>
    </row>
    <row r="3628" customFormat="false" ht="15" hidden="false" customHeight="false" outlineLevel="0" collapsed="false">
      <c r="A3628" s="0" t="s">
        <v>4418</v>
      </c>
      <c r="B3628" s="0" t="s">
        <v>1507</v>
      </c>
      <c r="C3628" s="0" t="s">
        <v>5115</v>
      </c>
      <c r="D3628" s="0" t="s">
        <v>98</v>
      </c>
      <c r="E3628" s="0" t="s">
        <v>4445</v>
      </c>
    </row>
    <row r="3629" customFormat="false" ht="15" hidden="false" customHeight="false" outlineLevel="0" collapsed="false">
      <c r="A3629" s="0" t="s">
        <v>4418</v>
      </c>
      <c r="B3629" s="0" t="s">
        <v>1509</v>
      </c>
      <c r="C3629" s="0" t="s">
        <v>5116</v>
      </c>
      <c r="D3629" s="0" t="s">
        <v>98</v>
      </c>
      <c r="E3629" s="0" t="s">
        <v>4445</v>
      </c>
    </row>
    <row r="3630" customFormat="false" ht="15" hidden="false" customHeight="false" outlineLevel="0" collapsed="false">
      <c r="A3630" s="0" t="s">
        <v>4418</v>
      </c>
      <c r="B3630" s="0" t="s">
        <v>1511</v>
      </c>
      <c r="C3630" s="0" t="s">
        <v>5117</v>
      </c>
      <c r="D3630" s="0" t="s">
        <v>98</v>
      </c>
      <c r="E3630" s="0" t="s">
        <v>4445</v>
      </c>
    </row>
    <row r="3631" customFormat="false" ht="15" hidden="false" customHeight="false" outlineLevel="0" collapsed="false">
      <c r="A3631" s="0" t="s">
        <v>4418</v>
      </c>
      <c r="B3631" s="0" t="s">
        <v>5118</v>
      </c>
      <c r="C3631" s="0" t="s">
        <v>5119</v>
      </c>
      <c r="D3631" s="0" t="s">
        <v>98</v>
      </c>
      <c r="E3631" s="0" t="s">
        <v>4445</v>
      </c>
    </row>
    <row r="3632" customFormat="false" ht="15" hidden="false" customHeight="false" outlineLevel="0" collapsed="false">
      <c r="A3632" s="0" t="s">
        <v>4418</v>
      </c>
      <c r="B3632" s="0" t="s">
        <v>5120</v>
      </c>
      <c r="C3632" s="0" t="s">
        <v>5121</v>
      </c>
      <c r="D3632" s="0" t="s">
        <v>98</v>
      </c>
      <c r="E3632" s="0" t="s">
        <v>4445</v>
      </c>
    </row>
    <row r="3633" customFormat="false" ht="15" hidden="false" customHeight="false" outlineLevel="0" collapsed="false">
      <c r="A3633" s="0" t="s">
        <v>4418</v>
      </c>
      <c r="B3633" s="0" t="s">
        <v>5122</v>
      </c>
      <c r="C3633" s="0" t="s">
        <v>5123</v>
      </c>
      <c r="D3633" s="0" t="s">
        <v>98</v>
      </c>
      <c r="E3633" s="0" t="s">
        <v>4445</v>
      </c>
    </row>
    <row r="3634" customFormat="false" ht="15" hidden="false" customHeight="false" outlineLevel="0" collapsed="false">
      <c r="A3634" s="0" t="s">
        <v>4418</v>
      </c>
      <c r="B3634" s="0" t="s">
        <v>5124</v>
      </c>
      <c r="C3634" s="0" t="s">
        <v>5125</v>
      </c>
      <c r="D3634" s="0" t="s">
        <v>98</v>
      </c>
      <c r="E3634" s="0" t="s">
        <v>4445</v>
      </c>
    </row>
    <row r="3635" customFormat="false" ht="15" hidden="false" customHeight="false" outlineLevel="0" collapsed="false">
      <c r="A3635" s="0" t="s">
        <v>4418</v>
      </c>
      <c r="B3635" s="0" t="s">
        <v>5126</v>
      </c>
      <c r="C3635" s="0" t="s">
        <v>5127</v>
      </c>
      <c r="D3635" s="0" t="s">
        <v>98</v>
      </c>
      <c r="E3635" s="0" t="s">
        <v>4445</v>
      </c>
    </row>
    <row r="3636" customFormat="false" ht="15" hidden="false" customHeight="false" outlineLevel="0" collapsed="false">
      <c r="A3636" s="0" t="s">
        <v>4418</v>
      </c>
      <c r="B3636" s="0" t="s">
        <v>5128</v>
      </c>
      <c r="C3636" s="0" t="s">
        <v>5129</v>
      </c>
      <c r="D3636" s="0" t="s">
        <v>98</v>
      </c>
      <c r="E3636" s="0" t="s">
        <v>4445</v>
      </c>
    </row>
    <row r="3637" customFormat="false" ht="15" hidden="false" customHeight="false" outlineLevel="0" collapsed="false">
      <c r="A3637" s="0" t="s">
        <v>4418</v>
      </c>
      <c r="B3637" s="0" t="s">
        <v>5130</v>
      </c>
      <c r="C3637" s="0" t="s">
        <v>5131</v>
      </c>
      <c r="D3637" s="0" t="s">
        <v>98</v>
      </c>
      <c r="E3637" s="0" t="s">
        <v>4445</v>
      </c>
    </row>
    <row r="3638" customFormat="false" ht="15" hidden="false" customHeight="false" outlineLevel="0" collapsed="false">
      <c r="A3638" s="0" t="s">
        <v>4418</v>
      </c>
      <c r="B3638" s="0" t="s">
        <v>5132</v>
      </c>
      <c r="C3638" s="0" t="s">
        <v>5133</v>
      </c>
      <c r="D3638" s="0" t="s">
        <v>98</v>
      </c>
      <c r="E3638" s="0" t="s">
        <v>4445</v>
      </c>
    </row>
    <row r="3639" customFormat="false" ht="15" hidden="false" customHeight="false" outlineLevel="0" collapsed="false">
      <c r="A3639" s="0" t="s">
        <v>4418</v>
      </c>
      <c r="B3639" s="0" t="s">
        <v>5134</v>
      </c>
      <c r="C3639" s="0" t="s">
        <v>5135</v>
      </c>
      <c r="D3639" s="0" t="s">
        <v>98</v>
      </c>
      <c r="E3639" s="0" t="s">
        <v>4445</v>
      </c>
    </row>
    <row r="3640" customFormat="false" ht="15" hidden="false" customHeight="false" outlineLevel="0" collapsed="false">
      <c r="A3640" s="0" t="s">
        <v>4418</v>
      </c>
      <c r="B3640" s="0" t="s">
        <v>5136</v>
      </c>
      <c r="C3640" s="0" t="s">
        <v>5137</v>
      </c>
      <c r="D3640" s="0" t="s">
        <v>98</v>
      </c>
      <c r="E3640" s="0" t="s">
        <v>4445</v>
      </c>
    </row>
    <row r="3641" customFormat="false" ht="15" hidden="false" customHeight="false" outlineLevel="0" collapsed="false">
      <c r="A3641" s="0" t="s">
        <v>4418</v>
      </c>
      <c r="B3641" s="0" t="s">
        <v>5138</v>
      </c>
      <c r="C3641" s="0" t="s">
        <v>5139</v>
      </c>
      <c r="D3641" s="0" t="s">
        <v>98</v>
      </c>
      <c r="E3641" s="0" t="s">
        <v>4445</v>
      </c>
    </row>
    <row r="3642" customFormat="false" ht="15" hidden="false" customHeight="false" outlineLevel="0" collapsed="false">
      <c r="A3642" s="0" t="s">
        <v>4418</v>
      </c>
      <c r="B3642" s="0" t="s">
        <v>5140</v>
      </c>
      <c r="C3642" s="0" t="s">
        <v>5141</v>
      </c>
      <c r="D3642" s="0" t="s">
        <v>98</v>
      </c>
      <c r="E3642" s="0" t="s">
        <v>4445</v>
      </c>
    </row>
    <row r="3643" customFormat="false" ht="15" hidden="false" customHeight="false" outlineLevel="0" collapsed="false">
      <c r="A3643" s="0" t="s">
        <v>4418</v>
      </c>
      <c r="B3643" s="0" t="s">
        <v>5142</v>
      </c>
      <c r="C3643" s="0" t="s">
        <v>5143</v>
      </c>
      <c r="D3643" s="0" t="s">
        <v>98</v>
      </c>
      <c r="E3643" s="0" t="s">
        <v>4445</v>
      </c>
    </row>
    <row r="3644" customFormat="false" ht="15" hidden="false" customHeight="false" outlineLevel="0" collapsed="false">
      <c r="A3644" s="0" t="s">
        <v>4418</v>
      </c>
      <c r="B3644" s="0" t="s">
        <v>5144</v>
      </c>
      <c r="C3644" s="0" t="s">
        <v>5145</v>
      </c>
      <c r="D3644" s="0" t="s">
        <v>98</v>
      </c>
      <c r="E3644" s="0" t="s">
        <v>4445</v>
      </c>
    </row>
    <row r="3645" customFormat="false" ht="15" hidden="false" customHeight="false" outlineLevel="0" collapsed="false">
      <c r="A3645" s="0" t="s">
        <v>4418</v>
      </c>
      <c r="B3645" s="0" t="s">
        <v>5146</v>
      </c>
      <c r="C3645" s="0" t="s">
        <v>5147</v>
      </c>
      <c r="D3645" s="0" t="s">
        <v>98</v>
      </c>
      <c r="E3645" s="0" t="s">
        <v>4445</v>
      </c>
    </row>
    <row r="3646" customFormat="false" ht="15" hidden="false" customHeight="false" outlineLevel="0" collapsed="false">
      <c r="A3646" s="0" t="s">
        <v>4418</v>
      </c>
      <c r="B3646" s="0" t="s">
        <v>1513</v>
      </c>
      <c r="C3646" s="0" t="s">
        <v>5148</v>
      </c>
      <c r="D3646" s="0" t="s">
        <v>98</v>
      </c>
      <c r="E3646" s="0" t="s">
        <v>4445</v>
      </c>
    </row>
    <row r="3647" customFormat="false" ht="15" hidden="false" customHeight="false" outlineLevel="0" collapsed="false">
      <c r="A3647" s="0" t="s">
        <v>4418</v>
      </c>
      <c r="B3647" s="0" t="s">
        <v>5149</v>
      </c>
      <c r="C3647" s="0" t="s">
        <v>5150</v>
      </c>
      <c r="D3647" s="0" t="s">
        <v>98</v>
      </c>
      <c r="E3647" s="0" t="s">
        <v>4445</v>
      </c>
    </row>
    <row r="3648" customFormat="false" ht="15" hidden="false" customHeight="false" outlineLevel="0" collapsed="false">
      <c r="A3648" s="0" t="s">
        <v>4418</v>
      </c>
      <c r="B3648" s="0" t="s">
        <v>5151</v>
      </c>
      <c r="C3648" s="0" t="s">
        <v>5152</v>
      </c>
      <c r="D3648" s="0" t="s">
        <v>98</v>
      </c>
      <c r="E3648" s="0" t="s">
        <v>4445</v>
      </c>
    </row>
    <row r="3649" customFormat="false" ht="15" hidden="false" customHeight="false" outlineLevel="0" collapsed="false">
      <c r="A3649" s="0" t="s">
        <v>4418</v>
      </c>
      <c r="B3649" s="0" t="s">
        <v>5153</v>
      </c>
      <c r="C3649" s="0" t="s">
        <v>5154</v>
      </c>
      <c r="D3649" s="0" t="s">
        <v>98</v>
      </c>
      <c r="E3649" s="0" t="s">
        <v>4445</v>
      </c>
    </row>
    <row r="3650" customFormat="false" ht="15" hidden="false" customHeight="false" outlineLevel="0" collapsed="false">
      <c r="A3650" s="0" t="s">
        <v>4418</v>
      </c>
      <c r="B3650" s="0" t="s">
        <v>5155</v>
      </c>
      <c r="C3650" s="0" t="s">
        <v>5156</v>
      </c>
      <c r="D3650" s="0" t="s">
        <v>98</v>
      </c>
      <c r="E3650" s="0" t="s">
        <v>4445</v>
      </c>
    </row>
    <row r="3651" customFormat="false" ht="15" hidden="false" customHeight="false" outlineLevel="0" collapsed="false">
      <c r="A3651" s="0" t="s">
        <v>4418</v>
      </c>
      <c r="B3651" s="0" t="s">
        <v>5157</v>
      </c>
      <c r="C3651" s="0" t="s">
        <v>5158</v>
      </c>
      <c r="D3651" s="0" t="s">
        <v>98</v>
      </c>
      <c r="E3651" s="0" t="s">
        <v>4445</v>
      </c>
    </row>
    <row r="3652" customFormat="false" ht="15" hidden="false" customHeight="false" outlineLevel="0" collapsed="false">
      <c r="A3652" s="0" t="s">
        <v>4418</v>
      </c>
      <c r="B3652" s="0" t="s">
        <v>5159</v>
      </c>
      <c r="C3652" s="0" t="s">
        <v>5160</v>
      </c>
      <c r="D3652" s="0" t="s">
        <v>98</v>
      </c>
      <c r="E3652" s="0" t="s">
        <v>4445</v>
      </c>
    </row>
    <row r="3653" customFormat="false" ht="15" hidden="false" customHeight="false" outlineLevel="0" collapsed="false">
      <c r="A3653" s="0" t="s">
        <v>4418</v>
      </c>
      <c r="B3653" s="0" t="s">
        <v>5161</v>
      </c>
      <c r="C3653" s="0" t="s">
        <v>5162</v>
      </c>
      <c r="D3653" s="0" t="s">
        <v>98</v>
      </c>
      <c r="E3653" s="0" t="s">
        <v>4445</v>
      </c>
    </row>
    <row r="3654" customFormat="false" ht="15" hidden="false" customHeight="false" outlineLevel="0" collapsed="false">
      <c r="A3654" s="0" t="s">
        <v>4418</v>
      </c>
      <c r="B3654" s="0" t="s">
        <v>5163</v>
      </c>
      <c r="C3654" s="0" t="s">
        <v>5164</v>
      </c>
      <c r="D3654" s="0" t="s">
        <v>98</v>
      </c>
      <c r="E3654" s="0" t="s">
        <v>4445</v>
      </c>
    </row>
    <row r="3655" customFormat="false" ht="15" hidden="false" customHeight="false" outlineLevel="0" collapsed="false">
      <c r="A3655" s="0" t="s">
        <v>4418</v>
      </c>
      <c r="B3655" s="0" t="s">
        <v>5165</v>
      </c>
      <c r="C3655" s="0" t="s">
        <v>5166</v>
      </c>
      <c r="D3655" s="0" t="s">
        <v>98</v>
      </c>
      <c r="E3655" s="0" t="s">
        <v>4445</v>
      </c>
    </row>
    <row r="3656" customFormat="false" ht="15" hidden="false" customHeight="false" outlineLevel="0" collapsed="false">
      <c r="A3656" s="0" t="s">
        <v>4418</v>
      </c>
      <c r="B3656" s="0" t="s">
        <v>5167</v>
      </c>
      <c r="C3656" s="0" t="s">
        <v>5168</v>
      </c>
      <c r="D3656" s="0" t="s">
        <v>98</v>
      </c>
      <c r="E3656" s="0" t="s">
        <v>4445</v>
      </c>
    </row>
    <row r="3657" customFormat="false" ht="15" hidden="false" customHeight="false" outlineLevel="0" collapsed="false">
      <c r="A3657" s="0" t="s">
        <v>4418</v>
      </c>
      <c r="B3657" s="0" t="s">
        <v>5169</v>
      </c>
      <c r="C3657" s="0" t="s">
        <v>5170</v>
      </c>
      <c r="D3657" s="0" t="s">
        <v>98</v>
      </c>
      <c r="E3657" s="0" t="s">
        <v>4445</v>
      </c>
    </row>
    <row r="3658" customFormat="false" ht="15" hidden="false" customHeight="false" outlineLevel="0" collapsed="false">
      <c r="A3658" s="0" t="s">
        <v>4418</v>
      </c>
      <c r="B3658" s="0" t="s">
        <v>5171</v>
      </c>
      <c r="C3658" s="0" t="s">
        <v>5172</v>
      </c>
      <c r="D3658" s="0" t="s">
        <v>98</v>
      </c>
      <c r="E3658" s="0" t="s">
        <v>4445</v>
      </c>
    </row>
    <row r="3659" customFormat="false" ht="15" hidden="false" customHeight="false" outlineLevel="0" collapsed="false">
      <c r="A3659" s="0" t="s">
        <v>4418</v>
      </c>
      <c r="B3659" s="0" t="s">
        <v>5173</v>
      </c>
      <c r="C3659" s="0" t="s">
        <v>5174</v>
      </c>
      <c r="D3659" s="0" t="s">
        <v>98</v>
      </c>
      <c r="E3659" s="0" t="s">
        <v>4445</v>
      </c>
    </row>
    <row r="3660" customFormat="false" ht="15" hidden="false" customHeight="false" outlineLevel="0" collapsed="false">
      <c r="A3660" s="0" t="s">
        <v>4418</v>
      </c>
      <c r="B3660" s="0" t="s">
        <v>5175</v>
      </c>
      <c r="C3660" s="0" t="s">
        <v>5176</v>
      </c>
      <c r="D3660" s="0" t="s">
        <v>98</v>
      </c>
      <c r="E3660" s="0" t="s">
        <v>4445</v>
      </c>
    </row>
    <row r="3661" customFormat="false" ht="15" hidden="false" customHeight="false" outlineLevel="0" collapsed="false">
      <c r="A3661" s="0" t="s">
        <v>4418</v>
      </c>
      <c r="B3661" s="0" t="s">
        <v>5177</v>
      </c>
      <c r="C3661" s="0" t="s">
        <v>5178</v>
      </c>
      <c r="D3661" s="0" t="s">
        <v>98</v>
      </c>
      <c r="E3661" s="0" t="s">
        <v>4445</v>
      </c>
    </row>
    <row r="3662" customFormat="false" ht="15" hidden="false" customHeight="false" outlineLevel="0" collapsed="false">
      <c r="A3662" s="0" t="s">
        <v>4418</v>
      </c>
      <c r="B3662" s="0" t="s">
        <v>1515</v>
      </c>
      <c r="C3662" s="0" t="s">
        <v>5179</v>
      </c>
      <c r="D3662" s="0" t="s">
        <v>98</v>
      </c>
      <c r="E3662" s="0" t="s">
        <v>4445</v>
      </c>
    </row>
    <row r="3663" customFormat="false" ht="15" hidden="false" customHeight="false" outlineLevel="0" collapsed="false">
      <c r="A3663" s="0" t="s">
        <v>4418</v>
      </c>
      <c r="B3663" s="0" t="s">
        <v>1516</v>
      </c>
      <c r="C3663" s="0" t="s">
        <v>5180</v>
      </c>
      <c r="D3663" s="0" t="s">
        <v>98</v>
      </c>
      <c r="E3663" s="0" t="s">
        <v>4445</v>
      </c>
    </row>
    <row r="3664" customFormat="false" ht="15" hidden="false" customHeight="false" outlineLevel="0" collapsed="false">
      <c r="A3664" s="0" t="s">
        <v>4418</v>
      </c>
      <c r="B3664" s="0" t="s">
        <v>1517</v>
      </c>
      <c r="C3664" s="0" t="s">
        <v>5181</v>
      </c>
      <c r="D3664" s="0" t="s">
        <v>98</v>
      </c>
      <c r="E3664" s="0" t="s">
        <v>4445</v>
      </c>
    </row>
    <row r="3665" customFormat="false" ht="15" hidden="false" customHeight="false" outlineLevel="0" collapsed="false">
      <c r="A3665" s="0" t="s">
        <v>4418</v>
      </c>
      <c r="B3665" s="0" t="s">
        <v>1518</v>
      </c>
      <c r="C3665" s="0" t="s">
        <v>5182</v>
      </c>
      <c r="D3665" s="0" t="s">
        <v>98</v>
      </c>
      <c r="E3665" s="0" t="s">
        <v>4445</v>
      </c>
    </row>
    <row r="3666" customFormat="false" ht="15" hidden="false" customHeight="false" outlineLevel="0" collapsed="false">
      <c r="A3666" s="0" t="s">
        <v>4418</v>
      </c>
      <c r="B3666" s="0" t="s">
        <v>1519</v>
      </c>
      <c r="C3666" s="0" t="s">
        <v>5183</v>
      </c>
      <c r="D3666" s="0" t="s">
        <v>98</v>
      </c>
      <c r="E3666" s="0" t="s">
        <v>4445</v>
      </c>
    </row>
    <row r="3667" customFormat="false" ht="15" hidden="false" customHeight="false" outlineLevel="0" collapsed="false">
      <c r="A3667" s="0" t="s">
        <v>4418</v>
      </c>
      <c r="B3667" s="0" t="s">
        <v>1520</v>
      </c>
      <c r="C3667" s="0" t="s">
        <v>5184</v>
      </c>
      <c r="D3667" s="0" t="s">
        <v>98</v>
      </c>
      <c r="E3667" s="0" t="s">
        <v>4445</v>
      </c>
    </row>
    <row r="3668" customFormat="false" ht="15" hidden="false" customHeight="false" outlineLevel="0" collapsed="false">
      <c r="A3668" s="0" t="s">
        <v>4418</v>
      </c>
      <c r="B3668" s="0" t="s">
        <v>1521</v>
      </c>
      <c r="C3668" s="0" t="s">
        <v>5185</v>
      </c>
      <c r="D3668" s="0" t="s">
        <v>98</v>
      </c>
      <c r="E3668" s="0" t="s">
        <v>4445</v>
      </c>
    </row>
    <row r="3669" customFormat="false" ht="15" hidden="false" customHeight="false" outlineLevel="0" collapsed="false">
      <c r="A3669" s="0" t="s">
        <v>4418</v>
      </c>
      <c r="B3669" s="0" t="s">
        <v>1522</v>
      </c>
      <c r="C3669" s="0" t="s">
        <v>5186</v>
      </c>
      <c r="D3669" s="0" t="s">
        <v>98</v>
      </c>
      <c r="E3669" s="0" t="s">
        <v>4445</v>
      </c>
    </row>
    <row r="3670" customFormat="false" ht="15" hidden="false" customHeight="false" outlineLevel="0" collapsed="false">
      <c r="A3670" s="0" t="s">
        <v>4418</v>
      </c>
      <c r="B3670" s="0" t="s">
        <v>1523</v>
      </c>
      <c r="C3670" s="0" t="s">
        <v>5187</v>
      </c>
      <c r="D3670" s="0" t="s">
        <v>98</v>
      </c>
      <c r="E3670" s="0" t="s">
        <v>4445</v>
      </c>
    </row>
    <row r="3671" customFormat="false" ht="15" hidden="false" customHeight="false" outlineLevel="0" collapsed="false">
      <c r="A3671" s="0" t="s">
        <v>4418</v>
      </c>
      <c r="B3671" s="0" t="s">
        <v>1524</v>
      </c>
      <c r="C3671" s="0" t="s">
        <v>5188</v>
      </c>
      <c r="D3671" s="0" t="s">
        <v>98</v>
      </c>
      <c r="E3671" s="0" t="s">
        <v>4445</v>
      </c>
    </row>
    <row r="3672" customFormat="false" ht="15" hidden="false" customHeight="false" outlineLevel="0" collapsed="false">
      <c r="A3672" s="0" t="s">
        <v>4418</v>
      </c>
      <c r="B3672" s="0" t="s">
        <v>1525</v>
      </c>
      <c r="C3672" s="0" t="s">
        <v>5189</v>
      </c>
      <c r="D3672" s="0" t="s">
        <v>98</v>
      </c>
      <c r="E3672" s="0" t="s">
        <v>4445</v>
      </c>
    </row>
    <row r="3673" customFormat="false" ht="15" hidden="false" customHeight="false" outlineLevel="0" collapsed="false">
      <c r="A3673" s="0" t="s">
        <v>4418</v>
      </c>
      <c r="B3673" s="0" t="s">
        <v>1526</v>
      </c>
      <c r="C3673" s="0" t="s">
        <v>5190</v>
      </c>
      <c r="D3673" s="0" t="s">
        <v>98</v>
      </c>
      <c r="E3673" s="0" t="s">
        <v>4445</v>
      </c>
    </row>
    <row r="3674" customFormat="false" ht="15" hidden="false" customHeight="false" outlineLevel="0" collapsed="false">
      <c r="A3674" s="0" t="s">
        <v>4418</v>
      </c>
      <c r="B3674" s="0" t="s">
        <v>1527</v>
      </c>
      <c r="C3674" s="0" t="s">
        <v>5191</v>
      </c>
      <c r="D3674" s="0" t="s">
        <v>98</v>
      </c>
      <c r="E3674" s="0" t="s">
        <v>4445</v>
      </c>
    </row>
    <row r="3675" customFormat="false" ht="15" hidden="false" customHeight="false" outlineLevel="0" collapsed="false">
      <c r="A3675" s="0" t="s">
        <v>4418</v>
      </c>
      <c r="B3675" s="0" t="s">
        <v>1528</v>
      </c>
      <c r="C3675" s="0" t="s">
        <v>5192</v>
      </c>
      <c r="D3675" s="0" t="s">
        <v>98</v>
      </c>
      <c r="E3675" s="0" t="s">
        <v>4445</v>
      </c>
    </row>
    <row r="3676" customFormat="false" ht="15" hidden="false" customHeight="false" outlineLevel="0" collapsed="false">
      <c r="A3676" s="0" t="s">
        <v>4418</v>
      </c>
      <c r="B3676" s="0" t="s">
        <v>1529</v>
      </c>
      <c r="C3676" s="0" t="s">
        <v>5193</v>
      </c>
      <c r="D3676" s="0" t="s">
        <v>98</v>
      </c>
      <c r="E3676" s="0" t="s">
        <v>4445</v>
      </c>
    </row>
    <row r="3677" customFormat="false" ht="15" hidden="false" customHeight="false" outlineLevel="0" collapsed="false">
      <c r="A3677" s="0" t="s">
        <v>4418</v>
      </c>
      <c r="B3677" s="0" t="s">
        <v>1530</v>
      </c>
      <c r="C3677" s="0" t="s">
        <v>5194</v>
      </c>
      <c r="D3677" s="0" t="s">
        <v>98</v>
      </c>
      <c r="E3677" s="0" t="s">
        <v>4445</v>
      </c>
    </row>
    <row r="3678" customFormat="false" ht="15" hidden="false" customHeight="false" outlineLevel="0" collapsed="false">
      <c r="A3678" s="0" t="s">
        <v>4418</v>
      </c>
      <c r="B3678" s="0" t="s">
        <v>1531</v>
      </c>
      <c r="C3678" s="0" t="s">
        <v>5195</v>
      </c>
      <c r="D3678" s="0" t="s">
        <v>98</v>
      </c>
      <c r="E3678" s="0" t="s">
        <v>4445</v>
      </c>
    </row>
    <row r="3679" customFormat="false" ht="15" hidden="false" customHeight="false" outlineLevel="0" collapsed="false">
      <c r="A3679" s="0" t="s">
        <v>4418</v>
      </c>
      <c r="B3679" s="0" t="s">
        <v>1532</v>
      </c>
      <c r="C3679" s="0" t="s">
        <v>5196</v>
      </c>
      <c r="D3679" s="0" t="s">
        <v>98</v>
      </c>
      <c r="E3679" s="0" t="s">
        <v>4445</v>
      </c>
    </row>
    <row r="3680" customFormat="false" ht="15" hidden="false" customHeight="false" outlineLevel="0" collapsed="false">
      <c r="A3680" s="0" t="s">
        <v>4418</v>
      </c>
      <c r="B3680" s="0" t="s">
        <v>1533</v>
      </c>
      <c r="C3680" s="0" t="s">
        <v>5197</v>
      </c>
      <c r="D3680" s="0" t="s">
        <v>98</v>
      </c>
      <c r="E3680" s="0" t="s">
        <v>4445</v>
      </c>
    </row>
    <row r="3681" customFormat="false" ht="15" hidden="false" customHeight="false" outlineLevel="0" collapsed="false">
      <c r="A3681" s="0" t="s">
        <v>4418</v>
      </c>
      <c r="B3681" s="0" t="s">
        <v>1534</v>
      </c>
      <c r="C3681" s="0" t="s">
        <v>5198</v>
      </c>
      <c r="D3681" s="0" t="s">
        <v>98</v>
      </c>
      <c r="E3681" s="0" t="s">
        <v>4445</v>
      </c>
    </row>
    <row r="3682" customFormat="false" ht="15" hidden="false" customHeight="false" outlineLevel="0" collapsed="false">
      <c r="A3682" s="0" t="s">
        <v>4418</v>
      </c>
      <c r="B3682" s="0" t="s">
        <v>1535</v>
      </c>
      <c r="C3682" s="0" t="s">
        <v>5199</v>
      </c>
      <c r="D3682" s="0" t="s">
        <v>98</v>
      </c>
      <c r="E3682" s="0" t="s">
        <v>4445</v>
      </c>
    </row>
    <row r="3683" customFormat="false" ht="15" hidden="false" customHeight="false" outlineLevel="0" collapsed="false">
      <c r="A3683" s="0" t="s">
        <v>4418</v>
      </c>
      <c r="B3683" s="0" t="s">
        <v>1536</v>
      </c>
      <c r="C3683" s="0" t="s">
        <v>5200</v>
      </c>
      <c r="D3683" s="0" t="s">
        <v>98</v>
      </c>
      <c r="E3683" s="0" t="s">
        <v>4445</v>
      </c>
    </row>
    <row r="3684" customFormat="false" ht="15" hidden="false" customHeight="false" outlineLevel="0" collapsed="false">
      <c r="A3684" s="0" t="s">
        <v>4418</v>
      </c>
      <c r="B3684" s="0" t="s">
        <v>1537</v>
      </c>
      <c r="C3684" s="0" t="s">
        <v>5201</v>
      </c>
      <c r="D3684" s="0" t="s">
        <v>98</v>
      </c>
      <c r="E3684" s="0" t="s">
        <v>4445</v>
      </c>
    </row>
    <row r="3685" customFormat="false" ht="15" hidden="false" customHeight="false" outlineLevel="0" collapsed="false">
      <c r="A3685" s="0" t="s">
        <v>4418</v>
      </c>
      <c r="B3685" s="0" t="s">
        <v>1538</v>
      </c>
      <c r="C3685" s="0" t="s">
        <v>5202</v>
      </c>
      <c r="D3685" s="0" t="s">
        <v>98</v>
      </c>
      <c r="E3685" s="0" t="s">
        <v>4445</v>
      </c>
    </row>
    <row r="3686" customFormat="false" ht="15" hidden="false" customHeight="false" outlineLevel="0" collapsed="false">
      <c r="A3686" s="0" t="s">
        <v>4418</v>
      </c>
      <c r="B3686" s="0" t="s">
        <v>1539</v>
      </c>
      <c r="C3686" s="0" t="s">
        <v>5203</v>
      </c>
      <c r="D3686" s="0" t="s">
        <v>98</v>
      </c>
      <c r="E3686" s="0" t="s">
        <v>4445</v>
      </c>
    </row>
    <row r="3687" customFormat="false" ht="15" hidden="false" customHeight="false" outlineLevel="0" collapsed="false">
      <c r="A3687" s="0" t="s">
        <v>4418</v>
      </c>
      <c r="B3687" s="0" t="s">
        <v>1540</v>
      </c>
      <c r="C3687" s="0" t="s">
        <v>5204</v>
      </c>
      <c r="D3687" s="0" t="s">
        <v>98</v>
      </c>
      <c r="E3687" s="0" t="s">
        <v>5205</v>
      </c>
    </row>
    <row r="3688" customFormat="false" ht="15" hidden="false" customHeight="false" outlineLevel="0" collapsed="false">
      <c r="A3688" s="0" t="s">
        <v>4418</v>
      </c>
      <c r="B3688" s="0" t="s">
        <v>1542</v>
      </c>
      <c r="C3688" s="0" t="s">
        <v>5206</v>
      </c>
      <c r="D3688" s="0" t="s">
        <v>98</v>
      </c>
      <c r="E3688" s="0" t="s">
        <v>5205</v>
      </c>
    </row>
    <row r="3689" customFormat="false" ht="15" hidden="false" customHeight="false" outlineLevel="0" collapsed="false">
      <c r="A3689" s="0" t="s">
        <v>4418</v>
      </c>
      <c r="B3689" s="0" t="s">
        <v>1544</v>
      </c>
      <c r="C3689" s="0" t="s">
        <v>5207</v>
      </c>
      <c r="D3689" s="0" t="s">
        <v>98</v>
      </c>
      <c r="E3689" s="0" t="s">
        <v>5205</v>
      </c>
    </row>
    <row r="3690" customFormat="false" ht="15" hidden="false" customHeight="false" outlineLevel="0" collapsed="false">
      <c r="A3690" s="0" t="s">
        <v>4418</v>
      </c>
      <c r="B3690" s="0" t="s">
        <v>1545</v>
      </c>
      <c r="C3690" s="0" t="s">
        <v>5208</v>
      </c>
      <c r="D3690" s="0" t="s">
        <v>98</v>
      </c>
      <c r="E3690" s="0" t="s">
        <v>5205</v>
      </c>
    </row>
    <row r="3691" customFormat="false" ht="15" hidden="false" customHeight="false" outlineLevel="0" collapsed="false">
      <c r="A3691" s="0" t="s">
        <v>4418</v>
      </c>
      <c r="B3691" s="0" t="s">
        <v>1546</v>
      </c>
      <c r="C3691" s="0" t="s">
        <v>5209</v>
      </c>
      <c r="D3691" s="0" t="s">
        <v>98</v>
      </c>
      <c r="E3691" s="0" t="s">
        <v>5205</v>
      </c>
    </row>
    <row r="3692" customFormat="false" ht="15" hidden="false" customHeight="false" outlineLevel="0" collapsed="false">
      <c r="A3692" s="0" t="s">
        <v>4418</v>
      </c>
      <c r="B3692" s="0" t="s">
        <v>1547</v>
      </c>
      <c r="C3692" s="0" t="s">
        <v>5210</v>
      </c>
      <c r="D3692" s="0" t="s">
        <v>98</v>
      </c>
      <c r="E3692" s="0" t="s">
        <v>5205</v>
      </c>
    </row>
    <row r="3693" customFormat="false" ht="15" hidden="false" customHeight="false" outlineLevel="0" collapsed="false">
      <c r="A3693" s="0" t="s">
        <v>4418</v>
      </c>
      <c r="B3693" s="0" t="s">
        <v>1548</v>
      </c>
      <c r="C3693" s="0" t="s">
        <v>5211</v>
      </c>
      <c r="D3693" s="0" t="s">
        <v>98</v>
      </c>
      <c r="E3693" s="0" t="s">
        <v>5205</v>
      </c>
    </row>
    <row r="3694" customFormat="false" ht="15" hidden="false" customHeight="false" outlineLevel="0" collapsed="false">
      <c r="A3694" s="0" t="s">
        <v>4418</v>
      </c>
      <c r="B3694" s="0" t="s">
        <v>1550</v>
      </c>
      <c r="C3694" s="0" t="s">
        <v>5212</v>
      </c>
      <c r="D3694" s="0" t="s">
        <v>98</v>
      </c>
      <c r="E3694" s="0" t="s">
        <v>5205</v>
      </c>
    </row>
    <row r="3695" customFormat="false" ht="15" hidden="false" customHeight="false" outlineLevel="0" collapsed="false">
      <c r="A3695" s="0" t="s">
        <v>4418</v>
      </c>
      <c r="B3695" s="0" t="s">
        <v>1552</v>
      </c>
      <c r="C3695" s="0" t="s">
        <v>5213</v>
      </c>
      <c r="D3695" s="0" t="s">
        <v>98</v>
      </c>
      <c r="E3695" s="0" t="s">
        <v>5205</v>
      </c>
    </row>
    <row r="3696" customFormat="false" ht="15" hidden="false" customHeight="false" outlineLevel="0" collapsed="false">
      <c r="A3696" s="0" t="s">
        <v>4418</v>
      </c>
      <c r="B3696" s="0" t="s">
        <v>1554</v>
      </c>
      <c r="C3696" s="0" t="s">
        <v>5214</v>
      </c>
      <c r="D3696" s="0" t="s">
        <v>98</v>
      </c>
      <c r="E3696" s="0" t="s">
        <v>5205</v>
      </c>
    </row>
    <row r="3697" customFormat="false" ht="15" hidden="false" customHeight="false" outlineLevel="0" collapsed="false">
      <c r="A3697" s="0" t="s">
        <v>4418</v>
      </c>
      <c r="B3697" s="0" t="s">
        <v>1556</v>
      </c>
      <c r="C3697" s="0" t="s">
        <v>5215</v>
      </c>
      <c r="D3697" s="0" t="s">
        <v>98</v>
      </c>
      <c r="E3697" s="0" t="s">
        <v>5205</v>
      </c>
    </row>
    <row r="3698" customFormat="false" ht="15" hidden="false" customHeight="false" outlineLevel="0" collapsed="false">
      <c r="A3698" s="0" t="s">
        <v>4418</v>
      </c>
      <c r="B3698" s="0" t="s">
        <v>1557</v>
      </c>
      <c r="C3698" s="0" t="s">
        <v>5216</v>
      </c>
      <c r="D3698" s="0" t="s">
        <v>98</v>
      </c>
      <c r="E3698" s="0" t="s">
        <v>5205</v>
      </c>
    </row>
    <row r="3699" customFormat="false" ht="15" hidden="false" customHeight="false" outlineLevel="0" collapsed="false">
      <c r="A3699" s="0" t="s">
        <v>4418</v>
      </c>
      <c r="B3699" s="0" t="s">
        <v>1558</v>
      </c>
      <c r="C3699" s="0" t="s">
        <v>5217</v>
      </c>
      <c r="D3699" s="0" t="s">
        <v>98</v>
      </c>
      <c r="E3699" s="0" t="s">
        <v>5205</v>
      </c>
    </row>
    <row r="3700" customFormat="false" ht="15" hidden="false" customHeight="false" outlineLevel="0" collapsed="false">
      <c r="A3700" s="0" t="s">
        <v>4418</v>
      </c>
      <c r="B3700" s="0" t="s">
        <v>1559</v>
      </c>
      <c r="C3700" s="0" t="s">
        <v>5218</v>
      </c>
      <c r="D3700" s="0" t="s">
        <v>98</v>
      </c>
      <c r="E3700" s="0" t="s">
        <v>5205</v>
      </c>
    </row>
    <row r="3701" customFormat="false" ht="15" hidden="false" customHeight="false" outlineLevel="0" collapsed="false">
      <c r="A3701" s="0" t="s">
        <v>4418</v>
      </c>
      <c r="B3701" s="0" t="s">
        <v>1560</v>
      </c>
      <c r="C3701" s="0" t="s">
        <v>5219</v>
      </c>
      <c r="D3701" s="0" t="s">
        <v>98</v>
      </c>
      <c r="E3701" s="0" t="s">
        <v>5205</v>
      </c>
    </row>
    <row r="3702" customFormat="false" ht="15" hidden="false" customHeight="false" outlineLevel="0" collapsed="false">
      <c r="A3702" s="0" t="s">
        <v>4418</v>
      </c>
      <c r="B3702" s="0" t="s">
        <v>1561</v>
      </c>
      <c r="C3702" s="0" t="s">
        <v>5220</v>
      </c>
      <c r="D3702" s="0" t="s">
        <v>98</v>
      </c>
      <c r="E3702" s="0" t="s">
        <v>5205</v>
      </c>
    </row>
    <row r="3703" customFormat="false" ht="15" hidden="false" customHeight="false" outlineLevel="0" collapsed="false">
      <c r="A3703" s="0" t="s">
        <v>4418</v>
      </c>
      <c r="B3703" s="0" t="s">
        <v>1562</v>
      </c>
      <c r="C3703" s="0" t="s">
        <v>5221</v>
      </c>
      <c r="D3703" s="0" t="s">
        <v>98</v>
      </c>
      <c r="E3703" s="0" t="s">
        <v>5205</v>
      </c>
    </row>
    <row r="3704" customFormat="false" ht="15" hidden="false" customHeight="false" outlineLevel="0" collapsed="false">
      <c r="A3704" s="0" t="s">
        <v>4418</v>
      </c>
      <c r="B3704" s="0" t="s">
        <v>1563</v>
      </c>
      <c r="C3704" s="0" t="s">
        <v>5222</v>
      </c>
      <c r="D3704" s="0" t="s">
        <v>98</v>
      </c>
      <c r="E3704" s="0" t="s">
        <v>5205</v>
      </c>
    </row>
    <row r="3705" customFormat="false" ht="15" hidden="false" customHeight="false" outlineLevel="0" collapsed="false">
      <c r="A3705" s="0" t="s">
        <v>4418</v>
      </c>
      <c r="B3705" s="0" t="s">
        <v>1564</v>
      </c>
      <c r="C3705" s="0" t="s">
        <v>5223</v>
      </c>
      <c r="D3705" s="0" t="s">
        <v>98</v>
      </c>
      <c r="E3705" s="0" t="s">
        <v>5205</v>
      </c>
    </row>
    <row r="3706" customFormat="false" ht="15" hidden="false" customHeight="false" outlineLevel="0" collapsed="false">
      <c r="A3706" s="0" t="s">
        <v>4418</v>
      </c>
      <c r="B3706" s="0" t="s">
        <v>1565</v>
      </c>
      <c r="C3706" s="0" t="s">
        <v>5224</v>
      </c>
      <c r="D3706" s="0" t="s">
        <v>98</v>
      </c>
      <c r="E3706" s="0" t="s">
        <v>5205</v>
      </c>
    </row>
    <row r="3707" customFormat="false" ht="15" hidden="false" customHeight="false" outlineLevel="0" collapsed="false">
      <c r="A3707" s="0" t="s">
        <v>4418</v>
      </c>
      <c r="B3707" s="0" t="s">
        <v>1566</v>
      </c>
      <c r="C3707" s="0" t="s">
        <v>5225</v>
      </c>
      <c r="D3707" s="0" t="s">
        <v>98</v>
      </c>
      <c r="E3707" s="0" t="s">
        <v>5205</v>
      </c>
    </row>
    <row r="3708" customFormat="false" ht="15" hidden="false" customHeight="false" outlineLevel="0" collapsed="false">
      <c r="A3708" s="0" t="s">
        <v>4418</v>
      </c>
      <c r="B3708" s="0" t="s">
        <v>1567</v>
      </c>
      <c r="C3708" s="0" t="s">
        <v>5226</v>
      </c>
      <c r="D3708" s="0" t="s">
        <v>98</v>
      </c>
      <c r="E3708" s="0" t="s">
        <v>5205</v>
      </c>
    </row>
    <row r="3709" customFormat="false" ht="15" hidden="false" customHeight="false" outlineLevel="0" collapsed="false">
      <c r="A3709" s="0" t="s">
        <v>4418</v>
      </c>
      <c r="B3709" s="0" t="s">
        <v>1568</v>
      </c>
      <c r="C3709" s="0" t="s">
        <v>5227</v>
      </c>
      <c r="D3709" s="0" t="s">
        <v>98</v>
      </c>
      <c r="E3709" s="0" t="s">
        <v>5205</v>
      </c>
    </row>
    <row r="3710" customFormat="false" ht="15" hidden="false" customHeight="false" outlineLevel="0" collapsed="false">
      <c r="A3710" s="0" t="s">
        <v>4418</v>
      </c>
      <c r="B3710" s="0" t="s">
        <v>1569</v>
      </c>
      <c r="C3710" s="0" t="s">
        <v>5228</v>
      </c>
      <c r="D3710" s="0" t="s">
        <v>98</v>
      </c>
      <c r="E3710" s="0" t="s">
        <v>5205</v>
      </c>
    </row>
    <row r="3711" customFormat="false" ht="15" hidden="false" customHeight="false" outlineLevel="0" collapsed="false">
      <c r="A3711" s="0" t="s">
        <v>4418</v>
      </c>
      <c r="B3711" s="0" t="s">
        <v>1570</v>
      </c>
      <c r="C3711" s="0" t="s">
        <v>5229</v>
      </c>
      <c r="D3711" s="0" t="s">
        <v>98</v>
      </c>
      <c r="E3711" s="0" t="s">
        <v>5205</v>
      </c>
    </row>
    <row r="3712" customFormat="false" ht="15" hidden="false" customHeight="false" outlineLevel="0" collapsed="false">
      <c r="A3712" s="0" t="s">
        <v>4418</v>
      </c>
      <c r="B3712" s="0" t="s">
        <v>1571</v>
      </c>
      <c r="C3712" s="0" t="s">
        <v>5230</v>
      </c>
      <c r="D3712" s="0" t="s">
        <v>98</v>
      </c>
      <c r="E3712" s="0" t="s">
        <v>5205</v>
      </c>
    </row>
    <row r="3713" customFormat="false" ht="15" hidden="false" customHeight="false" outlineLevel="0" collapsed="false">
      <c r="A3713" s="0" t="s">
        <v>4418</v>
      </c>
      <c r="B3713" s="0" t="s">
        <v>1572</v>
      </c>
      <c r="C3713" s="0" t="s">
        <v>5231</v>
      </c>
      <c r="D3713" s="0" t="s">
        <v>98</v>
      </c>
      <c r="E3713" s="0" t="s">
        <v>5205</v>
      </c>
    </row>
    <row r="3714" customFormat="false" ht="15" hidden="false" customHeight="false" outlineLevel="0" collapsed="false">
      <c r="A3714" s="0" t="s">
        <v>4418</v>
      </c>
      <c r="B3714" s="0" t="s">
        <v>1573</v>
      </c>
      <c r="C3714" s="0" t="s">
        <v>5232</v>
      </c>
      <c r="D3714" s="0" t="s">
        <v>98</v>
      </c>
      <c r="E3714" s="0" t="s">
        <v>5205</v>
      </c>
    </row>
    <row r="3715" customFormat="false" ht="15" hidden="false" customHeight="false" outlineLevel="0" collapsed="false">
      <c r="A3715" s="0" t="s">
        <v>4418</v>
      </c>
      <c r="B3715" s="0" t="s">
        <v>1576</v>
      </c>
      <c r="C3715" s="0" t="s">
        <v>5233</v>
      </c>
      <c r="D3715" s="0" t="s">
        <v>93</v>
      </c>
      <c r="E3715" s="0" t="s">
        <v>5234</v>
      </c>
    </row>
    <row r="3716" customFormat="false" ht="15" hidden="false" customHeight="false" outlineLevel="0" collapsed="false">
      <c r="A3716" s="0" t="s">
        <v>4418</v>
      </c>
      <c r="B3716" s="0" t="s">
        <v>1577</v>
      </c>
      <c r="C3716" s="0" t="s">
        <v>5235</v>
      </c>
      <c r="D3716" s="0" t="s">
        <v>93</v>
      </c>
      <c r="E3716" s="0" t="s">
        <v>5236</v>
      </c>
    </row>
    <row r="3717" customFormat="false" ht="15" hidden="false" customHeight="false" outlineLevel="0" collapsed="false">
      <c r="A3717" s="0" t="s">
        <v>4418</v>
      </c>
      <c r="B3717" s="0" t="s">
        <v>1578</v>
      </c>
      <c r="C3717" s="0" t="s">
        <v>5237</v>
      </c>
      <c r="D3717" s="0" t="s">
        <v>86</v>
      </c>
      <c r="E3717" s="0" t="s">
        <v>5238</v>
      </c>
    </row>
    <row r="3718" customFormat="false" ht="15" hidden="false" customHeight="false" outlineLevel="0" collapsed="false">
      <c r="A3718" s="0" t="s">
        <v>4418</v>
      </c>
      <c r="B3718" s="0" t="s">
        <v>1616</v>
      </c>
      <c r="C3718" s="0" t="s">
        <v>5239</v>
      </c>
      <c r="D3718" s="0" t="s">
        <v>86</v>
      </c>
      <c r="E3718" s="0" t="s">
        <v>5240</v>
      </c>
    </row>
    <row r="3719" customFormat="false" ht="15" hidden="false" customHeight="false" outlineLevel="0" collapsed="false">
      <c r="A3719" s="0" t="s">
        <v>5241</v>
      </c>
      <c r="B3719" s="0" t="s">
        <v>5242</v>
      </c>
      <c r="C3719" s="0" t="s">
        <v>5243</v>
      </c>
      <c r="D3719" s="0" t="s">
        <v>98</v>
      </c>
      <c r="E3719" s="0" t="s">
        <v>5244</v>
      </c>
    </row>
    <row r="3720" customFormat="false" ht="15" hidden="false" customHeight="false" outlineLevel="0" collapsed="false">
      <c r="A3720" s="0" t="s">
        <v>5241</v>
      </c>
      <c r="B3720" s="0" t="s">
        <v>508</v>
      </c>
      <c r="C3720" s="0" t="s">
        <v>5245</v>
      </c>
      <c r="D3720" s="0" t="s">
        <v>98</v>
      </c>
      <c r="E3720" s="0" t="s">
        <v>5244</v>
      </c>
    </row>
    <row r="3721" customFormat="false" ht="15" hidden="false" customHeight="false" outlineLevel="0" collapsed="false">
      <c r="A3721" s="0" t="s">
        <v>5241</v>
      </c>
      <c r="B3721" s="0" t="s">
        <v>510</v>
      </c>
      <c r="C3721" s="0" t="s">
        <v>5246</v>
      </c>
      <c r="D3721" s="0" t="s">
        <v>98</v>
      </c>
      <c r="E3721" s="0" t="s">
        <v>5244</v>
      </c>
    </row>
    <row r="3722" customFormat="false" ht="15" hidden="false" customHeight="false" outlineLevel="0" collapsed="false">
      <c r="A3722" s="0" t="s">
        <v>5241</v>
      </c>
      <c r="B3722" s="0" t="s">
        <v>512</v>
      </c>
      <c r="C3722" s="0" t="s">
        <v>5247</v>
      </c>
      <c r="D3722" s="0" t="s">
        <v>98</v>
      </c>
      <c r="E3722" s="0" t="s">
        <v>5244</v>
      </c>
    </row>
    <row r="3723" customFormat="false" ht="15" hidden="false" customHeight="false" outlineLevel="0" collapsed="false">
      <c r="A3723" s="0" t="s">
        <v>5241</v>
      </c>
      <c r="B3723" s="0" t="s">
        <v>513</v>
      </c>
      <c r="C3723" s="0" t="s">
        <v>5248</v>
      </c>
      <c r="D3723" s="0" t="s">
        <v>98</v>
      </c>
      <c r="E3723" s="0" t="s">
        <v>5244</v>
      </c>
    </row>
    <row r="3724" customFormat="false" ht="15" hidden="false" customHeight="false" outlineLevel="0" collapsed="false">
      <c r="A3724" s="0" t="s">
        <v>5241</v>
      </c>
      <c r="B3724" s="0" t="s">
        <v>514</v>
      </c>
      <c r="C3724" s="0" t="s">
        <v>5249</v>
      </c>
      <c r="D3724" s="0" t="s">
        <v>98</v>
      </c>
      <c r="E3724" s="0" t="s">
        <v>5244</v>
      </c>
    </row>
    <row r="3725" customFormat="false" ht="15" hidden="false" customHeight="false" outlineLevel="0" collapsed="false">
      <c r="A3725" s="0" t="s">
        <v>5241</v>
      </c>
      <c r="B3725" s="0" t="s">
        <v>515</v>
      </c>
      <c r="C3725" s="0" t="s">
        <v>5250</v>
      </c>
      <c r="D3725" s="0" t="s">
        <v>98</v>
      </c>
      <c r="E3725" s="0" t="s">
        <v>5244</v>
      </c>
    </row>
    <row r="3726" customFormat="false" ht="15" hidden="false" customHeight="false" outlineLevel="0" collapsed="false">
      <c r="A3726" s="0" t="s">
        <v>5241</v>
      </c>
      <c r="B3726" s="0" t="s">
        <v>517</v>
      </c>
      <c r="C3726" s="0" t="s">
        <v>5251</v>
      </c>
      <c r="D3726" s="0" t="s">
        <v>98</v>
      </c>
      <c r="E3726" s="0" t="s">
        <v>5244</v>
      </c>
    </row>
    <row r="3727" customFormat="false" ht="15" hidden="false" customHeight="false" outlineLevel="0" collapsed="false">
      <c r="A3727" s="0" t="s">
        <v>5241</v>
      </c>
      <c r="B3727" s="0" t="s">
        <v>4330</v>
      </c>
      <c r="C3727" s="0" t="s">
        <v>5252</v>
      </c>
      <c r="D3727" s="0" t="s">
        <v>98</v>
      </c>
      <c r="E3727" s="0" t="s">
        <v>5244</v>
      </c>
    </row>
    <row r="3728" customFormat="false" ht="15" hidden="false" customHeight="false" outlineLevel="0" collapsed="false">
      <c r="A3728" s="0" t="s">
        <v>5241</v>
      </c>
      <c r="B3728" s="0" t="s">
        <v>4333</v>
      </c>
      <c r="C3728" s="0" t="s">
        <v>5253</v>
      </c>
      <c r="D3728" s="0" t="s">
        <v>98</v>
      </c>
      <c r="E3728" s="0" t="s">
        <v>5244</v>
      </c>
    </row>
    <row r="3729" customFormat="false" ht="15" hidden="false" customHeight="false" outlineLevel="0" collapsed="false">
      <c r="A3729" s="0" t="s">
        <v>5241</v>
      </c>
      <c r="B3729" s="0" t="s">
        <v>4335</v>
      </c>
      <c r="C3729" s="0" t="s">
        <v>5254</v>
      </c>
      <c r="D3729" s="0" t="s">
        <v>98</v>
      </c>
      <c r="E3729" s="0" t="s">
        <v>5244</v>
      </c>
    </row>
    <row r="3730" customFormat="false" ht="15" hidden="false" customHeight="false" outlineLevel="0" collapsed="false">
      <c r="A3730" s="0" t="s">
        <v>5241</v>
      </c>
      <c r="B3730" s="0" t="s">
        <v>5255</v>
      </c>
      <c r="C3730" s="0" t="s">
        <v>5256</v>
      </c>
      <c r="D3730" s="0" t="s">
        <v>98</v>
      </c>
      <c r="E3730" s="0" t="s">
        <v>5244</v>
      </c>
    </row>
    <row r="3731" customFormat="false" ht="15" hidden="false" customHeight="false" outlineLevel="0" collapsed="false">
      <c r="A3731" s="0" t="s">
        <v>5241</v>
      </c>
      <c r="B3731" s="0" t="s">
        <v>5257</v>
      </c>
      <c r="C3731" s="0" t="s">
        <v>5258</v>
      </c>
      <c r="D3731" s="0" t="s">
        <v>98</v>
      </c>
      <c r="E3731" s="0" t="s">
        <v>5244</v>
      </c>
    </row>
    <row r="3732" customFormat="false" ht="15" hidden="false" customHeight="false" outlineLevel="0" collapsed="false">
      <c r="A3732" s="0" t="s">
        <v>5241</v>
      </c>
      <c r="B3732" s="0" t="s">
        <v>5259</v>
      </c>
      <c r="C3732" s="0" t="s">
        <v>5260</v>
      </c>
      <c r="D3732" s="0" t="s">
        <v>98</v>
      </c>
      <c r="E3732" s="0" t="s">
        <v>5244</v>
      </c>
    </row>
    <row r="3733" customFormat="false" ht="15" hidden="false" customHeight="false" outlineLevel="0" collapsed="false">
      <c r="A3733" s="0" t="s">
        <v>5241</v>
      </c>
      <c r="B3733" s="0" t="s">
        <v>5261</v>
      </c>
      <c r="C3733" s="0" t="s">
        <v>5262</v>
      </c>
      <c r="D3733" s="0" t="s">
        <v>98</v>
      </c>
      <c r="E3733" s="0" t="s">
        <v>5244</v>
      </c>
    </row>
    <row r="3734" customFormat="false" ht="15" hidden="false" customHeight="false" outlineLevel="0" collapsed="false">
      <c r="A3734" s="0" t="s">
        <v>5241</v>
      </c>
      <c r="B3734" s="0" t="s">
        <v>466</v>
      </c>
      <c r="C3734" s="0" t="s">
        <v>5263</v>
      </c>
      <c r="D3734" s="0" t="s">
        <v>98</v>
      </c>
      <c r="E3734" s="0" t="s">
        <v>5244</v>
      </c>
    </row>
    <row r="3735" customFormat="false" ht="15" hidden="false" customHeight="false" outlineLevel="0" collapsed="false">
      <c r="A3735" s="0" t="s">
        <v>5241</v>
      </c>
      <c r="B3735" s="0" t="s">
        <v>5264</v>
      </c>
      <c r="C3735" s="0" t="s">
        <v>5265</v>
      </c>
      <c r="D3735" s="0" t="s">
        <v>98</v>
      </c>
      <c r="E3735" s="0" t="s">
        <v>5244</v>
      </c>
    </row>
    <row r="3736" customFormat="false" ht="15" hidden="false" customHeight="false" outlineLevel="0" collapsed="false">
      <c r="A3736" s="0" t="s">
        <v>5241</v>
      </c>
      <c r="B3736" s="0" t="s">
        <v>5266</v>
      </c>
      <c r="C3736" s="0" t="s">
        <v>5267</v>
      </c>
      <c r="D3736" s="0" t="s">
        <v>98</v>
      </c>
      <c r="E3736" s="0" t="s">
        <v>5244</v>
      </c>
    </row>
    <row r="3737" customFormat="false" ht="15" hidden="false" customHeight="false" outlineLevel="0" collapsed="false">
      <c r="A3737" s="0" t="s">
        <v>5241</v>
      </c>
      <c r="B3737" s="0" t="s">
        <v>5268</v>
      </c>
      <c r="C3737" s="0" t="s">
        <v>5269</v>
      </c>
      <c r="D3737" s="0" t="s">
        <v>98</v>
      </c>
      <c r="E3737" s="0" t="s">
        <v>5244</v>
      </c>
    </row>
    <row r="3738" customFormat="false" ht="15" hidden="false" customHeight="false" outlineLevel="0" collapsed="false">
      <c r="A3738" s="0" t="s">
        <v>5241</v>
      </c>
      <c r="B3738" s="0" t="s">
        <v>5270</v>
      </c>
      <c r="C3738" s="0" t="s">
        <v>5271</v>
      </c>
      <c r="D3738" s="0" t="s">
        <v>98</v>
      </c>
      <c r="E3738" s="0" t="s">
        <v>5244</v>
      </c>
    </row>
    <row r="3739" customFormat="false" ht="15" hidden="false" customHeight="false" outlineLevel="0" collapsed="false">
      <c r="A3739" s="0" t="s">
        <v>5241</v>
      </c>
      <c r="B3739" s="0" t="s">
        <v>5272</v>
      </c>
      <c r="C3739" s="0" t="s">
        <v>5273</v>
      </c>
      <c r="D3739" s="0" t="s">
        <v>98</v>
      </c>
      <c r="E3739" s="0" t="s">
        <v>5244</v>
      </c>
    </row>
    <row r="3740" customFormat="false" ht="15" hidden="false" customHeight="false" outlineLevel="0" collapsed="false">
      <c r="A3740" s="0" t="s">
        <v>5241</v>
      </c>
      <c r="B3740" s="0" t="s">
        <v>5274</v>
      </c>
      <c r="C3740" s="0" t="s">
        <v>5275</v>
      </c>
      <c r="D3740" s="0" t="s">
        <v>98</v>
      </c>
      <c r="E3740" s="0" t="s">
        <v>5244</v>
      </c>
    </row>
    <row r="3741" customFormat="false" ht="15" hidden="false" customHeight="false" outlineLevel="0" collapsed="false">
      <c r="A3741" s="0" t="s">
        <v>5241</v>
      </c>
      <c r="B3741" s="0" t="s">
        <v>5276</v>
      </c>
      <c r="C3741" s="0" t="s">
        <v>5277</v>
      </c>
      <c r="D3741" s="0" t="s">
        <v>98</v>
      </c>
      <c r="E3741" s="0" t="s">
        <v>5244</v>
      </c>
    </row>
    <row r="3742" customFormat="false" ht="15" hidden="false" customHeight="false" outlineLevel="0" collapsed="false">
      <c r="A3742" s="0" t="s">
        <v>5241</v>
      </c>
      <c r="B3742" s="0" t="s">
        <v>5278</v>
      </c>
      <c r="C3742" s="0" t="s">
        <v>5279</v>
      </c>
      <c r="D3742" s="0" t="s">
        <v>98</v>
      </c>
      <c r="E3742" s="0" t="s">
        <v>5244</v>
      </c>
    </row>
    <row r="3743" customFormat="false" ht="15" hidden="false" customHeight="false" outlineLevel="0" collapsed="false">
      <c r="A3743" s="0" t="s">
        <v>5241</v>
      </c>
      <c r="B3743" s="0" t="s">
        <v>5280</v>
      </c>
      <c r="C3743" s="0" t="s">
        <v>5281</v>
      </c>
      <c r="D3743" s="0" t="s">
        <v>98</v>
      </c>
      <c r="E3743" s="0" t="s">
        <v>5244</v>
      </c>
    </row>
    <row r="3744" customFormat="false" ht="15" hidden="false" customHeight="false" outlineLevel="0" collapsed="false">
      <c r="A3744" s="0" t="s">
        <v>5241</v>
      </c>
      <c r="B3744" s="0" t="s">
        <v>5282</v>
      </c>
      <c r="C3744" s="0" t="s">
        <v>5283</v>
      </c>
      <c r="D3744" s="0" t="s">
        <v>98</v>
      </c>
      <c r="E3744" s="0" t="s">
        <v>5244</v>
      </c>
    </row>
    <row r="3745" customFormat="false" ht="15" hidden="false" customHeight="false" outlineLevel="0" collapsed="false">
      <c r="A3745" s="0" t="s">
        <v>5241</v>
      </c>
      <c r="B3745" s="0" t="s">
        <v>5284</v>
      </c>
      <c r="C3745" s="0" t="s">
        <v>5285</v>
      </c>
      <c r="D3745" s="0" t="s">
        <v>98</v>
      </c>
      <c r="E3745" s="0" t="s">
        <v>5244</v>
      </c>
    </row>
    <row r="3746" customFormat="false" ht="15" hidden="false" customHeight="false" outlineLevel="0" collapsed="false">
      <c r="A3746" s="0" t="s">
        <v>5241</v>
      </c>
      <c r="B3746" s="0" t="s">
        <v>5286</v>
      </c>
      <c r="C3746" s="0" t="s">
        <v>5287</v>
      </c>
      <c r="D3746" s="0" t="s">
        <v>98</v>
      </c>
      <c r="E3746" s="0" t="s">
        <v>5244</v>
      </c>
    </row>
    <row r="3747" customFormat="false" ht="15" hidden="false" customHeight="false" outlineLevel="0" collapsed="false">
      <c r="A3747" s="0" t="s">
        <v>5241</v>
      </c>
      <c r="B3747" s="0" t="s">
        <v>5288</v>
      </c>
      <c r="C3747" s="0" t="s">
        <v>5289</v>
      </c>
      <c r="D3747" s="0" t="s">
        <v>98</v>
      </c>
      <c r="E3747" s="0" t="s">
        <v>5290</v>
      </c>
    </row>
    <row r="3748" customFormat="false" ht="15" hidden="false" customHeight="false" outlineLevel="0" collapsed="false">
      <c r="A3748" s="0" t="s">
        <v>5241</v>
      </c>
      <c r="B3748" s="0" t="s">
        <v>520</v>
      </c>
      <c r="C3748" s="0" t="s">
        <v>5291</v>
      </c>
      <c r="D3748" s="0" t="s">
        <v>98</v>
      </c>
      <c r="E3748" s="0" t="s">
        <v>5290</v>
      </c>
    </row>
    <row r="3749" customFormat="false" ht="15" hidden="false" customHeight="false" outlineLevel="0" collapsed="false">
      <c r="A3749" s="0" t="s">
        <v>5241</v>
      </c>
      <c r="B3749" s="0" t="s">
        <v>522</v>
      </c>
      <c r="C3749" s="0" t="s">
        <v>5292</v>
      </c>
      <c r="D3749" s="0" t="s">
        <v>98</v>
      </c>
      <c r="E3749" s="0" t="s">
        <v>5290</v>
      </c>
    </row>
    <row r="3750" customFormat="false" ht="15" hidden="false" customHeight="false" outlineLevel="0" collapsed="false">
      <c r="A3750" s="0" t="s">
        <v>5241</v>
      </c>
      <c r="B3750" s="0" t="s">
        <v>523</v>
      </c>
      <c r="C3750" s="0" t="s">
        <v>5293</v>
      </c>
      <c r="D3750" s="0" t="s">
        <v>98</v>
      </c>
      <c r="E3750" s="0" t="s">
        <v>5290</v>
      </c>
    </row>
    <row r="3751" customFormat="false" ht="15" hidden="false" customHeight="false" outlineLevel="0" collapsed="false">
      <c r="A3751" s="0" t="s">
        <v>5241</v>
      </c>
      <c r="B3751" s="0" t="s">
        <v>524</v>
      </c>
      <c r="C3751" s="0" t="s">
        <v>5294</v>
      </c>
      <c r="D3751" s="0" t="s">
        <v>98</v>
      </c>
      <c r="E3751" s="0" t="s">
        <v>5290</v>
      </c>
    </row>
    <row r="3752" customFormat="false" ht="15" hidden="false" customHeight="false" outlineLevel="0" collapsed="false">
      <c r="A3752" s="0" t="s">
        <v>5241</v>
      </c>
      <c r="B3752" s="0" t="s">
        <v>525</v>
      </c>
      <c r="C3752" s="0" t="s">
        <v>5295</v>
      </c>
      <c r="D3752" s="0" t="s">
        <v>98</v>
      </c>
      <c r="E3752" s="0" t="s">
        <v>5290</v>
      </c>
    </row>
    <row r="3753" customFormat="false" ht="15" hidden="false" customHeight="false" outlineLevel="0" collapsed="false">
      <c r="A3753" s="0" t="s">
        <v>5241</v>
      </c>
      <c r="B3753" s="0" t="s">
        <v>526</v>
      </c>
      <c r="C3753" s="0" t="s">
        <v>5296</v>
      </c>
      <c r="D3753" s="0" t="s">
        <v>98</v>
      </c>
      <c r="E3753" s="0" t="s">
        <v>5290</v>
      </c>
    </row>
    <row r="3754" customFormat="false" ht="15" hidden="false" customHeight="false" outlineLevel="0" collapsed="false">
      <c r="A3754" s="0" t="s">
        <v>5241</v>
      </c>
      <c r="B3754" s="0" t="s">
        <v>527</v>
      </c>
      <c r="C3754" s="0" t="s">
        <v>5297</v>
      </c>
      <c r="D3754" s="0" t="s">
        <v>98</v>
      </c>
      <c r="E3754" s="0" t="s">
        <v>5290</v>
      </c>
    </row>
    <row r="3755" customFormat="false" ht="15" hidden="false" customHeight="false" outlineLevel="0" collapsed="false">
      <c r="A3755" s="0" t="s">
        <v>5241</v>
      </c>
      <c r="B3755" s="0" t="s">
        <v>741</v>
      </c>
      <c r="C3755" s="0" t="s">
        <v>5298</v>
      </c>
      <c r="D3755" s="0" t="s">
        <v>98</v>
      </c>
      <c r="E3755" s="0" t="s">
        <v>5290</v>
      </c>
    </row>
    <row r="3756" customFormat="false" ht="15" hidden="false" customHeight="false" outlineLevel="0" collapsed="false">
      <c r="A3756" s="0" t="s">
        <v>5241</v>
      </c>
      <c r="B3756" s="0" t="s">
        <v>742</v>
      </c>
      <c r="C3756" s="0" t="s">
        <v>5299</v>
      </c>
      <c r="D3756" s="0" t="s">
        <v>98</v>
      </c>
      <c r="E3756" s="0" t="s">
        <v>5290</v>
      </c>
    </row>
    <row r="3757" customFormat="false" ht="15" hidden="false" customHeight="false" outlineLevel="0" collapsed="false">
      <c r="A3757" s="0" t="s">
        <v>5241</v>
      </c>
      <c r="B3757" s="0" t="s">
        <v>743</v>
      </c>
      <c r="C3757" s="0" t="s">
        <v>5300</v>
      </c>
      <c r="D3757" s="0" t="s">
        <v>98</v>
      </c>
      <c r="E3757" s="0" t="s">
        <v>5290</v>
      </c>
    </row>
    <row r="3758" customFormat="false" ht="15" hidden="false" customHeight="false" outlineLevel="0" collapsed="false">
      <c r="A3758" s="0" t="s">
        <v>5241</v>
      </c>
      <c r="B3758" s="0" t="s">
        <v>745</v>
      </c>
      <c r="C3758" s="0" t="s">
        <v>5301</v>
      </c>
      <c r="D3758" s="0" t="s">
        <v>98</v>
      </c>
      <c r="E3758" s="0" t="s">
        <v>5290</v>
      </c>
    </row>
    <row r="3759" customFormat="false" ht="15" hidden="false" customHeight="false" outlineLevel="0" collapsed="false">
      <c r="A3759" s="0" t="s">
        <v>5241</v>
      </c>
      <c r="B3759" s="0" t="s">
        <v>746</v>
      </c>
      <c r="C3759" s="0" t="s">
        <v>5302</v>
      </c>
      <c r="D3759" s="0" t="s">
        <v>98</v>
      </c>
      <c r="E3759" s="0" t="s">
        <v>5290</v>
      </c>
    </row>
    <row r="3760" customFormat="false" ht="15" hidden="false" customHeight="false" outlineLevel="0" collapsed="false">
      <c r="A3760" s="0" t="s">
        <v>5241</v>
      </c>
      <c r="B3760" s="0" t="s">
        <v>747</v>
      </c>
      <c r="C3760" s="0" t="s">
        <v>5303</v>
      </c>
      <c r="D3760" s="0" t="s">
        <v>98</v>
      </c>
      <c r="E3760" s="0" t="s">
        <v>5290</v>
      </c>
    </row>
    <row r="3761" customFormat="false" ht="15" hidden="false" customHeight="false" outlineLevel="0" collapsed="false">
      <c r="A3761" s="0" t="s">
        <v>5241</v>
      </c>
      <c r="B3761" s="0" t="s">
        <v>748</v>
      </c>
      <c r="C3761" s="0" t="s">
        <v>5304</v>
      </c>
      <c r="D3761" s="0" t="s">
        <v>98</v>
      </c>
      <c r="E3761" s="0" t="s">
        <v>5290</v>
      </c>
    </row>
    <row r="3762" customFormat="false" ht="15" hidden="false" customHeight="false" outlineLevel="0" collapsed="false">
      <c r="A3762" s="0" t="s">
        <v>5241</v>
      </c>
      <c r="B3762" s="0" t="s">
        <v>471</v>
      </c>
      <c r="C3762" s="0" t="s">
        <v>5305</v>
      </c>
      <c r="D3762" s="0" t="s">
        <v>98</v>
      </c>
      <c r="E3762" s="0" t="s">
        <v>5290</v>
      </c>
    </row>
    <row r="3763" customFormat="false" ht="15" hidden="false" customHeight="false" outlineLevel="0" collapsed="false">
      <c r="A3763" s="0" t="s">
        <v>5241</v>
      </c>
      <c r="B3763" s="0" t="s">
        <v>749</v>
      </c>
      <c r="C3763" s="0" t="s">
        <v>5306</v>
      </c>
      <c r="D3763" s="0" t="s">
        <v>98</v>
      </c>
      <c r="E3763" s="0" t="s">
        <v>5290</v>
      </c>
    </row>
    <row r="3764" customFormat="false" ht="15" hidden="false" customHeight="false" outlineLevel="0" collapsed="false">
      <c r="A3764" s="0" t="s">
        <v>5241</v>
      </c>
      <c r="B3764" s="0" t="s">
        <v>750</v>
      </c>
      <c r="C3764" s="0" t="s">
        <v>5307</v>
      </c>
      <c r="D3764" s="0" t="s">
        <v>98</v>
      </c>
      <c r="E3764" s="0" t="s">
        <v>5290</v>
      </c>
    </row>
    <row r="3765" customFormat="false" ht="15" hidden="false" customHeight="false" outlineLevel="0" collapsed="false">
      <c r="A3765" s="0" t="s">
        <v>5241</v>
      </c>
      <c r="B3765" s="0" t="s">
        <v>751</v>
      </c>
      <c r="C3765" s="0" t="s">
        <v>5308</v>
      </c>
      <c r="D3765" s="0" t="s">
        <v>98</v>
      </c>
      <c r="E3765" s="0" t="s">
        <v>5290</v>
      </c>
    </row>
    <row r="3766" customFormat="false" ht="15" hidden="false" customHeight="false" outlineLevel="0" collapsed="false">
      <c r="A3766" s="0" t="s">
        <v>5241</v>
      </c>
      <c r="B3766" s="0" t="s">
        <v>752</v>
      </c>
      <c r="C3766" s="0" t="s">
        <v>5309</v>
      </c>
      <c r="D3766" s="0" t="s">
        <v>98</v>
      </c>
      <c r="E3766" s="0" t="s">
        <v>5290</v>
      </c>
    </row>
    <row r="3767" customFormat="false" ht="15" hidden="false" customHeight="false" outlineLevel="0" collapsed="false">
      <c r="A3767" s="0" t="s">
        <v>5241</v>
      </c>
      <c r="B3767" s="0" t="s">
        <v>753</v>
      </c>
      <c r="C3767" s="0" t="s">
        <v>5310</v>
      </c>
      <c r="D3767" s="0" t="s">
        <v>98</v>
      </c>
      <c r="E3767" s="0" t="s">
        <v>5290</v>
      </c>
    </row>
    <row r="3768" customFormat="false" ht="15" hidden="false" customHeight="false" outlineLevel="0" collapsed="false">
      <c r="A3768" s="0" t="s">
        <v>5241</v>
      </c>
      <c r="B3768" s="0" t="s">
        <v>754</v>
      </c>
      <c r="C3768" s="0" t="s">
        <v>5311</v>
      </c>
      <c r="D3768" s="0" t="s">
        <v>98</v>
      </c>
      <c r="E3768" s="0" t="s">
        <v>5290</v>
      </c>
    </row>
    <row r="3769" customFormat="false" ht="15" hidden="false" customHeight="false" outlineLevel="0" collapsed="false">
      <c r="A3769" s="0" t="s">
        <v>5241</v>
      </c>
      <c r="B3769" s="0" t="s">
        <v>755</v>
      </c>
      <c r="C3769" s="0" t="s">
        <v>5312</v>
      </c>
      <c r="D3769" s="0" t="s">
        <v>98</v>
      </c>
      <c r="E3769" s="0" t="s">
        <v>5290</v>
      </c>
    </row>
    <row r="3770" customFormat="false" ht="15" hidden="false" customHeight="false" outlineLevel="0" collapsed="false">
      <c r="A3770" s="0" t="s">
        <v>5241</v>
      </c>
      <c r="B3770" s="0" t="s">
        <v>756</v>
      </c>
      <c r="C3770" s="0" t="s">
        <v>5313</v>
      </c>
      <c r="D3770" s="0" t="s">
        <v>98</v>
      </c>
      <c r="E3770" s="0" t="s">
        <v>5290</v>
      </c>
    </row>
    <row r="3771" customFormat="false" ht="15" hidden="false" customHeight="false" outlineLevel="0" collapsed="false">
      <c r="A3771" s="0" t="s">
        <v>5241</v>
      </c>
      <c r="B3771" s="0" t="s">
        <v>757</v>
      </c>
      <c r="C3771" s="0" t="s">
        <v>5314</v>
      </c>
      <c r="D3771" s="0" t="s">
        <v>98</v>
      </c>
      <c r="E3771" s="0" t="s">
        <v>5290</v>
      </c>
    </row>
    <row r="3772" customFormat="false" ht="15" hidden="false" customHeight="false" outlineLevel="0" collapsed="false">
      <c r="A3772" s="0" t="s">
        <v>5241</v>
      </c>
      <c r="B3772" s="0" t="s">
        <v>758</v>
      </c>
      <c r="C3772" s="0" t="s">
        <v>5315</v>
      </c>
      <c r="D3772" s="0" t="s">
        <v>98</v>
      </c>
      <c r="E3772" s="0" t="s">
        <v>5290</v>
      </c>
    </row>
    <row r="3773" customFormat="false" ht="15" hidden="false" customHeight="false" outlineLevel="0" collapsed="false">
      <c r="A3773" s="0" t="s">
        <v>5241</v>
      </c>
      <c r="B3773" s="0" t="s">
        <v>759</v>
      </c>
      <c r="C3773" s="0" t="s">
        <v>5316</v>
      </c>
      <c r="D3773" s="0" t="s">
        <v>98</v>
      </c>
      <c r="E3773" s="0" t="s">
        <v>5290</v>
      </c>
    </row>
    <row r="3774" customFormat="false" ht="15" hidden="false" customHeight="false" outlineLevel="0" collapsed="false">
      <c r="A3774" s="0" t="s">
        <v>5241</v>
      </c>
      <c r="B3774" s="0" t="s">
        <v>760</v>
      </c>
      <c r="C3774" s="0" t="s">
        <v>5317</v>
      </c>
      <c r="D3774" s="0" t="s">
        <v>98</v>
      </c>
      <c r="E3774" s="0" t="s">
        <v>5290</v>
      </c>
    </row>
    <row r="3775" customFormat="false" ht="15" hidden="false" customHeight="false" outlineLevel="0" collapsed="false">
      <c r="A3775" s="0" t="s">
        <v>5241</v>
      </c>
      <c r="B3775" s="0" t="s">
        <v>761</v>
      </c>
      <c r="C3775" s="0" t="s">
        <v>5318</v>
      </c>
      <c r="D3775" s="0" t="s">
        <v>98</v>
      </c>
      <c r="E3775" s="0" t="s">
        <v>5244</v>
      </c>
    </row>
    <row r="3776" customFormat="false" ht="15" hidden="false" customHeight="false" outlineLevel="0" collapsed="false">
      <c r="A3776" s="0" t="s">
        <v>5241</v>
      </c>
      <c r="B3776" s="0" t="s">
        <v>530</v>
      </c>
      <c r="C3776" s="0" t="s">
        <v>5319</v>
      </c>
      <c r="D3776" s="0" t="s">
        <v>98</v>
      </c>
      <c r="E3776" s="0" t="s">
        <v>5244</v>
      </c>
    </row>
    <row r="3777" customFormat="false" ht="15" hidden="false" customHeight="false" outlineLevel="0" collapsed="false">
      <c r="A3777" s="0" t="s">
        <v>5241</v>
      </c>
      <c r="B3777" s="0" t="s">
        <v>531</v>
      </c>
      <c r="C3777" s="0" t="s">
        <v>5320</v>
      </c>
      <c r="D3777" s="0" t="s">
        <v>98</v>
      </c>
      <c r="E3777" s="0" t="s">
        <v>5244</v>
      </c>
    </row>
    <row r="3778" customFormat="false" ht="15" hidden="false" customHeight="false" outlineLevel="0" collapsed="false">
      <c r="A3778" s="0" t="s">
        <v>5241</v>
      </c>
      <c r="B3778" s="0" t="s">
        <v>532</v>
      </c>
      <c r="C3778" s="0" t="s">
        <v>5321</v>
      </c>
      <c r="D3778" s="0" t="s">
        <v>98</v>
      </c>
      <c r="E3778" s="0" t="s">
        <v>5244</v>
      </c>
    </row>
    <row r="3779" customFormat="false" ht="15" hidden="false" customHeight="false" outlineLevel="0" collapsed="false">
      <c r="A3779" s="0" t="s">
        <v>5241</v>
      </c>
      <c r="B3779" s="0" t="s">
        <v>533</v>
      </c>
      <c r="C3779" s="0" t="s">
        <v>5322</v>
      </c>
      <c r="D3779" s="0" t="s">
        <v>98</v>
      </c>
      <c r="E3779" s="0" t="s">
        <v>5244</v>
      </c>
    </row>
    <row r="3780" customFormat="false" ht="15" hidden="false" customHeight="false" outlineLevel="0" collapsed="false">
      <c r="A3780" s="0" t="s">
        <v>5241</v>
      </c>
      <c r="B3780" s="0" t="s">
        <v>534</v>
      </c>
      <c r="C3780" s="0" t="s">
        <v>5323</v>
      </c>
      <c r="D3780" s="0" t="s">
        <v>98</v>
      </c>
      <c r="E3780" s="0" t="s">
        <v>5244</v>
      </c>
    </row>
    <row r="3781" customFormat="false" ht="15" hidden="false" customHeight="false" outlineLevel="0" collapsed="false">
      <c r="A3781" s="0" t="s">
        <v>5241</v>
      </c>
      <c r="B3781" s="0" t="s">
        <v>535</v>
      </c>
      <c r="C3781" s="0" t="s">
        <v>5324</v>
      </c>
      <c r="D3781" s="0" t="s">
        <v>98</v>
      </c>
      <c r="E3781" s="0" t="s">
        <v>5244</v>
      </c>
    </row>
    <row r="3782" customFormat="false" ht="15" hidden="false" customHeight="false" outlineLevel="0" collapsed="false">
      <c r="A3782" s="0" t="s">
        <v>5241</v>
      </c>
      <c r="B3782" s="0" t="s">
        <v>536</v>
      </c>
      <c r="C3782" s="0" t="s">
        <v>5325</v>
      </c>
      <c r="D3782" s="0" t="s">
        <v>98</v>
      </c>
      <c r="E3782" s="0" t="s">
        <v>5244</v>
      </c>
    </row>
    <row r="3783" customFormat="false" ht="15" hidden="false" customHeight="false" outlineLevel="0" collapsed="false">
      <c r="A3783" s="0" t="s">
        <v>5241</v>
      </c>
      <c r="B3783" s="0" t="s">
        <v>766</v>
      </c>
      <c r="C3783" s="0" t="s">
        <v>5326</v>
      </c>
      <c r="D3783" s="0" t="s">
        <v>98</v>
      </c>
      <c r="E3783" s="0" t="s">
        <v>5244</v>
      </c>
    </row>
    <row r="3784" customFormat="false" ht="15" hidden="false" customHeight="false" outlineLevel="0" collapsed="false">
      <c r="A3784" s="0" t="s">
        <v>5241</v>
      </c>
      <c r="B3784" s="0" t="s">
        <v>769</v>
      </c>
      <c r="C3784" s="0" t="s">
        <v>5327</v>
      </c>
      <c r="D3784" s="0" t="s">
        <v>98</v>
      </c>
      <c r="E3784" s="0" t="s">
        <v>5244</v>
      </c>
    </row>
    <row r="3785" customFormat="false" ht="15" hidden="false" customHeight="false" outlineLevel="0" collapsed="false">
      <c r="A3785" s="0" t="s">
        <v>5241</v>
      </c>
      <c r="B3785" s="0" t="s">
        <v>772</v>
      </c>
      <c r="C3785" s="0" t="s">
        <v>5328</v>
      </c>
      <c r="D3785" s="0" t="s">
        <v>98</v>
      </c>
      <c r="E3785" s="0" t="s">
        <v>5244</v>
      </c>
    </row>
    <row r="3786" customFormat="false" ht="15" hidden="false" customHeight="false" outlineLevel="0" collapsed="false">
      <c r="A3786" s="0" t="s">
        <v>5241</v>
      </c>
      <c r="B3786" s="0" t="s">
        <v>775</v>
      </c>
      <c r="C3786" s="0" t="s">
        <v>5329</v>
      </c>
      <c r="D3786" s="0" t="s">
        <v>98</v>
      </c>
      <c r="E3786" s="0" t="s">
        <v>5244</v>
      </c>
    </row>
    <row r="3787" customFormat="false" ht="15" hidden="false" customHeight="false" outlineLevel="0" collapsed="false">
      <c r="A3787" s="0" t="s">
        <v>5241</v>
      </c>
      <c r="B3787" s="0" t="s">
        <v>777</v>
      </c>
      <c r="C3787" s="0" t="s">
        <v>5330</v>
      </c>
      <c r="D3787" s="0" t="s">
        <v>98</v>
      </c>
      <c r="E3787" s="0" t="s">
        <v>5244</v>
      </c>
    </row>
    <row r="3788" customFormat="false" ht="15" hidden="false" customHeight="false" outlineLevel="0" collapsed="false">
      <c r="A3788" s="0" t="s">
        <v>5241</v>
      </c>
      <c r="B3788" s="0" t="s">
        <v>779</v>
      </c>
      <c r="C3788" s="0" t="s">
        <v>5331</v>
      </c>
      <c r="D3788" s="0" t="s">
        <v>98</v>
      </c>
      <c r="E3788" s="0" t="s">
        <v>5244</v>
      </c>
    </row>
    <row r="3789" customFormat="false" ht="15" hidden="false" customHeight="false" outlineLevel="0" collapsed="false">
      <c r="A3789" s="0" t="s">
        <v>5241</v>
      </c>
      <c r="B3789" s="0" t="s">
        <v>782</v>
      </c>
      <c r="C3789" s="0" t="s">
        <v>5332</v>
      </c>
      <c r="D3789" s="0" t="s">
        <v>98</v>
      </c>
      <c r="E3789" s="0" t="s">
        <v>5244</v>
      </c>
    </row>
    <row r="3790" customFormat="false" ht="15" hidden="false" customHeight="false" outlineLevel="0" collapsed="false">
      <c r="A3790" s="0" t="s">
        <v>5241</v>
      </c>
      <c r="B3790" s="0" t="s">
        <v>476</v>
      </c>
      <c r="C3790" s="0" t="s">
        <v>5333</v>
      </c>
      <c r="D3790" s="0" t="s">
        <v>98</v>
      </c>
      <c r="E3790" s="0" t="s">
        <v>5244</v>
      </c>
    </row>
    <row r="3791" customFormat="false" ht="15" hidden="false" customHeight="false" outlineLevel="0" collapsed="false">
      <c r="A3791" s="0" t="s">
        <v>5241</v>
      </c>
      <c r="B3791" s="0" t="s">
        <v>787</v>
      </c>
      <c r="C3791" s="0" t="s">
        <v>5334</v>
      </c>
      <c r="D3791" s="0" t="s">
        <v>98</v>
      </c>
      <c r="E3791" s="0" t="s">
        <v>5244</v>
      </c>
    </row>
    <row r="3792" customFormat="false" ht="15" hidden="false" customHeight="false" outlineLevel="0" collapsed="false">
      <c r="A3792" s="0" t="s">
        <v>5241</v>
      </c>
      <c r="B3792" s="0" t="s">
        <v>789</v>
      </c>
      <c r="C3792" s="0" t="s">
        <v>5335</v>
      </c>
      <c r="D3792" s="0" t="s">
        <v>98</v>
      </c>
      <c r="E3792" s="0" t="s">
        <v>5244</v>
      </c>
    </row>
    <row r="3793" customFormat="false" ht="15" hidden="false" customHeight="false" outlineLevel="0" collapsed="false">
      <c r="A3793" s="0" t="s">
        <v>5241</v>
      </c>
      <c r="B3793" s="0" t="s">
        <v>790</v>
      </c>
      <c r="C3793" s="0" t="s">
        <v>5336</v>
      </c>
      <c r="D3793" s="0" t="s">
        <v>98</v>
      </c>
      <c r="E3793" s="0" t="s">
        <v>5244</v>
      </c>
    </row>
    <row r="3794" customFormat="false" ht="15" hidden="false" customHeight="false" outlineLevel="0" collapsed="false">
      <c r="A3794" s="0" t="s">
        <v>5241</v>
      </c>
      <c r="B3794" s="0" t="s">
        <v>791</v>
      </c>
      <c r="C3794" s="0" t="s">
        <v>5337</v>
      </c>
      <c r="D3794" s="0" t="s">
        <v>98</v>
      </c>
      <c r="E3794" s="0" t="s">
        <v>5244</v>
      </c>
    </row>
    <row r="3795" customFormat="false" ht="15" hidden="false" customHeight="false" outlineLevel="0" collapsed="false">
      <c r="A3795" s="0" t="s">
        <v>5241</v>
      </c>
      <c r="B3795" s="0" t="s">
        <v>792</v>
      </c>
      <c r="C3795" s="0" t="s">
        <v>5338</v>
      </c>
      <c r="D3795" s="0" t="s">
        <v>98</v>
      </c>
      <c r="E3795" s="0" t="s">
        <v>5244</v>
      </c>
    </row>
    <row r="3796" customFormat="false" ht="15" hidden="false" customHeight="false" outlineLevel="0" collapsed="false">
      <c r="A3796" s="0" t="s">
        <v>5241</v>
      </c>
      <c r="B3796" s="0" t="s">
        <v>793</v>
      </c>
      <c r="C3796" s="0" t="s">
        <v>5339</v>
      </c>
      <c r="D3796" s="0" t="s">
        <v>98</v>
      </c>
      <c r="E3796" s="0" t="s">
        <v>5244</v>
      </c>
    </row>
    <row r="3797" customFormat="false" ht="15" hidden="false" customHeight="false" outlineLevel="0" collapsed="false">
      <c r="A3797" s="0" t="s">
        <v>5241</v>
      </c>
      <c r="B3797" s="0" t="s">
        <v>794</v>
      </c>
      <c r="C3797" s="0" t="s">
        <v>5340</v>
      </c>
      <c r="D3797" s="0" t="s">
        <v>98</v>
      </c>
      <c r="E3797" s="0" t="s">
        <v>5244</v>
      </c>
    </row>
    <row r="3798" customFormat="false" ht="15" hidden="false" customHeight="false" outlineLevel="0" collapsed="false">
      <c r="A3798" s="0" t="s">
        <v>5241</v>
      </c>
      <c r="B3798" s="0" t="s">
        <v>795</v>
      </c>
      <c r="C3798" s="0" t="s">
        <v>5341</v>
      </c>
      <c r="D3798" s="0" t="s">
        <v>98</v>
      </c>
      <c r="E3798" s="0" t="s">
        <v>5244</v>
      </c>
    </row>
    <row r="3799" customFormat="false" ht="15" hidden="false" customHeight="false" outlineLevel="0" collapsed="false">
      <c r="A3799" s="0" t="s">
        <v>5241</v>
      </c>
      <c r="B3799" s="0" t="s">
        <v>796</v>
      </c>
      <c r="C3799" s="0" t="s">
        <v>5342</v>
      </c>
      <c r="D3799" s="0" t="s">
        <v>98</v>
      </c>
      <c r="E3799" s="0" t="s">
        <v>5244</v>
      </c>
    </row>
    <row r="3800" customFormat="false" ht="15" hidden="false" customHeight="false" outlineLevel="0" collapsed="false">
      <c r="A3800" s="0" t="s">
        <v>5241</v>
      </c>
      <c r="B3800" s="0" t="s">
        <v>797</v>
      </c>
      <c r="C3800" s="0" t="s">
        <v>5343</v>
      </c>
      <c r="D3800" s="0" t="s">
        <v>98</v>
      </c>
      <c r="E3800" s="0" t="s">
        <v>5244</v>
      </c>
    </row>
    <row r="3801" customFormat="false" ht="15" hidden="false" customHeight="false" outlineLevel="0" collapsed="false">
      <c r="A3801" s="0" t="s">
        <v>5241</v>
      </c>
      <c r="B3801" s="0" t="s">
        <v>798</v>
      </c>
      <c r="C3801" s="0" t="s">
        <v>5344</v>
      </c>
      <c r="D3801" s="0" t="s">
        <v>98</v>
      </c>
      <c r="E3801" s="0" t="s">
        <v>5244</v>
      </c>
    </row>
    <row r="3802" customFormat="false" ht="15" hidden="false" customHeight="false" outlineLevel="0" collapsed="false">
      <c r="A3802" s="0" t="s">
        <v>5241</v>
      </c>
      <c r="B3802" s="0" t="s">
        <v>799</v>
      </c>
      <c r="C3802" s="0" t="s">
        <v>5345</v>
      </c>
      <c r="D3802" s="0" t="s">
        <v>98</v>
      </c>
      <c r="E3802" s="0" t="s">
        <v>5244</v>
      </c>
    </row>
    <row r="3803" customFormat="false" ht="15" hidden="false" customHeight="false" outlineLevel="0" collapsed="false">
      <c r="A3803" s="0" t="s">
        <v>5241</v>
      </c>
      <c r="B3803" s="0" t="s">
        <v>800</v>
      </c>
      <c r="C3803" s="0" t="s">
        <v>5346</v>
      </c>
      <c r="D3803" s="0" t="s">
        <v>98</v>
      </c>
      <c r="E3803" s="0" t="s">
        <v>5290</v>
      </c>
    </row>
    <row r="3804" customFormat="false" ht="15" hidden="false" customHeight="false" outlineLevel="0" collapsed="false">
      <c r="A3804" s="0" t="s">
        <v>5241</v>
      </c>
      <c r="B3804" s="0" t="s">
        <v>539</v>
      </c>
      <c r="C3804" s="0" t="s">
        <v>5347</v>
      </c>
      <c r="D3804" s="0" t="s">
        <v>98</v>
      </c>
      <c r="E3804" s="0" t="s">
        <v>5290</v>
      </c>
    </row>
    <row r="3805" customFormat="false" ht="15" hidden="false" customHeight="false" outlineLevel="0" collapsed="false">
      <c r="A3805" s="0" t="s">
        <v>5241</v>
      </c>
      <c r="B3805" s="0" t="s">
        <v>541</v>
      </c>
      <c r="C3805" s="0" t="s">
        <v>5348</v>
      </c>
      <c r="D3805" s="0" t="s">
        <v>98</v>
      </c>
      <c r="E3805" s="0" t="s">
        <v>5290</v>
      </c>
    </row>
    <row r="3806" customFormat="false" ht="15" hidden="false" customHeight="false" outlineLevel="0" collapsed="false">
      <c r="A3806" s="0" t="s">
        <v>5241</v>
      </c>
      <c r="B3806" s="0" t="s">
        <v>542</v>
      </c>
      <c r="C3806" s="0" t="s">
        <v>5349</v>
      </c>
      <c r="D3806" s="0" t="s">
        <v>98</v>
      </c>
      <c r="E3806" s="0" t="s">
        <v>5290</v>
      </c>
    </row>
    <row r="3807" customFormat="false" ht="15" hidden="false" customHeight="false" outlineLevel="0" collapsed="false">
      <c r="A3807" s="0" t="s">
        <v>5241</v>
      </c>
      <c r="B3807" s="0" t="s">
        <v>543</v>
      </c>
      <c r="C3807" s="0" t="s">
        <v>5350</v>
      </c>
      <c r="D3807" s="0" t="s">
        <v>98</v>
      </c>
      <c r="E3807" s="0" t="s">
        <v>5290</v>
      </c>
    </row>
    <row r="3808" customFormat="false" ht="15" hidden="false" customHeight="false" outlineLevel="0" collapsed="false">
      <c r="A3808" s="0" t="s">
        <v>5241</v>
      </c>
      <c r="B3808" s="0" t="s">
        <v>544</v>
      </c>
      <c r="C3808" s="0" t="s">
        <v>5351</v>
      </c>
      <c r="D3808" s="0" t="s">
        <v>98</v>
      </c>
      <c r="E3808" s="0" t="s">
        <v>5290</v>
      </c>
    </row>
    <row r="3809" customFormat="false" ht="15" hidden="false" customHeight="false" outlineLevel="0" collapsed="false">
      <c r="A3809" s="0" t="s">
        <v>5241</v>
      </c>
      <c r="B3809" s="0" t="s">
        <v>545</v>
      </c>
      <c r="C3809" s="0" t="s">
        <v>5352</v>
      </c>
      <c r="D3809" s="0" t="s">
        <v>98</v>
      </c>
      <c r="E3809" s="0" t="s">
        <v>5290</v>
      </c>
    </row>
    <row r="3810" customFormat="false" ht="15" hidden="false" customHeight="false" outlineLevel="0" collapsed="false">
      <c r="A3810" s="0" t="s">
        <v>5241</v>
      </c>
      <c r="B3810" s="0" t="s">
        <v>546</v>
      </c>
      <c r="C3810" s="0" t="s">
        <v>5353</v>
      </c>
      <c r="D3810" s="0" t="s">
        <v>98</v>
      </c>
      <c r="E3810" s="0" t="s">
        <v>5290</v>
      </c>
    </row>
    <row r="3811" customFormat="false" ht="15" hidden="false" customHeight="false" outlineLevel="0" collapsed="false">
      <c r="A3811" s="0" t="s">
        <v>5241</v>
      </c>
      <c r="B3811" s="0" t="s">
        <v>802</v>
      </c>
      <c r="C3811" s="0" t="s">
        <v>5354</v>
      </c>
      <c r="D3811" s="0" t="s">
        <v>98</v>
      </c>
      <c r="E3811" s="0" t="s">
        <v>5290</v>
      </c>
    </row>
    <row r="3812" customFormat="false" ht="15" hidden="false" customHeight="false" outlineLevel="0" collapsed="false">
      <c r="A3812" s="0" t="s">
        <v>5241</v>
      </c>
      <c r="B3812" s="0" t="s">
        <v>804</v>
      </c>
      <c r="C3812" s="0" t="s">
        <v>5355</v>
      </c>
      <c r="D3812" s="0" t="s">
        <v>98</v>
      </c>
      <c r="E3812" s="0" t="s">
        <v>5290</v>
      </c>
    </row>
    <row r="3813" customFormat="false" ht="15" hidden="false" customHeight="false" outlineLevel="0" collapsed="false">
      <c r="A3813" s="0" t="s">
        <v>5241</v>
      </c>
      <c r="B3813" s="0" t="s">
        <v>805</v>
      </c>
      <c r="C3813" s="0" t="s">
        <v>5356</v>
      </c>
      <c r="D3813" s="0" t="s">
        <v>98</v>
      </c>
      <c r="E3813" s="0" t="s">
        <v>5290</v>
      </c>
    </row>
    <row r="3814" customFormat="false" ht="15" hidden="false" customHeight="false" outlineLevel="0" collapsed="false">
      <c r="A3814" s="0" t="s">
        <v>5241</v>
      </c>
      <c r="B3814" s="0" t="s">
        <v>806</v>
      </c>
      <c r="C3814" s="0" t="s">
        <v>5357</v>
      </c>
      <c r="D3814" s="0" t="s">
        <v>98</v>
      </c>
      <c r="E3814" s="0" t="s">
        <v>5290</v>
      </c>
    </row>
    <row r="3815" customFormat="false" ht="15" hidden="false" customHeight="false" outlineLevel="0" collapsed="false">
      <c r="A3815" s="0" t="s">
        <v>5241</v>
      </c>
      <c r="B3815" s="0" t="s">
        <v>808</v>
      </c>
      <c r="C3815" s="0" t="s">
        <v>5358</v>
      </c>
      <c r="D3815" s="0" t="s">
        <v>98</v>
      </c>
      <c r="E3815" s="0" t="s">
        <v>5290</v>
      </c>
    </row>
    <row r="3816" customFormat="false" ht="15" hidden="false" customHeight="false" outlineLevel="0" collapsed="false">
      <c r="A3816" s="0" t="s">
        <v>5241</v>
      </c>
      <c r="B3816" s="0" t="s">
        <v>810</v>
      </c>
      <c r="C3816" s="0" t="s">
        <v>5359</v>
      </c>
      <c r="D3816" s="0" t="s">
        <v>98</v>
      </c>
      <c r="E3816" s="0" t="s">
        <v>5290</v>
      </c>
    </row>
    <row r="3817" customFormat="false" ht="15" hidden="false" customHeight="false" outlineLevel="0" collapsed="false">
      <c r="A3817" s="0" t="s">
        <v>5241</v>
      </c>
      <c r="B3817" s="0" t="s">
        <v>811</v>
      </c>
      <c r="C3817" s="0" t="s">
        <v>5360</v>
      </c>
      <c r="D3817" s="0" t="s">
        <v>98</v>
      </c>
      <c r="E3817" s="0" t="s">
        <v>5290</v>
      </c>
    </row>
    <row r="3818" customFormat="false" ht="15" hidden="false" customHeight="false" outlineLevel="0" collapsed="false">
      <c r="A3818" s="0" t="s">
        <v>5241</v>
      </c>
      <c r="B3818" s="0" t="s">
        <v>481</v>
      </c>
      <c r="C3818" s="0" t="s">
        <v>5361</v>
      </c>
      <c r="D3818" s="0" t="s">
        <v>98</v>
      </c>
      <c r="E3818" s="0" t="s">
        <v>5290</v>
      </c>
    </row>
    <row r="3819" customFormat="false" ht="15" hidden="false" customHeight="false" outlineLevel="0" collapsed="false">
      <c r="A3819" s="0" t="s">
        <v>5241</v>
      </c>
      <c r="B3819" s="0" t="s">
        <v>812</v>
      </c>
      <c r="C3819" s="0" t="s">
        <v>5362</v>
      </c>
      <c r="D3819" s="0" t="s">
        <v>98</v>
      </c>
      <c r="E3819" s="0" t="s">
        <v>5290</v>
      </c>
    </row>
    <row r="3820" customFormat="false" ht="15" hidden="false" customHeight="false" outlineLevel="0" collapsed="false">
      <c r="A3820" s="0" t="s">
        <v>5241</v>
      </c>
      <c r="B3820" s="0" t="s">
        <v>813</v>
      </c>
      <c r="C3820" s="0" t="s">
        <v>5363</v>
      </c>
      <c r="D3820" s="0" t="s">
        <v>98</v>
      </c>
      <c r="E3820" s="0" t="s">
        <v>5290</v>
      </c>
    </row>
    <row r="3821" customFormat="false" ht="15" hidden="false" customHeight="false" outlineLevel="0" collapsed="false">
      <c r="A3821" s="0" t="s">
        <v>5241</v>
      </c>
      <c r="B3821" s="0" t="s">
        <v>814</v>
      </c>
      <c r="C3821" s="0" t="s">
        <v>5364</v>
      </c>
      <c r="D3821" s="0" t="s">
        <v>98</v>
      </c>
      <c r="E3821" s="0" t="s">
        <v>5290</v>
      </c>
    </row>
    <row r="3822" customFormat="false" ht="15" hidden="false" customHeight="false" outlineLevel="0" collapsed="false">
      <c r="A3822" s="0" t="s">
        <v>5241</v>
      </c>
      <c r="B3822" s="0" t="s">
        <v>815</v>
      </c>
      <c r="C3822" s="0" t="s">
        <v>5365</v>
      </c>
      <c r="D3822" s="0" t="s">
        <v>98</v>
      </c>
      <c r="E3822" s="0" t="s">
        <v>5290</v>
      </c>
    </row>
    <row r="3823" customFormat="false" ht="15" hidden="false" customHeight="false" outlineLevel="0" collapsed="false">
      <c r="A3823" s="0" t="s">
        <v>5241</v>
      </c>
      <c r="B3823" s="0" t="s">
        <v>816</v>
      </c>
      <c r="C3823" s="0" t="s">
        <v>5366</v>
      </c>
      <c r="D3823" s="0" t="s">
        <v>98</v>
      </c>
      <c r="E3823" s="0" t="s">
        <v>5290</v>
      </c>
    </row>
    <row r="3824" customFormat="false" ht="15" hidden="false" customHeight="false" outlineLevel="0" collapsed="false">
      <c r="A3824" s="0" t="s">
        <v>5241</v>
      </c>
      <c r="B3824" s="0" t="s">
        <v>817</v>
      </c>
      <c r="C3824" s="0" t="s">
        <v>5367</v>
      </c>
      <c r="D3824" s="0" t="s">
        <v>98</v>
      </c>
      <c r="E3824" s="0" t="s">
        <v>5290</v>
      </c>
    </row>
    <row r="3825" customFormat="false" ht="15" hidden="false" customHeight="false" outlineLevel="0" collapsed="false">
      <c r="A3825" s="0" t="s">
        <v>5241</v>
      </c>
      <c r="B3825" s="0" t="s">
        <v>818</v>
      </c>
      <c r="C3825" s="0" t="s">
        <v>5368</v>
      </c>
      <c r="D3825" s="0" t="s">
        <v>98</v>
      </c>
      <c r="E3825" s="0" t="s">
        <v>5290</v>
      </c>
    </row>
    <row r="3826" customFormat="false" ht="15" hidden="false" customHeight="false" outlineLevel="0" collapsed="false">
      <c r="A3826" s="0" t="s">
        <v>5241</v>
      </c>
      <c r="B3826" s="0" t="s">
        <v>819</v>
      </c>
      <c r="C3826" s="0" t="s">
        <v>5369</v>
      </c>
      <c r="D3826" s="0" t="s">
        <v>98</v>
      </c>
      <c r="E3826" s="0" t="s">
        <v>5290</v>
      </c>
    </row>
    <row r="3827" customFormat="false" ht="15" hidden="false" customHeight="false" outlineLevel="0" collapsed="false">
      <c r="A3827" s="0" t="s">
        <v>5241</v>
      </c>
      <c r="B3827" s="0" t="s">
        <v>820</v>
      </c>
      <c r="C3827" s="0" t="s">
        <v>5370</v>
      </c>
      <c r="D3827" s="0" t="s">
        <v>98</v>
      </c>
      <c r="E3827" s="0" t="s">
        <v>5290</v>
      </c>
    </row>
    <row r="3828" customFormat="false" ht="15" hidden="false" customHeight="false" outlineLevel="0" collapsed="false">
      <c r="A3828" s="0" t="s">
        <v>5241</v>
      </c>
      <c r="B3828" s="0" t="s">
        <v>821</v>
      </c>
      <c r="C3828" s="0" t="s">
        <v>5371</v>
      </c>
      <c r="D3828" s="0" t="s">
        <v>98</v>
      </c>
      <c r="E3828" s="0" t="s">
        <v>5290</v>
      </c>
    </row>
    <row r="3829" customFormat="false" ht="15" hidden="false" customHeight="false" outlineLevel="0" collapsed="false">
      <c r="A3829" s="0" t="s">
        <v>5241</v>
      </c>
      <c r="B3829" s="0" t="s">
        <v>822</v>
      </c>
      <c r="C3829" s="0" t="s">
        <v>5372</v>
      </c>
      <c r="D3829" s="0" t="s">
        <v>98</v>
      </c>
      <c r="E3829" s="0" t="s">
        <v>5290</v>
      </c>
    </row>
    <row r="3830" customFormat="false" ht="15" hidden="false" customHeight="false" outlineLevel="0" collapsed="false">
      <c r="A3830" s="0" t="s">
        <v>5241</v>
      </c>
      <c r="B3830" s="0" t="s">
        <v>823</v>
      </c>
      <c r="C3830" s="0" t="s">
        <v>5373</v>
      </c>
      <c r="D3830" s="0" t="s">
        <v>98</v>
      </c>
      <c r="E3830" s="0" t="s">
        <v>5290</v>
      </c>
    </row>
    <row r="3831" customFormat="false" ht="15" hidden="false" customHeight="false" outlineLevel="0" collapsed="false">
      <c r="A3831" s="0" t="s">
        <v>5241</v>
      </c>
      <c r="B3831" s="0" t="s">
        <v>824</v>
      </c>
      <c r="C3831" s="0" t="s">
        <v>5374</v>
      </c>
      <c r="D3831" s="0" t="s">
        <v>98</v>
      </c>
      <c r="E3831" s="0" t="s">
        <v>5244</v>
      </c>
    </row>
    <row r="3832" customFormat="false" ht="15" hidden="false" customHeight="false" outlineLevel="0" collapsed="false">
      <c r="A3832" s="0" t="s">
        <v>5241</v>
      </c>
      <c r="B3832" s="0" t="s">
        <v>549</v>
      </c>
      <c r="C3832" s="0" t="s">
        <v>5375</v>
      </c>
      <c r="D3832" s="0" t="s">
        <v>98</v>
      </c>
      <c r="E3832" s="0" t="s">
        <v>5244</v>
      </c>
    </row>
    <row r="3833" customFormat="false" ht="15" hidden="false" customHeight="false" outlineLevel="0" collapsed="false">
      <c r="A3833" s="0" t="s">
        <v>5241</v>
      </c>
      <c r="B3833" s="0" t="s">
        <v>551</v>
      </c>
      <c r="C3833" s="0" t="s">
        <v>5376</v>
      </c>
      <c r="D3833" s="0" t="s">
        <v>98</v>
      </c>
      <c r="E3833" s="0" t="s">
        <v>5244</v>
      </c>
    </row>
    <row r="3834" customFormat="false" ht="15" hidden="false" customHeight="false" outlineLevel="0" collapsed="false">
      <c r="A3834" s="0" t="s">
        <v>5241</v>
      </c>
      <c r="B3834" s="0" t="s">
        <v>552</v>
      </c>
      <c r="C3834" s="0" t="s">
        <v>5377</v>
      </c>
      <c r="D3834" s="0" t="s">
        <v>98</v>
      </c>
      <c r="E3834" s="0" t="s">
        <v>5244</v>
      </c>
    </row>
    <row r="3835" customFormat="false" ht="15" hidden="false" customHeight="false" outlineLevel="0" collapsed="false">
      <c r="A3835" s="0" t="s">
        <v>5241</v>
      </c>
      <c r="B3835" s="0" t="s">
        <v>553</v>
      </c>
      <c r="C3835" s="0" t="s">
        <v>5378</v>
      </c>
      <c r="D3835" s="0" t="s">
        <v>98</v>
      </c>
      <c r="E3835" s="0" t="s">
        <v>5244</v>
      </c>
    </row>
    <row r="3836" customFormat="false" ht="15" hidden="false" customHeight="false" outlineLevel="0" collapsed="false">
      <c r="A3836" s="0" t="s">
        <v>5241</v>
      </c>
      <c r="B3836" s="0" t="s">
        <v>554</v>
      </c>
      <c r="C3836" s="0" t="s">
        <v>5379</v>
      </c>
      <c r="D3836" s="0" t="s">
        <v>98</v>
      </c>
      <c r="E3836" s="0" t="s">
        <v>5244</v>
      </c>
    </row>
    <row r="3837" customFormat="false" ht="15" hidden="false" customHeight="false" outlineLevel="0" collapsed="false">
      <c r="A3837" s="0" t="s">
        <v>5241</v>
      </c>
      <c r="B3837" s="0" t="s">
        <v>555</v>
      </c>
      <c r="C3837" s="0" t="s">
        <v>5380</v>
      </c>
      <c r="D3837" s="0" t="s">
        <v>98</v>
      </c>
      <c r="E3837" s="0" t="s">
        <v>5244</v>
      </c>
    </row>
    <row r="3838" customFormat="false" ht="15" hidden="false" customHeight="false" outlineLevel="0" collapsed="false">
      <c r="A3838" s="0" t="s">
        <v>5241</v>
      </c>
      <c r="B3838" s="0" t="s">
        <v>556</v>
      </c>
      <c r="C3838" s="0" t="s">
        <v>5381</v>
      </c>
      <c r="D3838" s="0" t="s">
        <v>98</v>
      </c>
      <c r="E3838" s="0" t="s">
        <v>5244</v>
      </c>
    </row>
    <row r="3839" customFormat="false" ht="15" hidden="false" customHeight="false" outlineLevel="0" collapsed="false">
      <c r="A3839" s="0" t="s">
        <v>5241</v>
      </c>
      <c r="B3839" s="0" t="s">
        <v>834</v>
      </c>
      <c r="C3839" s="0" t="s">
        <v>5382</v>
      </c>
      <c r="D3839" s="0" t="s">
        <v>98</v>
      </c>
      <c r="E3839" s="0" t="s">
        <v>5244</v>
      </c>
    </row>
    <row r="3840" customFormat="false" ht="15" hidden="false" customHeight="false" outlineLevel="0" collapsed="false">
      <c r="A3840" s="0" t="s">
        <v>5241</v>
      </c>
      <c r="B3840" s="0" t="s">
        <v>836</v>
      </c>
      <c r="C3840" s="0" t="s">
        <v>5383</v>
      </c>
      <c r="D3840" s="0" t="s">
        <v>98</v>
      </c>
      <c r="E3840" s="0" t="s">
        <v>5244</v>
      </c>
    </row>
    <row r="3841" customFormat="false" ht="15" hidden="false" customHeight="false" outlineLevel="0" collapsed="false">
      <c r="A3841" s="0" t="s">
        <v>5241</v>
      </c>
      <c r="B3841" s="0" t="s">
        <v>838</v>
      </c>
      <c r="C3841" s="0" t="s">
        <v>5384</v>
      </c>
      <c r="D3841" s="0" t="s">
        <v>98</v>
      </c>
      <c r="E3841" s="0" t="s">
        <v>5244</v>
      </c>
    </row>
    <row r="3842" customFormat="false" ht="15" hidden="false" customHeight="false" outlineLevel="0" collapsed="false">
      <c r="A3842" s="0" t="s">
        <v>5241</v>
      </c>
      <c r="B3842" s="0" t="s">
        <v>840</v>
      </c>
      <c r="C3842" s="0" t="s">
        <v>5385</v>
      </c>
      <c r="D3842" s="0" t="s">
        <v>98</v>
      </c>
      <c r="E3842" s="0" t="s">
        <v>5244</v>
      </c>
    </row>
    <row r="3843" customFormat="false" ht="15" hidden="false" customHeight="false" outlineLevel="0" collapsed="false">
      <c r="A3843" s="0" t="s">
        <v>5241</v>
      </c>
      <c r="B3843" s="0" t="s">
        <v>842</v>
      </c>
      <c r="C3843" s="0" t="s">
        <v>5386</v>
      </c>
      <c r="D3843" s="0" t="s">
        <v>98</v>
      </c>
      <c r="E3843" s="0" t="s">
        <v>5244</v>
      </c>
    </row>
    <row r="3844" customFormat="false" ht="15" hidden="false" customHeight="false" outlineLevel="0" collapsed="false">
      <c r="A3844" s="0" t="s">
        <v>5241</v>
      </c>
      <c r="B3844" s="0" t="s">
        <v>844</v>
      </c>
      <c r="C3844" s="0" t="s">
        <v>5387</v>
      </c>
      <c r="D3844" s="0" t="s">
        <v>98</v>
      </c>
      <c r="E3844" s="0" t="s">
        <v>5244</v>
      </c>
    </row>
    <row r="3845" customFormat="false" ht="15" hidden="false" customHeight="false" outlineLevel="0" collapsed="false">
      <c r="A3845" s="0" t="s">
        <v>5241</v>
      </c>
      <c r="B3845" s="0" t="s">
        <v>846</v>
      </c>
      <c r="C3845" s="0" t="s">
        <v>5388</v>
      </c>
      <c r="D3845" s="0" t="s">
        <v>98</v>
      </c>
      <c r="E3845" s="0" t="s">
        <v>5244</v>
      </c>
    </row>
    <row r="3846" customFormat="false" ht="15" hidden="false" customHeight="false" outlineLevel="0" collapsed="false">
      <c r="A3846" s="0" t="s">
        <v>5241</v>
      </c>
      <c r="B3846" s="0" t="s">
        <v>487</v>
      </c>
      <c r="C3846" s="0" t="s">
        <v>5389</v>
      </c>
      <c r="D3846" s="0" t="s">
        <v>98</v>
      </c>
      <c r="E3846" s="0" t="s">
        <v>5244</v>
      </c>
    </row>
    <row r="3847" customFormat="false" ht="15" hidden="false" customHeight="false" outlineLevel="0" collapsed="false">
      <c r="A3847" s="0" t="s">
        <v>5241</v>
      </c>
      <c r="B3847" s="0" t="s">
        <v>849</v>
      </c>
      <c r="C3847" s="0" t="s">
        <v>5390</v>
      </c>
      <c r="D3847" s="0" t="s">
        <v>98</v>
      </c>
      <c r="E3847" s="0" t="s">
        <v>5244</v>
      </c>
    </row>
    <row r="3848" customFormat="false" ht="15" hidden="false" customHeight="false" outlineLevel="0" collapsed="false">
      <c r="A3848" s="0" t="s">
        <v>5241</v>
      </c>
      <c r="B3848" s="0" t="s">
        <v>851</v>
      </c>
      <c r="C3848" s="0" t="s">
        <v>5391</v>
      </c>
      <c r="D3848" s="0" t="s">
        <v>98</v>
      </c>
      <c r="E3848" s="0" t="s">
        <v>5244</v>
      </c>
    </row>
    <row r="3849" customFormat="false" ht="15" hidden="false" customHeight="false" outlineLevel="0" collapsed="false">
      <c r="A3849" s="0" t="s">
        <v>5241</v>
      </c>
      <c r="B3849" s="0" t="s">
        <v>853</v>
      </c>
      <c r="C3849" s="0" t="s">
        <v>5392</v>
      </c>
      <c r="D3849" s="0" t="s">
        <v>98</v>
      </c>
      <c r="E3849" s="0" t="s">
        <v>5244</v>
      </c>
    </row>
    <row r="3850" customFormat="false" ht="15" hidden="false" customHeight="false" outlineLevel="0" collapsed="false">
      <c r="A3850" s="0" t="s">
        <v>5241</v>
      </c>
      <c r="B3850" s="0" t="s">
        <v>855</v>
      </c>
      <c r="C3850" s="0" t="s">
        <v>5393</v>
      </c>
      <c r="D3850" s="0" t="s">
        <v>98</v>
      </c>
      <c r="E3850" s="0" t="s">
        <v>5244</v>
      </c>
    </row>
    <row r="3851" customFormat="false" ht="15" hidden="false" customHeight="false" outlineLevel="0" collapsed="false">
      <c r="A3851" s="0" t="s">
        <v>5241</v>
      </c>
      <c r="B3851" s="0" t="s">
        <v>857</v>
      </c>
      <c r="C3851" s="0" t="s">
        <v>5394</v>
      </c>
      <c r="D3851" s="0" t="s">
        <v>98</v>
      </c>
      <c r="E3851" s="0" t="s">
        <v>5244</v>
      </c>
    </row>
    <row r="3852" customFormat="false" ht="15" hidden="false" customHeight="false" outlineLevel="0" collapsed="false">
      <c r="A3852" s="0" t="s">
        <v>5241</v>
      </c>
      <c r="B3852" s="0" t="s">
        <v>859</v>
      </c>
      <c r="C3852" s="0" t="s">
        <v>5395</v>
      </c>
      <c r="D3852" s="0" t="s">
        <v>98</v>
      </c>
      <c r="E3852" s="0" t="s">
        <v>5244</v>
      </c>
    </row>
    <row r="3853" customFormat="false" ht="15" hidden="false" customHeight="false" outlineLevel="0" collapsed="false">
      <c r="A3853" s="0" t="s">
        <v>5241</v>
      </c>
      <c r="B3853" s="0" t="s">
        <v>861</v>
      </c>
      <c r="C3853" s="0" t="s">
        <v>5396</v>
      </c>
      <c r="D3853" s="0" t="s">
        <v>98</v>
      </c>
      <c r="E3853" s="0" t="s">
        <v>5244</v>
      </c>
    </row>
    <row r="3854" customFormat="false" ht="15" hidden="false" customHeight="false" outlineLevel="0" collapsed="false">
      <c r="A3854" s="0" t="s">
        <v>5241</v>
      </c>
      <c r="B3854" s="0" t="s">
        <v>863</v>
      </c>
      <c r="C3854" s="0" t="s">
        <v>5397</v>
      </c>
      <c r="D3854" s="0" t="s">
        <v>98</v>
      </c>
      <c r="E3854" s="0" t="s">
        <v>5244</v>
      </c>
    </row>
    <row r="3855" customFormat="false" ht="15" hidden="false" customHeight="false" outlineLevel="0" collapsed="false">
      <c r="A3855" s="0" t="s">
        <v>5241</v>
      </c>
      <c r="B3855" s="0" t="s">
        <v>865</v>
      </c>
      <c r="C3855" s="0" t="s">
        <v>5398</v>
      </c>
      <c r="D3855" s="0" t="s">
        <v>98</v>
      </c>
      <c r="E3855" s="0" t="s">
        <v>5244</v>
      </c>
    </row>
    <row r="3856" customFormat="false" ht="15" hidden="false" customHeight="false" outlineLevel="0" collapsed="false">
      <c r="A3856" s="0" t="s">
        <v>5241</v>
      </c>
      <c r="B3856" s="0" t="s">
        <v>867</v>
      </c>
      <c r="C3856" s="0" t="s">
        <v>5399</v>
      </c>
      <c r="D3856" s="0" t="s">
        <v>98</v>
      </c>
      <c r="E3856" s="0" t="s">
        <v>5244</v>
      </c>
    </row>
    <row r="3857" customFormat="false" ht="15" hidden="false" customHeight="false" outlineLevel="0" collapsed="false">
      <c r="A3857" s="0" t="s">
        <v>5241</v>
      </c>
      <c r="B3857" s="0" t="s">
        <v>869</v>
      </c>
      <c r="C3857" s="0" t="s">
        <v>5400</v>
      </c>
      <c r="D3857" s="0" t="s">
        <v>98</v>
      </c>
      <c r="E3857" s="0" t="s">
        <v>5244</v>
      </c>
    </row>
    <row r="3858" customFormat="false" ht="15" hidden="false" customHeight="false" outlineLevel="0" collapsed="false">
      <c r="A3858" s="0" t="s">
        <v>5241</v>
      </c>
      <c r="B3858" s="0" t="s">
        <v>871</v>
      </c>
      <c r="C3858" s="0" t="s">
        <v>5401</v>
      </c>
      <c r="D3858" s="0" t="s">
        <v>98</v>
      </c>
      <c r="E3858" s="0" t="s">
        <v>5244</v>
      </c>
    </row>
    <row r="3859" customFormat="false" ht="15" hidden="false" customHeight="false" outlineLevel="0" collapsed="false">
      <c r="A3859" s="0" t="s">
        <v>5241</v>
      </c>
      <c r="B3859" s="0" t="s">
        <v>5402</v>
      </c>
      <c r="C3859" s="0" t="s">
        <v>5403</v>
      </c>
      <c r="D3859" s="0" t="s">
        <v>98</v>
      </c>
      <c r="E3859" s="0" t="s">
        <v>5290</v>
      </c>
    </row>
    <row r="3860" customFormat="false" ht="15" hidden="false" customHeight="false" outlineLevel="0" collapsed="false">
      <c r="A3860" s="0" t="s">
        <v>5241</v>
      </c>
      <c r="B3860" s="0" t="s">
        <v>559</v>
      </c>
      <c r="C3860" s="0" t="s">
        <v>5404</v>
      </c>
      <c r="D3860" s="0" t="s">
        <v>98</v>
      </c>
      <c r="E3860" s="0" t="s">
        <v>5290</v>
      </c>
    </row>
    <row r="3861" customFormat="false" ht="15" hidden="false" customHeight="false" outlineLevel="0" collapsed="false">
      <c r="A3861" s="0" t="s">
        <v>5241</v>
      </c>
      <c r="B3861" s="0" t="s">
        <v>561</v>
      </c>
      <c r="C3861" s="0" t="s">
        <v>5405</v>
      </c>
      <c r="D3861" s="0" t="s">
        <v>98</v>
      </c>
      <c r="E3861" s="0" t="s">
        <v>5290</v>
      </c>
    </row>
    <row r="3862" customFormat="false" ht="15" hidden="false" customHeight="false" outlineLevel="0" collapsed="false">
      <c r="A3862" s="0" t="s">
        <v>5241</v>
      </c>
      <c r="B3862" s="0" t="s">
        <v>562</v>
      </c>
      <c r="C3862" s="0" t="s">
        <v>5406</v>
      </c>
      <c r="D3862" s="0" t="s">
        <v>98</v>
      </c>
      <c r="E3862" s="0" t="s">
        <v>5290</v>
      </c>
    </row>
    <row r="3863" customFormat="false" ht="15" hidden="false" customHeight="false" outlineLevel="0" collapsed="false">
      <c r="A3863" s="0" t="s">
        <v>5241</v>
      </c>
      <c r="B3863" s="0" t="s">
        <v>563</v>
      </c>
      <c r="C3863" s="0" t="s">
        <v>5407</v>
      </c>
      <c r="D3863" s="0" t="s">
        <v>98</v>
      </c>
      <c r="E3863" s="0" t="s">
        <v>5290</v>
      </c>
    </row>
    <row r="3864" customFormat="false" ht="15" hidden="false" customHeight="false" outlineLevel="0" collapsed="false">
      <c r="A3864" s="0" t="s">
        <v>5241</v>
      </c>
      <c r="B3864" s="0" t="s">
        <v>564</v>
      </c>
      <c r="C3864" s="0" t="s">
        <v>5408</v>
      </c>
      <c r="D3864" s="0" t="s">
        <v>98</v>
      </c>
      <c r="E3864" s="0" t="s">
        <v>5290</v>
      </c>
    </row>
    <row r="3865" customFormat="false" ht="15" hidden="false" customHeight="false" outlineLevel="0" collapsed="false">
      <c r="A3865" s="0" t="s">
        <v>5241</v>
      </c>
      <c r="B3865" s="0" t="s">
        <v>565</v>
      </c>
      <c r="C3865" s="0" t="s">
        <v>5409</v>
      </c>
      <c r="D3865" s="0" t="s">
        <v>98</v>
      </c>
      <c r="E3865" s="0" t="s">
        <v>5290</v>
      </c>
    </row>
    <row r="3866" customFormat="false" ht="15" hidden="false" customHeight="false" outlineLevel="0" collapsed="false">
      <c r="A3866" s="0" t="s">
        <v>5241</v>
      </c>
      <c r="B3866" s="0" t="s">
        <v>566</v>
      </c>
      <c r="C3866" s="0" t="s">
        <v>5410</v>
      </c>
      <c r="D3866" s="0" t="s">
        <v>98</v>
      </c>
      <c r="E3866" s="0" t="s">
        <v>5290</v>
      </c>
    </row>
    <row r="3867" customFormat="false" ht="15" hidden="false" customHeight="false" outlineLevel="0" collapsed="false">
      <c r="A3867" s="0" t="s">
        <v>5241</v>
      </c>
      <c r="B3867" s="0" t="s">
        <v>4349</v>
      </c>
      <c r="C3867" s="0" t="s">
        <v>5411</v>
      </c>
      <c r="D3867" s="0" t="s">
        <v>98</v>
      </c>
      <c r="E3867" s="0" t="s">
        <v>5290</v>
      </c>
    </row>
    <row r="3868" customFormat="false" ht="15" hidden="false" customHeight="false" outlineLevel="0" collapsed="false">
      <c r="A3868" s="0" t="s">
        <v>5241</v>
      </c>
      <c r="B3868" s="0" t="s">
        <v>4351</v>
      </c>
      <c r="C3868" s="0" t="s">
        <v>5412</v>
      </c>
      <c r="D3868" s="0" t="s">
        <v>98</v>
      </c>
      <c r="E3868" s="0" t="s">
        <v>5290</v>
      </c>
    </row>
    <row r="3869" customFormat="false" ht="15" hidden="false" customHeight="false" outlineLevel="0" collapsed="false">
      <c r="A3869" s="0" t="s">
        <v>5241</v>
      </c>
      <c r="B3869" s="0" t="s">
        <v>4353</v>
      </c>
      <c r="C3869" s="0" t="s">
        <v>5413</v>
      </c>
      <c r="D3869" s="0" t="s">
        <v>98</v>
      </c>
      <c r="E3869" s="0" t="s">
        <v>5290</v>
      </c>
    </row>
    <row r="3870" customFormat="false" ht="15" hidden="false" customHeight="false" outlineLevel="0" collapsed="false">
      <c r="A3870" s="0" t="s">
        <v>5241</v>
      </c>
      <c r="B3870" s="0" t="s">
        <v>875</v>
      </c>
      <c r="C3870" s="0" t="s">
        <v>5414</v>
      </c>
      <c r="D3870" s="0" t="s">
        <v>98</v>
      </c>
      <c r="E3870" s="0" t="s">
        <v>5290</v>
      </c>
    </row>
    <row r="3871" customFormat="false" ht="15" hidden="false" customHeight="false" outlineLevel="0" collapsed="false">
      <c r="A3871" s="0" t="s">
        <v>5241</v>
      </c>
      <c r="B3871" s="0" t="s">
        <v>5415</v>
      </c>
      <c r="C3871" s="0" t="s">
        <v>5416</v>
      </c>
      <c r="D3871" s="0" t="s">
        <v>98</v>
      </c>
      <c r="E3871" s="0" t="s">
        <v>5290</v>
      </c>
    </row>
    <row r="3872" customFormat="false" ht="15" hidden="false" customHeight="false" outlineLevel="0" collapsed="false">
      <c r="A3872" s="0" t="s">
        <v>5241</v>
      </c>
      <c r="B3872" s="0" t="s">
        <v>5417</v>
      </c>
      <c r="C3872" s="0" t="s">
        <v>5418</v>
      </c>
      <c r="D3872" s="0" t="s">
        <v>98</v>
      </c>
      <c r="E3872" s="0" t="s">
        <v>5290</v>
      </c>
    </row>
    <row r="3873" customFormat="false" ht="15" hidden="false" customHeight="false" outlineLevel="0" collapsed="false">
      <c r="A3873" s="0" t="s">
        <v>5241</v>
      </c>
      <c r="B3873" s="0" t="s">
        <v>5419</v>
      </c>
      <c r="C3873" s="0" t="s">
        <v>5420</v>
      </c>
      <c r="D3873" s="0" t="s">
        <v>98</v>
      </c>
      <c r="E3873" s="0" t="s">
        <v>5290</v>
      </c>
    </row>
    <row r="3874" customFormat="false" ht="15" hidden="false" customHeight="false" outlineLevel="0" collapsed="false">
      <c r="A3874" s="0" t="s">
        <v>5241</v>
      </c>
      <c r="B3874" s="0" t="s">
        <v>493</v>
      </c>
      <c r="C3874" s="0" t="s">
        <v>5421</v>
      </c>
      <c r="D3874" s="0" t="s">
        <v>98</v>
      </c>
      <c r="E3874" s="0" t="s">
        <v>5290</v>
      </c>
    </row>
    <row r="3875" customFormat="false" ht="15" hidden="false" customHeight="false" outlineLevel="0" collapsed="false">
      <c r="A3875" s="0" t="s">
        <v>5241</v>
      </c>
      <c r="B3875" s="0" t="s">
        <v>5422</v>
      </c>
      <c r="C3875" s="0" t="s">
        <v>5423</v>
      </c>
      <c r="D3875" s="0" t="s">
        <v>98</v>
      </c>
      <c r="E3875" s="0" t="s">
        <v>5290</v>
      </c>
    </row>
    <row r="3876" customFormat="false" ht="15" hidden="false" customHeight="false" outlineLevel="0" collapsed="false">
      <c r="A3876" s="0" t="s">
        <v>5241</v>
      </c>
      <c r="B3876" s="0" t="s">
        <v>5424</v>
      </c>
      <c r="C3876" s="0" t="s">
        <v>5425</v>
      </c>
      <c r="D3876" s="0" t="s">
        <v>98</v>
      </c>
      <c r="E3876" s="0" t="s">
        <v>5290</v>
      </c>
    </row>
    <row r="3877" customFormat="false" ht="15" hidden="false" customHeight="false" outlineLevel="0" collapsed="false">
      <c r="A3877" s="0" t="s">
        <v>5241</v>
      </c>
      <c r="B3877" s="0" t="s">
        <v>5426</v>
      </c>
      <c r="C3877" s="0" t="s">
        <v>5427</v>
      </c>
      <c r="D3877" s="0" t="s">
        <v>98</v>
      </c>
      <c r="E3877" s="0" t="s">
        <v>5290</v>
      </c>
    </row>
    <row r="3878" customFormat="false" ht="15" hidden="false" customHeight="false" outlineLevel="0" collapsed="false">
      <c r="A3878" s="0" t="s">
        <v>5241</v>
      </c>
      <c r="B3878" s="0" t="s">
        <v>5428</v>
      </c>
      <c r="C3878" s="0" t="s">
        <v>5429</v>
      </c>
      <c r="D3878" s="0" t="s">
        <v>98</v>
      </c>
      <c r="E3878" s="0" t="s">
        <v>5290</v>
      </c>
    </row>
    <row r="3879" customFormat="false" ht="15" hidden="false" customHeight="false" outlineLevel="0" collapsed="false">
      <c r="A3879" s="0" t="s">
        <v>5241</v>
      </c>
      <c r="B3879" s="0" t="s">
        <v>5430</v>
      </c>
      <c r="C3879" s="0" t="s">
        <v>5431</v>
      </c>
      <c r="D3879" s="0" t="s">
        <v>98</v>
      </c>
      <c r="E3879" s="0" t="s">
        <v>5290</v>
      </c>
    </row>
    <row r="3880" customFormat="false" ht="15" hidden="false" customHeight="false" outlineLevel="0" collapsed="false">
      <c r="A3880" s="0" t="s">
        <v>5241</v>
      </c>
      <c r="B3880" s="0" t="s">
        <v>5432</v>
      </c>
      <c r="C3880" s="0" t="s">
        <v>5433</v>
      </c>
      <c r="D3880" s="0" t="s">
        <v>98</v>
      </c>
      <c r="E3880" s="0" t="s">
        <v>5290</v>
      </c>
    </row>
    <row r="3881" customFormat="false" ht="15" hidden="false" customHeight="false" outlineLevel="0" collapsed="false">
      <c r="A3881" s="0" t="s">
        <v>5241</v>
      </c>
      <c r="B3881" s="0" t="s">
        <v>5434</v>
      </c>
      <c r="C3881" s="0" t="s">
        <v>5435</v>
      </c>
      <c r="D3881" s="0" t="s">
        <v>98</v>
      </c>
      <c r="E3881" s="0" t="s">
        <v>5290</v>
      </c>
    </row>
    <row r="3882" customFormat="false" ht="15" hidden="false" customHeight="false" outlineLevel="0" collapsed="false">
      <c r="A3882" s="0" t="s">
        <v>5241</v>
      </c>
      <c r="B3882" s="0" t="s">
        <v>5436</v>
      </c>
      <c r="C3882" s="0" t="s">
        <v>5437</v>
      </c>
      <c r="D3882" s="0" t="s">
        <v>98</v>
      </c>
      <c r="E3882" s="0" t="s">
        <v>5290</v>
      </c>
    </row>
    <row r="3883" customFormat="false" ht="15" hidden="false" customHeight="false" outlineLevel="0" collapsed="false">
      <c r="A3883" s="0" t="s">
        <v>5241</v>
      </c>
      <c r="B3883" s="0" t="s">
        <v>5438</v>
      </c>
      <c r="C3883" s="0" t="s">
        <v>5439</v>
      </c>
      <c r="D3883" s="0" t="s">
        <v>98</v>
      </c>
      <c r="E3883" s="0" t="s">
        <v>5290</v>
      </c>
    </row>
    <row r="3884" customFormat="false" ht="15" hidden="false" customHeight="false" outlineLevel="0" collapsed="false">
      <c r="A3884" s="0" t="s">
        <v>5241</v>
      </c>
      <c r="B3884" s="0" t="s">
        <v>5440</v>
      </c>
      <c r="C3884" s="0" t="s">
        <v>5441</v>
      </c>
      <c r="D3884" s="0" t="s">
        <v>98</v>
      </c>
      <c r="E3884" s="0" t="s">
        <v>5290</v>
      </c>
    </row>
    <row r="3885" customFormat="false" ht="15" hidden="false" customHeight="false" outlineLevel="0" collapsed="false">
      <c r="A3885" s="0" t="s">
        <v>5241</v>
      </c>
      <c r="B3885" s="0" t="s">
        <v>5442</v>
      </c>
      <c r="C3885" s="0" t="s">
        <v>5443</v>
      </c>
      <c r="D3885" s="0" t="s">
        <v>98</v>
      </c>
      <c r="E3885" s="0" t="s">
        <v>5290</v>
      </c>
    </row>
    <row r="3886" customFormat="false" ht="15" hidden="false" customHeight="false" outlineLevel="0" collapsed="false">
      <c r="A3886" s="0" t="s">
        <v>5241</v>
      </c>
      <c r="B3886" s="0" t="s">
        <v>5444</v>
      </c>
      <c r="C3886" s="0" t="s">
        <v>5445</v>
      </c>
      <c r="D3886" s="0" t="s">
        <v>98</v>
      </c>
      <c r="E3886" s="0" t="s">
        <v>5290</v>
      </c>
    </row>
    <row r="3887" customFormat="false" ht="15" hidden="false" customHeight="false" outlineLevel="0" collapsed="false">
      <c r="A3887" s="0" t="s">
        <v>5241</v>
      </c>
      <c r="B3887" s="0" t="s">
        <v>5446</v>
      </c>
      <c r="C3887" s="0" t="s">
        <v>5447</v>
      </c>
      <c r="D3887" s="0" t="s">
        <v>98</v>
      </c>
      <c r="E3887" s="0" t="s">
        <v>5244</v>
      </c>
    </row>
    <row r="3888" customFormat="false" ht="15" hidden="false" customHeight="false" outlineLevel="0" collapsed="false">
      <c r="A3888" s="0" t="s">
        <v>5241</v>
      </c>
      <c r="B3888" s="0" t="s">
        <v>569</v>
      </c>
      <c r="C3888" s="0" t="s">
        <v>5448</v>
      </c>
      <c r="D3888" s="0" t="s">
        <v>98</v>
      </c>
      <c r="E3888" s="0" t="s">
        <v>5244</v>
      </c>
    </row>
    <row r="3889" customFormat="false" ht="15" hidden="false" customHeight="false" outlineLevel="0" collapsed="false">
      <c r="A3889" s="0" t="s">
        <v>5241</v>
      </c>
      <c r="B3889" s="0" t="s">
        <v>571</v>
      </c>
      <c r="C3889" s="0" t="s">
        <v>5449</v>
      </c>
      <c r="D3889" s="0" t="s">
        <v>98</v>
      </c>
      <c r="E3889" s="0" t="s">
        <v>5244</v>
      </c>
    </row>
    <row r="3890" customFormat="false" ht="15" hidden="false" customHeight="false" outlineLevel="0" collapsed="false">
      <c r="A3890" s="0" t="s">
        <v>5241</v>
      </c>
      <c r="B3890" s="0" t="s">
        <v>572</v>
      </c>
      <c r="C3890" s="0" t="s">
        <v>5450</v>
      </c>
      <c r="D3890" s="0" t="s">
        <v>98</v>
      </c>
      <c r="E3890" s="0" t="s">
        <v>5244</v>
      </c>
    </row>
    <row r="3891" customFormat="false" ht="15" hidden="false" customHeight="false" outlineLevel="0" collapsed="false">
      <c r="A3891" s="0" t="s">
        <v>5241</v>
      </c>
      <c r="B3891" s="0" t="s">
        <v>573</v>
      </c>
      <c r="C3891" s="0" t="s">
        <v>5451</v>
      </c>
      <c r="D3891" s="0" t="s">
        <v>98</v>
      </c>
      <c r="E3891" s="0" t="s">
        <v>5244</v>
      </c>
    </row>
    <row r="3892" customFormat="false" ht="15" hidden="false" customHeight="false" outlineLevel="0" collapsed="false">
      <c r="A3892" s="0" t="s">
        <v>5241</v>
      </c>
      <c r="B3892" s="0" t="s">
        <v>574</v>
      </c>
      <c r="C3892" s="0" t="s">
        <v>5452</v>
      </c>
      <c r="D3892" s="0" t="s">
        <v>98</v>
      </c>
      <c r="E3892" s="0" t="s">
        <v>5244</v>
      </c>
    </row>
    <row r="3893" customFormat="false" ht="15" hidden="false" customHeight="false" outlineLevel="0" collapsed="false">
      <c r="A3893" s="0" t="s">
        <v>5241</v>
      </c>
      <c r="B3893" s="0" t="s">
        <v>575</v>
      </c>
      <c r="C3893" s="0" t="s">
        <v>5453</v>
      </c>
      <c r="D3893" s="0" t="s">
        <v>98</v>
      </c>
      <c r="E3893" s="0" t="s">
        <v>5244</v>
      </c>
    </row>
    <row r="3894" customFormat="false" ht="15" hidden="false" customHeight="false" outlineLevel="0" collapsed="false">
      <c r="A3894" s="0" t="s">
        <v>5241</v>
      </c>
      <c r="B3894" s="0" t="s">
        <v>576</v>
      </c>
      <c r="C3894" s="0" t="s">
        <v>5454</v>
      </c>
      <c r="D3894" s="0" t="s">
        <v>98</v>
      </c>
      <c r="E3894" s="0" t="s">
        <v>5244</v>
      </c>
    </row>
    <row r="3895" customFormat="false" ht="15" hidden="false" customHeight="false" outlineLevel="0" collapsed="false">
      <c r="A3895" s="0" t="s">
        <v>5241</v>
      </c>
      <c r="B3895" s="0" t="s">
        <v>877</v>
      </c>
      <c r="C3895" s="0" t="s">
        <v>5455</v>
      </c>
      <c r="D3895" s="0" t="s">
        <v>98</v>
      </c>
      <c r="E3895" s="0" t="s">
        <v>5244</v>
      </c>
    </row>
    <row r="3896" customFormat="false" ht="15" hidden="false" customHeight="false" outlineLevel="0" collapsed="false">
      <c r="A3896" s="0" t="s">
        <v>5241</v>
      </c>
      <c r="B3896" s="0" t="s">
        <v>878</v>
      </c>
      <c r="C3896" s="0" t="s">
        <v>5456</v>
      </c>
      <c r="D3896" s="0" t="s">
        <v>98</v>
      </c>
      <c r="E3896" s="0" t="s">
        <v>5244</v>
      </c>
    </row>
    <row r="3897" customFormat="false" ht="15" hidden="false" customHeight="false" outlineLevel="0" collapsed="false">
      <c r="A3897" s="0" t="s">
        <v>5241</v>
      </c>
      <c r="B3897" s="0" t="s">
        <v>879</v>
      </c>
      <c r="C3897" s="0" t="s">
        <v>5457</v>
      </c>
      <c r="D3897" s="0" t="s">
        <v>98</v>
      </c>
      <c r="E3897" s="0" t="s">
        <v>5244</v>
      </c>
    </row>
    <row r="3898" customFormat="false" ht="15" hidden="false" customHeight="false" outlineLevel="0" collapsed="false">
      <c r="A3898" s="0" t="s">
        <v>5241</v>
      </c>
      <c r="B3898" s="0" t="s">
        <v>880</v>
      </c>
      <c r="C3898" s="0" t="s">
        <v>5458</v>
      </c>
      <c r="D3898" s="0" t="s">
        <v>98</v>
      </c>
      <c r="E3898" s="0" t="s">
        <v>5244</v>
      </c>
    </row>
    <row r="3899" customFormat="false" ht="15" hidden="false" customHeight="false" outlineLevel="0" collapsed="false">
      <c r="A3899" s="0" t="s">
        <v>5241</v>
      </c>
      <c r="B3899" s="0" t="s">
        <v>881</v>
      </c>
      <c r="C3899" s="0" t="s">
        <v>5459</v>
      </c>
      <c r="D3899" s="0" t="s">
        <v>98</v>
      </c>
      <c r="E3899" s="0" t="s">
        <v>5244</v>
      </c>
    </row>
    <row r="3900" customFormat="false" ht="15" hidden="false" customHeight="false" outlineLevel="0" collapsed="false">
      <c r="A3900" s="0" t="s">
        <v>5241</v>
      </c>
      <c r="B3900" s="0" t="s">
        <v>882</v>
      </c>
      <c r="C3900" s="0" t="s">
        <v>5460</v>
      </c>
      <c r="D3900" s="0" t="s">
        <v>98</v>
      </c>
      <c r="E3900" s="0" t="s">
        <v>5244</v>
      </c>
    </row>
    <row r="3901" customFormat="false" ht="15" hidden="false" customHeight="false" outlineLevel="0" collapsed="false">
      <c r="A3901" s="0" t="s">
        <v>5241</v>
      </c>
      <c r="B3901" s="0" t="s">
        <v>883</v>
      </c>
      <c r="C3901" s="0" t="s">
        <v>5461</v>
      </c>
      <c r="D3901" s="0" t="s">
        <v>98</v>
      </c>
      <c r="E3901" s="0" t="s">
        <v>5244</v>
      </c>
    </row>
    <row r="3902" customFormat="false" ht="15" hidden="false" customHeight="false" outlineLevel="0" collapsed="false">
      <c r="A3902" s="0" t="s">
        <v>5241</v>
      </c>
      <c r="B3902" s="0" t="s">
        <v>494</v>
      </c>
      <c r="C3902" s="0" t="s">
        <v>5462</v>
      </c>
      <c r="D3902" s="0" t="s">
        <v>98</v>
      </c>
      <c r="E3902" s="0" t="s">
        <v>5244</v>
      </c>
    </row>
    <row r="3903" customFormat="false" ht="15" hidden="false" customHeight="false" outlineLevel="0" collapsed="false">
      <c r="A3903" s="0" t="s">
        <v>5241</v>
      </c>
      <c r="B3903" s="0" t="s">
        <v>884</v>
      </c>
      <c r="C3903" s="0" t="s">
        <v>5463</v>
      </c>
      <c r="D3903" s="0" t="s">
        <v>98</v>
      </c>
      <c r="E3903" s="0" t="s">
        <v>5244</v>
      </c>
    </row>
    <row r="3904" customFormat="false" ht="15" hidden="false" customHeight="false" outlineLevel="0" collapsed="false">
      <c r="A3904" s="0" t="s">
        <v>5241</v>
      </c>
      <c r="B3904" s="0" t="s">
        <v>885</v>
      </c>
      <c r="C3904" s="0" t="s">
        <v>5464</v>
      </c>
      <c r="D3904" s="0" t="s">
        <v>98</v>
      </c>
      <c r="E3904" s="0" t="s">
        <v>5244</v>
      </c>
    </row>
    <row r="3905" customFormat="false" ht="15" hidden="false" customHeight="false" outlineLevel="0" collapsed="false">
      <c r="A3905" s="0" t="s">
        <v>5241</v>
      </c>
      <c r="B3905" s="0" t="s">
        <v>886</v>
      </c>
      <c r="C3905" s="0" t="s">
        <v>5465</v>
      </c>
      <c r="D3905" s="0" t="s">
        <v>98</v>
      </c>
      <c r="E3905" s="0" t="s">
        <v>5244</v>
      </c>
    </row>
    <row r="3906" customFormat="false" ht="15" hidden="false" customHeight="false" outlineLevel="0" collapsed="false">
      <c r="A3906" s="0" t="s">
        <v>5241</v>
      </c>
      <c r="B3906" s="0" t="s">
        <v>887</v>
      </c>
      <c r="C3906" s="0" t="s">
        <v>5466</v>
      </c>
      <c r="D3906" s="0" t="s">
        <v>98</v>
      </c>
      <c r="E3906" s="0" t="s">
        <v>5244</v>
      </c>
    </row>
    <row r="3907" customFormat="false" ht="15" hidden="false" customHeight="false" outlineLevel="0" collapsed="false">
      <c r="A3907" s="0" t="s">
        <v>5241</v>
      </c>
      <c r="B3907" s="0" t="s">
        <v>888</v>
      </c>
      <c r="C3907" s="0" t="s">
        <v>5467</v>
      </c>
      <c r="D3907" s="0" t="s">
        <v>98</v>
      </c>
      <c r="E3907" s="0" t="s">
        <v>5244</v>
      </c>
    </row>
    <row r="3908" customFormat="false" ht="15" hidden="false" customHeight="false" outlineLevel="0" collapsed="false">
      <c r="A3908" s="0" t="s">
        <v>5241</v>
      </c>
      <c r="B3908" s="0" t="s">
        <v>889</v>
      </c>
      <c r="C3908" s="0" t="s">
        <v>5468</v>
      </c>
      <c r="D3908" s="0" t="s">
        <v>98</v>
      </c>
      <c r="E3908" s="0" t="s">
        <v>5244</v>
      </c>
    </row>
    <row r="3909" customFormat="false" ht="15" hidden="false" customHeight="false" outlineLevel="0" collapsed="false">
      <c r="A3909" s="0" t="s">
        <v>5241</v>
      </c>
      <c r="B3909" s="0" t="s">
        <v>890</v>
      </c>
      <c r="C3909" s="0" t="s">
        <v>5469</v>
      </c>
      <c r="D3909" s="0" t="s">
        <v>98</v>
      </c>
      <c r="E3909" s="0" t="s">
        <v>5244</v>
      </c>
    </row>
    <row r="3910" customFormat="false" ht="15" hidden="false" customHeight="false" outlineLevel="0" collapsed="false">
      <c r="A3910" s="0" t="s">
        <v>5241</v>
      </c>
      <c r="B3910" s="0" t="s">
        <v>891</v>
      </c>
      <c r="C3910" s="0" t="s">
        <v>5470</v>
      </c>
      <c r="D3910" s="0" t="s">
        <v>98</v>
      </c>
      <c r="E3910" s="0" t="s">
        <v>5244</v>
      </c>
    </row>
    <row r="3911" customFormat="false" ht="15" hidden="false" customHeight="false" outlineLevel="0" collapsed="false">
      <c r="A3911" s="0" t="s">
        <v>5241</v>
      </c>
      <c r="B3911" s="0" t="s">
        <v>892</v>
      </c>
      <c r="C3911" s="0" t="s">
        <v>5471</v>
      </c>
      <c r="D3911" s="0" t="s">
        <v>98</v>
      </c>
      <c r="E3911" s="0" t="s">
        <v>5244</v>
      </c>
    </row>
    <row r="3912" customFormat="false" ht="15" hidden="false" customHeight="false" outlineLevel="0" collapsed="false">
      <c r="A3912" s="0" t="s">
        <v>5241</v>
      </c>
      <c r="B3912" s="0" t="s">
        <v>893</v>
      </c>
      <c r="C3912" s="0" t="s">
        <v>5472</v>
      </c>
      <c r="D3912" s="0" t="s">
        <v>98</v>
      </c>
      <c r="E3912" s="0" t="s">
        <v>5244</v>
      </c>
    </row>
    <row r="3913" customFormat="false" ht="15" hidden="false" customHeight="false" outlineLevel="0" collapsed="false">
      <c r="A3913" s="0" t="s">
        <v>5241</v>
      </c>
      <c r="B3913" s="0" t="s">
        <v>894</v>
      </c>
      <c r="C3913" s="0" t="s">
        <v>5473</v>
      </c>
      <c r="D3913" s="0" t="s">
        <v>98</v>
      </c>
      <c r="E3913" s="0" t="s">
        <v>5244</v>
      </c>
    </row>
    <row r="3914" customFormat="false" ht="15" hidden="false" customHeight="false" outlineLevel="0" collapsed="false">
      <c r="A3914" s="0" t="s">
        <v>5241</v>
      </c>
      <c r="B3914" s="0" t="s">
        <v>895</v>
      </c>
      <c r="C3914" s="0" t="s">
        <v>5474</v>
      </c>
      <c r="D3914" s="0" t="s">
        <v>98</v>
      </c>
      <c r="E3914" s="0" t="s">
        <v>5244</v>
      </c>
    </row>
    <row r="3915" customFormat="false" ht="15" hidden="false" customHeight="false" outlineLevel="0" collapsed="false">
      <c r="A3915" s="0" t="s">
        <v>5241</v>
      </c>
      <c r="B3915" s="0" t="s">
        <v>896</v>
      </c>
      <c r="C3915" s="0" t="s">
        <v>5475</v>
      </c>
      <c r="D3915" s="0" t="s">
        <v>98</v>
      </c>
      <c r="E3915" s="0" t="s">
        <v>5290</v>
      </c>
    </row>
    <row r="3916" customFormat="false" ht="15" hidden="false" customHeight="false" outlineLevel="0" collapsed="false">
      <c r="A3916" s="0" t="s">
        <v>5241</v>
      </c>
      <c r="B3916" s="0" t="s">
        <v>579</v>
      </c>
      <c r="C3916" s="0" t="s">
        <v>5476</v>
      </c>
      <c r="D3916" s="0" t="s">
        <v>98</v>
      </c>
      <c r="E3916" s="0" t="s">
        <v>5290</v>
      </c>
    </row>
    <row r="3917" customFormat="false" ht="15" hidden="false" customHeight="false" outlineLevel="0" collapsed="false">
      <c r="A3917" s="0" t="s">
        <v>5241</v>
      </c>
      <c r="B3917" s="0" t="s">
        <v>581</v>
      </c>
      <c r="C3917" s="0" t="s">
        <v>5477</v>
      </c>
      <c r="D3917" s="0" t="s">
        <v>98</v>
      </c>
      <c r="E3917" s="0" t="s">
        <v>5290</v>
      </c>
    </row>
    <row r="3918" customFormat="false" ht="15" hidden="false" customHeight="false" outlineLevel="0" collapsed="false">
      <c r="A3918" s="0" t="s">
        <v>5241</v>
      </c>
      <c r="B3918" s="0" t="s">
        <v>582</v>
      </c>
      <c r="C3918" s="0" t="s">
        <v>5478</v>
      </c>
      <c r="D3918" s="0" t="s">
        <v>98</v>
      </c>
      <c r="E3918" s="0" t="s">
        <v>5290</v>
      </c>
    </row>
    <row r="3919" customFormat="false" ht="15" hidden="false" customHeight="false" outlineLevel="0" collapsed="false">
      <c r="A3919" s="0" t="s">
        <v>5241</v>
      </c>
      <c r="B3919" s="0" t="s">
        <v>583</v>
      </c>
      <c r="C3919" s="0" t="s">
        <v>5479</v>
      </c>
      <c r="D3919" s="0" t="s">
        <v>98</v>
      </c>
      <c r="E3919" s="0" t="s">
        <v>5290</v>
      </c>
    </row>
    <row r="3920" customFormat="false" ht="15" hidden="false" customHeight="false" outlineLevel="0" collapsed="false">
      <c r="A3920" s="0" t="s">
        <v>5241</v>
      </c>
      <c r="B3920" s="0" t="s">
        <v>584</v>
      </c>
      <c r="C3920" s="0" t="s">
        <v>5480</v>
      </c>
      <c r="D3920" s="0" t="s">
        <v>98</v>
      </c>
      <c r="E3920" s="0" t="s">
        <v>5290</v>
      </c>
    </row>
    <row r="3921" customFormat="false" ht="15" hidden="false" customHeight="false" outlineLevel="0" collapsed="false">
      <c r="A3921" s="0" t="s">
        <v>5241</v>
      </c>
      <c r="B3921" s="0" t="s">
        <v>585</v>
      </c>
      <c r="C3921" s="0" t="s">
        <v>5481</v>
      </c>
      <c r="D3921" s="0" t="s">
        <v>98</v>
      </c>
      <c r="E3921" s="0" t="s">
        <v>5290</v>
      </c>
    </row>
    <row r="3922" customFormat="false" ht="15" hidden="false" customHeight="false" outlineLevel="0" collapsed="false">
      <c r="A3922" s="0" t="s">
        <v>5241</v>
      </c>
      <c r="B3922" s="0" t="s">
        <v>586</v>
      </c>
      <c r="C3922" s="0" t="s">
        <v>5482</v>
      </c>
      <c r="D3922" s="0" t="s">
        <v>98</v>
      </c>
      <c r="E3922" s="0" t="s">
        <v>5290</v>
      </c>
    </row>
    <row r="3923" customFormat="false" ht="15" hidden="false" customHeight="false" outlineLevel="0" collapsed="false">
      <c r="A3923" s="0" t="s">
        <v>5241</v>
      </c>
      <c r="B3923" s="0" t="s">
        <v>897</v>
      </c>
      <c r="C3923" s="0" t="s">
        <v>5483</v>
      </c>
      <c r="D3923" s="0" t="s">
        <v>98</v>
      </c>
      <c r="E3923" s="0" t="s">
        <v>5290</v>
      </c>
    </row>
    <row r="3924" customFormat="false" ht="15" hidden="false" customHeight="false" outlineLevel="0" collapsed="false">
      <c r="A3924" s="0" t="s">
        <v>5241</v>
      </c>
      <c r="B3924" s="0" t="s">
        <v>898</v>
      </c>
      <c r="C3924" s="0" t="s">
        <v>5484</v>
      </c>
      <c r="D3924" s="0" t="s">
        <v>98</v>
      </c>
      <c r="E3924" s="0" t="s">
        <v>5290</v>
      </c>
    </row>
    <row r="3925" customFormat="false" ht="15" hidden="false" customHeight="false" outlineLevel="0" collapsed="false">
      <c r="A3925" s="0" t="s">
        <v>5241</v>
      </c>
      <c r="B3925" s="0" t="s">
        <v>899</v>
      </c>
      <c r="C3925" s="0" t="s">
        <v>5485</v>
      </c>
      <c r="D3925" s="0" t="s">
        <v>98</v>
      </c>
      <c r="E3925" s="0" t="s">
        <v>5290</v>
      </c>
    </row>
    <row r="3926" customFormat="false" ht="15" hidden="false" customHeight="false" outlineLevel="0" collapsed="false">
      <c r="A3926" s="0" t="s">
        <v>5241</v>
      </c>
      <c r="B3926" s="0" t="s">
        <v>900</v>
      </c>
      <c r="C3926" s="0" t="s">
        <v>5486</v>
      </c>
      <c r="D3926" s="0" t="s">
        <v>98</v>
      </c>
      <c r="E3926" s="0" t="s">
        <v>5290</v>
      </c>
    </row>
    <row r="3927" customFormat="false" ht="15" hidden="false" customHeight="false" outlineLevel="0" collapsed="false">
      <c r="A3927" s="0" t="s">
        <v>5241</v>
      </c>
      <c r="B3927" s="0" t="s">
        <v>901</v>
      </c>
      <c r="C3927" s="0" t="s">
        <v>5487</v>
      </c>
      <c r="D3927" s="0" t="s">
        <v>98</v>
      </c>
      <c r="E3927" s="0" t="s">
        <v>5290</v>
      </c>
    </row>
    <row r="3928" customFormat="false" ht="15" hidden="false" customHeight="false" outlineLevel="0" collapsed="false">
      <c r="A3928" s="0" t="s">
        <v>5241</v>
      </c>
      <c r="B3928" s="0" t="s">
        <v>902</v>
      </c>
      <c r="C3928" s="0" t="s">
        <v>5488</v>
      </c>
      <c r="D3928" s="0" t="s">
        <v>98</v>
      </c>
      <c r="E3928" s="0" t="s">
        <v>5290</v>
      </c>
    </row>
    <row r="3929" customFormat="false" ht="15" hidden="false" customHeight="false" outlineLevel="0" collapsed="false">
      <c r="A3929" s="0" t="s">
        <v>5241</v>
      </c>
      <c r="B3929" s="0" t="s">
        <v>903</v>
      </c>
      <c r="C3929" s="0" t="s">
        <v>5489</v>
      </c>
      <c r="D3929" s="0" t="s">
        <v>98</v>
      </c>
      <c r="E3929" s="0" t="s">
        <v>5290</v>
      </c>
    </row>
    <row r="3930" customFormat="false" ht="15" hidden="false" customHeight="false" outlineLevel="0" collapsed="false">
      <c r="A3930" s="0" t="s">
        <v>5241</v>
      </c>
      <c r="B3930" s="0" t="s">
        <v>495</v>
      </c>
      <c r="C3930" s="0" t="s">
        <v>5490</v>
      </c>
      <c r="D3930" s="0" t="s">
        <v>98</v>
      </c>
      <c r="E3930" s="0" t="s">
        <v>5290</v>
      </c>
    </row>
    <row r="3931" customFormat="false" ht="15" hidden="false" customHeight="false" outlineLevel="0" collapsed="false">
      <c r="A3931" s="0" t="s">
        <v>5241</v>
      </c>
      <c r="B3931" s="0" t="s">
        <v>906</v>
      </c>
      <c r="C3931" s="0" t="s">
        <v>5491</v>
      </c>
      <c r="D3931" s="0" t="s">
        <v>98</v>
      </c>
      <c r="E3931" s="0" t="s">
        <v>5290</v>
      </c>
    </row>
    <row r="3932" customFormat="false" ht="15" hidden="false" customHeight="false" outlineLevel="0" collapsed="false">
      <c r="A3932" s="0" t="s">
        <v>5241</v>
      </c>
      <c r="B3932" s="0" t="s">
        <v>907</v>
      </c>
      <c r="C3932" s="0" t="s">
        <v>5492</v>
      </c>
      <c r="D3932" s="0" t="s">
        <v>98</v>
      </c>
      <c r="E3932" s="0" t="s">
        <v>5290</v>
      </c>
    </row>
    <row r="3933" customFormat="false" ht="15" hidden="false" customHeight="false" outlineLevel="0" collapsed="false">
      <c r="A3933" s="0" t="s">
        <v>5241</v>
      </c>
      <c r="B3933" s="0" t="s">
        <v>908</v>
      </c>
      <c r="C3933" s="0" t="s">
        <v>5493</v>
      </c>
      <c r="D3933" s="0" t="s">
        <v>98</v>
      </c>
      <c r="E3933" s="0" t="s">
        <v>5290</v>
      </c>
    </row>
    <row r="3934" customFormat="false" ht="15" hidden="false" customHeight="false" outlineLevel="0" collapsed="false">
      <c r="A3934" s="0" t="s">
        <v>5241</v>
      </c>
      <c r="B3934" s="0" t="s">
        <v>910</v>
      </c>
      <c r="C3934" s="0" t="s">
        <v>5494</v>
      </c>
      <c r="D3934" s="0" t="s">
        <v>98</v>
      </c>
      <c r="E3934" s="0" t="s">
        <v>5290</v>
      </c>
    </row>
    <row r="3935" customFormat="false" ht="15" hidden="false" customHeight="false" outlineLevel="0" collapsed="false">
      <c r="A3935" s="0" t="s">
        <v>5241</v>
      </c>
      <c r="B3935" s="0" t="s">
        <v>913</v>
      </c>
      <c r="C3935" s="0" t="s">
        <v>5495</v>
      </c>
      <c r="D3935" s="0" t="s">
        <v>98</v>
      </c>
      <c r="E3935" s="0" t="s">
        <v>5290</v>
      </c>
    </row>
    <row r="3936" customFormat="false" ht="15" hidden="false" customHeight="false" outlineLevel="0" collapsed="false">
      <c r="A3936" s="0" t="s">
        <v>5241</v>
      </c>
      <c r="B3936" s="0" t="s">
        <v>915</v>
      </c>
      <c r="C3936" s="0" t="s">
        <v>5496</v>
      </c>
      <c r="D3936" s="0" t="s">
        <v>98</v>
      </c>
      <c r="E3936" s="0" t="s">
        <v>5290</v>
      </c>
    </row>
    <row r="3937" customFormat="false" ht="15" hidden="false" customHeight="false" outlineLevel="0" collapsed="false">
      <c r="A3937" s="0" t="s">
        <v>5241</v>
      </c>
      <c r="B3937" s="0" t="s">
        <v>917</v>
      </c>
      <c r="C3937" s="0" t="s">
        <v>5497</v>
      </c>
      <c r="D3937" s="0" t="s">
        <v>98</v>
      </c>
      <c r="E3937" s="0" t="s">
        <v>5290</v>
      </c>
    </row>
    <row r="3938" customFormat="false" ht="15" hidden="false" customHeight="false" outlineLevel="0" collapsed="false">
      <c r="A3938" s="0" t="s">
        <v>5241</v>
      </c>
      <c r="B3938" s="0" t="s">
        <v>919</v>
      </c>
      <c r="C3938" s="0" t="s">
        <v>5498</v>
      </c>
      <c r="D3938" s="0" t="s">
        <v>98</v>
      </c>
      <c r="E3938" s="0" t="s">
        <v>5290</v>
      </c>
    </row>
    <row r="3939" customFormat="false" ht="15" hidden="false" customHeight="false" outlineLevel="0" collapsed="false">
      <c r="A3939" s="0" t="s">
        <v>5241</v>
      </c>
      <c r="B3939" s="0" t="s">
        <v>921</v>
      </c>
      <c r="C3939" s="0" t="s">
        <v>5499</v>
      </c>
      <c r="D3939" s="0" t="s">
        <v>98</v>
      </c>
      <c r="E3939" s="0" t="s">
        <v>5290</v>
      </c>
    </row>
    <row r="3940" customFormat="false" ht="15" hidden="false" customHeight="false" outlineLevel="0" collapsed="false">
      <c r="A3940" s="0" t="s">
        <v>5241</v>
      </c>
      <c r="B3940" s="0" t="s">
        <v>923</v>
      </c>
      <c r="C3940" s="0" t="s">
        <v>5500</v>
      </c>
      <c r="D3940" s="0" t="s">
        <v>98</v>
      </c>
      <c r="E3940" s="0" t="s">
        <v>5290</v>
      </c>
    </row>
    <row r="3941" customFormat="false" ht="15" hidden="false" customHeight="false" outlineLevel="0" collapsed="false">
      <c r="A3941" s="0" t="s">
        <v>5241</v>
      </c>
      <c r="B3941" s="0" t="s">
        <v>924</v>
      </c>
      <c r="C3941" s="0" t="s">
        <v>5501</v>
      </c>
      <c r="D3941" s="0" t="s">
        <v>98</v>
      </c>
      <c r="E3941" s="0" t="s">
        <v>5290</v>
      </c>
    </row>
    <row r="3942" customFormat="false" ht="15" hidden="false" customHeight="false" outlineLevel="0" collapsed="false">
      <c r="A3942" s="0" t="s">
        <v>5241</v>
      </c>
      <c r="B3942" s="0" t="s">
        <v>925</v>
      </c>
      <c r="C3942" s="0" t="s">
        <v>5502</v>
      </c>
      <c r="D3942" s="0" t="s">
        <v>98</v>
      </c>
      <c r="E3942" s="0" t="s">
        <v>5290</v>
      </c>
    </row>
    <row r="3943" customFormat="false" ht="15" hidden="false" customHeight="false" outlineLevel="0" collapsed="false">
      <c r="A3943" s="0" t="s">
        <v>5241</v>
      </c>
      <c r="B3943" s="0" t="s">
        <v>928</v>
      </c>
      <c r="C3943" s="0" t="s">
        <v>5503</v>
      </c>
      <c r="D3943" s="0" t="s">
        <v>98</v>
      </c>
      <c r="E3943" s="0" t="s">
        <v>5244</v>
      </c>
    </row>
    <row r="3944" customFormat="false" ht="15" hidden="false" customHeight="false" outlineLevel="0" collapsed="false">
      <c r="A3944" s="0" t="s">
        <v>5241</v>
      </c>
      <c r="B3944" s="0" t="s">
        <v>589</v>
      </c>
      <c r="C3944" s="0" t="s">
        <v>5504</v>
      </c>
      <c r="D3944" s="0" t="s">
        <v>98</v>
      </c>
      <c r="E3944" s="0" t="s">
        <v>5244</v>
      </c>
    </row>
    <row r="3945" customFormat="false" ht="15" hidden="false" customHeight="false" outlineLevel="0" collapsed="false">
      <c r="A3945" s="0" t="s">
        <v>5241</v>
      </c>
      <c r="B3945" s="0" t="s">
        <v>591</v>
      </c>
      <c r="C3945" s="0" t="s">
        <v>5505</v>
      </c>
      <c r="D3945" s="0" t="s">
        <v>98</v>
      </c>
      <c r="E3945" s="0" t="s">
        <v>5244</v>
      </c>
    </row>
    <row r="3946" customFormat="false" ht="15" hidden="false" customHeight="false" outlineLevel="0" collapsed="false">
      <c r="A3946" s="0" t="s">
        <v>5241</v>
      </c>
      <c r="B3946" s="0" t="s">
        <v>592</v>
      </c>
      <c r="C3946" s="0" t="s">
        <v>5506</v>
      </c>
      <c r="D3946" s="0" t="s">
        <v>98</v>
      </c>
      <c r="E3946" s="0" t="s">
        <v>5244</v>
      </c>
    </row>
    <row r="3947" customFormat="false" ht="15" hidden="false" customHeight="false" outlineLevel="0" collapsed="false">
      <c r="A3947" s="0" t="s">
        <v>5241</v>
      </c>
      <c r="B3947" s="0" t="s">
        <v>593</v>
      </c>
      <c r="C3947" s="0" t="s">
        <v>5507</v>
      </c>
      <c r="D3947" s="0" t="s">
        <v>98</v>
      </c>
      <c r="E3947" s="0" t="s">
        <v>5244</v>
      </c>
    </row>
    <row r="3948" customFormat="false" ht="15" hidden="false" customHeight="false" outlineLevel="0" collapsed="false">
      <c r="A3948" s="0" t="s">
        <v>5241</v>
      </c>
      <c r="B3948" s="0" t="s">
        <v>594</v>
      </c>
      <c r="C3948" s="0" t="s">
        <v>5508</v>
      </c>
      <c r="D3948" s="0" t="s">
        <v>98</v>
      </c>
      <c r="E3948" s="0" t="s">
        <v>5244</v>
      </c>
    </row>
    <row r="3949" customFormat="false" ht="15" hidden="false" customHeight="false" outlineLevel="0" collapsed="false">
      <c r="A3949" s="0" t="s">
        <v>5241</v>
      </c>
      <c r="B3949" s="0" t="s">
        <v>595</v>
      </c>
      <c r="C3949" s="0" t="s">
        <v>5509</v>
      </c>
      <c r="D3949" s="0" t="s">
        <v>98</v>
      </c>
      <c r="E3949" s="0" t="s">
        <v>5244</v>
      </c>
    </row>
    <row r="3950" customFormat="false" ht="15" hidden="false" customHeight="false" outlineLevel="0" collapsed="false">
      <c r="A3950" s="0" t="s">
        <v>5241</v>
      </c>
      <c r="B3950" s="0" t="s">
        <v>596</v>
      </c>
      <c r="C3950" s="0" t="s">
        <v>5510</v>
      </c>
      <c r="D3950" s="0" t="s">
        <v>98</v>
      </c>
      <c r="E3950" s="0" t="s">
        <v>5244</v>
      </c>
    </row>
    <row r="3951" customFormat="false" ht="15" hidden="false" customHeight="false" outlineLevel="0" collapsed="false">
      <c r="A3951" s="0" t="s">
        <v>5241</v>
      </c>
      <c r="B3951" s="0" t="s">
        <v>929</v>
      </c>
      <c r="C3951" s="0" t="s">
        <v>5511</v>
      </c>
      <c r="D3951" s="0" t="s">
        <v>98</v>
      </c>
      <c r="E3951" s="0" t="s">
        <v>5244</v>
      </c>
    </row>
    <row r="3952" customFormat="false" ht="15" hidden="false" customHeight="false" outlineLevel="0" collapsed="false">
      <c r="A3952" s="0" t="s">
        <v>5241</v>
      </c>
      <c r="B3952" s="0" t="s">
        <v>930</v>
      </c>
      <c r="C3952" s="0" t="s">
        <v>5512</v>
      </c>
      <c r="D3952" s="0" t="s">
        <v>98</v>
      </c>
      <c r="E3952" s="0" t="s">
        <v>5244</v>
      </c>
    </row>
    <row r="3953" customFormat="false" ht="15" hidden="false" customHeight="false" outlineLevel="0" collapsed="false">
      <c r="A3953" s="0" t="s">
        <v>5241</v>
      </c>
      <c r="B3953" s="0" t="s">
        <v>931</v>
      </c>
      <c r="C3953" s="0" t="s">
        <v>5513</v>
      </c>
      <c r="D3953" s="0" t="s">
        <v>98</v>
      </c>
      <c r="E3953" s="0" t="s">
        <v>5244</v>
      </c>
    </row>
    <row r="3954" customFormat="false" ht="15" hidden="false" customHeight="false" outlineLevel="0" collapsed="false">
      <c r="A3954" s="0" t="s">
        <v>5241</v>
      </c>
      <c r="B3954" s="0" t="s">
        <v>932</v>
      </c>
      <c r="C3954" s="0" t="s">
        <v>5514</v>
      </c>
      <c r="D3954" s="0" t="s">
        <v>98</v>
      </c>
      <c r="E3954" s="0" t="s">
        <v>5244</v>
      </c>
    </row>
    <row r="3955" customFormat="false" ht="15" hidden="false" customHeight="false" outlineLevel="0" collapsed="false">
      <c r="A3955" s="0" t="s">
        <v>5241</v>
      </c>
      <c r="B3955" s="0" t="s">
        <v>933</v>
      </c>
      <c r="C3955" s="0" t="s">
        <v>5515</v>
      </c>
      <c r="D3955" s="0" t="s">
        <v>98</v>
      </c>
      <c r="E3955" s="0" t="s">
        <v>5244</v>
      </c>
    </row>
    <row r="3956" customFormat="false" ht="15" hidden="false" customHeight="false" outlineLevel="0" collapsed="false">
      <c r="A3956" s="0" t="s">
        <v>5241</v>
      </c>
      <c r="B3956" s="0" t="s">
        <v>934</v>
      </c>
      <c r="C3956" s="0" t="s">
        <v>5516</v>
      </c>
      <c r="D3956" s="0" t="s">
        <v>98</v>
      </c>
      <c r="E3956" s="0" t="s">
        <v>5244</v>
      </c>
    </row>
    <row r="3957" customFormat="false" ht="15" hidden="false" customHeight="false" outlineLevel="0" collapsed="false">
      <c r="A3957" s="0" t="s">
        <v>5241</v>
      </c>
      <c r="B3957" s="0" t="s">
        <v>935</v>
      </c>
      <c r="C3957" s="0" t="s">
        <v>5517</v>
      </c>
      <c r="D3957" s="0" t="s">
        <v>98</v>
      </c>
      <c r="E3957" s="0" t="s">
        <v>5244</v>
      </c>
    </row>
    <row r="3958" customFormat="false" ht="15" hidden="false" customHeight="false" outlineLevel="0" collapsed="false">
      <c r="A3958" s="0" t="s">
        <v>5241</v>
      </c>
      <c r="B3958" s="0" t="s">
        <v>936</v>
      </c>
      <c r="C3958" s="0" t="s">
        <v>5518</v>
      </c>
      <c r="D3958" s="0" t="s">
        <v>98</v>
      </c>
      <c r="E3958" s="0" t="s">
        <v>5244</v>
      </c>
    </row>
    <row r="3959" customFormat="false" ht="15" hidden="false" customHeight="false" outlineLevel="0" collapsed="false">
      <c r="A3959" s="0" t="s">
        <v>5241</v>
      </c>
      <c r="B3959" s="0" t="s">
        <v>937</v>
      </c>
      <c r="C3959" s="0" t="s">
        <v>5519</v>
      </c>
      <c r="D3959" s="0" t="s">
        <v>98</v>
      </c>
      <c r="E3959" s="0" t="s">
        <v>5244</v>
      </c>
    </row>
    <row r="3960" customFormat="false" ht="15" hidden="false" customHeight="false" outlineLevel="0" collapsed="false">
      <c r="A3960" s="0" t="s">
        <v>5241</v>
      </c>
      <c r="B3960" s="0" t="s">
        <v>938</v>
      </c>
      <c r="C3960" s="0" t="s">
        <v>5520</v>
      </c>
      <c r="D3960" s="0" t="s">
        <v>98</v>
      </c>
      <c r="E3960" s="0" t="s">
        <v>5244</v>
      </c>
    </row>
    <row r="3961" customFormat="false" ht="15" hidden="false" customHeight="false" outlineLevel="0" collapsed="false">
      <c r="A3961" s="0" t="s">
        <v>5241</v>
      </c>
      <c r="B3961" s="0" t="s">
        <v>940</v>
      </c>
      <c r="C3961" s="0" t="s">
        <v>5521</v>
      </c>
      <c r="D3961" s="0" t="s">
        <v>98</v>
      </c>
      <c r="E3961" s="0" t="s">
        <v>5244</v>
      </c>
    </row>
    <row r="3962" customFormat="false" ht="15" hidden="false" customHeight="false" outlineLevel="0" collapsed="false">
      <c r="A3962" s="0" t="s">
        <v>5241</v>
      </c>
      <c r="B3962" s="0" t="s">
        <v>941</v>
      </c>
      <c r="C3962" s="0" t="s">
        <v>5522</v>
      </c>
      <c r="D3962" s="0" t="s">
        <v>98</v>
      </c>
      <c r="E3962" s="0" t="s">
        <v>5244</v>
      </c>
    </row>
    <row r="3963" customFormat="false" ht="15" hidden="false" customHeight="false" outlineLevel="0" collapsed="false">
      <c r="A3963" s="0" t="s">
        <v>5241</v>
      </c>
      <c r="B3963" s="0" t="s">
        <v>942</v>
      </c>
      <c r="C3963" s="0" t="s">
        <v>5523</v>
      </c>
      <c r="D3963" s="0" t="s">
        <v>98</v>
      </c>
      <c r="E3963" s="0" t="s">
        <v>5244</v>
      </c>
    </row>
    <row r="3964" customFormat="false" ht="15" hidden="false" customHeight="false" outlineLevel="0" collapsed="false">
      <c r="A3964" s="0" t="s">
        <v>5241</v>
      </c>
      <c r="B3964" s="0" t="s">
        <v>943</v>
      </c>
      <c r="C3964" s="0" t="s">
        <v>5524</v>
      </c>
      <c r="D3964" s="0" t="s">
        <v>98</v>
      </c>
      <c r="E3964" s="0" t="s">
        <v>5244</v>
      </c>
    </row>
    <row r="3965" customFormat="false" ht="15" hidden="false" customHeight="false" outlineLevel="0" collapsed="false">
      <c r="A3965" s="0" t="s">
        <v>5241</v>
      </c>
      <c r="B3965" s="0" t="s">
        <v>945</v>
      </c>
      <c r="C3965" s="0" t="s">
        <v>5525</v>
      </c>
      <c r="D3965" s="0" t="s">
        <v>98</v>
      </c>
      <c r="E3965" s="0" t="s">
        <v>5244</v>
      </c>
    </row>
    <row r="3966" customFormat="false" ht="15" hidden="false" customHeight="false" outlineLevel="0" collapsed="false">
      <c r="A3966" s="0" t="s">
        <v>5241</v>
      </c>
      <c r="B3966" s="0" t="s">
        <v>946</v>
      </c>
      <c r="C3966" s="0" t="s">
        <v>5526</v>
      </c>
      <c r="D3966" s="0" t="s">
        <v>98</v>
      </c>
      <c r="E3966" s="0" t="s">
        <v>5244</v>
      </c>
    </row>
    <row r="3967" customFormat="false" ht="15" hidden="false" customHeight="false" outlineLevel="0" collapsed="false">
      <c r="A3967" s="0" t="s">
        <v>5241</v>
      </c>
      <c r="B3967" s="0" t="s">
        <v>948</v>
      </c>
      <c r="C3967" s="0" t="s">
        <v>5527</v>
      </c>
      <c r="D3967" s="0" t="s">
        <v>98</v>
      </c>
      <c r="E3967" s="0" t="s">
        <v>5244</v>
      </c>
    </row>
    <row r="3968" customFormat="false" ht="15" hidden="false" customHeight="false" outlineLevel="0" collapsed="false">
      <c r="A3968" s="0" t="s">
        <v>5241</v>
      </c>
      <c r="B3968" s="0" t="s">
        <v>949</v>
      </c>
      <c r="C3968" s="0" t="s">
        <v>5528</v>
      </c>
      <c r="D3968" s="0" t="s">
        <v>98</v>
      </c>
      <c r="E3968" s="0" t="s">
        <v>5244</v>
      </c>
    </row>
    <row r="3969" customFormat="false" ht="15" hidden="false" customHeight="false" outlineLevel="0" collapsed="false">
      <c r="A3969" s="0" t="s">
        <v>5241</v>
      </c>
      <c r="B3969" s="0" t="s">
        <v>950</v>
      </c>
      <c r="C3969" s="0" t="s">
        <v>5529</v>
      </c>
      <c r="D3969" s="0" t="s">
        <v>98</v>
      </c>
      <c r="E3969" s="0" t="s">
        <v>5244</v>
      </c>
    </row>
    <row r="3970" customFormat="false" ht="15" hidden="false" customHeight="false" outlineLevel="0" collapsed="false">
      <c r="A3970" s="0" t="s">
        <v>5241</v>
      </c>
      <c r="B3970" s="0" t="s">
        <v>951</v>
      </c>
      <c r="C3970" s="0" t="s">
        <v>5530</v>
      </c>
      <c r="D3970" s="0" t="s">
        <v>98</v>
      </c>
      <c r="E3970" s="0" t="s">
        <v>5244</v>
      </c>
    </row>
    <row r="3971" customFormat="false" ht="15" hidden="false" customHeight="false" outlineLevel="0" collapsed="false">
      <c r="A3971" s="0" t="s">
        <v>5241</v>
      </c>
      <c r="B3971" s="0" t="s">
        <v>952</v>
      </c>
      <c r="C3971" s="0" t="s">
        <v>5531</v>
      </c>
      <c r="D3971" s="0" t="s">
        <v>98</v>
      </c>
      <c r="E3971" s="0" t="s">
        <v>5290</v>
      </c>
    </row>
    <row r="3972" customFormat="false" ht="15" hidden="false" customHeight="false" outlineLevel="0" collapsed="false">
      <c r="A3972" s="0" t="s">
        <v>5241</v>
      </c>
      <c r="B3972" s="0" t="s">
        <v>599</v>
      </c>
      <c r="C3972" s="0" t="s">
        <v>5532</v>
      </c>
      <c r="D3972" s="0" t="s">
        <v>98</v>
      </c>
      <c r="E3972" s="0" t="s">
        <v>5290</v>
      </c>
    </row>
    <row r="3973" customFormat="false" ht="15" hidden="false" customHeight="false" outlineLevel="0" collapsed="false">
      <c r="A3973" s="0" t="s">
        <v>5241</v>
      </c>
      <c r="B3973" s="0" t="s">
        <v>601</v>
      </c>
      <c r="C3973" s="0" t="s">
        <v>5533</v>
      </c>
      <c r="D3973" s="0" t="s">
        <v>98</v>
      </c>
      <c r="E3973" s="0" t="s">
        <v>5290</v>
      </c>
    </row>
    <row r="3974" customFormat="false" ht="15" hidden="false" customHeight="false" outlineLevel="0" collapsed="false">
      <c r="A3974" s="0" t="s">
        <v>5241</v>
      </c>
      <c r="B3974" s="0" t="s">
        <v>602</v>
      </c>
      <c r="C3974" s="0" t="s">
        <v>5534</v>
      </c>
      <c r="D3974" s="0" t="s">
        <v>98</v>
      </c>
      <c r="E3974" s="0" t="s">
        <v>5290</v>
      </c>
    </row>
    <row r="3975" customFormat="false" ht="15" hidden="false" customHeight="false" outlineLevel="0" collapsed="false">
      <c r="A3975" s="0" t="s">
        <v>5241</v>
      </c>
      <c r="B3975" s="0" t="s">
        <v>603</v>
      </c>
      <c r="C3975" s="0" t="s">
        <v>5535</v>
      </c>
      <c r="D3975" s="0" t="s">
        <v>98</v>
      </c>
      <c r="E3975" s="0" t="s">
        <v>5290</v>
      </c>
    </row>
    <row r="3976" customFormat="false" ht="15" hidden="false" customHeight="false" outlineLevel="0" collapsed="false">
      <c r="A3976" s="0" t="s">
        <v>5241</v>
      </c>
      <c r="B3976" s="0" t="s">
        <v>604</v>
      </c>
      <c r="C3976" s="0" t="s">
        <v>5536</v>
      </c>
      <c r="D3976" s="0" t="s">
        <v>98</v>
      </c>
      <c r="E3976" s="0" t="s">
        <v>5290</v>
      </c>
    </row>
    <row r="3977" customFormat="false" ht="15" hidden="false" customHeight="false" outlineLevel="0" collapsed="false">
      <c r="A3977" s="0" t="s">
        <v>5241</v>
      </c>
      <c r="B3977" s="0" t="s">
        <v>605</v>
      </c>
      <c r="C3977" s="0" t="s">
        <v>5537</v>
      </c>
      <c r="D3977" s="0" t="s">
        <v>98</v>
      </c>
      <c r="E3977" s="0" t="s">
        <v>5290</v>
      </c>
    </row>
    <row r="3978" customFormat="false" ht="15" hidden="false" customHeight="false" outlineLevel="0" collapsed="false">
      <c r="A3978" s="0" t="s">
        <v>5241</v>
      </c>
      <c r="B3978" s="0" t="s">
        <v>606</v>
      </c>
      <c r="C3978" s="0" t="s">
        <v>5538</v>
      </c>
      <c r="D3978" s="0" t="s">
        <v>98</v>
      </c>
      <c r="E3978" s="0" t="s">
        <v>5290</v>
      </c>
    </row>
    <row r="3979" customFormat="false" ht="15" hidden="false" customHeight="false" outlineLevel="0" collapsed="false">
      <c r="A3979" s="0" t="s">
        <v>5241</v>
      </c>
      <c r="B3979" s="0" t="s">
        <v>961</v>
      </c>
      <c r="C3979" s="0" t="s">
        <v>5539</v>
      </c>
      <c r="D3979" s="0" t="s">
        <v>98</v>
      </c>
      <c r="E3979" s="0" t="s">
        <v>5290</v>
      </c>
    </row>
    <row r="3980" customFormat="false" ht="15" hidden="false" customHeight="false" outlineLevel="0" collapsed="false">
      <c r="A3980" s="0" t="s">
        <v>5241</v>
      </c>
      <c r="B3980" s="0" t="s">
        <v>963</v>
      </c>
      <c r="C3980" s="0" t="s">
        <v>5540</v>
      </c>
      <c r="D3980" s="0" t="s">
        <v>98</v>
      </c>
      <c r="E3980" s="0" t="s">
        <v>5290</v>
      </c>
    </row>
    <row r="3981" customFormat="false" ht="15" hidden="false" customHeight="false" outlineLevel="0" collapsed="false">
      <c r="A3981" s="0" t="s">
        <v>5241</v>
      </c>
      <c r="B3981" s="0" t="s">
        <v>965</v>
      </c>
      <c r="C3981" s="0" t="s">
        <v>5541</v>
      </c>
      <c r="D3981" s="0" t="s">
        <v>98</v>
      </c>
      <c r="E3981" s="0" t="s">
        <v>5290</v>
      </c>
    </row>
    <row r="3982" customFormat="false" ht="15" hidden="false" customHeight="false" outlineLevel="0" collapsed="false">
      <c r="A3982" s="0" t="s">
        <v>5241</v>
      </c>
      <c r="B3982" s="0" t="s">
        <v>967</v>
      </c>
      <c r="C3982" s="0" t="s">
        <v>5542</v>
      </c>
      <c r="D3982" s="0" t="s">
        <v>98</v>
      </c>
      <c r="E3982" s="0" t="s">
        <v>5290</v>
      </c>
    </row>
    <row r="3983" customFormat="false" ht="15" hidden="false" customHeight="false" outlineLevel="0" collapsed="false">
      <c r="A3983" s="0" t="s">
        <v>5241</v>
      </c>
      <c r="B3983" s="0" t="s">
        <v>969</v>
      </c>
      <c r="C3983" s="0" t="s">
        <v>5543</v>
      </c>
      <c r="D3983" s="0" t="s">
        <v>98</v>
      </c>
      <c r="E3983" s="0" t="s">
        <v>5290</v>
      </c>
    </row>
    <row r="3984" customFormat="false" ht="15" hidden="false" customHeight="false" outlineLevel="0" collapsed="false">
      <c r="A3984" s="0" t="s">
        <v>5241</v>
      </c>
      <c r="B3984" s="0" t="s">
        <v>971</v>
      </c>
      <c r="C3984" s="0" t="s">
        <v>5544</v>
      </c>
      <c r="D3984" s="0" t="s">
        <v>98</v>
      </c>
      <c r="E3984" s="0" t="s">
        <v>5290</v>
      </c>
    </row>
    <row r="3985" customFormat="false" ht="15" hidden="false" customHeight="false" outlineLevel="0" collapsed="false">
      <c r="A3985" s="0" t="s">
        <v>5241</v>
      </c>
      <c r="B3985" s="0" t="s">
        <v>973</v>
      </c>
      <c r="C3985" s="0" t="s">
        <v>5545</v>
      </c>
      <c r="D3985" s="0" t="s">
        <v>98</v>
      </c>
      <c r="E3985" s="0" t="s">
        <v>5290</v>
      </c>
    </row>
    <row r="3986" customFormat="false" ht="15" hidden="false" customHeight="false" outlineLevel="0" collapsed="false">
      <c r="A3986" s="0" t="s">
        <v>5241</v>
      </c>
      <c r="B3986" s="0" t="s">
        <v>975</v>
      </c>
      <c r="C3986" s="0" t="s">
        <v>5546</v>
      </c>
      <c r="D3986" s="0" t="s">
        <v>98</v>
      </c>
      <c r="E3986" s="0" t="s">
        <v>5290</v>
      </c>
    </row>
    <row r="3987" customFormat="false" ht="15" hidden="false" customHeight="false" outlineLevel="0" collapsed="false">
      <c r="A3987" s="0" t="s">
        <v>5241</v>
      </c>
      <c r="B3987" s="0" t="s">
        <v>977</v>
      </c>
      <c r="C3987" s="0" t="s">
        <v>5547</v>
      </c>
      <c r="D3987" s="0" t="s">
        <v>98</v>
      </c>
      <c r="E3987" s="0" t="s">
        <v>5290</v>
      </c>
    </row>
    <row r="3988" customFormat="false" ht="15" hidden="false" customHeight="false" outlineLevel="0" collapsed="false">
      <c r="A3988" s="0" t="s">
        <v>5241</v>
      </c>
      <c r="B3988" s="0" t="s">
        <v>979</v>
      </c>
      <c r="C3988" s="0" t="s">
        <v>5548</v>
      </c>
      <c r="D3988" s="0" t="s">
        <v>98</v>
      </c>
      <c r="E3988" s="0" t="s">
        <v>5290</v>
      </c>
    </row>
    <row r="3989" customFormat="false" ht="15" hidden="false" customHeight="false" outlineLevel="0" collapsed="false">
      <c r="A3989" s="0" t="s">
        <v>5241</v>
      </c>
      <c r="B3989" s="0" t="s">
        <v>981</v>
      </c>
      <c r="C3989" s="0" t="s">
        <v>5549</v>
      </c>
      <c r="D3989" s="0" t="s">
        <v>98</v>
      </c>
      <c r="E3989" s="0" t="s">
        <v>5290</v>
      </c>
    </row>
    <row r="3990" customFormat="false" ht="15" hidden="false" customHeight="false" outlineLevel="0" collapsed="false">
      <c r="A3990" s="0" t="s">
        <v>5241</v>
      </c>
      <c r="B3990" s="0" t="s">
        <v>983</v>
      </c>
      <c r="C3990" s="0" t="s">
        <v>5550</v>
      </c>
      <c r="D3990" s="0" t="s">
        <v>98</v>
      </c>
      <c r="E3990" s="0" t="s">
        <v>5290</v>
      </c>
    </row>
    <row r="3991" customFormat="false" ht="15" hidden="false" customHeight="false" outlineLevel="0" collapsed="false">
      <c r="A3991" s="0" t="s">
        <v>5241</v>
      </c>
      <c r="B3991" s="0" t="s">
        <v>985</v>
      </c>
      <c r="C3991" s="0" t="s">
        <v>5551</v>
      </c>
      <c r="D3991" s="0" t="s">
        <v>98</v>
      </c>
      <c r="E3991" s="0" t="s">
        <v>5290</v>
      </c>
    </row>
    <row r="3992" customFormat="false" ht="15" hidden="false" customHeight="false" outlineLevel="0" collapsed="false">
      <c r="A3992" s="0" t="s">
        <v>5241</v>
      </c>
      <c r="B3992" s="0" t="s">
        <v>987</v>
      </c>
      <c r="C3992" s="0" t="s">
        <v>5552</v>
      </c>
      <c r="D3992" s="0" t="s">
        <v>98</v>
      </c>
      <c r="E3992" s="0" t="s">
        <v>5290</v>
      </c>
    </row>
    <row r="3993" customFormat="false" ht="15" hidden="false" customHeight="false" outlineLevel="0" collapsed="false">
      <c r="A3993" s="0" t="s">
        <v>5241</v>
      </c>
      <c r="B3993" s="0" t="s">
        <v>989</v>
      </c>
      <c r="C3993" s="0" t="s">
        <v>5553</v>
      </c>
      <c r="D3993" s="0" t="s">
        <v>98</v>
      </c>
      <c r="E3993" s="0" t="s">
        <v>5290</v>
      </c>
    </row>
    <row r="3994" customFormat="false" ht="15" hidden="false" customHeight="false" outlineLevel="0" collapsed="false">
      <c r="A3994" s="0" t="s">
        <v>5241</v>
      </c>
      <c r="B3994" s="0" t="s">
        <v>991</v>
      </c>
      <c r="C3994" s="0" t="s">
        <v>5554</v>
      </c>
      <c r="D3994" s="0" t="s">
        <v>98</v>
      </c>
      <c r="E3994" s="0" t="s">
        <v>5290</v>
      </c>
    </row>
    <row r="3995" customFormat="false" ht="15" hidden="false" customHeight="false" outlineLevel="0" collapsed="false">
      <c r="A3995" s="0" t="s">
        <v>5241</v>
      </c>
      <c r="B3995" s="0" t="s">
        <v>993</v>
      </c>
      <c r="C3995" s="0" t="s">
        <v>5555</v>
      </c>
      <c r="D3995" s="0" t="s">
        <v>98</v>
      </c>
      <c r="E3995" s="0" t="s">
        <v>5290</v>
      </c>
    </row>
    <row r="3996" customFormat="false" ht="15" hidden="false" customHeight="false" outlineLevel="0" collapsed="false">
      <c r="A3996" s="0" t="s">
        <v>5241</v>
      </c>
      <c r="B3996" s="0" t="s">
        <v>995</v>
      </c>
      <c r="C3996" s="0" t="s">
        <v>5556</v>
      </c>
      <c r="D3996" s="0" t="s">
        <v>98</v>
      </c>
      <c r="E3996" s="0" t="s">
        <v>5290</v>
      </c>
    </row>
    <row r="3997" customFormat="false" ht="15" hidden="false" customHeight="false" outlineLevel="0" collapsed="false">
      <c r="A3997" s="0" t="s">
        <v>5241</v>
      </c>
      <c r="B3997" s="0" t="s">
        <v>997</v>
      </c>
      <c r="C3997" s="0" t="s">
        <v>5557</v>
      </c>
      <c r="D3997" s="0" t="s">
        <v>98</v>
      </c>
      <c r="E3997" s="0" t="s">
        <v>5290</v>
      </c>
    </row>
    <row r="3998" customFormat="false" ht="15" hidden="false" customHeight="false" outlineLevel="0" collapsed="false">
      <c r="A3998" s="0" t="s">
        <v>5241</v>
      </c>
      <c r="B3998" s="0" t="s">
        <v>999</v>
      </c>
      <c r="C3998" s="0" t="s">
        <v>5558</v>
      </c>
      <c r="D3998" s="0" t="s">
        <v>98</v>
      </c>
      <c r="E3998" s="0" t="s">
        <v>5290</v>
      </c>
    </row>
    <row r="3999" customFormat="false" ht="15" hidden="false" customHeight="false" outlineLevel="0" collapsed="false">
      <c r="A3999" s="0" t="s">
        <v>5241</v>
      </c>
      <c r="B3999" s="0" t="s">
        <v>4473</v>
      </c>
      <c r="C3999" s="0" t="s">
        <v>5559</v>
      </c>
      <c r="D3999" s="0" t="s">
        <v>98</v>
      </c>
      <c r="E3999" s="0" t="s">
        <v>5244</v>
      </c>
    </row>
    <row r="4000" customFormat="false" ht="15" hidden="false" customHeight="false" outlineLevel="0" collapsed="false">
      <c r="A4000" s="0" t="s">
        <v>5241</v>
      </c>
      <c r="B4000" s="0" t="s">
        <v>609</v>
      </c>
      <c r="C4000" s="0" t="s">
        <v>5560</v>
      </c>
      <c r="D4000" s="0" t="s">
        <v>98</v>
      </c>
      <c r="E4000" s="0" t="s">
        <v>5244</v>
      </c>
    </row>
    <row r="4001" customFormat="false" ht="15" hidden="false" customHeight="false" outlineLevel="0" collapsed="false">
      <c r="A4001" s="0" t="s">
        <v>5241</v>
      </c>
      <c r="B4001" s="0" t="s">
        <v>611</v>
      </c>
      <c r="C4001" s="0" t="s">
        <v>5561</v>
      </c>
      <c r="D4001" s="0" t="s">
        <v>98</v>
      </c>
      <c r="E4001" s="0" t="s">
        <v>5244</v>
      </c>
    </row>
    <row r="4002" customFormat="false" ht="15" hidden="false" customHeight="false" outlineLevel="0" collapsed="false">
      <c r="A4002" s="0" t="s">
        <v>5241</v>
      </c>
      <c r="B4002" s="0" t="s">
        <v>612</v>
      </c>
      <c r="C4002" s="0" t="s">
        <v>5562</v>
      </c>
      <c r="D4002" s="0" t="s">
        <v>98</v>
      </c>
      <c r="E4002" s="0" t="s">
        <v>5244</v>
      </c>
    </row>
    <row r="4003" customFormat="false" ht="15" hidden="false" customHeight="false" outlineLevel="0" collapsed="false">
      <c r="A4003" s="0" t="s">
        <v>5241</v>
      </c>
      <c r="B4003" s="0" t="s">
        <v>613</v>
      </c>
      <c r="C4003" s="0" t="s">
        <v>5563</v>
      </c>
      <c r="D4003" s="0" t="s">
        <v>98</v>
      </c>
      <c r="E4003" s="0" t="s">
        <v>5244</v>
      </c>
    </row>
    <row r="4004" customFormat="false" ht="15" hidden="false" customHeight="false" outlineLevel="0" collapsed="false">
      <c r="A4004" s="0" t="s">
        <v>5241</v>
      </c>
      <c r="B4004" s="0" t="s">
        <v>614</v>
      </c>
      <c r="C4004" s="0" t="s">
        <v>5564</v>
      </c>
      <c r="D4004" s="0" t="s">
        <v>98</v>
      </c>
      <c r="E4004" s="0" t="s">
        <v>5244</v>
      </c>
    </row>
    <row r="4005" customFormat="false" ht="15" hidden="false" customHeight="false" outlineLevel="0" collapsed="false">
      <c r="A4005" s="0" t="s">
        <v>5241</v>
      </c>
      <c r="B4005" s="0" t="s">
        <v>615</v>
      </c>
      <c r="C4005" s="0" t="s">
        <v>5565</v>
      </c>
      <c r="D4005" s="0" t="s">
        <v>98</v>
      </c>
      <c r="E4005" s="0" t="s">
        <v>5244</v>
      </c>
    </row>
    <row r="4006" customFormat="false" ht="15" hidden="false" customHeight="false" outlineLevel="0" collapsed="false">
      <c r="A4006" s="0" t="s">
        <v>5241</v>
      </c>
      <c r="B4006" s="0" t="s">
        <v>616</v>
      </c>
      <c r="C4006" s="0" t="s">
        <v>5566</v>
      </c>
      <c r="D4006" s="0" t="s">
        <v>98</v>
      </c>
      <c r="E4006" s="0" t="s">
        <v>5244</v>
      </c>
    </row>
    <row r="4007" customFormat="false" ht="15" hidden="false" customHeight="false" outlineLevel="0" collapsed="false">
      <c r="A4007" s="0" t="s">
        <v>5241</v>
      </c>
      <c r="B4007" s="0" t="s">
        <v>4367</v>
      </c>
      <c r="C4007" s="0" t="s">
        <v>5567</v>
      </c>
      <c r="D4007" s="0" t="s">
        <v>98</v>
      </c>
      <c r="E4007" s="0" t="s">
        <v>5244</v>
      </c>
    </row>
    <row r="4008" customFormat="false" ht="15" hidden="false" customHeight="false" outlineLevel="0" collapsed="false">
      <c r="A4008" s="0" t="s">
        <v>5241</v>
      </c>
      <c r="B4008" s="0" t="s">
        <v>4369</v>
      </c>
      <c r="C4008" s="0" t="s">
        <v>5568</v>
      </c>
      <c r="D4008" s="0" t="s">
        <v>98</v>
      </c>
      <c r="E4008" s="0" t="s">
        <v>5244</v>
      </c>
    </row>
    <row r="4009" customFormat="false" ht="15" hidden="false" customHeight="false" outlineLevel="0" collapsed="false">
      <c r="A4009" s="0" t="s">
        <v>5241</v>
      </c>
      <c r="B4009" s="0" t="s">
        <v>1001</v>
      </c>
      <c r="C4009" s="0" t="s">
        <v>5569</v>
      </c>
      <c r="D4009" s="0" t="s">
        <v>98</v>
      </c>
      <c r="E4009" s="0" t="s">
        <v>5244</v>
      </c>
    </row>
    <row r="4010" customFormat="false" ht="15" hidden="false" customHeight="false" outlineLevel="0" collapsed="false">
      <c r="A4010" s="0" t="s">
        <v>5241</v>
      </c>
      <c r="B4010" s="0" t="s">
        <v>4485</v>
      </c>
      <c r="C4010" s="0" t="s">
        <v>5570</v>
      </c>
      <c r="D4010" s="0" t="s">
        <v>98</v>
      </c>
      <c r="E4010" s="0" t="s">
        <v>5244</v>
      </c>
    </row>
    <row r="4011" customFormat="false" ht="15" hidden="false" customHeight="false" outlineLevel="0" collapsed="false">
      <c r="A4011" s="0" t="s">
        <v>5241</v>
      </c>
      <c r="B4011" s="0" t="s">
        <v>4487</v>
      </c>
      <c r="C4011" s="0" t="s">
        <v>5571</v>
      </c>
      <c r="D4011" s="0" t="s">
        <v>98</v>
      </c>
      <c r="E4011" s="0" t="s">
        <v>5244</v>
      </c>
    </row>
    <row r="4012" customFormat="false" ht="15" hidden="false" customHeight="false" outlineLevel="0" collapsed="false">
      <c r="A4012" s="0" t="s">
        <v>5241</v>
      </c>
      <c r="B4012" s="0" t="s">
        <v>4489</v>
      </c>
      <c r="C4012" s="0" t="s">
        <v>5572</v>
      </c>
      <c r="D4012" s="0" t="s">
        <v>98</v>
      </c>
      <c r="E4012" s="0" t="s">
        <v>5244</v>
      </c>
    </row>
    <row r="4013" customFormat="false" ht="15" hidden="false" customHeight="false" outlineLevel="0" collapsed="false">
      <c r="A4013" s="0" t="s">
        <v>5241</v>
      </c>
      <c r="B4013" s="0" t="s">
        <v>4491</v>
      </c>
      <c r="C4013" s="0" t="s">
        <v>5573</v>
      </c>
      <c r="D4013" s="0" t="s">
        <v>98</v>
      </c>
      <c r="E4013" s="0" t="s">
        <v>5244</v>
      </c>
    </row>
    <row r="4014" customFormat="false" ht="15" hidden="false" customHeight="false" outlineLevel="0" collapsed="false">
      <c r="A4014" s="0" t="s">
        <v>5241</v>
      </c>
      <c r="B4014" s="0" t="s">
        <v>1003</v>
      </c>
      <c r="C4014" s="0" t="s">
        <v>5574</v>
      </c>
      <c r="D4014" s="0" t="s">
        <v>98</v>
      </c>
      <c r="E4014" s="0" t="s">
        <v>5244</v>
      </c>
    </row>
    <row r="4015" customFormat="false" ht="15" hidden="false" customHeight="false" outlineLevel="0" collapsed="false">
      <c r="A4015" s="0" t="s">
        <v>5241</v>
      </c>
      <c r="B4015" s="0" t="s">
        <v>4494</v>
      </c>
      <c r="C4015" s="0" t="s">
        <v>5575</v>
      </c>
      <c r="D4015" s="0" t="s">
        <v>98</v>
      </c>
      <c r="E4015" s="0" t="s">
        <v>5244</v>
      </c>
    </row>
    <row r="4016" customFormat="false" ht="15" hidden="false" customHeight="false" outlineLevel="0" collapsed="false">
      <c r="A4016" s="0" t="s">
        <v>5241</v>
      </c>
      <c r="B4016" s="0" t="s">
        <v>4496</v>
      </c>
      <c r="C4016" s="0" t="s">
        <v>5576</v>
      </c>
      <c r="D4016" s="0" t="s">
        <v>98</v>
      </c>
      <c r="E4016" s="0" t="s">
        <v>5244</v>
      </c>
    </row>
    <row r="4017" customFormat="false" ht="15" hidden="false" customHeight="false" outlineLevel="0" collapsed="false">
      <c r="A4017" s="0" t="s">
        <v>5241</v>
      </c>
      <c r="B4017" s="0" t="s">
        <v>4498</v>
      </c>
      <c r="C4017" s="0" t="s">
        <v>5577</v>
      </c>
      <c r="D4017" s="0" t="s">
        <v>98</v>
      </c>
      <c r="E4017" s="0" t="s">
        <v>5244</v>
      </c>
    </row>
    <row r="4018" customFormat="false" ht="15" hidden="false" customHeight="false" outlineLevel="0" collapsed="false">
      <c r="A4018" s="0" t="s">
        <v>5241</v>
      </c>
      <c r="B4018" s="0" t="s">
        <v>4500</v>
      </c>
      <c r="C4018" s="0" t="s">
        <v>5578</v>
      </c>
      <c r="D4018" s="0" t="s">
        <v>98</v>
      </c>
      <c r="E4018" s="0" t="s">
        <v>5244</v>
      </c>
    </row>
    <row r="4019" customFormat="false" ht="15" hidden="false" customHeight="false" outlineLevel="0" collapsed="false">
      <c r="A4019" s="0" t="s">
        <v>5241</v>
      </c>
      <c r="B4019" s="0" t="s">
        <v>4502</v>
      </c>
      <c r="C4019" s="0" t="s">
        <v>5579</v>
      </c>
      <c r="D4019" s="0" t="s">
        <v>98</v>
      </c>
      <c r="E4019" s="0" t="s">
        <v>5244</v>
      </c>
    </row>
    <row r="4020" customFormat="false" ht="15" hidden="false" customHeight="false" outlineLevel="0" collapsed="false">
      <c r="A4020" s="0" t="s">
        <v>5241</v>
      </c>
      <c r="B4020" s="0" t="s">
        <v>4504</v>
      </c>
      <c r="C4020" s="0" t="s">
        <v>5580</v>
      </c>
      <c r="D4020" s="0" t="s">
        <v>98</v>
      </c>
      <c r="E4020" s="0" t="s">
        <v>5244</v>
      </c>
    </row>
    <row r="4021" customFormat="false" ht="15" hidden="false" customHeight="false" outlineLevel="0" collapsed="false">
      <c r="A4021" s="0" t="s">
        <v>5241</v>
      </c>
      <c r="B4021" s="0" t="s">
        <v>4506</v>
      </c>
      <c r="C4021" s="0" t="s">
        <v>5581</v>
      </c>
      <c r="D4021" s="0" t="s">
        <v>98</v>
      </c>
      <c r="E4021" s="0" t="s">
        <v>5244</v>
      </c>
    </row>
    <row r="4022" customFormat="false" ht="15" hidden="false" customHeight="false" outlineLevel="0" collapsed="false">
      <c r="A4022" s="0" t="s">
        <v>5241</v>
      </c>
      <c r="B4022" s="0" t="s">
        <v>4508</v>
      </c>
      <c r="C4022" s="0" t="s">
        <v>5582</v>
      </c>
      <c r="D4022" s="0" t="s">
        <v>98</v>
      </c>
      <c r="E4022" s="0" t="s">
        <v>5244</v>
      </c>
    </row>
    <row r="4023" customFormat="false" ht="15" hidden="false" customHeight="false" outlineLevel="0" collapsed="false">
      <c r="A4023" s="0" t="s">
        <v>5241</v>
      </c>
      <c r="B4023" s="0" t="s">
        <v>4510</v>
      </c>
      <c r="C4023" s="0" t="s">
        <v>5583</v>
      </c>
      <c r="D4023" s="0" t="s">
        <v>98</v>
      </c>
      <c r="E4023" s="0" t="s">
        <v>5244</v>
      </c>
    </row>
    <row r="4024" customFormat="false" ht="15" hidden="false" customHeight="false" outlineLevel="0" collapsed="false">
      <c r="A4024" s="0" t="s">
        <v>5241</v>
      </c>
      <c r="B4024" s="0" t="s">
        <v>4512</v>
      </c>
      <c r="C4024" s="0" t="s">
        <v>5584</v>
      </c>
      <c r="D4024" s="0" t="s">
        <v>98</v>
      </c>
      <c r="E4024" s="0" t="s">
        <v>5244</v>
      </c>
    </row>
    <row r="4025" customFormat="false" ht="15" hidden="false" customHeight="false" outlineLevel="0" collapsed="false">
      <c r="A4025" s="0" t="s">
        <v>5241</v>
      </c>
      <c r="B4025" s="0" t="s">
        <v>4514</v>
      </c>
      <c r="C4025" s="0" t="s">
        <v>5585</v>
      </c>
      <c r="D4025" s="0" t="s">
        <v>98</v>
      </c>
      <c r="E4025" s="0" t="s">
        <v>5244</v>
      </c>
    </row>
    <row r="4026" customFormat="false" ht="15" hidden="false" customHeight="false" outlineLevel="0" collapsed="false">
      <c r="A4026" s="0" t="s">
        <v>5241</v>
      </c>
      <c r="B4026" s="0" t="s">
        <v>4516</v>
      </c>
      <c r="C4026" s="0" t="s">
        <v>5586</v>
      </c>
      <c r="D4026" s="0" t="s">
        <v>98</v>
      </c>
      <c r="E4026" s="0" t="s">
        <v>5244</v>
      </c>
    </row>
    <row r="4027" customFormat="false" ht="15" hidden="false" customHeight="false" outlineLevel="0" collapsed="false">
      <c r="A4027" s="0" t="s">
        <v>5241</v>
      </c>
      <c r="B4027" s="0" t="s">
        <v>4518</v>
      </c>
      <c r="C4027" s="0" t="s">
        <v>5587</v>
      </c>
      <c r="D4027" s="0" t="s">
        <v>98</v>
      </c>
      <c r="E4027" s="0" t="s">
        <v>5290</v>
      </c>
    </row>
    <row r="4028" customFormat="false" ht="15" hidden="false" customHeight="false" outlineLevel="0" collapsed="false">
      <c r="A4028" s="0" t="s">
        <v>5241</v>
      </c>
      <c r="B4028" s="0" t="s">
        <v>619</v>
      </c>
      <c r="C4028" s="0" t="s">
        <v>5588</v>
      </c>
      <c r="D4028" s="0" t="s">
        <v>98</v>
      </c>
      <c r="E4028" s="0" t="s">
        <v>5290</v>
      </c>
    </row>
    <row r="4029" customFormat="false" ht="15" hidden="false" customHeight="false" outlineLevel="0" collapsed="false">
      <c r="A4029" s="0" t="s">
        <v>5241</v>
      </c>
      <c r="B4029" s="0" t="s">
        <v>621</v>
      </c>
      <c r="C4029" s="0" t="s">
        <v>5589</v>
      </c>
      <c r="D4029" s="0" t="s">
        <v>98</v>
      </c>
      <c r="E4029" s="0" t="s">
        <v>5290</v>
      </c>
    </row>
    <row r="4030" customFormat="false" ht="15" hidden="false" customHeight="false" outlineLevel="0" collapsed="false">
      <c r="A4030" s="0" t="s">
        <v>5241</v>
      </c>
      <c r="B4030" s="0" t="s">
        <v>622</v>
      </c>
      <c r="C4030" s="0" t="s">
        <v>5590</v>
      </c>
      <c r="D4030" s="0" t="s">
        <v>98</v>
      </c>
      <c r="E4030" s="0" t="s">
        <v>5290</v>
      </c>
    </row>
    <row r="4031" customFormat="false" ht="15" hidden="false" customHeight="false" outlineLevel="0" collapsed="false">
      <c r="A4031" s="0" t="s">
        <v>5241</v>
      </c>
      <c r="B4031" s="0" t="s">
        <v>623</v>
      </c>
      <c r="C4031" s="0" t="s">
        <v>5591</v>
      </c>
      <c r="D4031" s="0" t="s">
        <v>98</v>
      </c>
      <c r="E4031" s="0" t="s">
        <v>5290</v>
      </c>
    </row>
    <row r="4032" customFormat="false" ht="15" hidden="false" customHeight="false" outlineLevel="0" collapsed="false">
      <c r="A4032" s="0" t="s">
        <v>5241</v>
      </c>
      <c r="B4032" s="0" t="s">
        <v>624</v>
      </c>
      <c r="C4032" s="0" t="s">
        <v>5592</v>
      </c>
      <c r="D4032" s="0" t="s">
        <v>98</v>
      </c>
      <c r="E4032" s="0" t="s">
        <v>5290</v>
      </c>
    </row>
    <row r="4033" customFormat="false" ht="15" hidden="false" customHeight="false" outlineLevel="0" collapsed="false">
      <c r="A4033" s="0" t="s">
        <v>5241</v>
      </c>
      <c r="B4033" s="0" t="s">
        <v>625</v>
      </c>
      <c r="C4033" s="0" t="s">
        <v>5593</v>
      </c>
      <c r="D4033" s="0" t="s">
        <v>98</v>
      </c>
      <c r="E4033" s="0" t="s">
        <v>5290</v>
      </c>
    </row>
    <row r="4034" customFormat="false" ht="15" hidden="false" customHeight="false" outlineLevel="0" collapsed="false">
      <c r="A4034" s="0" t="s">
        <v>5241</v>
      </c>
      <c r="B4034" s="0" t="s">
        <v>626</v>
      </c>
      <c r="C4034" s="0" t="s">
        <v>5594</v>
      </c>
      <c r="D4034" s="0" t="s">
        <v>98</v>
      </c>
      <c r="E4034" s="0" t="s">
        <v>5290</v>
      </c>
    </row>
    <row r="4035" customFormat="false" ht="15" hidden="false" customHeight="false" outlineLevel="0" collapsed="false">
      <c r="A4035" s="0" t="s">
        <v>5241</v>
      </c>
      <c r="B4035" s="0" t="s">
        <v>4372</v>
      </c>
      <c r="C4035" s="0" t="s">
        <v>5595</v>
      </c>
      <c r="D4035" s="0" t="s">
        <v>98</v>
      </c>
      <c r="E4035" s="0" t="s">
        <v>5290</v>
      </c>
    </row>
    <row r="4036" customFormat="false" ht="15" hidden="false" customHeight="false" outlineLevel="0" collapsed="false">
      <c r="A4036" s="0" t="s">
        <v>5241</v>
      </c>
      <c r="B4036" s="0" t="s">
        <v>1005</v>
      </c>
      <c r="C4036" s="0" t="s">
        <v>5596</v>
      </c>
      <c r="D4036" s="0" t="s">
        <v>98</v>
      </c>
      <c r="E4036" s="0" t="s">
        <v>5290</v>
      </c>
    </row>
    <row r="4037" customFormat="false" ht="15" hidden="false" customHeight="false" outlineLevel="0" collapsed="false">
      <c r="A4037" s="0" t="s">
        <v>5241</v>
      </c>
      <c r="B4037" s="0" t="s">
        <v>1006</v>
      </c>
      <c r="C4037" s="0" t="s">
        <v>5597</v>
      </c>
      <c r="D4037" s="0" t="s">
        <v>98</v>
      </c>
      <c r="E4037" s="0" t="s">
        <v>5290</v>
      </c>
    </row>
    <row r="4038" customFormat="false" ht="15" hidden="false" customHeight="false" outlineLevel="0" collapsed="false">
      <c r="A4038" s="0" t="s">
        <v>5241</v>
      </c>
      <c r="B4038" s="0" t="s">
        <v>1007</v>
      </c>
      <c r="C4038" s="0" t="s">
        <v>5598</v>
      </c>
      <c r="D4038" s="0" t="s">
        <v>98</v>
      </c>
      <c r="E4038" s="0" t="s">
        <v>5290</v>
      </c>
    </row>
    <row r="4039" customFormat="false" ht="15" hidden="false" customHeight="false" outlineLevel="0" collapsed="false">
      <c r="A4039" s="0" t="s">
        <v>5241</v>
      </c>
      <c r="B4039" s="0" t="s">
        <v>1008</v>
      </c>
      <c r="C4039" s="0" t="s">
        <v>5599</v>
      </c>
      <c r="D4039" s="0" t="s">
        <v>98</v>
      </c>
      <c r="E4039" s="0" t="s">
        <v>5290</v>
      </c>
    </row>
    <row r="4040" customFormat="false" ht="15" hidden="false" customHeight="false" outlineLevel="0" collapsed="false">
      <c r="A4040" s="0" t="s">
        <v>5241</v>
      </c>
      <c r="B4040" s="0" t="s">
        <v>1009</v>
      </c>
      <c r="C4040" s="0" t="s">
        <v>5600</v>
      </c>
      <c r="D4040" s="0" t="s">
        <v>98</v>
      </c>
      <c r="E4040" s="0" t="s">
        <v>5290</v>
      </c>
    </row>
    <row r="4041" customFormat="false" ht="15" hidden="false" customHeight="false" outlineLevel="0" collapsed="false">
      <c r="A4041" s="0" t="s">
        <v>5241</v>
      </c>
      <c r="B4041" s="0" t="s">
        <v>1010</v>
      </c>
      <c r="C4041" s="0" t="s">
        <v>5601</v>
      </c>
      <c r="D4041" s="0" t="s">
        <v>98</v>
      </c>
      <c r="E4041" s="0" t="s">
        <v>5290</v>
      </c>
    </row>
    <row r="4042" customFormat="false" ht="15" hidden="false" customHeight="false" outlineLevel="0" collapsed="false">
      <c r="A4042" s="0" t="s">
        <v>5241</v>
      </c>
      <c r="B4042" s="0" t="s">
        <v>1011</v>
      </c>
      <c r="C4042" s="0" t="s">
        <v>5602</v>
      </c>
      <c r="D4042" s="0" t="s">
        <v>98</v>
      </c>
      <c r="E4042" s="0" t="s">
        <v>5290</v>
      </c>
    </row>
    <row r="4043" customFormat="false" ht="15" hidden="false" customHeight="false" outlineLevel="0" collapsed="false">
      <c r="A4043" s="0" t="s">
        <v>5241</v>
      </c>
      <c r="B4043" s="0" t="s">
        <v>1012</v>
      </c>
      <c r="C4043" s="0" t="s">
        <v>5603</v>
      </c>
      <c r="D4043" s="0" t="s">
        <v>98</v>
      </c>
      <c r="E4043" s="0" t="s">
        <v>5290</v>
      </c>
    </row>
    <row r="4044" customFormat="false" ht="15" hidden="false" customHeight="false" outlineLevel="0" collapsed="false">
      <c r="A4044" s="0" t="s">
        <v>5241</v>
      </c>
      <c r="B4044" s="0" t="s">
        <v>1013</v>
      </c>
      <c r="C4044" s="0" t="s">
        <v>5604</v>
      </c>
      <c r="D4044" s="0" t="s">
        <v>98</v>
      </c>
      <c r="E4044" s="0" t="s">
        <v>5290</v>
      </c>
    </row>
    <row r="4045" customFormat="false" ht="15" hidden="false" customHeight="false" outlineLevel="0" collapsed="false">
      <c r="A4045" s="0" t="s">
        <v>5241</v>
      </c>
      <c r="B4045" s="0" t="s">
        <v>1014</v>
      </c>
      <c r="C4045" s="0" t="s">
        <v>5605</v>
      </c>
      <c r="D4045" s="0" t="s">
        <v>98</v>
      </c>
      <c r="E4045" s="0" t="s">
        <v>5290</v>
      </c>
    </row>
    <row r="4046" customFormat="false" ht="15" hidden="false" customHeight="false" outlineLevel="0" collapsed="false">
      <c r="A4046" s="0" t="s">
        <v>5241</v>
      </c>
      <c r="B4046" s="0" t="s">
        <v>1015</v>
      </c>
      <c r="C4046" s="0" t="s">
        <v>5606</v>
      </c>
      <c r="D4046" s="0" t="s">
        <v>98</v>
      </c>
      <c r="E4046" s="0" t="s">
        <v>5290</v>
      </c>
    </row>
    <row r="4047" customFormat="false" ht="15" hidden="false" customHeight="false" outlineLevel="0" collapsed="false">
      <c r="A4047" s="0" t="s">
        <v>5241</v>
      </c>
      <c r="B4047" s="0" t="s">
        <v>1016</v>
      </c>
      <c r="C4047" s="0" t="s">
        <v>5607</v>
      </c>
      <c r="D4047" s="0" t="s">
        <v>98</v>
      </c>
      <c r="E4047" s="0" t="s">
        <v>5290</v>
      </c>
    </row>
    <row r="4048" customFormat="false" ht="15" hidden="false" customHeight="false" outlineLevel="0" collapsed="false">
      <c r="A4048" s="0" t="s">
        <v>5241</v>
      </c>
      <c r="B4048" s="0" t="s">
        <v>1017</v>
      </c>
      <c r="C4048" s="0" t="s">
        <v>5608</v>
      </c>
      <c r="D4048" s="0" t="s">
        <v>98</v>
      </c>
      <c r="E4048" s="0" t="s">
        <v>5290</v>
      </c>
    </row>
    <row r="4049" customFormat="false" ht="15" hidden="false" customHeight="false" outlineLevel="0" collapsed="false">
      <c r="A4049" s="0" t="s">
        <v>5241</v>
      </c>
      <c r="B4049" s="0" t="s">
        <v>1018</v>
      </c>
      <c r="C4049" s="0" t="s">
        <v>5609</v>
      </c>
      <c r="D4049" s="0" t="s">
        <v>98</v>
      </c>
      <c r="E4049" s="0" t="s">
        <v>5290</v>
      </c>
    </row>
    <row r="4050" customFormat="false" ht="15" hidden="false" customHeight="false" outlineLevel="0" collapsed="false">
      <c r="A4050" s="0" t="s">
        <v>5241</v>
      </c>
      <c r="B4050" s="0" t="s">
        <v>1019</v>
      </c>
      <c r="C4050" s="0" t="s">
        <v>5610</v>
      </c>
      <c r="D4050" s="0" t="s">
        <v>98</v>
      </c>
      <c r="E4050" s="0" t="s">
        <v>5290</v>
      </c>
    </row>
    <row r="4051" customFormat="false" ht="15" hidden="false" customHeight="false" outlineLevel="0" collapsed="false">
      <c r="A4051" s="0" t="s">
        <v>5241</v>
      </c>
      <c r="B4051" s="0" t="s">
        <v>1020</v>
      </c>
      <c r="C4051" s="0" t="s">
        <v>5611</v>
      </c>
      <c r="D4051" s="0" t="s">
        <v>98</v>
      </c>
      <c r="E4051" s="0" t="s">
        <v>5290</v>
      </c>
    </row>
    <row r="4052" customFormat="false" ht="15" hidden="false" customHeight="false" outlineLevel="0" collapsed="false">
      <c r="A4052" s="0" t="s">
        <v>5241</v>
      </c>
      <c r="B4052" s="0" t="s">
        <v>1021</v>
      </c>
      <c r="C4052" s="0" t="s">
        <v>5612</v>
      </c>
      <c r="D4052" s="0" t="s">
        <v>98</v>
      </c>
      <c r="E4052" s="0" t="s">
        <v>5290</v>
      </c>
    </row>
    <row r="4053" customFormat="false" ht="15" hidden="false" customHeight="false" outlineLevel="0" collapsed="false">
      <c r="A4053" s="0" t="s">
        <v>5241</v>
      </c>
      <c r="B4053" s="0" t="s">
        <v>1022</v>
      </c>
      <c r="C4053" s="0" t="s">
        <v>5613</v>
      </c>
      <c r="D4053" s="0" t="s">
        <v>98</v>
      </c>
      <c r="E4053" s="0" t="s">
        <v>5290</v>
      </c>
    </row>
    <row r="4054" customFormat="false" ht="15" hidden="false" customHeight="false" outlineLevel="0" collapsed="false">
      <c r="A4054" s="0" t="s">
        <v>5241</v>
      </c>
      <c r="B4054" s="0" t="s">
        <v>1023</v>
      </c>
      <c r="C4054" s="0" t="s">
        <v>5614</v>
      </c>
      <c r="D4054" s="0" t="s">
        <v>98</v>
      </c>
      <c r="E4054" s="0" t="s">
        <v>5290</v>
      </c>
    </row>
    <row r="4055" customFormat="false" ht="15" hidden="false" customHeight="false" outlineLevel="0" collapsed="false">
      <c r="A4055" s="0" t="s">
        <v>5241</v>
      </c>
      <c r="B4055" s="0" t="s">
        <v>1024</v>
      </c>
      <c r="C4055" s="0" t="s">
        <v>5615</v>
      </c>
      <c r="D4055" s="0" t="s">
        <v>98</v>
      </c>
      <c r="E4055" s="0" t="s">
        <v>5244</v>
      </c>
    </row>
    <row r="4056" customFormat="false" ht="15" hidden="false" customHeight="false" outlineLevel="0" collapsed="false">
      <c r="A4056" s="0" t="s">
        <v>5241</v>
      </c>
      <c r="B4056" s="0" t="s">
        <v>629</v>
      </c>
      <c r="C4056" s="0" t="s">
        <v>5616</v>
      </c>
      <c r="D4056" s="0" t="s">
        <v>98</v>
      </c>
      <c r="E4056" s="0" t="s">
        <v>5244</v>
      </c>
    </row>
    <row r="4057" customFormat="false" ht="15" hidden="false" customHeight="false" outlineLevel="0" collapsed="false">
      <c r="A4057" s="0" t="s">
        <v>5241</v>
      </c>
      <c r="B4057" s="0" t="s">
        <v>631</v>
      </c>
      <c r="C4057" s="0" t="s">
        <v>5617</v>
      </c>
      <c r="D4057" s="0" t="s">
        <v>98</v>
      </c>
      <c r="E4057" s="0" t="s">
        <v>5244</v>
      </c>
    </row>
    <row r="4058" customFormat="false" ht="15" hidden="false" customHeight="false" outlineLevel="0" collapsed="false">
      <c r="A4058" s="0" t="s">
        <v>5241</v>
      </c>
      <c r="B4058" s="0" t="s">
        <v>632</v>
      </c>
      <c r="C4058" s="0" t="s">
        <v>5618</v>
      </c>
      <c r="D4058" s="0" t="s">
        <v>98</v>
      </c>
      <c r="E4058" s="0" t="s">
        <v>5244</v>
      </c>
    </row>
    <row r="4059" customFormat="false" ht="15" hidden="false" customHeight="false" outlineLevel="0" collapsed="false">
      <c r="A4059" s="0" t="s">
        <v>5241</v>
      </c>
      <c r="B4059" s="0" t="s">
        <v>633</v>
      </c>
      <c r="C4059" s="0" t="s">
        <v>5619</v>
      </c>
      <c r="D4059" s="0" t="s">
        <v>98</v>
      </c>
      <c r="E4059" s="0" t="s">
        <v>5244</v>
      </c>
    </row>
    <row r="4060" customFormat="false" ht="15" hidden="false" customHeight="false" outlineLevel="0" collapsed="false">
      <c r="A4060" s="0" t="s">
        <v>5241</v>
      </c>
      <c r="B4060" s="0" t="s">
        <v>634</v>
      </c>
      <c r="C4060" s="0" t="s">
        <v>5620</v>
      </c>
      <c r="D4060" s="0" t="s">
        <v>98</v>
      </c>
      <c r="E4060" s="0" t="s">
        <v>5244</v>
      </c>
    </row>
    <row r="4061" customFormat="false" ht="15" hidden="false" customHeight="false" outlineLevel="0" collapsed="false">
      <c r="A4061" s="0" t="s">
        <v>5241</v>
      </c>
      <c r="B4061" s="0" t="s">
        <v>635</v>
      </c>
      <c r="C4061" s="0" t="s">
        <v>5621</v>
      </c>
      <c r="D4061" s="0" t="s">
        <v>98</v>
      </c>
      <c r="E4061" s="0" t="s">
        <v>5244</v>
      </c>
    </row>
    <row r="4062" customFormat="false" ht="15" hidden="false" customHeight="false" outlineLevel="0" collapsed="false">
      <c r="A4062" s="0" t="s">
        <v>5241</v>
      </c>
      <c r="B4062" s="0" t="s">
        <v>636</v>
      </c>
      <c r="C4062" s="0" t="s">
        <v>5622</v>
      </c>
      <c r="D4062" s="0" t="s">
        <v>98</v>
      </c>
      <c r="E4062" s="0" t="s">
        <v>5244</v>
      </c>
    </row>
    <row r="4063" customFormat="false" ht="15" hidden="false" customHeight="false" outlineLevel="0" collapsed="false">
      <c r="A4063" s="0" t="s">
        <v>5241</v>
      </c>
      <c r="B4063" s="0" t="s">
        <v>1025</v>
      </c>
      <c r="C4063" s="0" t="s">
        <v>5623</v>
      </c>
      <c r="D4063" s="0" t="s">
        <v>98</v>
      </c>
      <c r="E4063" s="0" t="s">
        <v>5244</v>
      </c>
    </row>
    <row r="4064" customFormat="false" ht="15" hidden="false" customHeight="false" outlineLevel="0" collapsed="false">
      <c r="A4064" s="0" t="s">
        <v>5241</v>
      </c>
      <c r="B4064" s="0" t="s">
        <v>1026</v>
      </c>
      <c r="C4064" s="0" t="s">
        <v>5624</v>
      </c>
      <c r="D4064" s="0" t="s">
        <v>98</v>
      </c>
      <c r="E4064" s="0" t="s">
        <v>5244</v>
      </c>
    </row>
    <row r="4065" customFormat="false" ht="15" hidden="false" customHeight="false" outlineLevel="0" collapsed="false">
      <c r="A4065" s="0" t="s">
        <v>5241</v>
      </c>
      <c r="B4065" s="0" t="s">
        <v>1027</v>
      </c>
      <c r="C4065" s="0" t="s">
        <v>5625</v>
      </c>
      <c r="D4065" s="0" t="s">
        <v>98</v>
      </c>
      <c r="E4065" s="0" t="s">
        <v>5244</v>
      </c>
    </row>
    <row r="4066" customFormat="false" ht="15" hidden="false" customHeight="false" outlineLevel="0" collapsed="false">
      <c r="A4066" s="0" t="s">
        <v>5241</v>
      </c>
      <c r="B4066" s="0" t="s">
        <v>1028</v>
      </c>
      <c r="C4066" s="0" t="s">
        <v>5626</v>
      </c>
      <c r="D4066" s="0" t="s">
        <v>98</v>
      </c>
      <c r="E4066" s="0" t="s">
        <v>5244</v>
      </c>
    </row>
    <row r="4067" customFormat="false" ht="15" hidden="false" customHeight="false" outlineLevel="0" collapsed="false">
      <c r="A4067" s="0" t="s">
        <v>5241</v>
      </c>
      <c r="B4067" s="0" t="s">
        <v>1029</v>
      </c>
      <c r="C4067" s="0" t="s">
        <v>5627</v>
      </c>
      <c r="D4067" s="0" t="s">
        <v>98</v>
      </c>
      <c r="E4067" s="0" t="s">
        <v>5244</v>
      </c>
    </row>
    <row r="4068" customFormat="false" ht="15" hidden="false" customHeight="false" outlineLevel="0" collapsed="false">
      <c r="A4068" s="0" t="s">
        <v>5241</v>
      </c>
      <c r="B4068" s="0" t="s">
        <v>1030</v>
      </c>
      <c r="C4068" s="0" t="s">
        <v>5628</v>
      </c>
      <c r="D4068" s="0" t="s">
        <v>98</v>
      </c>
      <c r="E4068" s="0" t="s">
        <v>5244</v>
      </c>
    </row>
    <row r="4069" customFormat="false" ht="15" hidden="false" customHeight="false" outlineLevel="0" collapsed="false">
      <c r="A4069" s="0" t="s">
        <v>5241</v>
      </c>
      <c r="B4069" s="0" t="s">
        <v>1031</v>
      </c>
      <c r="C4069" s="0" t="s">
        <v>5629</v>
      </c>
      <c r="D4069" s="0" t="s">
        <v>98</v>
      </c>
      <c r="E4069" s="0" t="s">
        <v>5244</v>
      </c>
    </row>
    <row r="4070" customFormat="false" ht="15" hidden="false" customHeight="false" outlineLevel="0" collapsed="false">
      <c r="A4070" s="0" t="s">
        <v>5241</v>
      </c>
      <c r="B4070" s="0" t="s">
        <v>1032</v>
      </c>
      <c r="C4070" s="0" t="s">
        <v>5630</v>
      </c>
      <c r="D4070" s="0" t="s">
        <v>98</v>
      </c>
      <c r="E4070" s="0" t="s">
        <v>5244</v>
      </c>
    </row>
    <row r="4071" customFormat="false" ht="15" hidden="false" customHeight="false" outlineLevel="0" collapsed="false">
      <c r="A4071" s="0" t="s">
        <v>5241</v>
      </c>
      <c r="B4071" s="0" t="s">
        <v>1034</v>
      </c>
      <c r="C4071" s="0" t="s">
        <v>5631</v>
      </c>
      <c r="D4071" s="0" t="s">
        <v>98</v>
      </c>
      <c r="E4071" s="0" t="s">
        <v>5244</v>
      </c>
    </row>
    <row r="4072" customFormat="false" ht="15" hidden="false" customHeight="false" outlineLevel="0" collapsed="false">
      <c r="A4072" s="0" t="s">
        <v>5241</v>
      </c>
      <c r="B4072" s="0" t="s">
        <v>1035</v>
      </c>
      <c r="C4072" s="0" t="s">
        <v>5632</v>
      </c>
      <c r="D4072" s="0" t="s">
        <v>98</v>
      </c>
      <c r="E4072" s="0" t="s">
        <v>5244</v>
      </c>
    </row>
    <row r="4073" customFormat="false" ht="15" hidden="false" customHeight="false" outlineLevel="0" collapsed="false">
      <c r="A4073" s="0" t="s">
        <v>5241</v>
      </c>
      <c r="B4073" s="0" t="s">
        <v>1037</v>
      </c>
      <c r="C4073" s="0" t="s">
        <v>5633</v>
      </c>
      <c r="D4073" s="0" t="s">
        <v>98</v>
      </c>
      <c r="E4073" s="0" t="s">
        <v>5244</v>
      </c>
    </row>
    <row r="4074" customFormat="false" ht="15" hidden="false" customHeight="false" outlineLevel="0" collapsed="false">
      <c r="A4074" s="0" t="s">
        <v>5241</v>
      </c>
      <c r="B4074" s="0" t="s">
        <v>1038</v>
      </c>
      <c r="C4074" s="0" t="s">
        <v>5634</v>
      </c>
      <c r="D4074" s="0" t="s">
        <v>98</v>
      </c>
      <c r="E4074" s="0" t="s">
        <v>5244</v>
      </c>
    </row>
    <row r="4075" customFormat="false" ht="15" hidden="false" customHeight="false" outlineLevel="0" collapsed="false">
      <c r="A4075" s="0" t="s">
        <v>5241</v>
      </c>
      <c r="B4075" s="0" t="s">
        <v>1040</v>
      </c>
      <c r="C4075" s="0" t="s">
        <v>5635</v>
      </c>
      <c r="D4075" s="0" t="s">
        <v>98</v>
      </c>
      <c r="E4075" s="0" t="s">
        <v>5244</v>
      </c>
    </row>
    <row r="4076" customFormat="false" ht="15" hidden="false" customHeight="false" outlineLevel="0" collapsed="false">
      <c r="A4076" s="0" t="s">
        <v>5241</v>
      </c>
      <c r="B4076" s="0" t="s">
        <v>1041</v>
      </c>
      <c r="C4076" s="0" t="s">
        <v>5636</v>
      </c>
      <c r="D4076" s="0" t="s">
        <v>98</v>
      </c>
      <c r="E4076" s="0" t="s">
        <v>5244</v>
      </c>
    </row>
    <row r="4077" customFormat="false" ht="15" hidden="false" customHeight="false" outlineLevel="0" collapsed="false">
      <c r="A4077" s="0" t="s">
        <v>5241</v>
      </c>
      <c r="B4077" s="0" t="s">
        <v>1044</v>
      </c>
      <c r="C4077" s="0" t="s">
        <v>5637</v>
      </c>
      <c r="D4077" s="0" t="s">
        <v>98</v>
      </c>
      <c r="E4077" s="0" t="s">
        <v>5244</v>
      </c>
    </row>
    <row r="4078" customFormat="false" ht="15" hidden="false" customHeight="false" outlineLevel="0" collapsed="false">
      <c r="A4078" s="0" t="s">
        <v>5241</v>
      </c>
      <c r="B4078" s="0" t="s">
        <v>1045</v>
      </c>
      <c r="C4078" s="0" t="s">
        <v>5638</v>
      </c>
      <c r="D4078" s="0" t="s">
        <v>98</v>
      </c>
      <c r="E4078" s="0" t="s">
        <v>5244</v>
      </c>
    </row>
    <row r="4079" customFormat="false" ht="15" hidden="false" customHeight="false" outlineLevel="0" collapsed="false">
      <c r="A4079" s="0" t="s">
        <v>5241</v>
      </c>
      <c r="B4079" s="0" t="s">
        <v>1048</v>
      </c>
      <c r="C4079" s="0" t="s">
        <v>5639</v>
      </c>
      <c r="D4079" s="0" t="s">
        <v>98</v>
      </c>
      <c r="E4079" s="0" t="s">
        <v>5244</v>
      </c>
    </row>
    <row r="4080" customFormat="false" ht="15" hidden="false" customHeight="false" outlineLevel="0" collapsed="false">
      <c r="A4080" s="0" t="s">
        <v>5241</v>
      </c>
      <c r="B4080" s="0" t="s">
        <v>1049</v>
      </c>
      <c r="C4080" s="0" t="s">
        <v>5640</v>
      </c>
      <c r="D4080" s="0" t="s">
        <v>98</v>
      </c>
      <c r="E4080" s="0" t="s">
        <v>5244</v>
      </c>
    </row>
    <row r="4081" customFormat="false" ht="15" hidden="false" customHeight="false" outlineLevel="0" collapsed="false">
      <c r="A4081" s="0" t="s">
        <v>5241</v>
      </c>
      <c r="B4081" s="0" t="s">
        <v>1050</v>
      </c>
      <c r="C4081" s="0" t="s">
        <v>5641</v>
      </c>
      <c r="D4081" s="0" t="s">
        <v>98</v>
      </c>
      <c r="E4081" s="0" t="s">
        <v>5244</v>
      </c>
    </row>
    <row r="4082" customFormat="false" ht="15" hidden="false" customHeight="false" outlineLevel="0" collapsed="false">
      <c r="A4082" s="0" t="s">
        <v>5241</v>
      </c>
      <c r="B4082" s="0" t="s">
        <v>1051</v>
      </c>
      <c r="C4082" s="0" t="s">
        <v>5642</v>
      </c>
      <c r="D4082" s="0" t="s">
        <v>98</v>
      </c>
      <c r="E4082" s="0" t="s">
        <v>5244</v>
      </c>
    </row>
    <row r="4083" customFormat="false" ht="15" hidden="false" customHeight="false" outlineLevel="0" collapsed="false">
      <c r="A4083" s="0" t="s">
        <v>5241</v>
      </c>
      <c r="B4083" s="0" t="s">
        <v>1053</v>
      </c>
      <c r="C4083" s="0" t="s">
        <v>5643</v>
      </c>
      <c r="D4083" s="0" t="s">
        <v>98</v>
      </c>
      <c r="E4083" s="0" t="s">
        <v>5290</v>
      </c>
    </row>
    <row r="4084" customFormat="false" ht="15" hidden="false" customHeight="false" outlineLevel="0" collapsed="false">
      <c r="A4084" s="0" t="s">
        <v>5241</v>
      </c>
      <c r="B4084" s="0" t="s">
        <v>639</v>
      </c>
      <c r="C4084" s="0" t="s">
        <v>5644</v>
      </c>
      <c r="D4084" s="0" t="s">
        <v>98</v>
      </c>
      <c r="E4084" s="0" t="s">
        <v>5290</v>
      </c>
    </row>
    <row r="4085" customFormat="false" ht="15" hidden="false" customHeight="false" outlineLevel="0" collapsed="false">
      <c r="A4085" s="0" t="s">
        <v>5241</v>
      </c>
      <c r="B4085" s="0" t="s">
        <v>640</v>
      </c>
      <c r="C4085" s="0" t="s">
        <v>5645</v>
      </c>
      <c r="D4085" s="0" t="s">
        <v>98</v>
      </c>
      <c r="E4085" s="0" t="s">
        <v>5290</v>
      </c>
    </row>
    <row r="4086" customFormat="false" ht="15" hidden="false" customHeight="false" outlineLevel="0" collapsed="false">
      <c r="A4086" s="0" t="s">
        <v>5241</v>
      </c>
      <c r="B4086" s="0" t="s">
        <v>641</v>
      </c>
      <c r="C4086" s="0" t="s">
        <v>5646</v>
      </c>
      <c r="D4086" s="0" t="s">
        <v>98</v>
      </c>
      <c r="E4086" s="0" t="s">
        <v>5290</v>
      </c>
    </row>
    <row r="4087" customFormat="false" ht="15" hidden="false" customHeight="false" outlineLevel="0" collapsed="false">
      <c r="A4087" s="0" t="s">
        <v>5241</v>
      </c>
      <c r="B4087" s="0" t="s">
        <v>642</v>
      </c>
      <c r="C4087" s="0" t="s">
        <v>5647</v>
      </c>
      <c r="D4087" s="0" t="s">
        <v>98</v>
      </c>
      <c r="E4087" s="0" t="s">
        <v>5290</v>
      </c>
    </row>
    <row r="4088" customFormat="false" ht="15" hidden="false" customHeight="false" outlineLevel="0" collapsed="false">
      <c r="A4088" s="0" t="s">
        <v>5241</v>
      </c>
      <c r="B4088" s="0" t="s">
        <v>643</v>
      </c>
      <c r="C4088" s="0" t="s">
        <v>5648</v>
      </c>
      <c r="D4088" s="0" t="s">
        <v>98</v>
      </c>
      <c r="E4088" s="0" t="s">
        <v>5290</v>
      </c>
    </row>
    <row r="4089" customFormat="false" ht="15" hidden="false" customHeight="false" outlineLevel="0" collapsed="false">
      <c r="A4089" s="0" t="s">
        <v>5241</v>
      </c>
      <c r="B4089" s="0" t="s">
        <v>644</v>
      </c>
      <c r="C4089" s="0" t="s">
        <v>5649</v>
      </c>
      <c r="D4089" s="0" t="s">
        <v>98</v>
      </c>
      <c r="E4089" s="0" t="s">
        <v>5290</v>
      </c>
    </row>
    <row r="4090" customFormat="false" ht="15" hidden="false" customHeight="false" outlineLevel="0" collapsed="false">
      <c r="A4090" s="0" t="s">
        <v>5241</v>
      </c>
      <c r="B4090" s="0" t="s">
        <v>645</v>
      </c>
      <c r="C4090" s="0" t="s">
        <v>5650</v>
      </c>
      <c r="D4090" s="0" t="s">
        <v>98</v>
      </c>
      <c r="E4090" s="0" t="s">
        <v>5290</v>
      </c>
    </row>
    <row r="4091" customFormat="false" ht="15" hidden="false" customHeight="false" outlineLevel="0" collapsed="false">
      <c r="A4091" s="0" t="s">
        <v>5241</v>
      </c>
      <c r="B4091" s="0" t="s">
        <v>1054</v>
      </c>
      <c r="C4091" s="0" t="s">
        <v>5651</v>
      </c>
      <c r="D4091" s="0" t="s">
        <v>98</v>
      </c>
      <c r="E4091" s="0" t="s">
        <v>5290</v>
      </c>
    </row>
    <row r="4092" customFormat="false" ht="15" hidden="false" customHeight="false" outlineLevel="0" collapsed="false">
      <c r="A4092" s="0" t="s">
        <v>5241</v>
      </c>
      <c r="B4092" s="0" t="s">
        <v>1055</v>
      </c>
      <c r="C4092" s="0" t="s">
        <v>5652</v>
      </c>
      <c r="D4092" s="0" t="s">
        <v>98</v>
      </c>
      <c r="E4092" s="0" t="s">
        <v>5290</v>
      </c>
    </row>
    <row r="4093" customFormat="false" ht="15" hidden="false" customHeight="false" outlineLevel="0" collapsed="false">
      <c r="A4093" s="0" t="s">
        <v>5241</v>
      </c>
      <c r="B4093" s="0" t="s">
        <v>1056</v>
      </c>
      <c r="C4093" s="0" t="s">
        <v>5653</v>
      </c>
      <c r="D4093" s="0" t="s">
        <v>98</v>
      </c>
      <c r="E4093" s="0" t="s">
        <v>5290</v>
      </c>
    </row>
    <row r="4094" customFormat="false" ht="15" hidden="false" customHeight="false" outlineLevel="0" collapsed="false">
      <c r="A4094" s="0" t="s">
        <v>5241</v>
      </c>
      <c r="B4094" s="0" t="s">
        <v>1057</v>
      </c>
      <c r="C4094" s="0" t="s">
        <v>5654</v>
      </c>
      <c r="D4094" s="0" t="s">
        <v>98</v>
      </c>
      <c r="E4094" s="0" t="s">
        <v>5290</v>
      </c>
    </row>
    <row r="4095" customFormat="false" ht="15" hidden="false" customHeight="false" outlineLevel="0" collapsed="false">
      <c r="A4095" s="0" t="s">
        <v>5241</v>
      </c>
      <c r="B4095" s="0" t="s">
        <v>1058</v>
      </c>
      <c r="C4095" s="0" t="s">
        <v>5655</v>
      </c>
      <c r="D4095" s="0" t="s">
        <v>98</v>
      </c>
      <c r="E4095" s="0" t="s">
        <v>5290</v>
      </c>
    </row>
    <row r="4096" customFormat="false" ht="15" hidden="false" customHeight="false" outlineLevel="0" collapsed="false">
      <c r="A4096" s="0" t="s">
        <v>5241</v>
      </c>
      <c r="B4096" s="0" t="s">
        <v>1059</v>
      </c>
      <c r="C4096" s="0" t="s">
        <v>5656</v>
      </c>
      <c r="D4096" s="0" t="s">
        <v>98</v>
      </c>
      <c r="E4096" s="0" t="s">
        <v>5290</v>
      </c>
    </row>
    <row r="4097" customFormat="false" ht="15" hidden="false" customHeight="false" outlineLevel="0" collapsed="false">
      <c r="A4097" s="0" t="s">
        <v>5241</v>
      </c>
      <c r="B4097" s="0" t="s">
        <v>1060</v>
      </c>
      <c r="C4097" s="0" t="s">
        <v>5657</v>
      </c>
      <c r="D4097" s="0" t="s">
        <v>98</v>
      </c>
      <c r="E4097" s="0" t="s">
        <v>5290</v>
      </c>
    </row>
    <row r="4098" customFormat="false" ht="15" hidden="false" customHeight="false" outlineLevel="0" collapsed="false">
      <c r="A4098" s="0" t="s">
        <v>5241</v>
      </c>
      <c r="B4098" s="0" t="s">
        <v>1061</v>
      </c>
      <c r="C4098" s="0" t="s">
        <v>5658</v>
      </c>
      <c r="D4098" s="0" t="s">
        <v>98</v>
      </c>
      <c r="E4098" s="0" t="s">
        <v>5290</v>
      </c>
    </row>
    <row r="4099" customFormat="false" ht="15" hidden="false" customHeight="false" outlineLevel="0" collapsed="false">
      <c r="A4099" s="0" t="s">
        <v>5241</v>
      </c>
      <c r="B4099" s="0" t="s">
        <v>1062</v>
      </c>
      <c r="C4099" s="0" t="s">
        <v>5659</v>
      </c>
      <c r="D4099" s="0" t="s">
        <v>98</v>
      </c>
      <c r="E4099" s="0" t="s">
        <v>5290</v>
      </c>
    </row>
    <row r="4100" customFormat="false" ht="15" hidden="false" customHeight="false" outlineLevel="0" collapsed="false">
      <c r="A4100" s="0" t="s">
        <v>5241</v>
      </c>
      <c r="B4100" s="0" t="s">
        <v>1063</v>
      </c>
      <c r="C4100" s="0" t="s">
        <v>5660</v>
      </c>
      <c r="D4100" s="0" t="s">
        <v>98</v>
      </c>
      <c r="E4100" s="0" t="s">
        <v>5290</v>
      </c>
    </row>
    <row r="4101" customFormat="false" ht="15" hidden="false" customHeight="false" outlineLevel="0" collapsed="false">
      <c r="A4101" s="0" t="s">
        <v>5241</v>
      </c>
      <c r="B4101" s="0" t="s">
        <v>1064</v>
      </c>
      <c r="C4101" s="0" t="s">
        <v>5661</v>
      </c>
      <c r="D4101" s="0" t="s">
        <v>98</v>
      </c>
      <c r="E4101" s="0" t="s">
        <v>5290</v>
      </c>
    </row>
    <row r="4102" customFormat="false" ht="15" hidden="false" customHeight="false" outlineLevel="0" collapsed="false">
      <c r="A4102" s="0" t="s">
        <v>5241</v>
      </c>
      <c r="B4102" s="0" t="s">
        <v>1065</v>
      </c>
      <c r="C4102" s="0" t="s">
        <v>5662</v>
      </c>
      <c r="D4102" s="0" t="s">
        <v>98</v>
      </c>
      <c r="E4102" s="0" t="s">
        <v>5290</v>
      </c>
    </row>
    <row r="4103" customFormat="false" ht="15" hidden="false" customHeight="false" outlineLevel="0" collapsed="false">
      <c r="A4103" s="0" t="s">
        <v>5241</v>
      </c>
      <c r="B4103" s="0" t="s">
        <v>1066</v>
      </c>
      <c r="C4103" s="0" t="s">
        <v>5663</v>
      </c>
      <c r="D4103" s="0" t="s">
        <v>98</v>
      </c>
      <c r="E4103" s="0" t="s">
        <v>5290</v>
      </c>
    </row>
    <row r="4104" customFormat="false" ht="15" hidden="false" customHeight="false" outlineLevel="0" collapsed="false">
      <c r="A4104" s="0" t="s">
        <v>5241</v>
      </c>
      <c r="B4104" s="0" t="s">
        <v>1067</v>
      </c>
      <c r="C4104" s="0" t="s">
        <v>5664</v>
      </c>
      <c r="D4104" s="0" t="s">
        <v>98</v>
      </c>
      <c r="E4104" s="0" t="s">
        <v>5290</v>
      </c>
    </row>
    <row r="4105" customFormat="false" ht="15" hidden="false" customHeight="false" outlineLevel="0" collapsed="false">
      <c r="A4105" s="0" t="s">
        <v>5241</v>
      </c>
      <c r="B4105" s="0" t="s">
        <v>1068</v>
      </c>
      <c r="C4105" s="0" t="s">
        <v>5665</v>
      </c>
      <c r="D4105" s="0" t="s">
        <v>98</v>
      </c>
      <c r="E4105" s="0" t="s">
        <v>5290</v>
      </c>
    </row>
    <row r="4106" customFormat="false" ht="15" hidden="false" customHeight="false" outlineLevel="0" collapsed="false">
      <c r="A4106" s="0" t="s">
        <v>5241</v>
      </c>
      <c r="B4106" s="0" t="s">
        <v>1069</v>
      </c>
      <c r="C4106" s="0" t="s">
        <v>5666</v>
      </c>
      <c r="D4106" s="0" t="s">
        <v>98</v>
      </c>
      <c r="E4106" s="0" t="s">
        <v>5290</v>
      </c>
    </row>
    <row r="4107" customFormat="false" ht="15" hidden="false" customHeight="false" outlineLevel="0" collapsed="false">
      <c r="A4107" s="0" t="s">
        <v>5241</v>
      </c>
      <c r="B4107" s="0" t="s">
        <v>1071</v>
      </c>
      <c r="C4107" s="0" t="s">
        <v>5667</v>
      </c>
      <c r="D4107" s="0" t="s">
        <v>98</v>
      </c>
      <c r="E4107" s="0" t="s">
        <v>5290</v>
      </c>
    </row>
    <row r="4108" customFormat="false" ht="15" hidden="false" customHeight="false" outlineLevel="0" collapsed="false">
      <c r="A4108" s="0" t="s">
        <v>5241</v>
      </c>
      <c r="B4108" s="0" t="s">
        <v>1072</v>
      </c>
      <c r="C4108" s="0" t="s">
        <v>5668</v>
      </c>
      <c r="D4108" s="0" t="s">
        <v>98</v>
      </c>
      <c r="E4108" s="0" t="s">
        <v>5290</v>
      </c>
    </row>
    <row r="4109" customFormat="false" ht="15" hidden="false" customHeight="false" outlineLevel="0" collapsed="false">
      <c r="A4109" s="0" t="s">
        <v>5241</v>
      </c>
      <c r="B4109" s="0" t="s">
        <v>1073</v>
      </c>
      <c r="C4109" s="0" t="s">
        <v>5669</v>
      </c>
      <c r="D4109" s="0" t="s">
        <v>98</v>
      </c>
      <c r="E4109" s="0" t="s">
        <v>5290</v>
      </c>
    </row>
    <row r="4110" customFormat="false" ht="15" hidden="false" customHeight="false" outlineLevel="0" collapsed="false">
      <c r="A4110" s="0" t="s">
        <v>5241</v>
      </c>
      <c r="B4110" s="0" t="s">
        <v>1074</v>
      </c>
      <c r="C4110" s="0" t="s">
        <v>5670</v>
      </c>
      <c r="D4110" s="0" t="s">
        <v>98</v>
      </c>
      <c r="E4110" s="0" t="s">
        <v>5290</v>
      </c>
    </row>
    <row r="4111" customFormat="false" ht="15" hidden="false" customHeight="false" outlineLevel="0" collapsed="false">
      <c r="A4111" s="0" t="s">
        <v>5241</v>
      </c>
      <c r="B4111" s="0" t="s">
        <v>1075</v>
      </c>
      <c r="C4111" s="0" t="s">
        <v>5671</v>
      </c>
      <c r="D4111" s="0" t="s">
        <v>98</v>
      </c>
      <c r="E4111" s="0" t="s">
        <v>5244</v>
      </c>
    </row>
    <row r="4112" customFormat="false" ht="15" hidden="false" customHeight="false" outlineLevel="0" collapsed="false">
      <c r="A4112" s="0" t="s">
        <v>5241</v>
      </c>
      <c r="B4112" s="0" t="s">
        <v>648</v>
      </c>
      <c r="C4112" s="0" t="s">
        <v>5672</v>
      </c>
      <c r="D4112" s="0" t="s">
        <v>98</v>
      </c>
      <c r="E4112" s="0" t="s">
        <v>5244</v>
      </c>
    </row>
    <row r="4113" customFormat="false" ht="15" hidden="false" customHeight="false" outlineLevel="0" collapsed="false">
      <c r="A4113" s="0" t="s">
        <v>5241</v>
      </c>
      <c r="B4113" s="0" t="s">
        <v>649</v>
      </c>
      <c r="C4113" s="0" t="s">
        <v>5673</v>
      </c>
      <c r="D4113" s="0" t="s">
        <v>98</v>
      </c>
      <c r="E4113" s="0" t="s">
        <v>5244</v>
      </c>
    </row>
    <row r="4114" customFormat="false" ht="15" hidden="false" customHeight="false" outlineLevel="0" collapsed="false">
      <c r="A4114" s="0" t="s">
        <v>5241</v>
      </c>
      <c r="B4114" s="0" t="s">
        <v>650</v>
      </c>
      <c r="C4114" s="0" t="s">
        <v>5674</v>
      </c>
      <c r="D4114" s="0" t="s">
        <v>98</v>
      </c>
      <c r="E4114" s="0" t="s">
        <v>5244</v>
      </c>
    </row>
    <row r="4115" customFormat="false" ht="15" hidden="false" customHeight="false" outlineLevel="0" collapsed="false">
      <c r="A4115" s="0" t="s">
        <v>5241</v>
      </c>
      <c r="B4115" s="0" t="s">
        <v>651</v>
      </c>
      <c r="C4115" s="0" t="s">
        <v>5675</v>
      </c>
      <c r="D4115" s="0" t="s">
        <v>98</v>
      </c>
      <c r="E4115" s="0" t="s">
        <v>5244</v>
      </c>
    </row>
    <row r="4116" customFormat="false" ht="15" hidden="false" customHeight="false" outlineLevel="0" collapsed="false">
      <c r="A4116" s="0" t="s">
        <v>5241</v>
      </c>
      <c r="B4116" s="0" t="s">
        <v>652</v>
      </c>
      <c r="C4116" s="0" t="s">
        <v>5676</v>
      </c>
      <c r="D4116" s="0" t="s">
        <v>98</v>
      </c>
      <c r="E4116" s="0" t="s">
        <v>5244</v>
      </c>
    </row>
    <row r="4117" customFormat="false" ht="15" hidden="false" customHeight="false" outlineLevel="0" collapsed="false">
      <c r="A4117" s="0" t="s">
        <v>5241</v>
      </c>
      <c r="B4117" s="0" t="s">
        <v>653</v>
      </c>
      <c r="C4117" s="0" t="s">
        <v>5677</v>
      </c>
      <c r="D4117" s="0" t="s">
        <v>98</v>
      </c>
      <c r="E4117" s="0" t="s">
        <v>5244</v>
      </c>
    </row>
    <row r="4118" customFormat="false" ht="15" hidden="false" customHeight="false" outlineLevel="0" collapsed="false">
      <c r="A4118" s="0" t="s">
        <v>5241</v>
      </c>
      <c r="B4118" s="0" t="s">
        <v>654</v>
      </c>
      <c r="C4118" s="0" t="s">
        <v>5678</v>
      </c>
      <c r="D4118" s="0" t="s">
        <v>98</v>
      </c>
      <c r="E4118" s="0" t="s">
        <v>5244</v>
      </c>
    </row>
    <row r="4119" customFormat="false" ht="15" hidden="false" customHeight="false" outlineLevel="0" collapsed="false">
      <c r="A4119" s="0" t="s">
        <v>5241</v>
      </c>
      <c r="B4119" s="0" t="s">
        <v>1084</v>
      </c>
      <c r="C4119" s="0" t="s">
        <v>5679</v>
      </c>
      <c r="D4119" s="0" t="s">
        <v>98</v>
      </c>
      <c r="E4119" s="0" t="s">
        <v>5244</v>
      </c>
    </row>
    <row r="4120" customFormat="false" ht="15" hidden="false" customHeight="false" outlineLevel="0" collapsed="false">
      <c r="A4120" s="0" t="s">
        <v>5241</v>
      </c>
      <c r="B4120" s="0" t="s">
        <v>1086</v>
      </c>
      <c r="C4120" s="0" t="s">
        <v>5680</v>
      </c>
      <c r="D4120" s="0" t="s">
        <v>98</v>
      </c>
      <c r="E4120" s="0" t="s">
        <v>5244</v>
      </c>
    </row>
    <row r="4121" customFormat="false" ht="15" hidden="false" customHeight="false" outlineLevel="0" collapsed="false">
      <c r="A4121" s="0" t="s">
        <v>5241</v>
      </c>
      <c r="B4121" s="0" t="s">
        <v>1088</v>
      </c>
      <c r="C4121" s="0" t="s">
        <v>5681</v>
      </c>
      <c r="D4121" s="0" t="s">
        <v>98</v>
      </c>
      <c r="E4121" s="0" t="s">
        <v>5244</v>
      </c>
    </row>
    <row r="4122" customFormat="false" ht="15" hidden="false" customHeight="false" outlineLevel="0" collapsed="false">
      <c r="A4122" s="0" t="s">
        <v>5241</v>
      </c>
      <c r="B4122" s="0" t="s">
        <v>1090</v>
      </c>
      <c r="C4122" s="0" t="s">
        <v>5682</v>
      </c>
      <c r="D4122" s="0" t="s">
        <v>98</v>
      </c>
      <c r="E4122" s="0" t="s">
        <v>5244</v>
      </c>
    </row>
    <row r="4123" customFormat="false" ht="15" hidden="false" customHeight="false" outlineLevel="0" collapsed="false">
      <c r="A4123" s="0" t="s">
        <v>5241</v>
      </c>
      <c r="B4123" s="0" t="s">
        <v>1092</v>
      </c>
      <c r="C4123" s="0" t="s">
        <v>5683</v>
      </c>
      <c r="D4123" s="0" t="s">
        <v>98</v>
      </c>
      <c r="E4123" s="0" t="s">
        <v>5244</v>
      </c>
    </row>
    <row r="4124" customFormat="false" ht="15" hidden="false" customHeight="false" outlineLevel="0" collapsed="false">
      <c r="A4124" s="0" t="s">
        <v>5241</v>
      </c>
      <c r="B4124" s="0" t="s">
        <v>1094</v>
      </c>
      <c r="C4124" s="0" t="s">
        <v>5684</v>
      </c>
      <c r="D4124" s="0" t="s">
        <v>98</v>
      </c>
      <c r="E4124" s="0" t="s">
        <v>5244</v>
      </c>
    </row>
    <row r="4125" customFormat="false" ht="15" hidden="false" customHeight="false" outlineLevel="0" collapsed="false">
      <c r="A4125" s="0" t="s">
        <v>5241</v>
      </c>
      <c r="B4125" s="0" t="s">
        <v>1096</v>
      </c>
      <c r="C4125" s="0" t="s">
        <v>5685</v>
      </c>
      <c r="D4125" s="0" t="s">
        <v>98</v>
      </c>
      <c r="E4125" s="0" t="s">
        <v>5244</v>
      </c>
    </row>
    <row r="4126" customFormat="false" ht="15" hidden="false" customHeight="false" outlineLevel="0" collapsed="false">
      <c r="A4126" s="0" t="s">
        <v>5241</v>
      </c>
      <c r="B4126" s="0" t="s">
        <v>1098</v>
      </c>
      <c r="C4126" s="0" t="s">
        <v>5686</v>
      </c>
      <c r="D4126" s="0" t="s">
        <v>98</v>
      </c>
      <c r="E4126" s="0" t="s">
        <v>5244</v>
      </c>
    </row>
    <row r="4127" customFormat="false" ht="15" hidden="false" customHeight="false" outlineLevel="0" collapsed="false">
      <c r="A4127" s="0" t="s">
        <v>5241</v>
      </c>
      <c r="B4127" s="0" t="s">
        <v>1100</v>
      </c>
      <c r="C4127" s="0" t="s">
        <v>5687</v>
      </c>
      <c r="D4127" s="0" t="s">
        <v>98</v>
      </c>
      <c r="E4127" s="0" t="s">
        <v>5244</v>
      </c>
    </row>
    <row r="4128" customFormat="false" ht="15" hidden="false" customHeight="false" outlineLevel="0" collapsed="false">
      <c r="A4128" s="0" t="s">
        <v>5241</v>
      </c>
      <c r="B4128" s="0" t="s">
        <v>1102</v>
      </c>
      <c r="C4128" s="0" t="s">
        <v>5688</v>
      </c>
      <c r="D4128" s="0" t="s">
        <v>98</v>
      </c>
      <c r="E4128" s="0" t="s">
        <v>5244</v>
      </c>
    </row>
    <row r="4129" customFormat="false" ht="15" hidden="false" customHeight="false" outlineLevel="0" collapsed="false">
      <c r="A4129" s="0" t="s">
        <v>5241</v>
      </c>
      <c r="B4129" s="0" t="s">
        <v>1104</v>
      </c>
      <c r="C4129" s="0" t="s">
        <v>5689</v>
      </c>
      <c r="D4129" s="0" t="s">
        <v>98</v>
      </c>
      <c r="E4129" s="0" t="s">
        <v>5244</v>
      </c>
    </row>
    <row r="4130" customFormat="false" ht="15" hidden="false" customHeight="false" outlineLevel="0" collapsed="false">
      <c r="A4130" s="0" t="s">
        <v>5241</v>
      </c>
      <c r="B4130" s="0" t="s">
        <v>1106</v>
      </c>
      <c r="C4130" s="0" t="s">
        <v>5690</v>
      </c>
      <c r="D4130" s="0" t="s">
        <v>98</v>
      </c>
      <c r="E4130" s="0" t="s">
        <v>5244</v>
      </c>
    </row>
    <row r="4131" customFormat="false" ht="15" hidden="false" customHeight="false" outlineLevel="0" collapsed="false">
      <c r="A4131" s="0" t="s">
        <v>5241</v>
      </c>
      <c r="B4131" s="0" t="s">
        <v>1108</v>
      </c>
      <c r="C4131" s="0" t="s">
        <v>5691</v>
      </c>
      <c r="D4131" s="0" t="s">
        <v>98</v>
      </c>
      <c r="E4131" s="0" t="s">
        <v>5244</v>
      </c>
    </row>
    <row r="4132" customFormat="false" ht="15" hidden="false" customHeight="false" outlineLevel="0" collapsed="false">
      <c r="A4132" s="0" t="s">
        <v>5241</v>
      </c>
      <c r="B4132" s="0" t="s">
        <v>1110</v>
      </c>
      <c r="C4132" s="0" t="s">
        <v>5692</v>
      </c>
      <c r="D4132" s="0" t="s">
        <v>98</v>
      </c>
      <c r="E4132" s="0" t="s">
        <v>5244</v>
      </c>
    </row>
    <row r="4133" customFormat="false" ht="15" hidden="false" customHeight="false" outlineLevel="0" collapsed="false">
      <c r="A4133" s="0" t="s">
        <v>5241</v>
      </c>
      <c r="B4133" s="0" t="s">
        <v>1112</v>
      </c>
      <c r="C4133" s="0" t="s">
        <v>5693</v>
      </c>
      <c r="D4133" s="0" t="s">
        <v>98</v>
      </c>
      <c r="E4133" s="0" t="s">
        <v>5244</v>
      </c>
    </row>
    <row r="4134" customFormat="false" ht="15" hidden="false" customHeight="false" outlineLevel="0" collapsed="false">
      <c r="A4134" s="0" t="s">
        <v>5241</v>
      </c>
      <c r="B4134" s="0" t="s">
        <v>1114</v>
      </c>
      <c r="C4134" s="0" t="s">
        <v>5694</v>
      </c>
      <c r="D4134" s="0" t="s">
        <v>98</v>
      </c>
      <c r="E4134" s="0" t="s">
        <v>5244</v>
      </c>
    </row>
    <row r="4135" customFormat="false" ht="15" hidden="false" customHeight="false" outlineLevel="0" collapsed="false">
      <c r="A4135" s="0" t="s">
        <v>5241</v>
      </c>
      <c r="B4135" s="0" t="s">
        <v>1116</v>
      </c>
      <c r="C4135" s="0" t="s">
        <v>5695</v>
      </c>
      <c r="D4135" s="0" t="s">
        <v>98</v>
      </c>
      <c r="E4135" s="0" t="s">
        <v>5244</v>
      </c>
    </row>
    <row r="4136" customFormat="false" ht="15" hidden="false" customHeight="false" outlineLevel="0" collapsed="false">
      <c r="A4136" s="0" t="s">
        <v>5241</v>
      </c>
      <c r="B4136" s="0" t="s">
        <v>1118</v>
      </c>
      <c r="C4136" s="0" t="s">
        <v>5696</v>
      </c>
      <c r="D4136" s="0" t="s">
        <v>98</v>
      </c>
      <c r="E4136" s="0" t="s">
        <v>5244</v>
      </c>
    </row>
    <row r="4137" customFormat="false" ht="15" hidden="false" customHeight="false" outlineLevel="0" collapsed="false">
      <c r="A4137" s="0" t="s">
        <v>5241</v>
      </c>
      <c r="B4137" s="0" t="s">
        <v>1120</v>
      </c>
      <c r="C4137" s="0" t="s">
        <v>5697</v>
      </c>
      <c r="D4137" s="0" t="s">
        <v>98</v>
      </c>
      <c r="E4137" s="0" t="s">
        <v>5244</v>
      </c>
    </row>
    <row r="4138" customFormat="false" ht="15" hidden="false" customHeight="false" outlineLevel="0" collapsed="false">
      <c r="A4138" s="0" t="s">
        <v>5241</v>
      </c>
      <c r="B4138" s="0" t="s">
        <v>1122</v>
      </c>
      <c r="C4138" s="0" t="s">
        <v>5698</v>
      </c>
      <c r="D4138" s="0" t="s">
        <v>98</v>
      </c>
      <c r="E4138" s="0" t="s">
        <v>5244</v>
      </c>
    </row>
    <row r="4139" customFormat="false" ht="15" hidden="false" customHeight="false" outlineLevel="0" collapsed="false">
      <c r="A4139" s="0" t="s">
        <v>5241</v>
      </c>
      <c r="B4139" s="0" t="s">
        <v>4631</v>
      </c>
      <c r="C4139" s="0" t="s">
        <v>5699</v>
      </c>
      <c r="D4139" s="0" t="s">
        <v>98</v>
      </c>
      <c r="E4139" s="0" t="s">
        <v>5290</v>
      </c>
    </row>
    <row r="4140" customFormat="false" ht="15" hidden="false" customHeight="false" outlineLevel="0" collapsed="false">
      <c r="A4140" s="0" t="s">
        <v>5241</v>
      </c>
      <c r="B4140" s="0" t="s">
        <v>657</v>
      </c>
      <c r="C4140" s="0" t="s">
        <v>5700</v>
      </c>
      <c r="D4140" s="0" t="s">
        <v>98</v>
      </c>
      <c r="E4140" s="0" t="s">
        <v>5290</v>
      </c>
    </row>
    <row r="4141" customFormat="false" ht="15" hidden="false" customHeight="false" outlineLevel="0" collapsed="false">
      <c r="A4141" s="0" t="s">
        <v>5241</v>
      </c>
      <c r="B4141" s="0" t="s">
        <v>659</v>
      </c>
      <c r="C4141" s="0" t="s">
        <v>5701</v>
      </c>
      <c r="D4141" s="0" t="s">
        <v>98</v>
      </c>
      <c r="E4141" s="0" t="s">
        <v>5290</v>
      </c>
    </row>
    <row r="4142" customFormat="false" ht="15" hidden="false" customHeight="false" outlineLevel="0" collapsed="false">
      <c r="A4142" s="0" t="s">
        <v>5241</v>
      </c>
      <c r="B4142" s="0" t="s">
        <v>660</v>
      </c>
      <c r="C4142" s="0" t="s">
        <v>5702</v>
      </c>
      <c r="D4142" s="0" t="s">
        <v>98</v>
      </c>
      <c r="E4142" s="0" t="s">
        <v>5290</v>
      </c>
    </row>
    <row r="4143" customFormat="false" ht="15" hidden="false" customHeight="false" outlineLevel="0" collapsed="false">
      <c r="A4143" s="0" t="s">
        <v>5241</v>
      </c>
      <c r="B4143" s="0" t="s">
        <v>661</v>
      </c>
      <c r="C4143" s="0" t="s">
        <v>5703</v>
      </c>
      <c r="D4143" s="0" t="s">
        <v>98</v>
      </c>
      <c r="E4143" s="0" t="s">
        <v>5290</v>
      </c>
    </row>
    <row r="4144" customFormat="false" ht="15" hidden="false" customHeight="false" outlineLevel="0" collapsed="false">
      <c r="A4144" s="0" t="s">
        <v>5241</v>
      </c>
      <c r="B4144" s="0" t="s">
        <v>662</v>
      </c>
      <c r="C4144" s="0" t="s">
        <v>5704</v>
      </c>
      <c r="D4144" s="0" t="s">
        <v>98</v>
      </c>
      <c r="E4144" s="0" t="s">
        <v>5290</v>
      </c>
    </row>
    <row r="4145" customFormat="false" ht="15" hidden="false" customHeight="false" outlineLevel="0" collapsed="false">
      <c r="A4145" s="0" t="s">
        <v>5241</v>
      </c>
      <c r="B4145" s="0" t="s">
        <v>663</v>
      </c>
      <c r="C4145" s="0" t="s">
        <v>5705</v>
      </c>
      <c r="D4145" s="0" t="s">
        <v>98</v>
      </c>
      <c r="E4145" s="0" t="s">
        <v>5290</v>
      </c>
    </row>
    <row r="4146" customFormat="false" ht="15" hidden="false" customHeight="false" outlineLevel="0" collapsed="false">
      <c r="A4146" s="0" t="s">
        <v>5241</v>
      </c>
      <c r="B4146" s="0" t="s">
        <v>664</v>
      </c>
      <c r="C4146" s="0" t="s">
        <v>5706</v>
      </c>
      <c r="D4146" s="0" t="s">
        <v>98</v>
      </c>
      <c r="E4146" s="0" t="s">
        <v>5290</v>
      </c>
    </row>
    <row r="4147" customFormat="false" ht="15" hidden="false" customHeight="false" outlineLevel="0" collapsed="false">
      <c r="A4147" s="0" t="s">
        <v>5241</v>
      </c>
      <c r="B4147" s="0" t="s">
        <v>4385</v>
      </c>
      <c r="C4147" s="0" t="s">
        <v>5707</v>
      </c>
      <c r="D4147" s="0" t="s">
        <v>98</v>
      </c>
      <c r="E4147" s="0" t="s">
        <v>5290</v>
      </c>
    </row>
    <row r="4148" customFormat="false" ht="15" hidden="false" customHeight="false" outlineLevel="0" collapsed="false">
      <c r="A4148" s="0" t="s">
        <v>5241</v>
      </c>
      <c r="B4148" s="0" t="s">
        <v>4387</v>
      </c>
      <c r="C4148" s="0" t="s">
        <v>5708</v>
      </c>
      <c r="D4148" s="0" t="s">
        <v>98</v>
      </c>
      <c r="E4148" s="0" t="s">
        <v>5290</v>
      </c>
    </row>
    <row r="4149" customFormat="false" ht="15" hidden="false" customHeight="false" outlineLevel="0" collapsed="false">
      <c r="A4149" s="0" t="s">
        <v>5241</v>
      </c>
      <c r="B4149" s="0" t="s">
        <v>4389</v>
      </c>
      <c r="C4149" s="0" t="s">
        <v>5709</v>
      </c>
      <c r="D4149" s="0" t="s">
        <v>98</v>
      </c>
      <c r="E4149" s="0" t="s">
        <v>5290</v>
      </c>
    </row>
    <row r="4150" customFormat="false" ht="15" hidden="false" customHeight="false" outlineLevel="0" collapsed="false">
      <c r="A4150" s="0" t="s">
        <v>5241</v>
      </c>
      <c r="B4150" s="0" t="s">
        <v>4643</v>
      </c>
      <c r="C4150" s="0" t="s">
        <v>5710</v>
      </c>
      <c r="D4150" s="0" t="s">
        <v>98</v>
      </c>
      <c r="E4150" s="0" t="s">
        <v>5290</v>
      </c>
    </row>
    <row r="4151" customFormat="false" ht="15" hidden="false" customHeight="false" outlineLevel="0" collapsed="false">
      <c r="A4151" s="0" t="s">
        <v>5241</v>
      </c>
      <c r="B4151" s="0" t="s">
        <v>4645</v>
      </c>
      <c r="C4151" s="0" t="s">
        <v>5711</v>
      </c>
      <c r="D4151" s="0" t="s">
        <v>98</v>
      </c>
      <c r="E4151" s="0" t="s">
        <v>5290</v>
      </c>
    </row>
    <row r="4152" customFormat="false" ht="15" hidden="false" customHeight="false" outlineLevel="0" collapsed="false">
      <c r="A4152" s="0" t="s">
        <v>5241</v>
      </c>
      <c r="B4152" s="0" t="s">
        <v>4647</v>
      </c>
      <c r="C4152" s="0" t="s">
        <v>5712</v>
      </c>
      <c r="D4152" s="0" t="s">
        <v>98</v>
      </c>
      <c r="E4152" s="0" t="s">
        <v>5290</v>
      </c>
    </row>
    <row r="4153" customFormat="false" ht="15" hidden="false" customHeight="false" outlineLevel="0" collapsed="false">
      <c r="A4153" s="0" t="s">
        <v>5241</v>
      </c>
      <c r="B4153" s="0" t="s">
        <v>4649</v>
      </c>
      <c r="C4153" s="0" t="s">
        <v>5713</v>
      </c>
      <c r="D4153" s="0" t="s">
        <v>98</v>
      </c>
      <c r="E4153" s="0" t="s">
        <v>5290</v>
      </c>
    </row>
    <row r="4154" customFormat="false" ht="15" hidden="false" customHeight="false" outlineLevel="0" collapsed="false">
      <c r="A4154" s="0" t="s">
        <v>5241</v>
      </c>
      <c r="B4154" s="0" t="s">
        <v>1124</v>
      </c>
      <c r="C4154" s="0" t="s">
        <v>5714</v>
      </c>
      <c r="D4154" s="0" t="s">
        <v>98</v>
      </c>
      <c r="E4154" s="0" t="s">
        <v>5290</v>
      </c>
    </row>
    <row r="4155" customFormat="false" ht="15" hidden="false" customHeight="false" outlineLevel="0" collapsed="false">
      <c r="A4155" s="0" t="s">
        <v>5241</v>
      </c>
      <c r="B4155" s="0" t="s">
        <v>4652</v>
      </c>
      <c r="C4155" s="0" t="s">
        <v>5715</v>
      </c>
      <c r="D4155" s="0" t="s">
        <v>98</v>
      </c>
      <c r="E4155" s="0" t="s">
        <v>5290</v>
      </c>
    </row>
    <row r="4156" customFormat="false" ht="15" hidden="false" customHeight="false" outlineLevel="0" collapsed="false">
      <c r="A4156" s="0" t="s">
        <v>5241</v>
      </c>
      <c r="B4156" s="0" t="s">
        <v>4654</v>
      </c>
      <c r="C4156" s="0" t="s">
        <v>5716</v>
      </c>
      <c r="D4156" s="0" t="s">
        <v>98</v>
      </c>
      <c r="E4156" s="0" t="s">
        <v>5290</v>
      </c>
    </row>
    <row r="4157" customFormat="false" ht="15" hidden="false" customHeight="false" outlineLevel="0" collapsed="false">
      <c r="A4157" s="0" t="s">
        <v>5241</v>
      </c>
      <c r="B4157" s="0" t="s">
        <v>4656</v>
      </c>
      <c r="C4157" s="0" t="s">
        <v>5717</v>
      </c>
      <c r="D4157" s="0" t="s">
        <v>98</v>
      </c>
      <c r="E4157" s="0" t="s">
        <v>5290</v>
      </c>
    </row>
    <row r="4158" customFormat="false" ht="15" hidden="false" customHeight="false" outlineLevel="0" collapsed="false">
      <c r="A4158" s="0" t="s">
        <v>5241</v>
      </c>
      <c r="B4158" s="0" t="s">
        <v>4658</v>
      </c>
      <c r="C4158" s="0" t="s">
        <v>5718</v>
      </c>
      <c r="D4158" s="0" t="s">
        <v>98</v>
      </c>
      <c r="E4158" s="0" t="s">
        <v>5290</v>
      </c>
    </row>
    <row r="4159" customFormat="false" ht="15" hidden="false" customHeight="false" outlineLevel="0" collapsed="false">
      <c r="A4159" s="0" t="s">
        <v>5241</v>
      </c>
      <c r="B4159" s="0" t="s">
        <v>1126</v>
      </c>
      <c r="C4159" s="0" t="s">
        <v>5719</v>
      </c>
      <c r="D4159" s="0" t="s">
        <v>98</v>
      </c>
      <c r="E4159" s="0" t="s">
        <v>5290</v>
      </c>
    </row>
    <row r="4160" customFormat="false" ht="15" hidden="false" customHeight="false" outlineLevel="0" collapsed="false">
      <c r="A4160" s="0" t="s">
        <v>5241</v>
      </c>
      <c r="B4160" s="0" t="s">
        <v>4661</v>
      </c>
      <c r="C4160" s="0" t="s">
        <v>5720</v>
      </c>
      <c r="D4160" s="0" t="s">
        <v>98</v>
      </c>
      <c r="E4160" s="0" t="s">
        <v>5290</v>
      </c>
    </row>
    <row r="4161" customFormat="false" ht="15" hidden="false" customHeight="false" outlineLevel="0" collapsed="false">
      <c r="A4161" s="0" t="s">
        <v>5241</v>
      </c>
      <c r="B4161" s="0" t="s">
        <v>4663</v>
      </c>
      <c r="C4161" s="0" t="s">
        <v>5721</v>
      </c>
      <c r="D4161" s="0" t="s">
        <v>98</v>
      </c>
      <c r="E4161" s="0" t="s">
        <v>5290</v>
      </c>
    </row>
    <row r="4162" customFormat="false" ht="15" hidden="false" customHeight="false" outlineLevel="0" collapsed="false">
      <c r="A4162" s="0" t="s">
        <v>5241</v>
      </c>
      <c r="B4162" s="0" t="s">
        <v>1128</v>
      </c>
      <c r="C4162" s="0" t="s">
        <v>5722</v>
      </c>
      <c r="D4162" s="0" t="s">
        <v>98</v>
      </c>
      <c r="E4162" s="0" t="s">
        <v>5290</v>
      </c>
    </row>
    <row r="4163" customFormat="false" ht="15" hidden="false" customHeight="false" outlineLevel="0" collapsed="false">
      <c r="A4163" s="0" t="s">
        <v>5241</v>
      </c>
      <c r="B4163" s="0" t="s">
        <v>4666</v>
      </c>
      <c r="C4163" s="0" t="s">
        <v>5723</v>
      </c>
      <c r="D4163" s="0" t="s">
        <v>98</v>
      </c>
      <c r="E4163" s="0" t="s">
        <v>5290</v>
      </c>
    </row>
    <row r="4164" customFormat="false" ht="15" hidden="false" customHeight="false" outlineLevel="0" collapsed="false">
      <c r="A4164" s="0" t="s">
        <v>5241</v>
      </c>
      <c r="B4164" s="0" t="s">
        <v>4668</v>
      </c>
      <c r="C4164" s="0" t="s">
        <v>5724</v>
      </c>
      <c r="D4164" s="0" t="s">
        <v>98</v>
      </c>
      <c r="E4164" s="0" t="s">
        <v>5290</v>
      </c>
    </row>
    <row r="4165" customFormat="false" ht="15" hidden="false" customHeight="false" outlineLevel="0" collapsed="false">
      <c r="A4165" s="0" t="s">
        <v>5241</v>
      </c>
      <c r="B4165" s="0" t="s">
        <v>4670</v>
      </c>
      <c r="C4165" s="0" t="s">
        <v>5725</v>
      </c>
      <c r="D4165" s="0" t="s">
        <v>98</v>
      </c>
      <c r="E4165" s="0" t="s">
        <v>5290</v>
      </c>
    </row>
    <row r="4166" customFormat="false" ht="15" hidden="false" customHeight="false" outlineLevel="0" collapsed="false">
      <c r="A4166" s="0" t="s">
        <v>5241</v>
      </c>
      <c r="B4166" s="0" t="s">
        <v>4672</v>
      </c>
      <c r="C4166" s="0" t="s">
        <v>5726</v>
      </c>
      <c r="D4166" s="0" t="s">
        <v>98</v>
      </c>
      <c r="E4166" s="0" t="s">
        <v>5290</v>
      </c>
    </row>
    <row r="4167" customFormat="false" ht="15" hidden="false" customHeight="false" outlineLevel="0" collapsed="false">
      <c r="A4167" s="0" t="s">
        <v>5241</v>
      </c>
      <c r="B4167" s="0" t="s">
        <v>4674</v>
      </c>
      <c r="C4167" s="0" t="s">
        <v>5727</v>
      </c>
      <c r="D4167" s="0" t="s">
        <v>98</v>
      </c>
      <c r="E4167" s="0" t="s">
        <v>5244</v>
      </c>
    </row>
    <row r="4168" customFormat="false" ht="15" hidden="false" customHeight="false" outlineLevel="0" collapsed="false">
      <c r="A4168" s="0" t="s">
        <v>5241</v>
      </c>
      <c r="B4168" s="0" t="s">
        <v>667</v>
      </c>
      <c r="C4168" s="0" t="s">
        <v>5728</v>
      </c>
      <c r="D4168" s="0" t="s">
        <v>98</v>
      </c>
      <c r="E4168" s="0" t="s">
        <v>5244</v>
      </c>
    </row>
    <row r="4169" customFormat="false" ht="15" hidden="false" customHeight="false" outlineLevel="0" collapsed="false">
      <c r="A4169" s="0" t="s">
        <v>5241</v>
      </c>
      <c r="B4169" s="0" t="s">
        <v>668</v>
      </c>
      <c r="C4169" s="0" t="s">
        <v>5729</v>
      </c>
      <c r="D4169" s="0" t="s">
        <v>98</v>
      </c>
      <c r="E4169" s="0" t="s">
        <v>5244</v>
      </c>
    </row>
    <row r="4170" customFormat="false" ht="15" hidden="false" customHeight="false" outlineLevel="0" collapsed="false">
      <c r="A4170" s="0" t="s">
        <v>5241</v>
      </c>
      <c r="B4170" s="0" t="s">
        <v>669</v>
      </c>
      <c r="C4170" s="0" t="s">
        <v>5730</v>
      </c>
      <c r="D4170" s="0" t="s">
        <v>98</v>
      </c>
      <c r="E4170" s="0" t="s">
        <v>5244</v>
      </c>
    </row>
    <row r="4171" customFormat="false" ht="15" hidden="false" customHeight="false" outlineLevel="0" collapsed="false">
      <c r="A4171" s="0" t="s">
        <v>5241</v>
      </c>
      <c r="B4171" s="0" t="s">
        <v>670</v>
      </c>
      <c r="C4171" s="0" t="s">
        <v>5731</v>
      </c>
      <c r="D4171" s="0" t="s">
        <v>98</v>
      </c>
      <c r="E4171" s="0" t="s">
        <v>5244</v>
      </c>
    </row>
    <row r="4172" customFormat="false" ht="15" hidden="false" customHeight="false" outlineLevel="0" collapsed="false">
      <c r="A4172" s="0" t="s">
        <v>5241</v>
      </c>
      <c r="B4172" s="0" t="s">
        <v>671</v>
      </c>
      <c r="C4172" s="0" t="s">
        <v>5732</v>
      </c>
      <c r="D4172" s="0" t="s">
        <v>98</v>
      </c>
      <c r="E4172" s="0" t="s">
        <v>5244</v>
      </c>
    </row>
    <row r="4173" customFormat="false" ht="15" hidden="false" customHeight="false" outlineLevel="0" collapsed="false">
      <c r="A4173" s="0" t="s">
        <v>5241</v>
      </c>
      <c r="B4173" s="0" t="s">
        <v>672</v>
      </c>
      <c r="C4173" s="0" t="s">
        <v>5733</v>
      </c>
      <c r="D4173" s="0" t="s">
        <v>98</v>
      </c>
      <c r="E4173" s="0" t="s">
        <v>5244</v>
      </c>
    </row>
    <row r="4174" customFormat="false" ht="15" hidden="false" customHeight="false" outlineLevel="0" collapsed="false">
      <c r="A4174" s="0" t="s">
        <v>5241</v>
      </c>
      <c r="B4174" s="0" t="s">
        <v>673</v>
      </c>
      <c r="C4174" s="0" t="s">
        <v>5734</v>
      </c>
      <c r="D4174" s="0" t="s">
        <v>98</v>
      </c>
      <c r="E4174" s="0" t="s">
        <v>5244</v>
      </c>
    </row>
    <row r="4175" customFormat="false" ht="15" hidden="false" customHeight="false" outlineLevel="0" collapsed="false">
      <c r="A4175" s="0" t="s">
        <v>5241</v>
      </c>
      <c r="B4175" s="0" t="s">
        <v>1130</v>
      </c>
      <c r="C4175" s="0" t="s">
        <v>5735</v>
      </c>
      <c r="D4175" s="0" t="s">
        <v>98</v>
      </c>
      <c r="E4175" s="0" t="s">
        <v>5244</v>
      </c>
    </row>
    <row r="4176" customFormat="false" ht="15" hidden="false" customHeight="false" outlineLevel="0" collapsed="false">
      <c r="A4176" s="0" t="s">
        <v>5241</v>
      </c>
      <c r="B4176" s="0" t="s">
        <v>1131</v>
      </c>
      <c r="C4176" s="0" t="s">
        <v>5736</v>
      </c>
      <c r="D4176" s="0" t="s">
        <v>98</v>
      </c>
      <c r="E4176" s="0" t="s">
        <v>5244</v>
      </c>
    </row>
    <row r="4177" customFormat="false" ht="15" hidden="false" customHeight="false" outlineLevel="0" collapsed="false">
      <c r="A4177" s="0" t="s">
        <v>5241</v>
      </c>
      <c r="B4177" s="0" t="s">
        <v>1132</v>
      </c>
      <c r="C4177" s="0" t="s">
        <v>5737</v>
      </c>
      <c r="D4177" s="0" t="s">
        <v>98</v>
      </c>
      <c r="E4177" s="0" t="s">
        <v>5244</v>
      </c>
    </row>
    <row r="4178" customFormat="false" ht="15" hidden="false" customHeight="false" outlineLevel="0" collapsed="false">
      <c r="A4178" s="0" t="s">
        <v>5241</v>
      </c>
      <c r="B4178" s="0" t="s">
        <v>1133</v>
      </c>
      <c r="C4178" s="0" t="s">
        <v>5738</v>
      </c>
      <c r="D4178" s="0" t="s">
        <v>98</v>
      </c>
      <c r="E4178" s="0" t="s">
        <v>5244</v>
      </c>
    </row>
    <row r="4179" customFormat="false" ht="15" hidden="false" customHeight="false" outlineLevel="0" collapsed="false">
      <c r="A4179" s="0" t="s">
        <v>5241</v>
      </c>
      <c r="B4179" s="0" t="s">
        <v>1134</v>
      </c>
      <c r="C4179" s="0" t="s">
        <v>5739</v>
      </c>
      <c r="D4179" s="0" t="s">
        <v>98</v>
      </c>
      <c r="E4179" s="0" t="s">
        <v>5244</v>
      </c>
    </row>
    <row r="4180" customFormat="false" ht="15" hidden="false" customHeight="false" outlineLevel="0" collapsed="false">
      <c r="A4180" s="0" t="s">
        <v>5241</v>
      </c>
      <c r="B4180" s="0" t="s">
        <v>1135</v>
      </c>
      <c r="C4180" s="0" t="s">
        <v>5740</v>
      </c>
      <c r="D4180" s="0" t="s">
        <v>98</v>
      </c>
      <c r="E4180" s="0" t="s">
        <v>5244</v>
      </c>
    </row>
    <row r="4181" customFormat="false" ht="15" hidden="false" customHeight="false" outlineLevel="0" collapsed="false">
      <c r="A4181" s="0" t="s">
        <v>5241</v>
      </c>
      <c r="B4181" s="0" t="s">
        <v>1136</v>
      </c>
      <c r="C4181" s="0" t="s">
        <v>5741</v>
      </c>
      <c r="D4181" s="0" t="s">
        <v>98</v>
      </c>
      <c r="E4181" s="0" t="s">
        <v>5244</v>
      </c>
    </row>
    <row r="4182" customFormat="false" ht="15" hidden="false" customHeight="false" outlineLevel="0" collapsed="false">
      <c r="A4182" s="0" t="s">
        <v>5241</v>
      </c>
      <c r="B4182" s="0" t="s">
        <v>1137</v>
      </c>
      <c r="C4182" s="0" t="s">
        <v>5742</v>
      </c>
      <c r="D4182" s="0" t="s">
        <v>98</v>
      </c>
      <c r="E4182" s="0" t="s">
        <v>5244</v>
      </c>
    </row>
    <row r="4183" customFormat="false" ht="15" hidden="false" customHeight="false" outlineLevel="0" collapsed="false">
      <c r="A4183" s="0" t="s">
        <v>5241</v>
      </c>
      <c r="B4183" s="0" t="s">
        <v>1138</v>
      </c>
      <c r="C4183" s="0" t="s">
        <v>5743</v>
      </c>
      <c r="D4183" s="0" t="s">
        <v>98</v>
      </c>
      <c r="E4183" s="0" t="s">
        <v>5244</v>
      </c>
    </row>
    <row r="4184" customFormat="false" ht="15" hidden="false" customHeight="false" outlineLevel="0" collapsed="false">
      <c r="A4184" s="0" t="s">
        <v>5241</v>
      </c>
      <c r="B4184" s="0" t="s">
        <v>1139</v>
      </c>
      <c r="C4184" s="0" t="s">
        <v>5744</v>
      </c>
      <c r="D4184" s="0" t="s">
        <v>98</v>
      </c>
      <c r="E4184" s="0" t="s">
        <v>5244</v>
      </c>
    </row>
    <row r="4185" customFormat="false" ht="15" hidden="false" customHeight="false" outlineLevel="0" collapsed="false">
      <c r="A4185" s="0" t="s">
        <v>5241</v>
      </c>
      <c r="B4185" s="0" t="s">
        <v>1140</v>
      </c>
      <c r="C4185" s="0" t="s">
        <v>5745</v>
      </c>
      <c r="D4185" s="0" t="s">
        <v>98</v>
      </c>
      <c r="E4185" s="0" t="s">
        <v>5244</v>
      </c>
    </row>
    <row r="4186" customFormat="false" ht="15" hidden="false" customHeight="false" outlineLevel="0" collapsed="false">
      <c r="A4186" s="0" t="s">
        <v>5241</v>
      </c>
      <c r="B4186" s="0" t="s">
        <v>1141</v>
      </c>
      <c r="C4186" s="0" t="s">
        <v>5746</v>
      </c>
      <c r="D4186" s="0" t="s">
        <v>98</v>
      </c>
      <c r="E4186" s="0" t="s">
        <v>5244</v>
      </c>
    </row>
    <row r="4187" customFormat="false" ht="15" hidden="false" customHeight="false" outlineLevel="0" collapsed="false">
      <c r="A4187" s="0" t="s">
        <v>5241</v>
      </c>
      <c r="B4187" s="0" t="s">
        <v>1142</v>
      </c>
      <c r="C4187" s="0" t="s">
        <v>5747</v>
      </c>
      <c r="D4187" s="0" t="s">
        <v>98</v>
      </c>
      <c r="E4187" s="0" t="s">
        <v>5244</v>
      </c>
    </row>
    <row r="4188" customFormat="false" ht="15" hidden="false" customHeight="false" outlineLevel="0" collapsed="false">
      <c r="A4188" s="0" t="s">
        <v>5241</v>
      </c>
      <c r="B4188" s="0" t="s">
        <v>1143</v>
      </c>
      <c r="C4188" s="0" t="s">
        <v>5748</v>
      </c>
      <c r="D4188" s="0" t="s">
        <v>98</v>
      </c>
      <c r="E4188" s="0" t="s">
        <v>5244</v>
      </c>
    </row>
    <row r="4189" customFormat="false" ht="15" hidden="false" customHeight="false" outlineLevel="0" collapsed="false">
      <c r="A4189" s="0" t="s">
        <v>5241</v>
      </c>
      <c r="B4189" s="0" t="s">
        <v>1144</v>
      </c>
      <c r="C4189" s="0" t="s">
        <v>5749</v>
      </c>
      <c r="D4189" s="0" t="s">
        <v>98</v>
      </c>
      <c r="E4189" s="0" t="s">
        <v>5244</v>
      </c>
    </row>
    <row r="4190" customFormat="false" ht="15" hidden="false" customHeight="false" outlineLevel="0" collapsed="false">
      <c r="A4190" s="0" t="s">
        <v>5241</v>
      </c>
      <c r="B4190" s="0" t="s">
        <v>1145</v>
      </c>
      <c r="C4190" s="0" t="s">
        <v>5750</v>
      </c>
      <c r="D4190" s="0" t="s">
        <v>98</v>
      </c>
      <c r="E4190" s="0" t="s">
        <v>5244</v>
      </c>
    </row>
    <row r="4191" customFormat="false" ht="15" hidden="false" customHeight="false" outlineLevel="0" collapsed="false">
      <c r="A4191" s="0" t="s">
        <v>5241</v>
      </c>
      <c r="B4191" s="0" t="s">
        <v>1146</v>
      </c>
      <c r="C4191" s="0" t="s">
        <v>5751</v>
      </c>
      <c r="D4191" s="0" t="s">
        <v>98</v>
      </c>
      <c r="E4191" s="0" t="s">
        <v>5244</v>
      </c>
    </row>
    <row r="4192" customFormat="false" ht="15" hidden="false" customHeight="false" outlineLevel="0" collapsed="false">
      <c r="A4192" s="0" t="s">
        <v>5241</v>
      </c>
      <c r="B4192" s="0" t="s">
        <v>1147</v>
      </c>
      <c r="C4192" s="0" t="s">
        <v>5752</v>
      </c>
      <c r="D4192" s="0" t="s">
        <v>98</v>
      </c>
      <c r="E4192" s="0" t="s">
        <v>5244</v>
      </c>
    </row>
    <row r="4193" customFormat="false" ht="15" hidden="false" customHeight="false" outlineLevel="0" collapsed="false">
      <c r="A4193" s="0" t="s">
        <v>5241</v>
      </c>
      <c r="B4193" s="0" t="s">
        <v>1148</v>
      </c>
      <c r="C4193" s="0" t="s">
        <v>5753</v>
      </c>
      <c r="D4193" s="0" t="s">
        <v>98</v>
      </c>
      <c r="E4193" s="0" t="s">
        <v>5244</v>
      </c>
    </row>
    <row r="4194" customFormat="false" ht="15" hidden="false" customHeight="false" outlineLevel="0" collapsed="false">
      <c r="A4194" s="0" t="s">
        <v>5241</v>
      </c>
      <c r="B4194" s="0" t="s">
        <v>1149</v>
      </c>
      <c r="C4194" s="0" t="s">
        <v>5754</v>
      </c>
      <c r="D4194" s="0" t="s">
        <v>98</v>
      </c>
      <c r="E4194" s="0" t="s">
        <v>5244</v>
      </c>
    </row>
    <row r="4195" customFormat="false" ht="15" hidden="false" customHeight="false" outlineLevel="0" collapsed="false">
      <c r="A4195" s="0" t="s">
        <v>5241</v>
      </c>
      <c r="B4195" s="0" t="s">
        <v>1150</v>
      </c>
      <c r="C4195" s="0" t="s">
        <v>5755</v>
      </c>
      <c r="D4195" s="0" t="s">
        <v>98</v>
      </c>
      <c r="E4195" s="0" t="s">
        <v>5290</v>
      </c>
    </row>
    <row r="4196" customFormat="false" ht="15" hidden="false" customHeight="false" outlineLevel="0" collapsed="false">
      <c r="A4196" s="0" t="s">
        <v>5241</v>
      </c>
      <c r="B4196" s="0" t="s">
        <v>676</v>
      </c>
      <c r="C4196" s="0" t="s">
        <v>5756</v>
      </c>
      <c r="D4196" s="0" t="s">
        <v>98</v>
      </c>
      <c r="E4196" s="0" t="s">
        <v>5290</v>
      </c>
    </row>
    <row r="4197" customFormat="false" ht="15" hidden="false" customHeight="false" outlineLevel="0" collapsed="false">
      <c r="A4197" s="0" t="s">
        <v>5241</v>
      </c>
      <c r="B4197" s="0" t="s">
        <v>678</v>
      </c>
      <c r="C4197" s="0" t="s">
        <v>5757</v>
      </c>
      <c r="D4197" s="0" t="s">
        <v>98</v>
      </c>
      <c r="E4197" s="0" t="s">
        <v>5290</v>
      </c>
    </row>
    <row r="4198" customFormat="false" ht="15" hidden="false" customHeight="false" outlineLevel="0" collapsed="false">
      <c r="A4198" s="0" t="s">
        <v>5241</v>
      </c>
      <c r="B4198" s="0" t="s">
        <v>679</v>
      </c>
      <c r="C4198" s="0" t="s">
        <v>5758</v>
      </c>
      <c r="D4198" s="0" t="s">
        <v>98</v>
      </c>
      <c r="E4198" s="0" t="s">
        <v>5290</v>
      </c>
    </row>
    <row r="4199" customFormat="false" ht="15" hidden="false" customHeight="false" outlineLevel="0" collapsed="false">
      <c r="A4199" s="0" t="s">
        <v>5241</v>
      </c>
      <c r="B4199" s="0" t="s">
        <v>680</v>
      </c>
      <c r="C4199" s="0" t="s">
        <v>5759</v>
      </c>
      <c r="D4199" s="0" t="s">
        <v>98</v>
      </c>
      <c r="E4199" s="0" t="s">
        <v>5290</v>
      </c>
    </row>
    <row r="4200" customFormat="false" ht="15" hidden="false" customHeight="false" outlineLevel="0" collapsed="false">
      <c r="A4200" s="0" t="s">
        <v>5241</v>
      </c>
      <c r="B4200" s="0" t="s">
        <v>681</v>
      </c>
      <c r="C4200" s="0" t="s">
        <v>5760</v>
      </c>
      <c r="D4200" s="0" t="s">
        <v>98</v>
      </c>
      <c r="E4200" s="0" t="s">
        <v>5290</v>
      </c>
    </row>
    <row r="4201" customFormat="false" ht="15" hidden="false" customHeight="false" outlineLevel="0" collapsed="false">
      <c r="A4201" s="0" t="s">
        <v>5241</v>
      </c>
      <c r="B4201" s="0" t="s">
        <v>682</v>
      </c>
      <c r="C4201" s="0" t="s">
        <v>5761</v>
      </c>
      <c r="D4201" s="0" t="s">
        <v>98</v>
      </c>
      <c r="E4201" s="0" t="s">
        <v>5290</v>
      </c>
    </row>
    <row r="4202" customFormat="false" ht="15" hidden="false" customHeight="false" outlineLevel="0" collapsed="false">
      <c r="A4202" s="0" t="s">
        <v>5241</v>
      </c>
      <c r="B4202" s="0" t="s">
        <v>683</v>
      </c>
      <c r="C4202" s="0" t="s">
        <v>5762</v>
      </c>
      <c r="D4202" s="0" t="s">
        <v>98</v>
      </c>
      <c r="E4202" s="0" t="s">
        <v>5290</v>
      </c>
    </row>
    <row r="4203" customFormat="false" ht="15" hidden="false" customHeight="false" outlineLevel="0" collapsed="false">
      <c r="A4203" s="0" t="s">
        <v>5241</v>
      </c>
      <c r="B4203" s="0" t="s">
        <v>1151</v>
      </c>
      <c r="C4203" s="0" t="s">
        <v>5763</v>
      </c>
      <c r="D4203" s="0" t="s">
        <v>98</v>
      </c>
      <c r="E4203" s="0" t="s">
        <v>5290</v>
      </c>
    </row>
    <row r="4204" customFormat="false" ht="15" hidden="false" customHeight="false" outlineLevel="0" collapsed="false">
      <c r="A4204" s="0" t="s">
        <v>5241</v>
      </c>
      <c r="B4204" s="0" t="s">
        <v>1152</v>
      </c>
      <c r="C4204" s="0" t="s">
        <v>5764</v>
      </c>
      <c r="D4204" s="0" t="s">
        <v>98</v>
      </c>
      <c r="E4204" s="0" t="s">
        <v>5290</v>
      </c>
    </row>
    <row r="4205" customFormat="false" ht="15" hidden="false" customHeight="false" outlineLevel="0" collapsed="false">
      <c r="A4205" s="0" t="s">
        <v>5241</v>
      </c>
      <c r="B4205" s="0" t="s">
        <v>1153</v>
      </c>
      <c r="C4205" s="0" t="s">
        <v>5765</v>
      </c>
      <c r="D4205" s="0" t="s">
        <v>98</v>
      </c>
      <c r="E4205" s="0" t="s">
        <v>5290</v>
      </c>
    </row>
    <row r="4206" customFormat="false" ht="15" hidden="false" customHeight="false" outlineLevel="0" collapsed="false">
      <c r="A4206" s="0" t="s">
        <v>5241</v>
      </c>
      <c r="B4206" s="0" t="s">
        <v>1154</v>
      </c>
      <c r="C4206" s="0" t="s">
        <v>5766</v>
      </c>
      <c r="D4206" s="0" t="s">
        <v>98</v>
      </c>
      <c r="E4206" s="0" t="s">
        <v>5290</v>
      </c>
    </row>
    <row r="4207" customFormat="false" ht="15" hidden="false" customHeight="false" outlineLevel="0" collapsed="false">
      <c r="A4207" s="0" t="s">
        <v>5241</v>
      </c>
      <c r="B4207" s="0" t="s">
        <v>1155</v>
      </c>
      <c r="C4207" s="0" t="s">
        <v>5767</v>
      </c>
      <c r="D4207" s="0" t="s">
        <v>98</v>
      </c>
      <c r="E4207" s="0" t="s">
        <v>5290</v>
      </c>
    </row>
    <row r="4208" customFormat="false" ht="15" hidden="false" customHeight="false" outlineLevel="0" collapsed="false">
      <c r="A4208" s="0" t="s">
        <v>5241</v>
      </c>
      <c r="B4208" s="0" t="s">
        <v>1157</v>
      </c>
      <c r="C4208" s="0" t="s">
        <v>5768</v>
      </c>
      <c r="D4208" s="0" t="s">
        <v>98</v>
      </c>
      <c r="E4208" s="0" t="s">
        <v>5290</v>
      </c>
    </row>
    <row r="4209" customFormat="false" ht="15" hidden="false" customHeight="false" outlineLevel="0" collapsed="false">
      <c r="A4209" s="0" t="s">
        <v>5241</v>
      </c>
      <c r="B4209" s="0" t="s">
        <v>1158</v>
      </c>
      <c r="C4209" s="0" t="s">
        <v>5769</v>
      </c>
      <c r="D4209" s="0" t="s">
        <v>98</v>
      </c>
      <c r="E4209" s="0" t="s">
        <v>5290</v>
      </c>
    </row>
    <row r="4210" customFormat="false" ht="15" hidden="false" customHeight="false" outlineLevel="0" collapsed="false">
      <c r="A4210" s="0" t="s">
        <v>5241</v>
      </c>
      <c r="B4210" s="0" t="s">
        <v>1160</v>
      </c>
      <c r="C4210" s="0" t="s">
        <v>5770</v>
      </c>
      <c r="D4210" s="0" t="s">
        <v>98</v>
      </c>
      <c r="E4210" s="0" t="s">
        <v>5290</v>
      </c>
    </row>
    <row r="4211" customFormat="false" ht="15" hidden="false" customHeight="false" outlineLevel="0" collapsed="false">
      <c r="A4211" s="0" t="s">
        <v>5241</v>
      </c>
      <c r="B4211" s="0" t="s">
        <v>1162</v>
      </c>
      <c r="C4211" s="0" t="s">
        <v>5771</v>
      </c>
      <c r="D4211" s="0" t="s">
        <v>98</v>
      </c>
      <c r="E4211" s="0" t="s">
        <v>5290</v>
      </c>
    </row>
    <row r="4212" customFormat="false" ht="15" hidden="false" customHeight="false" outlineLevel="0" collapsed="false">
      <c r="A4212" s="0" t="s">
        <v>5241</v>
      </c>
      <c r="B4212" s="0" t="s">
        <v>1163</v>
      </c>
      <c r="C4212" s="0" t="s">
        <v>5772</v>
      </c>
      <c r="D4212" s="0" t="s">
        <v>98</v>
      </c>
      <c r="E4212" s="0" t="s">
        <v>5290</v>
      </c>
    </row>
    <row r="4213" customFormat="false" ht="15" hidden="false" customHeight="false" outlineLevel="0" collapsed="false">
      <c r="A4213" s="0" t="s">
        <v>5241</v>
      </c>
      <c r="B4213" s="0" t="s">
        <v>1164</v>
      </c>
      <c r="C4213" s="0" t="s">
        <v>5773</v>
      </c>
      <c r="D4213" s="0" t="s">
        <v>98</v>
      </c>
      <c r="E4213" s="0" t="s">
        <v>5290</v>
      </c>
    </row>
    <row r="4214" customFormat="false" ht="15" hidden="false" customHeight="false" outlineLevel="0" collapsed="false">
      <c r="A4214" s="0" t="s">
        <v>5241</v>
      </c>
      <c r="B4214" s="0" t="s">
        <v>1165</v>
      </c>
      <c r="C4214" s="0" t="s">
        <v>5774</v>
      </c>
      <c r="D4214" s="0" t="s">
        <v>98</v>
      </c>
      <c r="E4214" s="0" t="s">
        <v>5290</v>
      </c>
    </row>
    <row r="4215" customFormat="false" ht="15" hidden="false" customHeight="false" outlineLevel="0" collapsed="false">
      <c r="A4215" s="0" t="s">
        <v>5241</v>
      </c>
      <c r="B4215" s="0" t="s">
        <v>1167</v>
      </c>
      <c r="C4215" s="0" t="s">
        <v>5775</v>
      </c>
      <c r="D4215" s="0" t="s">
        <v>98</v>
      </c>
      <c r="E4215" s="0" t="s">
        <v>5290</v>
      </c>
    </row>
    <row r="4216" customFormat="false" ht="15" hidden="false" customHeight="false" outlineLevel="0" collapsed="false">
      <c r="A4216" s="0" t="s">
        <v>5241</v>
      </c>
      <c r="B4216" s="0" t="s">
        <v>1168</v>
      </c>
      <c r="C4216" s="0" t="s">
        <v>5776</v>
      </c>
      <c r="D4216" s="0" t="s">
        <v>98</v>
      </c>
      <c r="E4216" s="0" t="s">
        <v>5290</v>
      </c>
    </row>
    <row r="4217" customFormat="false" ht="15" hidden="false" customHeight="false" outlineLevel="0" collapsed="false">
      <c r="A4217" s="0" t="s">
        <v>5241</v>
      </c>
      <c r="B4217" s="0" t="s">
        <v>1169</v>
      </c>
      <c r="C4217" s="0" t="s">
        <v>5777</v>
      </c>
      <c r="D4217" s="0" t="s">
        <v>98</v>
      </c>
      <c r="E4217" s="0" t="s">
        <v>5290</v>
      </c>
    </row>
    <row r="4218" customFormat="false" ht="15" hidden="false" customHeight="false" outlineLevel="0" collapsed="false">
      <c r="A4218" s="0" t="s">
        <v>5241</v>
      </c>
      <c r="B4218" s="0" t="s">
        <v>1170</v>
      </c>
      <c r="C4218" s="0" t="s">
        <v>5778</v>
      </c>
      <c r="D4218" s="0" t="s">
        <v>98</v>
      </c>
      <c r="E4218" s="0" t="s">
        <v>5290</v>
      </c>
    </row>
    <row r="4219" customFormat="false" ht="15" hidden="false" customHeight="false" outlineLevel="0" collapsed="false">
      <c r="A4219" s="0" t="s">
        <v>5241</v>
      </c>
      <c r="B4219" s="0" t="s">
        <v>1171</v>
      </c>
      <c r="C4219" s="0" t="s">
        <v>5779</v>
      </c>
      <c r="D4219" s="0" t="s">
        <v>98</v>
      </c>
      <c r="E4219" s="0" t="s">
        <v>5290</v>
      </c>
    </row>
    <row r="4220" customFormat="false" ht="15" hidden="false" customHeight="false" outlineLevel="0" collapsed="false">
      <c r="A4220" s="0" t="s">
        <v>5241</v>
      </c>
      <c r="B4220" s="0" t="s">
        <v>1172</v>
      </c>
      <c r="C4220" s="0" t="s">
        <v>5780</v>
      </c>
      <c r="D4220" s="0" t="s">
        <v>98</v>
      </c>
      <c r="E4220" s="0" t="s">
        <v>5290</v>
      </c>
    </row>
    <row r="4221" customFormat="false" ht="15" hidden="false" customHeight="false" outlineLevel="0" collapsed="false">
      <c r="A4221" s="0" t="s">
        <v>5241</v>
      </c>
      <c r="B4221" s="0" t="s">
        <v>1173</v>
      </c>
      <c r="C4221" s="0" t="s">
        <v>5781</v>
      </c>
      <c r="D4221" s="0" t="s">
        <v>98</v>
      </c>
      <c r="E4221" s="0" t="s">
        <v>5290</v>
      </c>
    </row>
    <row r="4222" customFormat="false" ht="15" hidden="false" customHeight="false" outlineLevel="0" collapsed="false">
      <c r="A4222" s="0" t="s">
        <v>5241</v>
      </c>
      <c r="B4222" s="0" t="s">
        <v>1174</v>
      </c>
      <c r="C4222" s="0" t="s">
        <v>5782</v>
      </c>
      <c r="D4222" s="0" t="s">
        <v>98</v>
      </c>
      <c r="E4222" s="0" t="s">
        <v>5290</v>
      </c>
    </row>
    <row r="4223" customFormat="false" ht="15" hidden="false" customHeight="false" outlineLevel="0" collapsed="false">
      <c r="A4223" s="0" t="s">
        <v>5241</v>
      </c>
      <c r="B4223" s="0" t="s">
        <v>1175</v>
      </c>
      <c r="C4223" s="0" t="s">
        <v>5783</v>
      </c>
      <c r="D4223" s="0" t="s">
        <v>98</v>
      </c>
      <c r="E4223" s="0" t="s">
        <v>5244</v>
      </c>
    </row>
    <row r="4224" customFormat="false" ht="15" hidden="false" customHeight="false" outlineLevel="0" collapsed="false">
      <c r="A4224" s="0" t="s">
        <v>5241</v>
      </c>
      <c r="B4224" s="0" t="s">
        <v>686</v>
      </c>
      <c r="C4224" s="0" t="s">
        <v>5784</v>
      </c>
      <c r="D4224" s="0" t="s">
        <v>98</v>
      </c>
      <c r="E4224" s="0" t="s">
        <v>5244</v>
      </c>
    </row>
    <row r="4225" customFormat="false" ht="15" hidden="false" customHeight="false" outlineLevel="0" collapsed="false">
      <c r="A4225" s="0" t="s">
        <v>5241</v>
      </c>
      <c r="B4225" s="0" t="s">
        <v>688</v>
      </c>
      <c r="C4225" s="0" t="s">
        <v>5785</v>
      </c>
      <c r="D4225" s="0" t="s">
        <v>98</v>
      </c>
      <c r="E4225" s="0" t="s">
        <v>5244</v>
      </c>
    </row>
    <row r="4226" customFormat="false" ht="15" hidden="false" customHeight="false" outlineLevel="0" collapsed="false">
      <c r="A4226" s="0" t="s">
        <v>5241</v>
      </c>
      <c r="B4226" s="0" t="s">
        <v>689</v>
      </c>
      <c r="C4226" s="0" t="s">
        <v>5786</v>
      </c>
      <c r="D4226" s="0" t="s">
        <v>98</v>
      </c>
      <c r="E4226" s="0" t="s">
        <v>5244</v>
      </c>
    </row>
    <row r="4227" customFormat="false" ht="15" hidden="false" customHeight="false" outlineLevel="0" collapsed="false">
      <c r="A4227" s="0" t="s">
        <v>5241</v>
      </c>
      <c r="B4227" s="0" t="s">
        <v>690</v>
      </c>
      <c r="C4227" s="0" t="s">
        <v>5787</v>
      </c>
      <c r="D4227" s="0" t="s">
        <v>98</v>
      </c>
      <c r="E4227" s="0" t="s">
        <v>5244</v>
      </c>
    </row>
    <row r="4228" customFormat="false" ht="15" hidden="false" customHeight="false" outlineLevel="0" collapsed="false">
      <c r="A4228" s="0" t="s">
        <v>5241</v>
      </c>
      <c r="B4228" s="0" t="s">
        <v>691</v>
      </c>
      <c r="C4228" s="0" t="s">
        <v>5788</v>
      </c>
      <c r="D4228" s="0" t="s">
        <v>98</v>
      </c>
      <c r="E4228" s="0" t="s">
        <v>5244</v>
      </c>
    </row>
    <row r="4229" customFormat="false" ht="15" hidden="false" customHeight="false" outlineLevel="0" collapsed="false">
      <c r="A4229" s="0" t="s">
        <v>5241</v>
      </c>
      <c r="B4229" s="0" t="s">
        <v>692</v>
      </c>
      <c r="C4229" s="0" t="s">
        <v>5789</v>
      </c>
      <c r="D4229" s="0" t="s">
        <v>98</v>
      </c>
      <c r="E4229" s="0" t="s">
        <v>5244</v>
      </c>
    </row>
    <row r="4230" customFormat="false" ht="15" hidden="false" customHeight="false" outlineLevel="0" collapsed="false">
      <c r="A4230" s="0" t="s">
        <v>5241</v>
      </c>
      <c r="B4230" s="0" t="s">
        <v>693</v>
      </c>
      <c r="C4230" s="0" t="s">
        <v>5790</v>
      </c>
      <c r="D4230" s="0" t="s">
        <v>98</v>
      </c>
      <c r="E4230" s="0" t="s">
        <v>5244</v>
      </c>
    </row>
    <row r="4231" customFormat="false" ht="15" hidden="false" customHeight="false" outlineLevel="0" collapsed="false">
      <c r="A4231" s="0" t="s">
        <v>5241</v>
      </c>
      <c r="B4231" s="0" t="s">
        <v>1176</v>
      </c>
      <c r="C4231" s="0" t="s">
        <v>5791</v>
      </c>
      <c r="D4231" s="0" t="s">
        <v>98</v>
      </c>
      <c r="E4231" s="0" t="s">
        <v>5244</v>
      </c>
    </row>
    <row r="4232" customFormat="false" ht="15" hidden="false" customHeight="false" outlineLevel="0" collapsed="false">
      <c r="A4232" s="0" t="s">
        <v>5241</v>
      </c>
      <c r="B4232" s="0" t="s">
        <v>1177</v>
      </c>
      <c r="C4232" s="0" t="s">
        <v>5792</v>
      </c>
      <c r="D4232" s="0" t="s">
        <v>98</v>
      </c>
      <c r="E4232" s="0" t="s">
        <v>5244</v>
      </c>
    </row>
    <row r="4233" customFormat="false" ht="15" hidden="false" customHeight="false" outlineLevel="0" collapsed="false">
      <c r="A4233" s="0" t="s">
        <v>5241</v>
      </c>
      <c r="B4233" s="0" t="s">
        <v>1178</v>
      </c>
      <c r="C4233" s="0" t="s">
        <v>5793</v>
      </c>
      <c r="D4233" s="0" t="s">
        <v>98</v>
      </c>
      <c r="E4233" s="0" t="s">
        <v>5244</v>
      </c>
    </row>
    <row r="4234" customFormat="false" ht="15" hidden="false" customHeight="false" outlineLevel="0" collapsed="false">
      <c r="A4234" s="0" t="s">
        <v>5241</v>
      </c>
      <c r="B4234" s="0" t="s">
        <v>1179</v>
      </c>
      <c r="C4234" s="0" t="s">
        <v>5794</v>
      </c>
      <c r="D4234" s="0" t="s">
        <v>98</v>
      </c>
      <c r="E4234" s="0" t="s">
        <v>5244</v>
      </c>
    </row>
    <row r="4235" customFormat="false" ht="15" hidden="false" customHeight="false" outlineLevel="0" collapsed="false">
      <c r="A4235" s="0" t="s">
        <v>5241</v>
      </c>
      <c r="B4235" s="0" t="s">
        <v>1180</v>
      </c>
      <c r="C4235" s="0" t="s">
        <v>5795</v>
      </c>
      <c r="D4235" s="0" t="s">
        <v>98</v>
      </c>
      <c r="E4235" s="0" t="s">
        <v>5244</v>
      </c>
    </row>
    <row r="4236" customFormat="false" ht="15" hidden="false" customHeight="false" outlineLevel="0" collapsed="false">
      <c r="A4236" s="0" t="s">
        <v>5241</v>
      </c>
      <c r="B4236" s="0" t="s">
        <v>1181</v>
      </c>
      <c r="C4236" s="0" t="s">
        <v>5796</v>
      </c>
      <c r="D4236" s="0" t="s">
        <v>98</v>
      </c>
      <c r="E4236" s="0" t="s">
        <v>5244</v>
      </c>
    </row>
    <row r="4237" customFormat="false" ht="15" hidden="false" customHeight="false" outlineLevel="0" collapsed="false">
      <c r="A4237" s="0" t="s">
        <v>5241</v>
      </c>
      <c r="B4237" s="0" t="s">
        <v>1182</v>
      </c>
      <c r="C4237" s="0" t="s">
        <v>5797</v>
      </c>
      <c r="D4237" s="0" t="s">
        <v>98</v>
      </c>
      <c r="E4237" s="0" t="s">
        <v>5244</v>
      </c>
    </row>
    <row r="4238" customFormat="false" ht="15" hidden="false" customHeight="false" outlineLevel="0" collapsed="false">
      <c r="A4238" s="0" t="s">
        <v>5241</v>
      </c>
      <c r="B4238" s="0" t="s">
        <v>1183</v>
      </c>
      <c r="C4238" s="0" t="s">
        <v>5798</v>
      </c>
      <c r="D4238" s="0" t="s">
        <v>98</v>
      </c>
      <c r="E4238" s="0" t="s">
        <v>5244</v>
      </c>
    </row>
    <row r="4239" customFormat="false" ht="15" hidden="false" customHeight="false" outlineLevel="0" collapsed="false">
      <c r="A4239" s="0" t="s">
        <v>5241</v>
      </c>
      <c r="B4239" s="0" t="s">
        <v>1184</v>
      </c>
      <c r="C4239" s="0" t="s">
        <v>5799</v>
      </c>
      <c r="D4239" s="0" t="s">
        <v>98</v>
      </c>
      <c r="E4239" s="0" t="s">
        <v>5244</v>
      </c>
    </row>
    <row r="4240" customFormat="false" ht="15" hidden="false" customHeight="false" outlineLevel="0" collapsed="false">
      <c r="A4240" s="0" t="s">
        <v>5241</v>
      </c>
      <c r="B4240" s="0" t="s">
        <v>1185</v>
      </c>
      <c r="C4240" s="0" t="s">
        <v>5800</v>
      </c>
      <c r="D4240" s="0" t="s">
        <v>98</v>
      </c>
      <c r="E4240" s="0" t="s">
        <v>5244</v>
      </c>
    </row>
    <row r="4241" customFormat="false" ht="15" hidden="false" customHeight="false" outlineLevel="0" collapsed="false">
      <c r="A4241" s="0" t="s">
        <v>5241</v>
      </c>
      <c r="B4241" s="0" t="s">
        <v>1186</v>
      </c>
      <c r="C4241" s="0" t="s">
        <v>5801</v>
      </c>
      <c r="D4241" s="0" t="s">
        <v>98</v>
      </c>
      <c r="E4241" s="0" t="s">
        <v>5244</v>
      </c>
    </row>
    <row r="4242" customFormat="false" ht="15" hidden="false" customHeight="false" outlineLevel="0" collapsed="false">
      <c r="A4242" s="0" t="s">
        <v>5241</v>
      </c>
      <c r="B4242" s="0" t="s">
        <v>1187</v>
      </c>
      <c r="C4242" s="0" t="s">
        <v>5802</v>
      </c>
      <c r="D4242" s="0" t="s">
        <v>98</v>
      </c>
      <c r="E4242" s="0" t="s">
        <v>5244</v>
      </c>
    </row>
    <row r="4243" customFormat="false" ht="15" hidden="false" customHeight="false" outlineLevel="0" collapsed="false">
      <c r="A4243" s="0" t="s">
        <v>5241</v>
      </c>
      <c r="B4243" s="0" t="s">
        <v>1188</v>
      </c>
      <c r="C4243" s="0" t="s">
        <v>5803</v>
      </c>
      <c r="D4243" s="0" t="s">
        <v>98</v>
      </c>
      <c r="E4243" s="0" t="s">
        <v>5244</v>
      </c>
    </row>
    <row r="4244" customFormat="false" ht="15" hidden="false" customHeight="false" outlineLevel="0" collapsed="false">
      <c r="A4244" s="0" t="s">
        <v>5241</v>
      </c>
      <c r="B4244" s="0" t="s">
        <v>1189</v>
      </c>
      <c r="C4244" s="0" t="s">
        <v>5804</v>
      </c>
      <c r="D4244" s="0" t="s">
        <v>98</v>
      </c>
      <c r="E4244" s="0" t="s">
        <v>5244</v>
      </c>
    </row>
    <row r="4245" customFormat="false" ht="15" hidden="false" customHeight="false" outlineLevel="0" collapsed="false">
      <c r="A4245" s="0" t="s">
        <v>5241</v>
      </c>
      <c r="B4245" s="0" t="s">
        <v>1190</v>
      </c>
      <c r="C4245" s="0" t="s">
        <v>5805</v>
      </c>
      <c r="D4245" s="0" t="s">
        <v>98</v>
      </c>
      <c r="E4245" s="0" t="s">
        <v>5244</v>
      </c>
    </row>
    <row r="4246" customFormat="false" ht="15" hidden="false" customHeight="false" outlineLevel="0" collapsed="false">
      <c r="A4246" s="0" t="s">
        <v>5241</v>
      </c>
      <c r="B4246" s="0" t="s">
        <v>1191</v>
      </c>
      <c r="C4246" s="0" t="s">
        <v>5806</v>
      </c>
      <c r="D4246" s="0" t="s">
        <v>98</v>
      </c>
      <c r="E4246" s="0" t="s">
        <v>5244</v>
      </c>
    </row>
    <row r="4247" customFormat="false" ht="15" hidden="false" customHeight="false" outlineLevel="0" collapsed="false">
      <c r="A4247" s="0" t="s">
        <v>5241</v>
      </c>
      <c r="B4247" s="0" t="s">
        <v>1192</v>
      </c>
      <c r="C4247" s="0" t="s">
        <v>5807</v>
      </c>
      <c r="D4247" s="0" t="s">
        <v>98</v>
      </c>
      <c r="E4247" s="0" t="s">
        <v>5244</v>
      </c>
    </row>
    <row r="4248" customFormat="false" ht="15" hidden="false" customHeight="false" outlineLevel="0" collapsed="false">
      <c r="A4248" s="0" t="s">
        <v>5241</v>
      </c>
      <c r="B4248" s="0" t="s">
        <v>1193</v>
      </c>
      <c r="C4248" s="0" t="s">
        <v>5808</v>
      </c>
      <c r="D4248" s="0" t="s">
        <v>98</v>
      </c>
      <c r="E4248" s="0" t="s">
        <v>5244</v>
      </c>
    </row>
    <row r="4249" customFormat="false" ht="15" hidden="false" customHeight="false" outlineLevel="0" collapsed="false">
      <c r="A4249" s="0" t="s">
        <v>5241</v>
      </c>
      <c r="B4249" s="0" t="s">
        <v>1194</v>
      </c>
      <c r="C4249" s="0" t="s">
        <v>5809</v>
      </c>
      <c r="D4249" s="0" t="s">
        <v>98</v>
      </c>
      <c r="E4249" s="0" t="s">
        <v>5244</v>
      </c>
    </row>
    <row r="4250" customFormat="false" ht="15" hidden="false" customHeight="false" outlineLevel="0" collapsed="false">
      <c r="A4250" s="0" t="s">
        <v>5241</v>
      </c>
      <c r="B4250" s="0" t="s">
        <v>1195</v>
      </c>
      <c r="C4250" s="0" t="s">
        <v>5810</v>
      </c>
      <c r="D4250" s="0" t="s">
        <v>98</v>
      </c>
      <c r="E4250" s="0" t="s">
        <v>5244</v>
      </c>
    </row>
    <row r="4251" customFormat="false" ht="15" hidden="false" customHeight="false" outlineLevel="0" collapsed="false">
      <c r="A4251" s="0" t="s">
        <v>5241</v>
      </c>
      <c r="B4251" s="0" t="s">
        <v>1196</v>
      </c>
      <c r="C4251" s="0" t="s">
        <v>5811</v>
      </c>
      <c r="D4251" s="0" t="s">
        <v>98</v>
      </c>
      <c r="E4251" s="0" t="s">
        <v>5290</v>
      </c>
    </row>
    <row r="4252" customFormat="false" ht="15" hidden="false" customHeight="false" outlineLevel="0" collapsed="false">
      <c r="A4252" s="0" t="s">
        <v>5241</v>
      </c>
      <c r="B4252" s="0" t="s">
        <v>696</v>
      </c>
      <c r="C4252" s="0" t="s">
        <v>5812</v>
      </c>
      <c r="D4252" s="0" t="s">
        <v>98</v>
      </c>
      <c r="E4252" s="0" t="s">
        <v>5290</v>
      </c>
    </row>
    <row r="4253" customFormat="false" ht="15" hidden="false" customHeight="false" outlineLevel="0" collapsed="false">
      <c r="A4253" s="0" t="s">
        <v>5241</v>
      </c>
      <c r="B4253" s="0" t="s">
        <v>697</v>
      </c>
      <c r="C4253" s="0" t="s">
        <v>5813</v>
      </c>
      <c r="D4253" s="0" t="s">
        <v>98</v>
      </c>
      <c r="E4253" s="0" t="s">
        <v>5290</v>
      </c>
    </row>
    <row r="4254" customFormat="false" ht="15" hidden="false" customHeight="false" outlineLevel="0" collapsed="false">
      <c r="A4254" s="0" t="s">
        <v>5241</v>
      </c>
      <c r="B4254" s="0" t="s">
        <v>698</v>
      </c>
      <c r="C4254" s="0" t="s">
        <v>5814</v>
      </c>
      <c r="D4254" s="0" t="s">
        <v>98</v>
      </c>
      <c r="E4254" s="0" t="s">
        <v>5290</v>
      </c>
    </row>
    <row r="4255" customFormat="false" ht="15" hidden="false" customHeight="false" outlineLevel="0" collapsed="false">
      <c r="A4255" s="0" t="s">
        <v>5241</v>
      </c>
      <c r="B4255" s="0" t="s">
        <v>699</v>
      </c>
      <c r="C4255" s="0" t="s">
        <v>5815</v>
      </c>
      <c r="D4255" s="0" t="s">
        <v>98</v>
      </c>
      <c r="E4255" s="0" t="s">
        <v>5290</v>
      </c>
    </row>
    <row r="4256" customFormat="false" ht="15" hidden="false" customHeight="false" outlineLevel="0" collapsed="false">
      <c r="A4256" s="0" t="s">
        <v>5241</v>
      </c>
      <c r="B4256" s="0" t="s">
        <v>700</v>
      </c>
      <c r="C4256" s="0" t="s">
        <v>5816</v>
      </c>
      <c r="D4256" s="0" t="s">
        <v>98</v>
      </c>
      <c r="E4256" s="0" t="s">
        <v>5290</v>
      </c>
    </row>
    <row r="4257" customFormat="false" ht="15" hidden="false" customHeight="false" outlineLevel="0" collapsed="false">
      <c r="A4257" s="0" t="s">
        <v>5241</v>
      </c>
      <c r="B4257" s="0" t="s">
        <v>701</v>
      </c>
      <c r="C4257" s="0" t="s">
        <v>5817</v>
      </c>
      <c r="D4257" s="0" t="s">
        <v>98</v>
      </c>
      <c r="E4257" s="0" t="s">
        <v>5290</v>
      </c>
    </row>
    <row r="4258" customFormat="false" ht="15" hidden="false" customHeight="false" outlineLevel="0" collapsed="false">
      <c r="A4258" s="0" t="s">
        <v>5241</v>
      </c>
      <c r="B4258" s="0" t="s">
        <v>702</v>
      </c>
      <c r="C4258" s="0" t="s">
        <v>5818</v>
      </c>
      <c r="D4258" s="0" t="s">
        <v>98</v>
      </c>
      <c r="E4258" s="0" t="s">
        <v>5290</v>
      </c>
    </row>
    <row r="4259" customFormat="false" ht="15" hidden="false" customHeight="false" outlineLevel="0" collapsed="false">
      <c r="A4259" s="0" t="s">
        <v>5241</v>
      </c>
      <c r="B4259" s="0" t="s">
        <v>1205</v>
      </c>
      <c r="C4259" s="0" t="s">
        <v>5819</v>
      </c>
      <c r="D4259" s="0" t="s">
        <v>98</v>
      </c>
      <c r="E4259" s="0" t="s">
        <v>5290</v>
      </c>
    </row>
    <row r="4260" customFormat="false" ht="15" hidden="false" customHeight="false" outlineLevel="0" collapsed="false">
      <c r="A4260" s="0" t="s">
        <v>5241</v>
      </c>
      <c r="B4260" s="0" t="s">
        <v>1207</v>
      </c>
      <c r="C4260" s="0" t="s">
        <v>5820</v>
      </c>
      <c r="D4260" s="0" t="s">
        <v>98</v>
      </c>
      <c r="E4260" s="0" t="s">
        <v>5290</v>
      </c>
    </row>
    <row r="4261" customFormat="false" ht="15" hidden="false" customHeight="false" outlineLevel="0" collapsed="false">
      <c r="A4261" s="0" t="s">
        <v>5241</v>
      </c>
      <c r="B4261" s="0" t="s">
        <v>1209</v>
      </c>
      <c r="C4261" s="0" t="s">
        <v>5821</v>
      </c>
      <c r="D4261" s="0" t="s">
        <v>98</v>
      </c>
      <c r="E4261" s="0" t="s">
        <v>5290</v>
      </c>
    </row>
    <row r="4262" customFormat="false" ht="15" hidden="false" customHeight="false" outlineLevel="0" collapsed="false">
      <c r="A4262" s="0" t="s">
        <v>5241</v>
      </c>
      <c r="B4262" s="0" t="s">
        <v>1211</v>
      </c>
      <c r="C4262" s="0" t="s">
        <v>5822</v>
      </c>
      <c r="D4262" s="0" t="s">
        <v>98</v>
      </c>
      <c r="E4262" s="0" t="s">
        <v>5290</v>
      </c>
    </row>
    <row r="4263" customFormat="false" ht="15" hidden="false" customHeight="false" outlineLevel="0" collapsed="false">
      <c r="A4263" s="0" t="s">
        <v>5241</v>
      </c>
      <c r="B4263" s="0" t="s">
        <v>1213</v>
      </c>
      <c r="C4263" s="0" t="s">
        <v>5823</v>
      </c>
      <c r="D4263" s="0" t="s">
        <v>98</v>
      </c>
      <c r="E4263" s="0" t="s">
        <v>5290</v>
      </c>
    </row>
    <row r="4264" customFormat="false" ht="15" hidden="false" customHeight="false" outlineLevel="0" collapsed="false">
      <c r="A4264" s="0" t="s">
        <v>5241</v>
      </c>
      <c r="B4264" s="0" t="s">
        <v>1215</v>
      </c>
      <c r="C4264" s="0" t="s">
        <v>5824</v>
      </c>
      <c r="D4264" s="0" t="s">
        <v>98</v>
      </c>
      <c r="E4264" s="0" t="s">
        <v>5290</v>
      </c>
    </row>
    <row r="4265" customFormat="false" ht="15" hidden="false" customHeight="false" outlineLevel="0" collapsed="false">
      <c r="A4265" s="0" t="s">
        <v>5241</v>
      </c>
      <c r="B4265" s="0" t="s">
        <v>1217</v>
      </c>
      <c r="C4265" s="0" t="s">
        <v>5825</v>
      </c>
      <c r="D4265" s="0" t="s">
        <v>98</v>
      </c>
      <c r="E4265" s="0" t="s">
        <v>5290</v>
      </c>
    </row>
    <row r="4266" customFormat="false" ht="15" hidden="false" customHeight="false" outlineLevel="0" collapsed="false">
      <c r="A4266" s="0" t="s">
        <v>5241</v>
      </c>
      <c r="B4266" s="0" t="s">
        <v>1219</v>
      </c>
      <c r="C4266" s="0" t="s">
        <v>5826</v>
      </c>
      <c r="D4266" s="0" t="s">
        <v>98</v>
      </c>
      <c r="E4266" s="0" t="s">
        <v>5290</v>
      </c>
    </row>
    <row r="4267" customFormat="false" ht="15" hidden="false" customHeight="false" outlineLevel="0" collapsed="false">
      <c r="A4267" s="0" t="s">
        <v>5241</v>
      </c>
      <c r="B4267" s="0" t="s">
        <v>1221</v>
      </c>
      <c r="C4267" s="0" t="s">
        <v>5827</v>
      </c>
      <c r="D4267" s="0" t="s">
        <v>98</v>
      </c>
      <c r="E4267" s="0" t="s">
        <v>5290</v>
      </c>
    </row>
    <row r="4268" customFormat="false" ht="15" hidden="false" customHeight="false" outlineLevel="0" collapsed="false">
      <c r="A4268" s="0" t="s">
        <v>5241</v>
      </c>
      <c r="B4268" s="0" t="s">
        <v>1223</v>
      </c>
      <c r="C4268" s="0" t="s">
        <v>5828</v>
      </c>
      <c r="D4268" s="0" t="s">
        <v>98</v>
      </c>
      <c r="E4268" s="0" t="s">
        <v>5290</v>
      </c>
    </row>
    <row r="4269" customFormat="false" ht="15" hidden="false" customHeight="false" outlineLevel="0" collapsed="false">
      <c r="A4269" s="0" t="s">
        <v>5241</v>
      </c>
      <c r="B4269" s="0" t="s">
        <v>1225</v>
      </c>
      <c r="C4269" s="0" t="s">
        <v>5829</v>
      </c>
      <c r="D4269" s="0" t="s">
        <v>98</v>
      </c>
      <c r="E4269" s="0" t="s">
        <v>5290</v>
      </c>
    </row>
    <row r="4270" customFormat="false" ht="15" hidden="false" customHeight="false" outlineLevel="0" collapsed="false">
      <c r="A4270" s="0" t="s">
        <v>5241</v>
      </c>
      <c r="B4270" s="0" t="s">
        <v>1227</v>
      </c>
      <c r="C4270" s="0" t="s">
        <v>5830</v>
      </c>
      <c r="D4270" s="0" t="s">
        <v>98</v>
      </c>
      <c r="E4270" s="0" t="s">
        <v>5290</v>
      </c>
    </row>
    <row r="4271" customFormat="false" ht="15" hidden="false" customHeight="false" outlineLevel="0" collapsed="false">
      <c r="A4271" s="0" t="s">
        <v>5241</v>
      </c>
      <c r="B4271" s="0" t="s">
        <v>1229</v>
      </c>
      <c r="C4271" s="0" t="s">
        <v>5831</v>
      </c>
      <c r="D4271" s="0" t="s">
        <v>98</v>
      </c>
      <c r="E4271" s="0" t="s">
        <v>5290</v>
      </c>
    </row>
    <row r="4272" customFormat="false" ht="15" hidden="false" customHeight="false" outlineLevel="0" collapsed="false">
      <c r="A4272" s="0" t="s">
        <v>5241</v>
      </c>
      <c r="B4272" s="0" t="s">
        <v>1231</v>
      </c>
      <c r="C4272" s="0" t="s">
        <v>5832</v>
      </c>
      <c r="D4272" s="0" t="s">
        <v>98</v>
      </c>
      <c r="E4272" s="0" t="s">
        <v>5290</v>
      </c>
    </row>
    <row r="4273" customFormat="false" ht="15" hidden="false" customHeight="false" outlineLevel="0" collapsed="false">
      <c r="A4273" s="0" t="s">
        <v>5241</v>
      </c>
      <c r="B4273" s="0" t="s">
        <v>1233</v>
      </c>
      <c r="C4273" s="0" t="s">
        <v>5833</v>
      </c>
      <c r="D4273" s="0" t="s">
        <v>98</v>
      </c>
      <c r="E4273" s="0" t="s">
        <v>5290</v>
      </c>
    </row>
    <row r="4274" customFormat="false" ht="15" hidden="false" customHeight="false" outlineLevel="0" collapsed="false">
      <c r="A4274" s="0" t="s">
        <v>5241</v>
      </c>
      <c r="B4274" s="0" t="s">
        <v>1235</v>
      </c>
      <c r="C4274" s="0" t="s">
        <v>5834</v>
      </c>
      <c r="D4274" s="0" t="s">
        <v>98</v>
      </c>
      <c r="E4274" s="0" t="s">
        <v>5290</v>
      </c>
    </row>
    <row r="4275" customFormat="false" ht="15" hidden="false" customHeight="false" outlineLevel="0" collapsed="false">
      <c r="A4275" s="0" t="s">
        <v>5241</v>
      </c>
      <c r="B4275" s="0" t="s">
        <v>1237</v>
      </c>
      <c r="C4275" s="0" t="s">
        <v>5835</v>
      </c>
      <c r="D4275" s="0" t="s">
        <v>98</v>
      </c>
      <c r="E4275" s="0" t="s">
        <v>5290</v>
      </c>
    </row>
    <row r="4276" customFormat="false" ht="15" hidden="false" customHeight="false" outlineLevel="0" collapsed="false">
      <c r="A4276" s="0" t="s">
        <v>5241</v>
      </c>
      <c r="B4276" s="0" t="s">
        <v>1239</v>
      </c>
      <c r="C4276" s="0" t="s">
        <v>5836</v>
      </c>
      <c r="D4276" s="0" t="s">
        <v>98</v>
      </c>
      <c r="E4276" s="0" t="s">
        <v>5290</v>
      </c>
    </row>
    <row r="4277" customFormat="false" ht="15" hidden="false" customHeight="false" outlineLevel="0" collapsed="false">
      <c r="A4277" s="0" t="s">
        <v>5241</v>
      </c>
      <c r="B4277" s="0" t="s">
        <v>1241</v>
      </c>
      <c r="C4277" s="0" t="s">
        <v>5837</v>
      </c>
      <c r="D4277" s="0" t="s">
        <v>98</v>
      </c>
      <c r="E4277" s="0" t="s">
        <v>5290</v>
      </c>
    </row>
    <row r="4278" customFormat="false" ht="15" hidden="false" customHeight="false" outlineLevel="0" collapsed="false">
      <c r="A4278" s="0" t="s">
        <v>5241</v>
      </c>
      <c r="B4278" s="0" t="s">
        <v>1243</v>
      </c>
      <c r="C4278" s="0" t="s">
        <v>5838</v>
      </c>
      <c r="D4278" s="0" t="s">
        <v>98</v>
      </c>
      <c r="E4278" s="0" t="s">
        <v>5290</v>
      </c>
    </row>
    <row r="4279" customFormat="false" ht="15" hidden="false" customHeight="false" outlineLevel="0" collapsed="false">
      <c r="A4279" s="0" t="s">
        <v>5241</v>
      </c>
      <c r="B4279" s="0" t="s">
        <v>4787</v>
      </c>
      <c r="C4279" s="0" t="s">
        <v>5839</v>
      </c>
      <c r="D4279" s="0" t="s">
        <v>98</v>
      </c>
      <c r="E4279" s="0" t="s">
        <v>5244</v>
      </c>
    </row>
    <row r="4280" customFormat="false" ht="15" hidden="false" customHeight="false" outlineLevel="0" collapsed="false">
      <c r="A4280" s="0" t="s">
        <v>5241</v>
      </c>
      <c r="B4280" s="0" t="s">
        <v>705</v>
      </c>
      <c r="C4280" s="0" t="s">
        <v>5840</v>
      </c>
      <c r="D4280" s="0" t="s">
        <v>98</v>
      </c>
      <c r="E4280" s="0" t="s">
        <v>5244</v>
      </c>
    </row>
    <row r="4281" customFormat="false" ht="15" hidden="false" customHeight="false" outlineLevel="0" collapsed="false">
      <c r="A4281" s="0" t="s">
        <v>5241</v>
      </c>
      <c r="B4281" s="0" t="s">
        <v>706</v>
      </c>
      <c r="C4281" s="0" t="s">
        <v>5841</v>
      </c>
      <c r="D4281" s="0" t="s">
        <v>98</v>
      </c>
      <c r="E4281" s="0" t="s">
        <v>5244</v>
      </c>
    </row>
    <row r="4282" customFormat="false" ht="15" hidden="false" customHeight="false" outlineLevel="0" collapsed="false">
      <c r="A4282" s="0" t="s">
        <v>5241</v>
      </c>
      <c r="B4282" s="0" t="s">
        <v>707</v>
      </c>
      <c r="C4282" s="0" t="s">
        <v>5842</v>
      </c>
      <c r="D4282" s="0" t="s">
        <v>98</v>
      </c>
      <c r="E4282" s="0" t="s">
        <v>5244</v>
      </c>
    </row>
    <row r="4283" customFormat="false" ht="15" hidden="false" customHeight="false" outlineLevel="0" collapsed="false">
      <c r="A4283" s="0" t="s">
        <v>5241</v>
      </c>
      <c r="B4283" s="0" t="s">
        <v>708</v>
      </c>
      <c r="C4283" s="0" t="s">
        <v>5843</v>
      </c>
      <c r="D4283" s="0" t="s">
        <v>98</v>
      </c>
      <c r="E4283" s="0" t="s">
        <v>5244</v>
      </c>
    </row>
    <row r="4284" customFormat="false" ht="15" hidden="false" customHeight="false" outlineLevel="0" collapsed="false">
      <c r="A4284" s="0" t="s">
        <v>5241</v>
      </c>
      <c r="B4284" s="0" t="s">
        <v>709</v>
      </c>
      <c r="C4284" s="0" t="s">
        <v>5844</v>
      </c>
      <c r="D4284" s="0" t="s">
        <v>98</v>
      </c>
      <c r="E4284" s="0" t="s">
        <v>5244</v>
      </c>
    </row>
    <row r="4285" customFormat="false" ht="15" hidden="false" customHeight="false" outlineLevel="0" collapsed="false">
      <c r="A4285" s="0" t="s">
        <v>5241</v>
      </c>
      <c r="B4285" s="0" t="s">
        <v>710</v>
      </c>
      <c r="C4285" s="0" t="s">
        <v>5845</v>
      </c>
      <c r="D4285" s="0" t="s">
        <v>98</v>
      </c>
      <c r="E4285" s="0" t="s">
        <v>5244</v>
      </c>
    </row>
    <row r="4286" customFormat="false" ht="15" hidden="false" customHeight="false" outlineLevel="0" collapsed="false">
      <c r="A4286" s="0" t="s">
        <v>5241</v>
      </c>
      <c r="B4286" s="0" t="s">
        <v>711</v>
      </c>
      <c r="C4286" s="0" t="s">
        <v>5846</v>
      </c>
      <c r="D4286" s="0" t="s">
        <v>98</v>
      </c>
      <c r="E4286" s="0" t="s">
        <v>5244</v>
      </c>
    </row>
    <row r="4287" customFormat="false" ht="15" hidden="false" customHeight="false" outlineLevel="0" collapsed="false">
      <c r="A4287" s="0" t="s">
        <v>5241</v>
      </c>
      <c r="B4287" s="0" t="s">
        <v>4403</v>
      </c>
      <c r="C4287" s="0" t="s">
        <v>5847</v>
      </c>
      <c r="D4287" s="0" t="s">
        <v>98</v>
      </c>
      <c r="E4287" s="0" t="s">
        <v>5244</v>
      </c>
    </row>
    <row r="4288" customFormat="false" ht="15" hidden="false" customHeight="false" outlineLevel="0" collapsed="false">
      <c r="A4288" s="0" t="s">
        <v>5241</v>
      </c>
      <c r="B4288" s="0" t="s">
        <v>4405</v>
      </c>
      <c r="C4288" s="0" t="s">
        <v>5848</v>
      </c>
      <c r="D4288" s="0" t="s">
        <v>98</v>
      </c>
      <c r="E4288" s="0" t="s">
        <v>5244</v>
      </c>
    </row>
    <row r="4289" customFormat="false" ht="15" hidden="false" customHeight="false" outlineLevel="0" collapsed="false">
      <c r="A4289" s="0" t="s">
        <v>5241</v>
      </c>
      <c r="B4289" s="0" t="s">
        <v>4407</v>
      </c>
      <c r="C4289" s="0" t="s">
        <v>5849</v>
      </c>
      <c r="D4289" s="0" t="s">
        <v>98</v>
      </c>
      <c r="E4289" s="0" t="s">
        <v>5244</v>
      </c>
    </row>
    <row r="4290" customFormat="false" ht="15" hidden="false" customHeight="false" outlineLevel="0" collapsed="false">
      <c r="A4290" s="0" t="s">
        <v>5241</v>
      </c>
      <c r="B4290" s="0" t="s">
        <v>1245</v>
      </c>
      <c r="C4290" s="0" t="s">
        <v>5850</v>
      </c>
      <c r="D4290" s="0" t="s">
        <v>98</v>
      </c>
      <c r="E4290" s="0" t="s">
        <v>5244</v>
      </c>
    </row>
    <row r="4291" customFormat="false" ht="15" hidden="false" customHeight="false" outlineLevel="0" collapsed="false">
      <c r="A4291" s="0" t="s">
        <v>5241</v>
      </c>
      <c r="B4291" s="0" t="s">
        <v>4800</v>
      </c>
      <c r="C4291" s="0" t="s">
        <v>5851</v>
      </c>
      <c r="D4291" s="0" t="s">
        <v>98</v>
      </c>
      <c r="E4291" s="0" t="s">
        <v>5244</v>
      </c>
    </row>
    <row r="4292" customFormat="false" ht="15" hidden="false" customHeight="false" outlineLevel="0" collapsed="false">
      <c r="A4292" s="0" t="s">
        <v>5241</v>
      </c>
      <c r="B4292" s="0" t="s">
        <v>4802</v>
      </c>
      <c r="C4292" s="0" t="s">
        <v>5852</v>
      </c>
      <c r="D4292" s="0" t="s">
        <v>98</v>
      </c>
      <c r="E4292" s="0" t="s">
        <v>5244</v>
      </c>
    </row>
    <row r="4293" customFormat="false" ht="15" hidden="false" customHeight="false" outlineLevel="0" collapsed="false">
      <c r="A4293" s="0" t="s">
        <v>5241</v>
      </c>
      <c r="B4293" s="0" t="s">
        <v>4804</v>
      </c>
      <c r="C4293" s="0" t="s">
        <v>5853</v>
      </c>
      <c r="D4293" s="0" t="s">
        <v>98</v>
      </c>
      <c r="E4293" s="0" t="s">
        <v>5244</v>
      </c>
    </row>
    <row r="4294" customFormat="false" ht="15" hidden="false" customHeight="false" outlineLevel="0" collapsed="false">
      <c r="A4294" s="0" t="s">
        <v>5241</v>
      </c>
      <c r="B4294" s="0" t="s">
        <v>4806</v>
      </c>
      <c r="C4294" s="0" t="s">
        <v>5854</v>
      </c>
      <c r="D4294" s="0" t="s">
        <v>98</v>
      </c>
      <c r="E4294" s="0" t="s">
        <v>5244</v>
      </c>
    </row>
    <row r="4295" customFormat="false" ht="15" hidden="false" customHeight="false" outlineLevel="0" collapsed="false">
      <c r="A4295" s="0" t="s">
        <v>5241</v>
      </c>
      <c r="B4295" s="0" t="s">
        <v>4808</v>
      </c>
      <c r="C4295" s="0" t="s">
        <v>5855</v>
      </c>
      <c r="D4295" s="0" t="s">
        <v>98</v>
      </c>
      <c r="E4295" s="0" t="s">
        <v>5244</v>
      </c>
    </row>
    <row r="4296" customFormat="false" ht="15" hidden="false" customHeight="false" outlineLevel="0" collapsed="false">
      <c r="A4296" s="0" t="s">
        <v>5241</v>
      </c>
      <c r="B4296" s="0" t="s">
        <v>4810</v>
      </c>
      <c r="C4296" s="0" t="s">
        <v>5856</v>
      </c>
      <c r="D4296" s="0" t="s">
        <v>98</v>
      </c>
      <c r="E4296" s="0" t="s">
        <v>5244</v>
      </c>
    </row>
    <row r="4297" customFormat="false" ht="15" hidden="false" customHeight="false" outlineLevel="0" collapsed="false">
      <c r="A4297" s="0" t="s">
        <v>5241</v>
      </c>
      <c r="B4297" s="0" t="s">
        <v>4812</v>
      </c>
      <c r="C4297" s="0" t="s">
        <v>5857</v>
      </c>
      <c r="D4297" s="0" t="s">
        <v>98</v>
      </c>
      <c r="E4297" s="0" t="s">
        <v>5244</v>
      </c>
    </row>
    <row r="4298" customFormat="false" ht="15" hidden="false" customHeight="false" outlineLevel="0" collapsed="false">
      <c r="A4298" s="0" t="s">
        <v>5241</v>
      </c>
      <c r="B4298" s="0" t="s">
        <v>4814</v>
      </c>
      <c r="C4298" s="0" t="s">
        <v>5858</v>
      </c>
      <c r="D4298" s="0" t="s">
        <v>98</v>
      </c>
      <c r="E4298" s="0" t="s">
        <v>5244</v>
      </c>
    </row>
    <row r="4299" customFormat="false" ht="15" hidden="false" customHeight="false" outlineLevel="0" collapsed="false">
      <c r="A4299" s="0" t="s">
        <v>5241</v>
      </c>
      <c r="B4299" s="0" t="s">
        <v>4816</v>
      </c>
      <c r="C4299" s="0" t="s">
        <v>5859</v>
      </c>
      <c r="D4299" s="0" t="s">
        <v>98</v>
      </c>
      <c r="E4299" s="0" t="s">
        <v>5244</v>
      </c>
    </row>
    <row r="4300" customFormat="false" ht="15" hidden="false" customHeight="false" outlineLevel="0" collapsed="false">
      <c r="A4300" s="0" t="s">
        <v>5241</v>
      </c>
      <c r="B4300" s="0" t="s">
        <v>4818</v>
      </c>
      <c r="C4300" s="0" t="s">
        <v>5860</v>
      </c>
      <c r="D4300" s="0" t="s">
        <v>98</v>
      </c>
      <c r="E4300" s="0" t="s">
        <v>5244</v>
      </c>
    </row>
    <row r="4301" customFormat="false" ht="15" hidden="false" customHeight="false" outlineLevel="0" collapsed="false">
      <c r="A4301" s="0" t="s">
        <v>5241</v>
      </c>
      <c r="B4301" s="0" t="s">
        <v>4820</v>
      </c>
      <c r="C4301" s="0" t="s">
        <v>5861</v>
      </c>
      <c r="D4301" s="0" t="s">
        <v>98</v>
      </c>
      <c r="E4301" s="0" t="s">
        <v>5244</v>
      </c>
    </row>
    <row r="4302" customFormat="false" ht="15" hidden="false" customHeight="false" outlineLevel="0" collapsed="false">
      <c r="A4302" s="0" t="s">
        <v>5241</v>
      </c>
      <c r="B4302" s="0" t="s">
        <v>4822</v>
      </c>
      <c r="C4302" s="0" t="s">
        <v>5862</v>
      </c>
      <c r="D4302" s="0" t="s">
        <v>98</v>
      </c>
      <c r="E4302" s="0" t="s">
        <v>5244</v>
      </c>
    </row>
    <row r="4303" customFormat="false" ht="15" hidden="false" customHeight="false" outlineLevel="0" collapsed="false">
      <c r="A4303" s="0" t="s">
        <v>5241</v>
      </c>
      <c r="B4303" s="0" t="s">
        <v>4824</v>
      </c>
      <c r="C4303" s="0" t="s">
        <v>5863</v>
      </c>
      <c r="D4303" s="0" t="s">
        <v>98</v>
      </c>
      <c r="E4303" s="0" t="s">
        <v>5244</v>
      </c>
    </row>
    <row r="4304" customFormat="false" ht="15" hidden="false" customHeight="false" outlineLevel="0" collapsed="false">
      <c r="A4304" s="0" t="s">
        <v>5241</v>
      </c>
      <c r="B4304" s="0" t="s">
        <v>4826</v>
      </c>
      <c r="C4304" s="0" t="s">
        <v>5864</v>
      </c>
      <c r="D4304" s="0" t="s">
        <v>98</v>
      </c>
      <c r="E4304" s="0" t="s">
        <v>5244</v>
      </c>
    </row>
    <row r="4305" customFormat="false" ht="15" hidden="false" customHeight="false" outlineLevel="0" collapsed="false">
      <c r="A4305" s="0" t="s">
        <v>5241</v>
      </c>
      <c r="B4305" s="0" t="s">
        <v>4828</v>
      </c>
      <c r="C4305" s="0" t="s">
        <v>5865</v>
      </c>
      <c r="D4305" s="0" t="s">
        <v>98</v>
      </c>
      <c r="E4305" s="0" t="s">
        <v>5244</v>
      </c>
    </row>
    <row r="4306" customFormat="false" ht="15" hidden="false" customHeight="false" outlineLevel="0" collapsed="false">
      <c r="A4306" s="0" t="s">
        <v>5241</v>
      </c>
      <c r="B4306" s="0" t="s">
        <v>4830</v>
      </c>
      <c r="C4306" s="0" t="s">
        <v>5866</v>
      </c>
      <c r="D4306" s="0" t="s">
        <v>98</v>
      </c>
      <c r="E4306" s="0" t="s">
        <v>5244</v>
      </c>
    </row>
    <row r="4307" customFormat="false" ht="15" hidden="false" customHeight="false" outlineLevel="0" collapsed="false">
      <c r="A4307" s="0" t="s">
        <v>5241</v>
      </c>
      <c r="B4307" s="0" t="s">
        <v>4832</v>
      </c>
      <c r="C4307" s="0" t="s">
        <v>5867</v>
      </c>
      <c r="D4307" s="0" t="s">
        <v>98</v>
      </c>
      <c r="E4307" s="0" t="s">
        <v>5290</v>
      </c>
    </row>
    <row r="4308" customFormat="false" ht="15" hidden="false" customHeight="false" outlineLevel="0" collapsed="false">
      <c r="A4308" s="0" t="s">
        <v>5241</v>
      </c>
      <c r="B4308" s="0" t="s">
        <v>714</v>
      </c>
      <c r="C4308" s="0" t="s">
        <v>5868</v>
      </c>
      <c r="D4308" s="0" t="s">
        <v>98</v>
      </c>
      <c r="E4308" s="0" t="s">
        <v>5290</v>
      </c>
    </row>
    <row r="4309" customFormat="false" ht="15" hidden="false" customHeight="false" outlineLevel="0" collapsed="false">
      <c r="A4309" s="0" t="s">
        <v>5241</v>
      </c>
      <c r="B4309" s="0" t="s">
        <v>715</v>
      </c>
      <c r="C4309" s="0" t="s">
        <v>5869</v>
      </c>
      <c r="D4309" s="0" t="s">
        <v>98</v>
      </c>
      <c r="E4309" s="0" t="s">
        <v>5290</v>
      </c>
    </row>
    <row r="4310" customFormat="false" ht="15" hidden="false" customHeight="false" outlineLevel="0" collapsed="false">
      <c r="A4310" s="0" t="s">
        <v>5241</v>
      </c>
      <c r="B4310" s="0" t="s">
        <v>716</v>
      </c>
      <c r="C4310" s="0" t="s">
        <v>5870</v>
      </c>
      <c r="D4310" s="0" t="s">
        <v>98</v>
      </c>
      <c r="E4310" s="0" t="s">
        <v>5290</v>
      </c>
    </row>
    <row r="4311" customFormat="false" ht="15" hidden="false" customHeight="false" outlineLevel="0" collapsed="false">
      <c r="A4311" s="0" t="s">
        <v>5241</v>
      </c>
      <c r="B4311" s="0" t="s">
        <v>717</v>
      </c>
      <c r="C4311" s="0" t="s">
        <v>5871</v>
      </c>
      <c r="D4311" s="0" t="s">
        <v>98</v>
      </c>
      <c r="E4311" s="0" t="s">
        <v>5290</v>
      </c>
    </row>
    <row r="4312" customFormat="false" ht="15" hidden="false" customHeight="false" outlineLevel="0" collapsed="false">
      <c r="A4312" s="0" t="s">
        <v>5241</v>
      </c>
      <c r="B4312" s="0" t="s">
        <v>718</v>
      </c>
      <c r="C4312" s="0" t="s">
        <v>5872</v>
      </c>
      <c r="D4312" s="0" t="s">
        <v>98</v>
      </c>
      <c r="E4312" s="0" t="s">
        <v>5290</v>
      </c>
    </row>
    <row r="4313" customFormat="false" ht="15" hidden="false" customHeight="false" outlineLevel="0" collapsed="false">
      <c r="A4313" s="0" t="s">
        <v>5241</v>
      </c>
      <c r="B4313" s="0" t="s">
        <v>719</v>
      </c>
      <c r="C4313" s="0" t="s">
        <v>5873</v>
      </c>
      <c r="D4313" s="0" t="s">
        <v>98</v>
      </c>
      <c r="E4313" s="0" t="s">
        <v>5290</v>
      </c>
    </row>
    <row r="4314" customFormat="false" ht="15" hidden="false" customHeight="false" outlineLevel="0" collapsed="false">
      <c r="A4314" s="0" t="s">
        <v>5241</v>
      </c>
      <c r="B4314" s="0" t="s">
        <v>720</v>
      </c>
      <c r="C4314" s="0" t="s">
        <v>5874</v>
      </c>
      <c r="D4314" s="0" t="s">
        <v>98</v>
      </c>
      <c r="E4314" s="0" t="s">
        <v>5290</v>
      </c>
    </row>
    <row r="4315" customFormat="false" ht="15" hidden="false" customHeight="false" outlineLevel="0" collapsed="false">
      <c r="A4315" s="0" t="s">
        <v>5241</v>
      </c>
      <c r="B4315" s="0" t="s">
        <v>1247</v>
      </c>
      <c r="C4315" s="0" t="s">
        <v>5875</v>
      </c>
      <c r="D4315" s="0" t="s">
        <v>98</v>
      </c>
      <c r="E4315" s="0" t="s">
        <v>5290</v>
      </c>
    </row>
    <row r="4316" customFormat="false" ht="15" hidden="false" customHeight="false" outlineLevel="0" collapsed="false">
      <c r="A4316" s="0" t="s">
        <v>5241</v>
      </c>
      <c r="B4316" s="0" t="s">
        <v>1248</v>
      </c>
      <c r="C4316" s="0" t="s">
        <v>5876</v>
      </c>
      <c r="D4316" s="0" t="s">
        <v>98</v>
      </c>
      <c r="E4316" s="0" t="s">
        <v>5290</v>
      </c>
    </row>
    <row r="4317" customFormat="false" ht="15" hidden="false" customHeight="false" outlineLevel="0" collapsed="false">
      <c r="A4317" s="0" t="s">
        <v>5241</v>
      </c>
      <c r="B4317" s="0" t="s">
        <v>1249</v>
      </c>
      <c r="C4317" s="0" t="s">
        <v>5877</v>
      </c>
      <c r="D4317" s="0" t="s">
        <v>98</v>
      </c>
      <c r="E4317" s="0" t="s">
        <v>5290</v>
      </c>
    </row>
    <row r="4318" customFormat="false" ht="15" hidden="false" customHeight="false" outlineLevel="0" collapsed="false">
      <c r="A4318" s="0" t="s">
        <v>5241</v>
      </c>
      <c r="B4318" s="0" t="s">
        <v>1250</v>
      </c>
      <c r="C4318" s="0" t="s">
        <v>5878</v>
      </c>
      <c r="D4318" s="0" t="s">
        <v>98</v>
      </c>
      <c r="E4318" s="0" t="s">
        <v>5290</v>
      </c>
    </row>
    <row r="4319" customFormat="false" ht="15" hidden="false" customHeight="false" outlineLevel="0" collapsed="false">
      <c r="A4319" s="0" t="s">
        <v>5241</v>
      </c>
      <c r="B4319" s="0" t="s">
        <v>1251</v>
      </c>
      <c r="C4319" s="0" t="s">
        <v>5879</v>
      </c>
      <c r="D4319" s="0" t="s">
        <v>98</v>
      </c>
      <c r="E4319" s="0" t="s">
        <v>5290</v>
      </c>
    </row>
    <row r="4320" customFormat="false" ht="15" hidden="false" customHeight="false" outlineLevel="0" collapsed="false">
      <c r="A4320" s="0" t="s">
        <v>5241</v>
      </c>
      <c r="B4320" s="0" t="s">
        <v>1252</v>
      </c>
      <c r="C4320" s="0" t="s">
        <v>5880</v>
      </c>
      <c r="D4320" s="0" t="s">
        <v>98</v>
      </c>
      <c r="E4320" s="0" t="s">
        <v>5290</v>
      </c>
    </row>
    <row r="4321" customFormat="false" ht="15" hidden="false" customHeight="false" outlineLevel="0" collapsed="false">
      <c r="A4321" s="0" t="s">
        <v>5241</v>
      </c>
      <c r="B4321" s="0" t="s">
        <v>1253</v>
      </c>
      <c r="C4321" s="0" t="s">
        <v>5881</v>
      </c>
      <c r="D4321" s="0" t="s">
        <v>98</v>
      </c>
      <c r="E4321" s="0" t="s">
        <v>5290</v>
      </c>
    </row>
    <row r="4322" customFormat="false" ht="15" hidden="false" customHeight="false" outlineLevel="0" collapsed="false">
      <c r="A4322" s="0" t="s">
        <v>5241</v>
      </c>
      <c r="B4322" s="0" t="s">
        <v>1254</v>
      </c>
      <c r="C4322" s="0" t="s">
        <v>5882</v>
      </c>
      <c r="D4322" s="0" t="s">
        <v>98</v>
      </c>
      <c r="E4322" s="0" t="s">
        <v>5290</v>
      </c>
    </row>
    <row r="4323" customFormat="false" ht="15" hidden="false" customHeight="false" outlineLevel="0" collapsed="false">
      <c r="A4323" s="0" t="s">
        <v>5241</v>
      </c>
      <c r="B4323" s="0" t="s">
        <v>1255</v>
      </c>
      <c r="C4323" s="0" t="s">
        <v>5883</v>
      </c>
      <c r="D4323" s="0" t="s">
        <v>98</v>
      </c>
      <c r="E4323" s="0" t="s">
        <v>5290</v>
      </c>
    </row>
    <row r="4324" customFormat="false" ht="15" hidden="false" customHeight="false" outlineLevel="0" collapsed="false">
      <c r="A4324" s="0" t="s">
        <v>5241</v>
      </c>
      <c r="B4324" s="0" t="s">
        <v>1256</v>
      </c>
      <c r="C4324" s="0" t="s">
        <v>5884</v>
      </c>
      <c r="D4324" s="0" t="s">
        <v>98</v>
      </c>
      <c r="E4324" s="0" t="s">
        <v>5290</v>
      </c>
    </row>
    <row r="4325" customFormat="false" ht="15" hidden="false" customHeight="false" outlineLevel="0" collapsed="false">
      <c r="A4325" s="0" t="s">
        <v>5241</v>
      </c>
      <c r="B4325" s="0" t="s">
        <v>1257</v>
      </c>
      <c r="C4325" s="0" t="s">
        <v>5885</v>
      </c>
      <c r="D4325" s="0" t="s">
        <v>98</v>
      </c>
      <c r="E4325" s="0" t="s">
        <v>5290</v>
      </c>
    </row>
    <row r="4326" customFormat="false" ht="15" hidden="false" customHeight="false" outlineLevel="0" collapsed="false">
      <c r="A4326" s="0" t="s">
        <v>5241</v>
      </c>
      <c r="B4326" s="0" t="s">
        <v>1258</v>
      </c>
      <c r="C4326" s="0" t="s">
        <v>5886</v>
      </c>
      <c r="D4326" s="0" t="s">
        <v>98</v>
      </c>
      <c r="E4326" s="0" t="s">
        <v>5290</v>
      </c>
    </row>
    <row r="4327" customFormat="false" ht="15" hidden="false" customHeight="false" outlineLevel="0" collapsed="false">
      <c r="A4327" s="0" t="s">
        <v>5241</v>
      </c>
      <c r="B4327" s="0" t="s">
        <v>1259</v>
      </c>
      <c r="C4327" s="0" t="s">
        <v>5887</v>
      </c>
      <c r="D4327" s="0" t="s">
        <v>98</v>
      </c>
      <c r="E4327" s="0" t="s">
        <v>5290</v>
      </c>
    </row>
    <row r="4328" customFormat="false" ht="15" hidden="false" customHeight="false" outlineLevel="0" collapsed="false">
      <c r="A4328" s="0" t="s">
        <v>5241</v>
      </c>
      <c r="B4328" s="0" t="s">
        <v>1260</v>
      </c>
      <c r="C4328" s="0" t="s">
        <v>5888</v>
      </c>
      <c r="D4328" s="0" t="s">
        <v>98</v>
      </c>
      <c r="E4328" s="0" t="s">
        <v>5290</v>
      </c>
    </row>
    <row r="4329" customFormat="false" ht="15" hidden="false" customHeight="false" outlineLevel="0" collapsed="false">
      <c r="A4329" s="0" t="s">
        <v>5241</v>
      </c>
      <c r="B4329" s="0" t="s">
        <v>1261</v>
      </c>
      <c r="C4329" s="0" t="s">
        <v>5889</v>
      </c>
      <c r="D4329" s="0" t="s">
        <v>98</v>
      </c>
      <c r="E4329" s="0" t="s">
        <v>5290</v>
      </c>
    </row>
    <row r="4330" customFormat="false" ht="15" hidden="false" customHeight="false" outlineLevel="0" collapsed="false">
      <c r="A4330" s="0" t="s">
        <v>5241</v>
      </c>
      <c r="B4330" s="0" t="s">
        <v>1262</v>
      </c>
      <c r="C4330" s="0" t="s">
        <v>5890</v>
      </c>
      <c r="D4330" s="0" t="s">
        <v>98</v>
      </c>
      <c r="E4330" s="0" t="s">
        <v>5290</v>
      </c>
    </row>
    <row r="4331" customFormat="false" ht="15" hidden="false" customHeight="false" outlineLevel="0" collapsed="false">
      <c r="A4331" s="0" t="s">
        <v>5241</v>
      </c>
      <c r="B4331" s="0" t="s">
        <v>1263</v>
      </c>
      <c r="C4331" s="0" t="s">
        <v>5891</v>
      </c>
      <c r="D4331" s="0" t="s">
        <v>98</v>
      </c>
      <c r="E4331" s="0" t="s">
        <v>5290</v>
      </c>
    </row>
    <row r="4332" customFormat="false" ht="15" hidden="false" customHeight="false" outlineLevel="0" collapsed="false">
      <c r="A4332" s="0" t="s">
        <v>5241</v>
      </c>
      <c r="B4332" s="0" t="s">
        <v>1264</v>
      </c>
      <c r="C4332" s="0" t="s">
        <v>5892</v>
      </c>
      <c r="D4332" s="0" t="s">
        <v>98</v>
      </c>
      <c r="E4332" s="0" t="s">
        <v>5290</v>
      </c>
    </row>
    <row r="4333" customFormat="false" ht="15" hidden="false" customHeight="false" outlineLevel="0" collapsed="false">
      <c r="A4333" s="0" t="s">
        <v>5241</v>
      </c>
      <c r="B4333" s="0" t="s">
        <v>1265</v>
      </c>
      <c r="C4333" s="0" t="s">
        <v>5893</v>
      </c>
      <c r="D4333" s="0" t="s">
        <v>98</v>
      </c>
      <c r="E4333" s="0" t="s">
        <v>5290</v>
      </c>
    </row>
    <row r="4334" customFormat="false" ht="15" hidden="false" customHeight="false" outlineLevel="0" collapsed="false">
      <c r="A4334" s="0" t="s">
        <v>5241</v>
      </c>
      <c r="B4334" s="0" t="s">
        <v>1266</v>
      </c>
      <c r="C4334" s="0" t="s">
        <v>5894</v>
      </c>
      <c r="D4334" s="0" t="s">
        <v>98</v>
      </c>
      <c r="E4334" s="0" t="s">
        <v>5290</v>
      </c>
    </row>
    <row r="4335" customFormat="false" ht="15" hidden="false" customHeight="false" outlineLevel="0" collapsed="false">
      <c r="A4335" s="0" t="s">
        <v>5241</v>
      </c>
      <c r="B4335" s="0" t="s">
        <v>1267</v>
      </c>
      <c r="C4335" s="0" t="s">
        <v>5895</v>
      </c>
      <c r="D4335" s="0" t="s">
        <v>98</v>
      </c>
      <c r="E4335" s="0" t="s">
        <v>5244</v>
      </c>
    </row>
    <row r="4336" customFormat="false" ht="15" hidden="false" customHeight="false" outlineLevel="0" collapsed="false">
      <c r="A4336" s="0" t="s">
        <v>5241</v>
      </c>
      <c r="B4336" s="0" t="s">
        <v>723</v>
      </c>
      <c r="C4336" s="0" t="s">
        <v>5896</v>
      </c>
      <c r="D4336" s="0" t="s">
        <v>98</v>
      </c>
      <c r="E4336" s="0" t="s">
        <v>5244</v>
      </c>
    </row>
    <row r="4337" customFormat="false" ht="15" hidden="false" customHeight="false" outlineLevel="0" collapsed="false">
      <c r="A4337" s="0" t="s">
        <v>5241</v>
      </c>
      <c r="B4337" s="0" t="s">
        <v>724</v>
      </c>
      <c r="C4337" s="0" t="s">
        <v>5897</v>
      </c>
      <c r="D4337" s="0" t="s">
        <v>98</v>
      </c>
      <c r="E4337" s="0" t="s">
        <v>5244</v>
      </c>
    </row>
    <row r="4338" customFormat="false" ht="15" hidden="false" customHeight="false" outlineLevel="0" collapsed="false">
      <c r="A4338" s="0" t="s">
        <v>5241</v>
      </c>
      <c r="B4338" s="0" t="s">
        <v>725</v>
      </c>
      <c r="C4338" s="0" t="s">
        <v>5898</v>
      </c>
      <c r="D4338" s="0" t="s">
        <v>98</v>
      </c>
      <c r="E4338" s="0" t="s">
        <v>5244</v>
      </c>
    </row>
    <row r="4339" customFormat="false" ht="15" hidden="false" customHeight="false" outlineLevel="0" collapsed="false">
      <c r="A4339" s="0" t="s">
        <v>5241</v>
      </c>
      <c r="B4339" s="0" t="s">
        <v>726</v>
      </c>
      <c r="C4339" s="0" t="s">
        <v>5899</v>
      </c>
      <c r="D4339" s="0" t="s">
        <v>98</v>
      </c>
      <c r="E4339" s="0" t="s">
        <v>5244</v>
      </c>
    </row>
    <row r="4340" customFormat="false" ht="15" hidden="false" customHeight="false" outlineLevel="0" collapsed="false">
      <c r="A4340" s="0" t="s">
        <v>5241</v>
      </c>
      <c r="B4340" s="0" t="s">
        <v>727</v>
      </c>
      <c r="C4340" s="0" t="s">
        <v>5900</v>
      </c>
      <c r="D4340" s="0" t="s">
        <v>98</v>
      </c>
      <c r="E4340" s="0" t="s">
        <v>5244</v>
      </c>
    </row>
    <row r="4341" customFormat="false" ht="15" hidden="false" customHeight="false" outlineLevel="0" collapsed="false">
      <c r="A4341" s="0" t="s">
        <v>5241</v>
      </c>
      <c r="B4341" s="0" t="s">
        <v>728</v>
      </c>
      <c r="C4341" s="0" t="s">
        <v>5901</v>
      </c>
      <c r="D4341" s="0" t="s">
        <v>98</v>
      </c>
      <c r="E4341" s="0" t="s">
        <v>5244</v>
      </c>
    </row>
    <row r="4342" customFormat="false" ht="15" hidden="false" customHeight="false" outlineLevel="0" collapsed="false">
      <c r="A4342" s="0" t="s">
        <v>5241</v>
      </c>
      <c r="B4342" s="0" t="s">
        <v>729</v>
      </c>
      <c r="C4342" s="0" t="s">
        <v>5902</v>
      </c>
      <c r="D4342" s="0" t="s">
        <v>98</v>
      </c>
      <c r="E4342" s="0" t="s">
        <v>5244</v>
      </c>
    </row>
    <row r="4343" customFormat="false" ht="15" hidden="false" customHeight="false" outlineLevel="0" collapsed="false">
      <c r="A4343" s="0" t="s">
        <v>5241</v>
      </c>
      <c r="B4343" s="0" t="s">
        <v>1268</v>
      </c>
      <c r="C4343" s="0" t="s">
        <v>5903</v>
      </c>
      <c r="D4343" s="0" t="s">
        <v>98</v>
      </c>
      <c r="E4343" s="0" t="s">
        <v>5244</v>
      </c>
    </row>
    <row r="4344" customFormat="false" ht="15" hidden="false" customHeight="false" outlineLevel="0" collapsed="false">
      <c r="A4344" s="0" t="s">
        <v>5241</v>
      </c>
      <c r="B4344" s="0" t="s">
        <v>1269</v>
      </c>
      <c r="C4344" s="0" t="s">
        <v>5904</v>
      </c>
      <c r="D4344" s="0" t="s">
        <v>98</v>
      </c>
      <c r="E4344" s="0" t="s">
        <v>5244</v>
      </c>
    </row>
    <row r="4345" customFormat="false" ht="15" hidden="false" customHeight="false" outlineLevel="0" collapsed="false">
      <c r="A4345" s="0" t="s">
        <v>5241</v>
      </c>
      <c r="B4345" s="0" t="s">
        <v>1270</v>
      </c>
      <c r="C4345" s="0" t="s">
        <v>5905</v>
      </c>
      <c r="D4345" s="0" t="s">
        <v>98</v>
      </c>
      <c r="E4345" s="0" t="s">
        <v>5244</v>
      </c>
    </row>
    <row r="4346" customFormat="false" ht="15" hidden="false" customHeight="false" outlineLevel="0" collapsed="false">
      <c r="A4346" s="0" t="s">
        <v>5241</v>
      </c>
      <c r="B4346" s="0" t="s">
        <v>1271</v>
      </c>
      <c r="C4346" s="0" t="s">
        <v>5906</v>
      </c>
      <c r="D4346" s="0" t="s">
        <v>98</v>
      </c>
      <c r="E4346" s="0" t="s">
        <v>5244</v>
      </c>
    </row>
    <row r="4347" customFormat="false" ht="15" hidden="false" customHeight="false" outlineLevel="0" collapsed="false">
      <c r="A4347" s="0" t="s">
        <v>5241</v>
      </c>
      <c r="B4347" s="0" t="s">
        <v>1273</v>
      </c>
      <c r="C4347" s="0" t="s">
        <v>5907</v>
      </c>
      <c r="D4347" s="0" t="s">
        <v>98</v>
      </c>
      <c r="E4347" s="0" t="s">
        <v>5244</v>
      </c>
    </row>
    <row r="4348" customFormat="false" ht="15" hidden="false" customHeight="false" outlineLevel="0" collapsed="false">
      <c r="A4348" s="0" t="s">
        <v>5241</v>
      </c>
      <c r="B4348" s="0" t="s">
        <v>1275</v>
      </c>
      <c r="C4348" s="0" t="s">
        <v>5908</v>
      </c>
      <c r="D4348" s="0" t="s">
        <v>98</v>
      </c>
      <c r="E4348" s="0" t="s">
        <v>5244</v>
      </c>
    </row>
    <row r="4349" customFormat="false" ht="15" hidden="false" customHeight="false" outlineLevel="0" collapsed="false">
      <c r="A4349" s="0" t="s">
        <v>5241</v>
      </c>
      <c r="B4349" s="0" t="s">
        <v>1277</v>
      </c>
      <c r="C4349" s="0" t="s">
        <v>5909</v>
      </c>
      <c r="D4349" s="0" t="s">
        <v>98</v>
      </c>
      <c r="E4349" s="0" t="s">
        <v>5244</v>
      </c>
    </row>
    <row r="4350" customFormat="false" ht="15" hidden="false" customHeight="false" outlineLevel="0" collapsed="false">
      <c r="A4350" s="0" t="s">
        <v>5241</v>
      </c>
      <c r="B4350" s="0" t="s">
        <v>1279</v>
      </c>
      <c r="C4350" s="0" t="s">
        <v>5910</v>
      </c>
      <c r="D4350" s="0" t="s">
        <v>98</v>
      </c>
      <c r="E4350" s="0" t="s">
        <v>5244</v>
      </c>
    </row>
    <row r="4351" customFormat="false" ht="15" hidden="false" customHeight="false" outlineLevel="0" collapsed="false">
      <c r="A4351" s="0" t="s">
        <v>5241</v>
      </c>
      <c r="B4351" s="0" t="s">
        <v>1281</v>
      </c>
      <c r="C4351" s="0" t="s">
        <v>5911</v>
      </c>
      <c r="D4351" s="0" t="s">
        <v>98</v>
      </c>
      <c r="E4351" s="0" t="s">
        <v>5244</v>
      </c>
    </row>
    <row r="4352" customFormat="false" ht="15" hidden="false" customHeight="false" outlineLevel="0" collapsed="false">
      <c r="A4352" s="0" t="s">
        <v>5241</v>
      </c>
      <c r="B4352" s="0" t="s">
        <v>1282</v>
      </c>
      <c r="C4352" s="0" t="s">
        <v>5912</v>
      </c>
      <c r="D4352" s="0" t="s">
        <v>98</v>
      </c>
      <c r="E4352" s="0" t="s">
        <v>5244</v>
      </c>
    </row>
    <row r="4353" customFormat="false" ht="15" hidden="false" customHeight="false" outlineLevel="0" collapsed="false">
      <c r="A4353" s="0" t="s">
        <v>5241</v>
      </c>
      <c r="B4353" s="0" t="s">
        <v>1283</v>
      </c>
      <c r="C4353" s="0" t="s">
        <v>5913</v>
      </c>
      <c r="D4353" s="0" t="s">
        <v>98</v>
      </c>
      <c r="E4353" s="0" t="s">
        <v>5244</v>
      </c>
    </row>
    <row r="4354" customFormat="false" ht="15" hidden="false" customHeight="false" outlineLevel="0" collapsed="false">
      <c r="A4354" s="0" t="s">
        <v>5241</v>
      </c>
      <c r="B4354" s="0" t="s">
        <v>1284</v>
      </c>
      <c r="C4354" s="0" t="s">
        <v>5914</v>
      </c>
      <c r="D4354" s="0" t="s">
        <v>98</v>
      </c>
      <c r="E4354" s="0" t="s">
        <v>5244</v>
      </c>
    </row>
    <row r="4355" customFormat="false" ht="15" hidden="false" customHeight="false" outlineLevel="0" collapsed="false">
      <c r="A4355" s="0" t="s">
        <v>5241</v>
      </c>
      <c r="B4355" s="0" t="s">
        <v>1286</v>
      </c>
      <c r="C4355" s="0" t="s">
        <v>5915</v>
      </c>
      <c r="D4355" s="0" t="s">
        <v>98</v>
      </c>
      <c r="E4355" s="0" t="s">
        <v>5244</v>
      </c>
    </row>
    <row r="4356" customFormat="false" ht="15" hidden="false" customHeight="false" outlineLevel="0" collapsed="false">
      <c r="A4356" s="0" t="s">
        <v>5241</v>
      </c>
      <c r="B4356" s="0" t="s">
        <v>1287</v>
      </c>
      <c r="C4356" s="0" t="s">
        <v>5916</v>
      </c>
      <c r="D4356" s="0" t="s">
        <v>98</v>
      </c>
      <c r="E4356" s="0" t="s">
        <v>5244</v>
      </c>
    </row>
    <row r="4357" customFormat="false" ht="15" hidden="false" customHeight="false" outlineLevel="0" collapsed="false">
      <c r="A4357" s="0" t="s">
        <v>5241</v>
      </c>
      <c r="B4357" s="0" t="s">
        <v>1288</v>
      </c>
      <c r="C4357" s="0" t="s">
        <v>5917</v>
      </c>
      <c r="D4357" s="0" t="s">
        <v>98</v>
      </c>
      <c r="E4357" s="0" t="s">
        <v>5244</v>
      </c>
    </row>
    <row r="4358" customFormat="false" ht="15" hidden="false" customHeight="false" outlineLevel="0" collapsed="false">
      <c r="A4358" s="0" t="s">
        <v>5241</v>
      </c>
      <c r="B4358" s="0" t="s">
        <v>1289</v>
      </c>
      <c r="C4358" s="0" t="s">
        <v>5918</v>
      </c>
      <c r="D4358" s="0" t="s">
        <v>98</v>
      </c>
      <c r="E4358" s="0" t="s">
        <v>5244</v>
      </c>
    </row>
    <row r="4359" customFormat="false" ht="15" hidden="false" customHeight="false" outlineLevel="0" collapsed="false">
      <c r="A4359" s="0" t="s">
        <v>5241</v>
      </c>
      <c r="B4359" s="0" t="s">
        <v>1290</v>
      </c>
      <c r="C4359" s="0" t="s">
        <v>5919</v>
      </c>
      <c r="D4359" s="0" t="s">
        <v>98</v>
      </c>
      <c r="E4359" s="0" t="s">
        <v>5244</v>
      </c>
    </row>
    <row r="4360" customFormat="false" ht="15" hidden="false" customHeight="false" outlineLevel="0" collapsed="false">
      <c r="A4360" s="0" t="s">
        <v>5241</v>
      </c>
      <c r="B4360" s="0" t="s">
        <v>1291</v>
      </c>
      <c r="C4360" s="0" t="s">
        <v>5920</v>
      </c>
      <c r="D4360" s="0" t="s">
        <v>98</v>
      </c>
      <c r="E4360" s="0" t="s">
        <v>5244</v>
      </c>
    </row>
    <row r="4361" customFormat="false" ht="15" hidden="false" customHeight="false" outlineLevel="0" collapsed="false">
      <c r="A4361" s="0" t="s">
        <v>5241</v>
      </c>
      <c r="B4361" s="0" t="s">
        <v>1292</v>
      </c>
      <c r="C4361" s="0" t="s">
        <v>5921</v>
      </c>
      <c r="D4361" s="0" t="s">
        <v>98</v>
      </c>
      <c r="E4361" s="0" t="s">
        <v>5244</v>
      </c>
    </row>
    <row r="4362" customFormat="false" ht="15" hidden="false" customHeight="false" outlineLevel="0" collapsed="false">
      <c r="A4362" s="0" t="s">
        <v>5241</v>
      </c>
      <c r="B4362" s="0" t="s">
        <v>1293</v>
      </c>
      <c r="C4362" s="0" t="s">
        <v>5922</v>
      </c>
      <c r="D4362" s="0" t="s">
        <v>98</v>
      </c>
      <c r="E4362" s="0" t="s">
        <v>5244</v>
      </c>
    </row>
    <row r="4363" customFormat="false" ht="15" hidden="false" customHeight="false" outlineLevel="0" collapsed="false">
      <c r="A4363" s="0" t="s">
        <v>5241</v>
      </c>
      <c r="B4363" s="0" t="s">
        <v>1294</v>
      </c>
      <c r="C4363" s="0" t="s">
        <v>5923</v>
      </c>
      <c r="D4363" s="0" t="s">
        <v>98</v>
      </c>
      <c r="E4363" s="0" t="s">
        <v>5290</v>
      </c>
    </row>
    <row r="4364" customFormat="false" ht="15" hidden="false" customHeight="false" outlineLevel="0" collapsed="false">
      <c r="A4364" s="0" t="s">
        <v>5241</v>
      </c>
      <c r="B4364" s="0" t="s">
        <v>732</v>
      </c>
      <c r="C4364" s="0" t="s">
        <v>5924</v>
      </c>
      <c r="D4364" s="0" t="s">
        <v>98</v>
      </c>
      <c r="E4364" s="0" t="s">
        <v>5290</v>
      </c>
    </row>
    <row r="4365" customFormat="false" ht="15" hidden="false" customHeight="false" outlineLevel="0" collapsed="false">
      <c r="A4365" s="0" t="s">
        <v>5241</v>
      </c>
      <c r="B4365" s="0" t="s">
        <v>734</v>
      </c>
      <c r="C4365" s="0" t="s">
        <v>5925</v>
      </c>
      <c r="D4365" s="0" t="s">
        <v>98</v>
      </c>
      <c r="E4365" s="0" t="s">
        <v>5290</v>
      </c>
    </row>
    <row r="4366" customFormat="false" ht="15" hidden="false" customHeight="false" outlineLevel="0" collapsed="false">
      <c r="A4366" s="0" t="s">
        <v>5241</v>
      </c>
      <c r="B4366" s="0" t="s">
        <v>735</v>
      </c>
      <c r="C4366" s="0" t="s">
        <v>5926</v>
      </c>
      <c r="D4366" s="0" t="s">
        <v>98</v>
      </c>
      <c r="E4366" s="0" t="s">
        <v>5290</v>
      </c>
    </row>
    <row r="4367" customFormat="false" ht="15" hidden="false" customHeight="false" outlineLevel="0" collapsed="false">
      <c r="A4367" s="0" t="s">
        <v>5241</v>
      </c>
      <c r="B4367" s="0" t="s">
        <v>736</v>
      </c>
      <c r="C4367" s="0" t="s">
        <v>5927</v>
      </c>
      <c r="D4367" s="0" t="s">
        <v>98</v>
      </c>
      <c r="E4367" s="0" t="s">
        <v>5290</v>
      </c>
    </row>
    <row r="4368" customFormat="false" ht="15" hidden="false" customHeight="false" outlineLevel="0" collapsed="false">
      <c r="A4368" s="0" t="s">
        <v>5241</v>
      </c>
      <c r="B4368" s="0" t="s">
        <v>737</v>
      </c>
      <c r="C4368" s="0" t="s">
        <v>5928</v>
      </c>
      <c r="D4368" s="0" t="s">
        <v>98</v>
      </c>
      <c r="E4368" s="0" t="s">
        <v>5290</v>
      </c>
    </row>
    <row r="4369" customFormat="false" ht="15" hidden="false" customHeight="false" outlineLevel="0" collapsed="false">
      <c r="A4369" s="0" t="s">
        <v>5241</v>
      </c>
      <c r="B4369" s="0" t="s">
        <v>738</v>
      </c>
      <c r="C4369" s="0" t="s">
        <v>5929</v>
      </c>
      <c r="D4369" s="0" t="s">
        <v>98</v>
      </c>
      <c r="E4369" s="0" t="s">
        <v>5290</v>
      </c>
    </row>
    <row r="4370" customFormat="false" ht="15" hidden="false" customHeight="false" outlineLevel="0" collapsed="false">
      <c r="A4370" s="0" t="s">
        <v>5241</v>
      </c>
      <c r="B4370" s="0" t="s">
        <v>739</v>
      </c>
      <c r="C4370" s="0" t="s">
        <v>5930</v>
      </c>
      <c r="D4370" s="0" t="s">
        <v>98</v>
      </c>
      <c r="E4370" s="0" t="s">
        <v>5290</v>
      </c>
    </row>
    <row r="4371" customFormat="false" ht="15" hidden="false" customHeight="false" outlineLevel="0" collapsed="false">
      <c r="A4371" s="0" t="s">
        <v>5241</v>
      </c>
      <c r="B4371" s="0" t="s">
        <v>1295</v>
      </c>
      <c r="C4371" s="0" t="s">
        <v>5931</v>
      </c>
      <c r="D4371" s="0" t="s">
        <v>98</v>
      </c>
      <c r="E4371" s="0" t="s">
        <v>5290</v>
      </c>
    </row>
    <row r="4372" customFormat="false" ht="15" hidden="false" customHeight="false" outlineLevel="0" collapsed="false">
      <c r="A4372" s="0" t="s">
        <v>5241</v>
      </c>
      <c r="B4372" s="0" t="s">
        <v>1296</v>
      </c>
      <c r="C4372" s="0" t="s">
        <v>5932</v>
      </c>
      <c r="D4372" s="0" t="s">
        <v>98</v>
      </c>
      <c r="E4372" s="0" t="s">
        <v>5290</v>
      </c>
    </row>
    <row r="4373" customFormat="false" ht="15" hidden="false" customHeight="false" outlineLevel="0" collapsed="false">
      <c r="A4373" s="0" t="s">
        <v>5241</v>
      </c>
      <c r="B4373" s="0" t="s">
        <v>1297</v>
      </c>
      <c r="C4373" s="0" t="s">
        <v>5933</v>
      </c>
      <c r="D4373" s="0" t="s">
        <v>98</v>
      </c>
      <c r="E4373" s="0" t="s">
        <v>5290</v>
      </c>
    </row>
    <row r="4374" customFormat="false" ht="15" hidden="false" customHeight="false" outlineLevel="0" collapsed="false">
      <c r="A4374" s="0" t="s">
        <v>5241</v>
      </c>
      <c r="B4374" s="0" t="s">
        <v>1298</v>
      </c>
      <c r="C4374" s="0" t="s">
        <v>5934</v>
      </c>
      <c r="D4374" s="0" t="s">
        <v>98</v>
      </c>
      <c r="E4374" s="0" t="s">
        <v>5290</v>
      </c>
    </row>
    <row r="4375" customFormat="false" ht="15" hidden="false" customHeight="false" outlineLevel="0" collapsed="false">
      <c r="A4375" s="0" t="s">
        <v>5241</v>
      </c>
      <c r="B4375" s="0" t="s">
        <v>1299</v>
      </c>
      <c r="C4375" s="0" t="s">
        <v>5935</v>
      </c>
      <c r="D4375" s="0" t="s">
        <v>98</v>
      </c>
      <c r="E4375" s="0" t="s">
        <v>5290</v>
      </c>
    </row>
    <row r="4376" customFormat="false" ht="15" hidden="false" customHeight="false" outlineLevel="0" collapsed="false">
      <c r="A4376" s="0" t="s">
        <v>5241</v>
      </c>
      <c r="B4376" s="0" t="s">
        <v>1300</v>
      </c>
      <c r="C4376" s="0" t="s">
        <v>5936</v>
      </c>
      <c r="D4376" s="0" t="s">
        <v>98</v>
      </c>
      <c r="E4376" s="0" t="s">
        <v>5290</v>
      </c>
    </row>
    <row r="4377" customFormat="false" ht="15" hidden="false" customHeight="false" outlineLevel="0" collapsed="false">
      <c r="A4377" s="0" t="s">
        <v>5241</v>
      </c>
      <c r="B4377" s="0" t="s">
        <v>1301</v>
      </c>
      <c r="C4377" s="0" t="s">
        <v>5937</v>
      </c>
      <c r="D4377" s="0" t="s">
        <v>98</v>
      </c>
      <c r="E4377" s="0" t="s">
        <v>5290</v>
      </c>
    </row>
    <row r="4378" customFormat="false" ht="15" hidden="false" customHeight="false" outlineLevel="0" collapsed="false">
      <c r="A4378" s="0" t="s">
        <v>5241</v>
      </c>
      <c r="B4378" s="0" t="s">
        <v>1302</v>
      </c>
      <c r="C4378" s="0" t="s">
        <v>5938</v>
      </c>
      <c r="D4378" s="0" t="s">
        <v>98</v>
      </c>
      <c r="E4378" s="0" t="s">
        <v>5290</v>
      </c>
    </row>
    <row r="4379" customFormat="false" ht="15" hidden="false" customHeight="false" outlineLevel="0" collapsed="false">
      <c r="A4379" s="0" t="s">
        <v>5241</v>
      </c>
      <c r="B4379" s="0" t="s">
        <v>1303</v>
      </c>
      <c r="C4379" s="0" t="s">
        <v>5939</v>
      </c>
      <c r="D4379" s="0" t="s">
        <v>98</v>
      </c>
      <c r="E4379" s="0" t="s">
        <v>5290</v>
      </c>
    </row>
    <row r="4380" customFormat="false" ht="15" hidden="false" customHeight="false" outlineLevel="0" collapsed="false">
      <c r="A4380" s="0" t="s">
        <v>5241</v>
      </c>
      <c r="B4380" s="0" t="s">
        <v>1304</v>
      </c>
      <c r="C4380" s="0" t="s">
        <v>5940</v>
      </c>
      <c r="D4380" s="0" t="s">
        <v>98</v>
      </c>
      <c r="E4380" s="0" t="s">
        <v>5290</v>
      </c>
    </row>
    <row r="4381" customFormat="false" ht="15" hidden="false" customHeight="false" outlineLevel="0" collapsed="false">
      <c r="A4381" s="0" t="s">
        <v>5241</v>
      </c>
      <c r="B4381" s="0" t="s">
        <v>1305</v>
      </c>
      <c r="C4381" s="0" t="s">
        <v>5941</v>
      </c>
      <c r="D4381" s="0" t="s">
        <v>98</v>
      </c>
      <c r="E4381" s="0" t="s">
        <v>5290</v>
      </c>
    </row>
    <row r="4382" customFormat="false" ht="15" hidden="false" customHeight="false" outlineLevel="0" collapsed="false">
      <c r="A4382" s="0" t="s">
        <v>5241</v>
      </c>
      <c r="B4382" s="0" t="s">
        <v>1306</v>
      </c>
      <c r="C4382" s="0" t="s">
        <v>5942</v>
      </c>
      <c r="D4382" s="0" t="s">
        <v>98</v>
      </c>
      <c r="E4382" s="0" t="s">
        <v>5290</v>
      </c>
    </row>
    <row r="4383" customFormat="false" ht="15" hidden="false" customHeight="false" outlineLevel="0" collapsed="false">
      <c r="A4383" s="0" t="s">
        <v>5241</v>
      </c>
      <c r="B4383" s="0" t="s">
        <v>1307</v>
      </c>
      <c r="C4383" s="0" t="s">
        <v>5943</v>
      </c>
      <c r="D4383" s="0" t="s">
        <v>98</v>
      </c>
      <c r="E4383" s="0" t="s">
        <v>5290</v>
      </c>
    </row>
    <row r="4384" customFormat="false" ht="15" hidden="false" customHeight="false" outlineLevel="0" collapsed="false">
      <c r="A4384" s="0" t="s">
        <v>5241</v>
      </c>
      <c r="B4384" s="0" t="s">
        <v>1308</v>
      </c>
      <c r="C4384" s="0" t="s">
        <v>5944</v>
      </c>
      <c r="D4384" s="0" t="s">
        <v>98</v>
      </c>
      <c r="E4384" s="0" t="s">
        <v>5290</v>
      </c>
    </row>
    <row r="4385" customFormat="false" ht="15" hidden="false" customHeight="false" outlineLevel="0" collapsed="false">
      <c r="A4385" s="0" t="s">
        <v>5241</v>
      </c>
      <c r="B4385" s="0" t="s">
        <v>1309</v>
      </c>
      <c r="C4385" s="0" t="s">
        <v>5945</v>
      </c>
      <c r="D4385" s="0" t="s">
        <v>98</v>
      </c>
      <c r="E4385" s="0" t="s">
        <v>5290</v>
      </c>
    </row>
    <row r="4386" customFormat="false" ht="15" hidden="false" customHeight="false" outlineLevel="0" collapsed="false">
      <c r="A4386" s="0" t="s">
        <v>5241</v>
      </c>
      <c r="B4386" s="0" t="s">
        <v>1310</v>
      </c>
      <c r="C4386" s="0" t="s">
        <v>5946</v>
      </c>
      <c r="D4386" s="0" t="s">
        <v>98</v>
      </c>
      <c r="E4386" s="0" t="s">
        <v>5290</v>
      </c>
    </row>
    <row r="4387" customFormat="false" ht="15" hidden="false" customHeight="false" outlineLevel="0" collapsed="false">
      <c r="A4387" s="0" t="s">
        <v>5241</v>
      </c>
      <c r="B4387" s="0" t="s">
        <v>1311</v>
      </c>
      <c r="C4387" s="0" t="s">
        <v>5947</v>
      </c>
      <c r="D4387" s="0" t="s">
        <v>98</v>
      </c>
      <c r="E4387" s="0" t="s">
        <v>5290</v>
      </c>
    </row>
    <row r="4388" customFormat="false" ht="15" hidden="false" customHeight="false" outlineLevel="0" collapsed="false">
      <c r="A4388" s="0" t="s">
        <v>5241</v>
      </c>
      <c r="B4388" s="0" t="s">
        <v>1312</v>
      </c>
      <c r="C4388" s="0" t="s">
        <v>5948</v>
      </c>
      <c r="D4388" s="0" t="s">
        <v>98</v>
      </c>
      <c r="E4388" s="0" t="s">
        <v>5290</v>
      </c>
    </row>
    <row r="4389" customFormat="false" ht="15" hidden="false" customHeight="false" outlineLevel="0" collapsed="false">
      <c r="A4389" s="0" t="s">
        <v>5241</v>
      </c>
      <c r="B4389" s="0" t="s">
        <v>1313</v>
      </c>
      <c r="C4389" s="0" t="s">
        <v>5949</v>
      </c>
      <c r="D4389" s="0" t="s">
        <v>98</v>
      </c>
      <c r="E4389" s="0" t="s">
        <v>5290</v>
      </c>
    </row>
    <row r="4390" customFormat="false" ht="15" hidden="false" customHeight="false" outlineLevel="0" collapsed="false">
      <c r="A4390" s="0" t="s">
        <v>5241</v>
      </c>
      <c r="B4390" s="0" t="s">
        <v>1314</v>
      </c>
      <c r="C4390" s="0" t="s">
        <v>5950</v>
      </c>
      <c r="D4390" s="0" t="s">
        <v>98</v>
      </c>
      <c r="E4390" s="0" t="s">
        <v>5290</v>
      </c>
    </row>
    <row r="4391" customFormat="false" ht="15" hidden="false" customHeight="false" outlineLevel="0" collapsed="false">
      <c r="A4391" s="0" t="s">
        <v>5241</v>
      </c>
      <c r="B4391" s="0" t="s">
        <v>1315</v>
      </c>
      <c r="C4391" s="0" t="s">
        <v>5951</v>
      </c>
      <c r="D4391" s="0" t="s">
        <v>98</v>
      </c>
      <c r="E4391" s="0" t="s">
        <v>5244</v>
      </c>
    </row>
    <row r="4392" customFormat="false" ht="15" hidden="false" customHeight="false" outlineLevel="0" collapsed="false">
      <c r="A4392" s="0" t="s">
        <v>5241</v>
      </c>
      <c r="B4392" s="0" t="s">
        <v>1317</v>
      </c>
      <c r="C4392" s="0" t="s">
        <v>5952</v>
      </c>
      <c r="D4392" s="0" t="s">
        <v>98</v>
      </c>
      <c r="E4392" s="0" t="s">
        <v>5244</v>
      </c>
    </row>
    <row r="4393" customFormat="false" ht="15" hidden="false" customHeight="false" outlineLevel="0" collapsed="false">
      <c r="A4393" s="0" t="s">
        <v>5241</v>
      </c>
      <c r="B4393" s="0" t="s">
        <v>1319</v>
      </c>
      <c r="C4393" s="0" t="s">
        <v>5953</v>
      </c>
      <c r="D4393" s="0" t="s">
        <v>98</v>
      </c>
      <c r="E4393" s="0" t="s">
        <v>5244</v>
      </c>
    </row>
    <row r="4394" customFormat="false" ht="15" hidden="false" customHeight="false" outlineLevel="0" collapsed="false">
      <c r="A4394" s="0" t="s">
        <v>5241</v>
      </c>
      <c r="B4394" s="0" t="s">
        <v>1321</v>
      </c>
      <c r="C4394" s="0" t="s">
        <v>5954</v>
      </c>
      <c r="D4394" s="0" t="s">
        <v>98</v>
      </c>
      <c r="E4394" s="0" t="s">
        <v>5244</v>
      </c>
    </row>
    <row r="4395" customFormat="false" ht="15" hidden="false" customHeight="false" outlineLevel="0" collapsed="false">
      <c r="A4395" s="0" t="s">
        <v>5241</v>
      </c>
      <c r="B4395" s="0" t="s">
        <v>1323</v>
      </c>
      <c r="C4395" s="0" t="s">
        <v>5955</v>
      </c>
      <c r="D4395" s="0" t="s">
        <v>98</v>
      </c>
      <c r="E4395" s="0" t="s">
        <v>5244</v>
      </c>
    </row>
    <row r="4396" customFormat="false" ht="15" hidden="false" customHeight="false" outlineLevel="0" collapsed="false">
      <c r="A4396" s="0" t="s">
        <v>5241</v>
      </c>
      <c r="B4396" s="0" t="s">
        <v>1325</v>
      </c>
      <c r="C4396" s="0" t="s">
        <v>5956</v>
      </c>
      <c r="D4396" s="0" t="s">
        <v>98</v>
      </c>
      <c r="E4396" s="0" t="s">
        <v>5244</v>
      </c>
    </row>
    <row r="4397" customFormat="false" ht="15" hidden="false" customHeight="false" outlineLevel="0" collapsed="false">
      <c r="A4397" s="0" t="s">
        <v>5241</v>
      </c>
      <c r="B4397" s="0" t="s">
        <v>1327</v>
      </c>
      <c r="C4397" s="0" t="s">
        <v>5957</v>
      </c>
      <c r="D4397" s="0" t="s">
        <v>98</v>
      </c>
      <c r="E4397" s="0" t="s">
        <v>5244</v>
      </c>
    </row>
    <row r="4398" customFormat="false" ht="15" hidden="false" customHeight="false" outlineLevel="0" collapsed="false">
      <c r="A4398" s="0" t="s">
        <v>5241</v>
      </c>
      <c r="B4398" s="0" t="s">
        <v>1329</v>
      </c>
      <c r="C4398" s="0" t="s">
        <v>5958</v>
      </c>
      <c r="D4398" s="0" t="s">
        <v>98</v>
      </c>
      <c r="E4398" s="0" t="s">
        <v>5244</v>
      </c>
    </row>
    <row r="4399" customFormat="false" ht="15" hidden="false" customHeight="false" outlineLevel="0" collapsed="false">
      <c r="A4399" s="0" t="s">
        <v>5241</v>
      </c>
      <c r="B4399" s="0" t="s">
        <v>1331</v>
      </c>
      <c r="C4399" s="0" t="s">
        <v>5959</v>
      </c>
      <c r="D4399" s="0" t="s">
        <v>98</v>
      </c>
      <c r="E4399" s="0" t="s">
        <v>5244</v>
      </c>
    </row>
    <row r="4400" customFormat="false" ht="15" hidden="false" customHeight="false" outlineLevel="0" collapsed="false">
      <c r="A4400" s="0" t="s">
        <v>5241</v>
      </c>
      <c r="B4400" s="0" t="s">
        <v>1333</v>
      </c>
      <c r="C4400" s="0" t="s">
        <v>5960</v>
      </c>
      <c r="D4400" s="0" t="s">
        <v>98</v>
      </c>
      <c r="E4400" s="0" t="s">
        <v>5244</v>
      </c>
    </row>
    <row r="4401" customFormat="false" ht="15" hidden="false" customHeight="false" outlineLevel="0" collapsed="false">
      <c r="A4401" s="0" t="s">
        <v>5241</v>
      </c>
      <c r="B4401" s="0" t="s">
        <v>1335</v>
      </c>
      <c r="C4401" s="0" t="s">
        <v>5961</v>
      </c>
      <c r="D4401" s="0" t="s">
        <v>98</v>
      </c>
      <c r="E4401" s="0" t="s">
        <v>5244</v>
      </c>
    </row>
    <row r="4402" customFormat="false" ht="15" hidden="false" customHeight="false" outlineLevel="0" collapsed="false">
      <c r="A4402" s="0" t="s">
        <v>5241</v>
      </c>
      <c r="B4402" s="0" t="s">
        <v>1337</v>
      </c>
      <c r="C4402" s="0" t="s">
        <v>5962</v>
      </c>
      <c r="D4402" s="0" t="s">
        <v>98</v>
      </c>
      <c r="E4402" s="0" t="s">
        <v>5244</v>
      </c>
    </row>
    <row r="4403" customFormat="false" ht="15" hidden="false" customHeight="false" outlineLevel="0" collapsed="false">
      <c r="A4403" s="0" t="s">
        <v>5241</v>
      </c>
      <c r="B4403" s="0" t="s">
        <v>1339</v>
      </c>
      <c r="C4403" s="0" t="s">
        <v>5963</v>
      </c>
      <c r="D4403" s="0" t="s">
        <v>98</v>
      </c>
      <c r="E4403" s="0" t="s">
        <v>5244</v>
      </c>
    </row>
    <row r="4404" customFormat="false" ht="15" hidden="false" customHeight="false" outlineLevel="0" collapsed="false">
      <c r="A4404" s="0" t="s">
        <v>5241</v>
      </c>
      <c r="B4404" s="0" t="s">
        <v>1341</v>
      </c>
      <c r="C4404" s="0" t="s">
        <v>5964</v>
      </c>
      <c r="D4404" s="0" t="s">
        <v>98</v>
      </c>
      <c r="E4404" s="0" t="s">
        <v>5244</v>
      </c>
    </row>
    <row r="4405" customFormat="false" ht="15" hidden="false" customHeight="false" outlineLevel="0" collapsed="false">
      <c r="A4405" s="0" t="s">
        <v>5241</v>
      </c>
      <c r="B4405" s="0" t="s">
        <v>1343</v>
      </c>
      <c r="C4405" s="0" t="s">
        <v>5965</v>
      </c>
      <c r="D4405" s="0" t="s">
        <v>98</v>
      </c>
      <c r="E4405" s="0" t="s">
        <v>5244</v>
      </c>
    </row>
    <row r="4406" customFormat="false" ht="15" hidden="false" customHeight="false" outlineLevel="0" collapsed="false">
      <c r="A4406" s="0" t="s">
        <v>5241</v>
      </c>
      <c r="B4406" s="0" t="s">
        <v>1345</v>
      </c>
      <c r="C4406" s="0" t="s">
        <v>5966</v>
      </c>
      <c r="D4406" s="0" t="s">
        <v>98</v>
      </c>
      <c r="E4406" s="0" t="s">
        <v>5244</v>
      </c>
    </row>
    <row r="4407" customFormat="false" ht="15" hidden="false" customHeight="false" outlineLevel="0" collapsed="false">
      <c r="A4407" s="0" t="s">
        <v>5241</v>
      </c>
      <c r="B4407" s="0" t="s">
        <v>1347</v>
      </c>
      <c r="C4407" s="0" t="s">
        <v>5967</v>
      </c>
      <c r="D4407" s="0" t="s">
        <v>98</v>
      </c>
      <c r="E4407" s="0" t="s">
        <v>5244</v>
      </c>
    </row>
    <row r="4408" customFormat="false" ht="15" hidden="false" customHeight="false" outlineLevel="0" collapsed="false">
      <c r="A4408" s="0" t="s">
        <v>5241</v>
      </c>
      <c r="B4408" s="0" t="s">
        <v>1349</v>
      </c>
      <c r="C4408" s="0" t="s">
        <v>5968</v>
      </c>
      <c r="D4408" s="0" t="s">
        <v>98</v>
      </c>
      <c r="E4408" s="0" t="s">
        <v>5244</v>
      </c>
    </row>
    <row r="4409" customFormat="false" ht="15" hidden="false" customHeight="false" outlineLevel="0" collapsed="false">
      <c r="A4409" s="0" t="s">
        <v>5241</v>
      </c>
      <c r="B4409" s="0" t="s">
        <v>1351</v>
      </c>
      <c r="C4409" s="0" t="s">
        <v>5969</v>
      </c>
      <c r="D4409" s="0" t="s">
        <v>98</v>
      </c>
      <c r="E4409" s="0" t="s">
        <v>5244</v>
      </c>
    </row>
    <row r="4410" customFormat="false" ht="15" hidden="false" customHeight="false" outlineLevel="0" collapsed="false">
      <c r="A4410" s="0" t="s">
        <v>5241</v>
      </c>
      <c r="B4410" s="0" t="s">
        <v>1353</v>
      </c>
      <c r="C4410" s="0" t="s">
        <v>5970</v>
      </c>
      <c r="D4410" s="0" t="s">
        <v>98</v>
      </c>
      <c r="E4410" s="0" t="s">
        <v>5244</v>
      </c>
    </row>
    <row r="4411" customFormat="false" ht="15" hidden="false" customHeight="false" outlineLevel="0" collapsed="false">
      <c r="A4411" s="0" t="s">
        <v>5241</v>
      </c>
      <c r="B4411" s="0" t="s">
        <v>1355</v>
      </c>
      <c r="C4411" s="0" t="s">
        <v>5971</v>
      </c>
      <c r="D4411" s="0" t="s">
        <v>98</v>
      </c>
      <c r="E4411" s="0" t="s">
        <v>5244</v>
      </c>
    </row>
    <row r="4412" customFormat="false" ht="15" hidden="false" customHeight="false" outlineLevel="0" collapsed="false">
      <c r="A4412" s="0" t="s">
        <v>5241</v>
      </c>
      <c r="B4412" s="0" t="s">
        <v>1357</v>
      </c>
      <c r="C4412" s="0" t="s">
        <v>5972</v>
      </c>
      <c r="D4412" s="0" t="s">
        <v>98</v>
      </c>
      <c r="E4412" s="0" t="s">
        <v>5244</v>
      </c>
    </row>
    <row r="4413" customFormat="false" ht="15" hidden="false" customHeight="false" outlineLevel="0" collapsed="false">
      <c r="A4413" s="0" t="s">
        <v>5241</v>
      </c>
      <c r="B4413" s="0" t="s">
        <v>1359</v>
      </c>
      <c r="C4413" s="0" t="s">
        <v>5973</v>
      </c>
      <c r="D4413" s="0" t="s">
        <v>98</v>
      </c>
      <c r="E4413" s="0" t="s">
        <v>5244</v>
      </c>
    </row>
    <row r="4414" customFormat="false" ht="15" hidden="false" customHeight="false" outlineLevel="0" collapsed="false">
      <c r="A4414" s="0" t="s">
        <v>5241</v>
      </c>
      <c r="B4414" s="0" t="s">
        <v>1361</v>
      </c>
      <c r="C4414" s="0" t="s">
        <v>5974</v>
      </c>
      <c r="D4414" s="0" t="s">
        <v>98</v>
      </c>
      <c r="E4414" s="0" t="s">
        <v>5244</v>
      </c>
    </row>
    <row r="4415" customFormat="false" ht="15" hidden="false" customHeight="false" outlineLevel="0" collapsed="false">
      <c r="A4415" s="0" t="s">
        <v>5241</v>
      </c>
      <c r="B4415" s="0" t="s">
        <v>1363</v>
      </c>
      <c r="C4415" s="0" t="s">
        <v>5975</v>
      </c>
      <c r="D4415" s="0" t="s">
        <v>98</v>
      </c>
      <c r="E4415" s="0" t="s">
        <v>5244</v>
      </c>
    </row>
    <row r="4416" customFormat="false" ht="15" hidden="false" customHeight="false" outlineLevel="0" collapsed="false">
      <c r="A4416" s="0" t="s">
        <v>5241</v>
      </c>
      <c r="B4416" s="0" t="s">
        <v>1365</v>
      </c>
      <c r="C4416" s="0" t="s">
        <v>5976</v>
      </c>
      <c r="D4416" s="0" t="s">
        <v>98</v>
      </c>
      <c r="E4416" s="0" t="s">
        <v>5244</v>
      </c>
    </row>
    <row r="4417" customFormat="false" ht="15" hidden="false" customHeight="false" outlineLevel="0" collapsed="false">
      <c r="A4417" s="0" t="s">
        <v>5241</v>
      </c>
      <c r="B4417" s="0" t="s">
        <v>1367</v>
      </c>
      <c r="C4417" s="0" t="s">
        <v>5977</v>
      </c>
      <c r="D4417" s="0" t="s">
        <v>98</v>
      </c>
      <c r="E4417" s="0" t="s">
        <v>5244</v>
      </c>
    </row>
    <row r="4418" customFormat="false" ht="15" hidden="false" customHeight="false" outlineLevel="0" collapsed="false">
      <c r="A4418" s="0" t="s">
        <v>5241</v>
      </c>
      <c r="B4418" s="0" t="s">
        <v>1369</v>
      </c>
      <c r="C4418" s="0" t="s">
        <v>5978</v>
      </c>
      <c r="D4418" s="0" t="s">
        <v>98</v>
      </c>
      <c r="E4418" s="0" t="s">
        <v>5244</v>
      </c>
    </row>
    <row r="4419" customFormat="false" ht="15" hidden="false" customHeight="false" outlineLevel="0" collapsed="false">
      <c r="A4419" s="0" t="s">
        <v>5241</v>
      </c>
      <c r="B4419" s="0" t="s">
        <v>4945</v>
      </c>
      <c r="C4419" s="0" t="s">
        <v>5979</v>
      </c>
      <c r="D4419" s="0" t="s">
        <v>98</v>
      </c>
      <c r="E4419" s="0" t="s">
        <v>5290</v>
      </c>
    </row>
    <row r="4420" customFormat="false" ht="15" hidden="false" customHeight="false" outlineLevel="0" collapsed="false">
      <c r="A4420" s="0" t="s">
        <v>5241</v>
      </c>
      <c r="B4420" s="0" t="s">
        <v>4947</v>
      </c>
      <c r="C4420" s="0" t="s">
        <v>5980</v>
      </c>
      <c r="D4420" s="0" t="s">
        <v>98</v>
      </c>
      <c r="E4420" s="0" t="s">
        <v>5290</v>
      </c>
    </row>
    <row r="4421" customFormat="false" ht="15" hidden="false" customHeight="false" outlineLevel="0" collapsed="false">
      <c r="A4421" s="0" t="s">
        <v>5241</v>
      </c>
      <c r="B4421" s="0" t="s">
        <v>4949</v>
      </c>
      <c r="C4421" s="0" t="s">
        <v>5981</v>
      </c>
      <c r="D4421" s="0" t="s">
        <v>98</v>
      </c>
      <c r="E4421" s="0" t="s">
        <v>5290</v>
      </c>
    </row>
    <row r="4422" customFormat="false" ht="15" hidden="false" customHeight="false" outlineLevel="0" collapsed="false">
      <c r="A4422" s="0" t="s">
        <v>5241</v>
      </c>
      <c r="B4422" s="0" t="s">
        <v>4951</v>
      </c>
      <c r="C4422" s="0" t="s">
        <v>5982</v>
      </c>
      <c r="D4422" s="0" t="s">
        <v>98</v>
      </c>
      <c r="E4422" s="0" t="s">
        <v>5290</v>
      </c>
    </row>
    <row r="4423" customFormat="false" ht="15" hidden="false" customHeight="false" outlineLevel="0" collapsed="false">
      <c r="A4423" s="0" t="s">
        <v>5241</v>
      </c>
      <c r="B4423" s="0" t="s">
        <v>4953</v>
      </c>
      <c r="C4423" s="0" t="s">
        <v>5983</v>
      </c>
      <c r="D4423" s="0" t="s">
        <v>98</v>
      </c>
      <c r="E4423" s="0" t="s">
        <v>5290</v>
      </c>
    </row>
    <row r="4424" customFormat="false" ht="15" hidden="false" customHeight="false" outlineLevel="0" collapsed="false">
      <c r="A4424" s="0" t="s">
        <v>5241</v>
      </c>
      <c r="B4424" s="0" t="s">
        <v>4955</v>
      </c>
      <c r="C4424" s="0" t="s">
        <v>5984</v>
      </c>
      <c r="D4424" s="0" t="s">
        <v>98</v>
      </c>
      <c r="E4424" s="0" t="s">
        <v>5290</v>
      </c>
    </row>
    <row r="4425" customFormat="false" ht="15" hidden="false" customHeight="false" outlineLevel="0" collapsed="false">
      <c r="A4425" s="0" t="s">
        <v>5241</v>
      </c>
      <c r="B4425" s="0" t="s">
        <v>4957</v>
      </c>
      <c r="C4425" s="0" t="s">
        <v>5985</v>
      </c>
      <c r="D4425" s="0" t="s">
        <v>98</v>
      </c>
      <c r="E4425" s="0" t="s">
        <v>5290</v>
      </c>
    </row>
    <row r="4426" customFormat="false" ht="15" hidden="false" customHeight="false" outlineLevel="0" collapsed="false">
      <c r="A4426" s="0" t="s">
        <v>5241</v>
      </c>
      <c r="B4426" s="0" t="s">
        <v>4959</v>
      </c>
      <c r="C4426" s="0" t="s">
        <v>5986</v>
      </c>
      <c r="D4426" s="0" t="s">
        <v>98</v>
      </c>
      <c r="E4426" s="0" t="s">
        <v>5290</v>
      </c>
    </row>
    <row r="4427" customFormat="false" ht="15" hidden="false" customHeight="false" outlineLevel="0" collapsed="false">
      <c r="A4427" s="0" t="s">
        <v>5241</v>
      </c>
      <c r="B4427" s="0" t="s">
        <v>4961</v>
      </c>
      <c r="C4427" s="0" t="s">
        <v>5987</v>
      </c>
      <c r="D4427" s="0" t="s">
        <v>98</v>
      </c>
      <c r="E4427" s="0" t="s">
        <v>5290</v>
      </c>
    </row>
    <row r="4428" customFormat="false" ht="15" hidden="false" customHeight="false" outlineLevel="0" collapsed="false">
      <c r="A4428" s="0" t="s">
        <v>5241</v>
      </c>
      <c r="B4428" s="0" t="s">
        <v>4963</v>
      </c>
      <c r="C4428" s="0" t="s">
        <v>5988</v>
      </c>
      <c r="D4428" s="0" t="s">
        <v>98</v>
      </c>
      <c r="E4428" s="0" t="s">
        <v>5290</v>
      </c>
    </row>
    <row r="4429" customFormat="false" ht="15" hidden="false" customHeight="false" outlineLevel="0" collapsed="false">
      <c r="A4429" s="0" t="s">
        <v>5241</v>
      </c>
      <c r="B4429" s="0" t="s">
        <v>1371</v>
      </c>
      <c r="C4429" s="0" t="s">
        <v>5989</v>
      </c>
      <c r="D4429" s="0" t="s">
        <v>98</v>
      </c>
      <c r="E4429" s="0" t="s">
        <v>5290</v>
      </c>
    </row>
    <row r="4430" customFormat="false" ht="15" hidden="false" customHeight="false" outlineLevel="0" collapsed="false">
      <c r="A4430" s="0" t="s">
        <v>5241</v>
      </c>
      <c r="B4430" s="0" t="s">
        <v>1373</v>
      </c>
      <c r="C4430" s="0" t="s">
        <v>5990</v>
      </c>
      <c r="D4430" s="0" t="s">
        <v>98</v>
      </c>
      <c r="E4430" s="0" t="s">
        <v>5290</v>
      </c>
    </row>
    <row r="4431" customFormat="false" ht="15" hidden="false" customHeight="false" outlineLevel="0" collapsed="false">
      <c r="A4431" s="0" t="s">
        <v>5241</v>
      </c>
      <c r="B4431" s="0" t="s">
        <v>4967</v>
      </c>
      <c r="C4431" s="0" t="s">
        <v>5991</v>
      </c>
      <c r="D4431" s="0" t="s">
        <v>98</v>
      </c>
      <c r="E4431" s="0" t="s">
        <v>5290</v>
      </c>
    </row>
    <row r="4432" customFormat="false" ht="15" hidden="false" customHeight="false" outlineLevel="0" collapsed="false">
      <c r="A4432" s="0" t="s">
        <v>5241</v>
      </c>
      <c r="B4432" s="0" t="s">
        <v>4969</v>
      </c>
      <c r="C4432" s="0" t="s">
        <v>5992</v>
      </c>
      <c r="D4432" s="0" t="s">
        <v>98</v>
      </c>
      <c r="E4432" s="0" t="s">
        <v>5290</v>
      </c>
    </row>
    <row r="4433" customFormat="false" ht="15" hidden="false" customHeight="false" outlineLevel="0" collapsed="false">
      <c r="A4433" s="0" t="s">
        <v>5241</v>
      </c>
      <c r="B4433" s="0" t="s">
        <v>4971</v>
      </c>
      <c r="C4433" s="0" t="s">
        <v>5993</v>
      </c>
      <c r="D4433" s="0" t="s">
        <v>98</v>
      </c>
      <c r="E4433" s="0" t="s">
        <v>5290</v>
      </c>
    </row>
    <row r="4434" customFormat="false" ht="15" hidden="false" customHeight="false" outlineLevel="0" collapsed="false">
      <c r="A4434" s="0" t="s">
        <v>5241</v>
      </c>
      <c r="B4434" s="0" t="s">
        <v>1375</v>
      </c>
      <c r="C4434" s="0" t="s">
        <v>5994</v>
      </c>
      <c r="D4434" s="0" t="s">
        <v>98</v>
      </c>
      <c r="E4434" s="0" t="s">
        <v>5290</v>
      </c>
    </row>
    <row r="4435" customFormat="false" ht="15" hidden="false" customHeight="false" outlineLevel="0" collapsed="false">
      <c r="A4435" s="0" t="s">
        <v>5241</v>
      </c>
      <c r="B4435" s="0" t="s">
        <v>4974</v>
      </c>
      <c r="C4435" s="0" t="s">
        <v>5995</v>
      </c>
      <c r="D4435" s="0" t="s">
        <v>98</v>
      </c>
      <c r="E4435" s="0" t="s">
        <v>5290</v>
      </c>
    </row>
    <row r="4436" customFormat="false" ht="15" hidden="false" customHeight="false" outlineLevel="0" collapsed="false">
      <c r="A4436" s="0" t="s">
        <v>5241</v>
      </c>
      <c r="B4436" s="0" t="s">
        <v>4976</v>
      </c>
      <c r="C4436" s="0" t="s">
        <v>5996</v>
      </c>
      <c r="D4436" s="0" t="s">
        <v>98</v>
      </c>
      <c r="E4436" s="0" t="s">
        <v>5290</v>
      </c>
    </row>
    <row r="4437" customFormat="false" ht="15" hidden="false" customHeight="false" outlineLevel="0" collapsed="false">
      <c r="A4437" s="0" t="s">
        <v>5241</v>
      </c>
      <c r="B4437" s="0" t="s">
        <v>4978</v>
      </c>
      <c r="C4437" s="0" t="s">
        <v>5997</v>
      </c>
      <c r="D4437" s="0" t="s">
        <v>98</v>
      </c>
      <c r="E4437" s="0" t="s">
        <v>5290</v>
      </c>
    </row>
    <row r="4438" customFormat="false" ht="15" hidden="false" customHeight="false" outlineLevel="0" collapsed="false">
      <c r="A4438" s="0" t="s">
        <v>5241</v>
      </c>
      <c r="B4438" s="0" t="s">
        <v>4980</v>
      </c>
      <c r="C4438" s="0" t="s">
        <v>5998</v>
      </c>
      <c r="D4438" s="0" t="s">
        <v>98</v>
      </c>
      <c r="E4438" s="0" t="s">
        <v>5290</v>
      </c>
    </row>
    <row r="4439" customFormat="false" ht="15" hidden="false" customHeight="false" outlineLevel="0" collapsed="false">
      <c r="A4439" s="0" t="s">
        <v>5241</v>
      </c>
      <c r="B4439" s="0" t="s">
        <v>4982</v>
      </c>
      <c r="C4439" s="0" t="s">
        <v>5999</v>
      </c>
      <c r="D4439" s="0" t="s">
        <v>98</v>
      </c>
      <c r="E4439" s="0" t="s">
        <v>5290</v>
      </c>
    </row>
    <row r="4440" customFormat="false" ht="15" hidden="false" customHeight="false" outlineLevel="0" collapsed="false">
      <c r="A4440" s="0" t="s">
        <v>5241</v>
      </c>
      <c r="B4440" s="0" t="s">
        <v>4984</v>
      </c>
      <c r="C4440" s="0" t="s">
        <v>6000</v>
      </c>
      <c r="D4440" s="0" t="s">
        <v>98</v>
      </c>
      <c r="E4440" s="0" t="s">
        <v>5290</v>
      </c>
    </row>
    <row r="4441" customFormat="false" ht="15" hidden="false" customHeight="false" outlineLevel="0" collapsed="false">
      <c r="A4441" s="0" t="s">
        <v>5241</v>
      </c>
      <c r="B4441" s="0" t="s">
        <v>4986</v>
      </c>
      <c r="C4441" s="0" t="s">
        <v>6001</v>
      </c>
      <c r="D4441" s="0" t="s">
        <v>98</v>
      </c>
      <c r="E4441" s="0" t="s">
        <v>5290</v>
      </c>
    </row>
    <row r="4442" customFormat="false" ht="15" hidden="false" customHeight="false" outlineLevel="0" collapsed="false">
      <c r="A4442" s="0" t="s">
        <v>5241</v>
      </c>
      <c r="B4442" s="0" t="s">
        <v>4988</v>
      </c>
      <c r="C4442" s="0" t="s">
        <v>6002</v>
      </c>
      <c r="D4442" s="0" t="s">
        <v>98</v>
      </c>
      <c r="E4442" s="0" t="s">
        <v>5290</v>
      </c>
    </row>
    <row r="4443" customFormat="false" ht="15" hidden="false" customHeight="false" outlineLevel="0" collapsed="false">
      <c r="A4443" s="0" t="s">
        <v>5241</v>
      </c>
      <c r="B4443" s="0" t="s">
        <v>4990</v>
      </c>
      <c r="C4443" s="0" t="s">
        <v>6003</v>
      </c>
      <c r="D4443" s="0" t="s">
        <v>98</v>
      </c>
      <c r="E4443" s="0" t="s">
        <v>5290</v>
      </c>
    </row>
    <row r="4444" customFormat="false" ht="15" hidden="false" customHeight="false" outlineLevel="0" collapsed="false">
      <c r="A4444" s="0" t="s">
        <v>5241</v>
      </c>
      <c r="B4444" s="0" t="s">
        <v>4992</v>
      </c>
      <c r="C4444" s="0" t="s">
        <v>6004</v>
      </c>
      <c r="D4444" s="0" t="s">
        <v>98</v>
      </c>
      <c r="E4444" s="0" t="s">
        <v>5290</v>
      </c>
    </row>
    <row r="4445" customFormat="false" ht="15" hidden="false" customHeight="false" outlineLevel="0" collapsed="false">
      <c r="A4445" s="0" t="s">
        <v>5241</v>
      </c>
      <c r="B4445" s="0" t="s">
        <v>4994</v>
      </c>
      <c r="C4445" s="0" t="s">
        <v>6005</v>
      </c>
      <c r="D4445" s="0" t="s">
        <v>98</v>
      </c>
      <c r="E4445" s="0" t="s">
        <v>5290</v>
      </c>
    </row>
    <row r="4446" customFormat="false" ht="15" hidden="false" customHeight="false" outlineLevel="0" collapsed="false">
      <c r="A4446" s="0" t="s">
        <v>5241</v>
      </c>
      <c r="B4446" s="0" t="s">
        <v>4996</v>
      </c>
      <c r="C4446" s="0" t="s">
        <v>6006</v>
      </c>
      <c r="D4446" s="0" t="s">
        <v>98</v>
      </c>
      <c r="E4446" s="0" t="s">
        <v>5290</v>
      </c>
    </row>
    <row r="4447" customFormat="false" ht="15" hidden="false" customHeight="false" outlineLevel="0" collapsed="false">
      <c r="A4447" s="0" t="s">
        <v>5241</v>
      </c>
      <c r="B4447" s="0" t="s">
        <v>4998</v>
      </c>
      <c r="C4447" s="0" t="s">
        <v>6007</v>
      </c>
      <c r="D4447" s="0" t="s">
        <v>98</v>
      </c>
      <c r="E4447" s="0" t="s">
        <v>5244</v>
      </c>
    </row>
    <row r="4448" customFormat="false" ht="15" hidden="false" customHeight="false" outlineLevel="0" collapsed="false">
      <c r="A4448" s="0" t="s">
        <v>5241</v>
      </c>
      <c r="B4448" s="0" t="s">
        <v>5000</v>
      </c>
      <c r="C4448" s="0" t="s">
        <v>6008</v>
      </c>
      <c r="D4448" s="0" t="s">
        <v>98</v>
      </c>
      <c r="E4448" s="0" t="s">
        <v>5244</v>
      </c>
    </row>
    <row r="4449" customFormat="false" ht="15" hidden="false" customHeight="false" outlineLevel="0" collapsed="false">
      <c r="A4449" s="0" t="s">
        <v>5241</v>
      </c>
      <c r="B4449" s="0" t="s">
        <v>5002</v>
      </c>
      <c r="C4449" s="0" t="s">
        <v>6009</v>
      </c>
      <c r="D4449" s="0" t="s">
        <v>98</v>
      </c>
      <c r="E4449" s="0" t="s">
        <v>5244</v>
      </c>
    </row>
    <row r="4450" customFormat="false" ht="15" hidden="false" customHeight="false" outlineLevel="0" collapsed="false">
      <c r="A4450" s="0" t="s">
        <v>5241</v>
      </c>
      <c r="B4450" s="0" t="s">
        <v>5004</v>
      </c>
      <c r="C4450" s="0" t="s">
        <v>6010</v>
      </c>
      <c r="D4450" s="0" t="s">
        <v>98</v>
      </c>
      <c r="E4450" s="0" t="s">
        <v>5244</v>
      </c>
    </row>
    <row r="4451" customFormat="false" ht="15" hidden="false" customHeight="false" outlineLevel="0" collapsed="false">
      <c r="A4451" s="0" t="s">
        <v>5241</v>
      </c>
      <c r="B4451" s="0" t="s">
        <v>5006</v>
      </c>
      <c r="C4451" s="0" t="s">
        <v>6011</v>
      </c>
      <c r="D4451" s="0" t="s">
        <v>98</v>
      </c>
      <c r="E4451" s="0" t="s">
        <v>5244</v>
      </c>
    </row>
    <row r="4452" customFormat="false" ht="15" hidden="false" customHeight="false" outlineLevel="0" collapsed="false">
      <c r="A4452" s="0" t="s">
        <v>5241</v>
      </c>
      <c r="B4452" s="0" t="s">
        <v>5008</v>
      </c>
      <c r="C4452" s="0" t="s">
        <v>6012</v>
      </c>
      <c r="D4452" s="0" t="s">
        <v>98</v>
      </c>
      <c r="E4452" s="0" t="s">
        <v>5244</v>
      </c>
    </row>
    <row r="4453" customFormat="false" ht="15" hidden="false" customHeight="false" outlineLevel="0" collapsed="false">
      <c r="A4453" s="0" t="s">
        <v>5241</v>
      </c>
      <c r="B4453" s="0" t="s">
        <v>5010</v>
      </c>
      <c r="C4453" s="0" t="s">
        <v>6013</v>
      </c>
      <c r="D4453" s="0" t="s">
        <v>98</v>
      </c>
      <c r="E4453" s="0" t="s">
        <v>5244</v>
      </c>
    </row>
    <row r="4454" customFormat="false" ht="15" hidden="false" customHeight="false" outlineLevel="0" collapsed="false">
      <c r="A4454" s="0" t="s">
        <v>5241</v>
      </c>
      <c r="B4454" s="0" t="s">
        <v>5012</v>
      </c>
      <c r="C4454" s="0" t="s">
        <v>6014</v>
      </c>
      <c r="D4454" s="0" t="s">
        <v>98</v>
      </c>
      <c r="E4454" s="0" t="s">
        <v>5244</v>
      </c>
    </row>
    <row r="4455" customFormat="false" ht="15" hidden="false" customHeight="false" outlineLevel="0" collapsed="false">
      <c r="A4455" s="0" t="s">
        <v>5241</v>
      </c>
      <c r="B4455" s="0" t="s">
        <v>1377</v>
      </c>
      <c r="C4455" s="0" t="s">
        <v>6015</v>
      </c>
      <c r="D4455" s="0" t="s">
        <v>98</v>
      </c>
      <c r="E4455" s="0" t="s">
        <v>5244</v>
      </c>
    </row>
    <row r="4456" customFormat="false" ht="15" hidden="false" customHeight="false" outlineLevel="0" collapsed="false">
      <c r="A4456" s="0" t="s">
        <v>5241</v>
      </c>
      <c r="B4456" s="0" t="s">
        <v>1378</v>
      </c>
      <c r="C4456" s="0" t="s">
        <v>6016</v>
      </c>
      <c r="D4456" s="0" t="s">
        <v>98</v>
      </c>
      <c r="E4456" s="0" t="s">
        <v>5244</v>
      </c>
    </row>
    <row r="4457" customFormat="false" ht="15" hidden="false" customHeight="false" outlineLevel="0" collapsed="false">
      <c r="A4457" s="0" t="s">
        <v>5241</v>
      </c>
      <c r="B4457" s="0" t="s">
        <v>1379</v>
      </c>
      <c r="C4457" s="0" t="s">
        <v>6017</v>
      </c>
      <c r="D4457" s="0" t="s">
        <v>98</v>
      </c>
      <c r="E4457" s="0" t="s">
        <v>5244</v>
      </c>
    </row>
    <row r="4458" customFormat="false" ht="15" hidden="false" customHeight="false" outlineLevel="0" collapsed="false">
      <c r="A4458" s="0" t="s">
        <v>5241</v>
      </c>
      <c r="B4458" s="0" t="s">
        <v>1380</v>
      </c>
      <c r="C4458" s="0" t="s">
        <v>6018</v>
      </c>
      <c r="D4458" s="0" t="s">
        <v>98</v>
      </c>
      <c r="E4458" s="0" t="s">
        <v>5244</v>
      </c>
    </row>
    <row r="4459" customFormat="false" ht="15" hidden="false" customHeight="false" outlineLevel="0" collapsed="false">
      <c r="A4459" s="0" t="s">
        <v>5241</v>
      </c>
      <c r="B4459" s="0" t="s">
        <v>1381</v>
      </c>
      <c r="C4459" s="0" t="s">
        <v>6019</v>
      </c>
      <c r="D4459" s="0" t="s">
        <v>98</v>
      </c>
      <c r="E4459" s="0" t="s">
        <v>5244</v>
      </c>
    </row>
    <row r="4460" customFormat="false" ht="15" hidden="false" customHeight="false" outlineLevel="0" collapsed="false">
      <c r="A4460" s="0" t="s">
        <v>5241</v>
      </c>
      <c r="B4460" s="0" t="s">
        <v>1382</v>
      </c>
      <c r="C4460" s="0" t="s">
        <v>6020</v>
      </c>
      <c r="D4460" s="0" t="s">
        <v>98</v>
      </c>
      <c r="E4460" s="0" t="s">
        <v>5244</v>
      </c>
    </row>
    <row r="4461" customFormat="false" ht="15" hidden="false" customHeight="false" outlineLevel="0" collapsed="false">
      <c r="A4461" s="0" t="s">
        <v>5241</v>
      </c>
      <c r="B4461" s="0" t="s">
        <v>1383</v>
      </c>
      <c r="C4461" s="0" t="s">
        <v>6021</v>
      </c>
      <c r="D4461" s="0" t="s">
        <v>98</v>
      </c>
      <c r="E4461" s="0" t="s">
        <v>5244</v>
      </c>
    </row>
    <row r="4462" customFormat="false" ht="15" hidden="false" customHeight="false" outlineLevel="0" collapsed="false">
      <c r="A4462" s="0" t="s">
        <v>5241</v>
      </c>
      <c r="B4462" s="0" t="s">
        <v>1384</v>
      </c>
      <c r="C4462" s="0" t="s">
        <v>6022</v>
      </c>
      <c r="D4462" s="0" t="s">
        <v>98</v>
      </c>
      <c r="E4462" s="0" t="s">
        <v>5244</v>
      </c>
    </row>
    <row r="4463" customFormat="false" ht="15" hidden="false" customHeight="false" outlineLevel="0" collapsed="false">
      <c r="A4463" s="0" t="s">
        <v>5241</v>
      </c>
      <c r="B4463" s="0" t="s">
        <v>1385</v>
      </c>
      <c r="C4463" s="0" t="s">
        <v>6023</v>
      </c>
      <c r="D4463" s="0" t="s">
        <v>98</v>
      </c>
      <c r="E4463" s="0" t="s">
        <v>5244</v>
      </c>
    </row>
    <row r="4464" customFormat="false" ht="15" hidden="false" customHeight="false" outlineLevel="0" collapsed="false">
      <c r="A4464" s="0" t="s">
        <v>5241</v>
      </c>
      <c r="B4464" s="0" t="s">
        <v>1386</v>
      </c>
      <c r="C4464" s="0" t="s">
        <v>6024</v>
      </c>
      <c r="D4464" s="0" t="s">
        <v>98</v>
      </c>
      <c r="E4464" s="0" t="s">
        <v>5244</v>
      </c>
    </row>
    <row r="4465" customFormat="false" ht="15" hidden="false" customHeight="false" outlineLevel="0" collapsed="false">
      <c r="A4465" s="0" t="s">
        <v>5241</v>
      </c>
      <c r="B4465" s="0" t="s">
        <v>1387</v>
      </c>
      <c r="C4465" s="0" t="s">
        <v>6025</v>
      </c>
      <c r="D4465" s="0" t="s">
        <v>98</v>
      </c>
      <c r="E4465" s="0" t="s">
        <v>5244</v>
      </c>
    </row>
    <row r="4466" customFormat="false" ht="15" hidden="false" customHeight="false" outlineLevel="0" collapsed="false">
      <c r="A4466" s="0" t="s">
        <v>5241</v>
      </c>
      <c r="B4466" s="0" t="s">
        <v>1388</v>
      </c>
      <c r="C4466" s="0" t="s">
        <v>6026</v>
      </c>
      <c r="D4466" s="0" t="s">
        <v>98</v>
      </c>
      <c r="E4466" s="0" t="s">
        <v>5244</v>
      </c>
    </row>
    <row r="4467" customFormat="false" ht="15" hidden="false" customHeight="false" outlineLevel="0" collapsed="false">
      <c r="A4467" s="0" t="s">
        <v>5241</v>
      </c>
      <c r="B4467" s="0" t="s">
        <v>1389</v>
      </c>
      <c r="C4467" s="0" t="s">
        <v>6027</v>
      </c>
      <c r="D4467" s="0" t="s">
        <v>98</v>
      </c>
      <c r="E4467" s="0" t="s">
        <v>5244</v>
      </c>
    </row>
    <row r="4468" customFormat="false" ht="15" hidden="false" customHeight="false" outlineLevel="0" collapsed="false">
      <c r="A4468" s="0" t="s">
        <v>5241</v>
      </c>
      <c r="B4468" s="0" t="s">
        <v>1390</v>
      </c>
      <c r="C4468" s="0" t="s">
        <v>6028</v>
      </c>
      <c r="D4468" s="0" t="s">
        <v>98</v>
      </c>
      <c r="E4468" s="0" t="s">
        <v>5244</v>
      </c>
    </row>
    <row r="4469" customFormat="false" ht="15" hidden="false" customHeight="false" outlineLevel="0" collapsed="false">
      <c r="A4469" s="0" t="s">
        <v>5241</v>
      </c>
      <c r="B4469" s="0" t="s">
        <v>1391</v>
      </c>
      <c r="C4469" s="0" t="s">
        <v>6029</v>
      </c>
      <c r="D4469" s="0" t="s">
        <v>98</v>
      </c>
      <c r="E4469" s="0" t="s">
        <v>5244</v>
      </c>
    </row>
    <row r="4470" customFormat="false" ht="15" hidden="false" customHeight="false" outlineLevel="0" collapsed="false">
      <c r="A4470" s="0" t="s">
        <v>5241</v>
      </c>
      <c r="B4470" s="0" t="s">
        <v>1392</v>
      </c>
      <c r="C4470" s="0" t="s">
        <v>6030</v>
      </c>
      <c r="D4470" s="0" t="s">
        <v>98</v>
      </c>
      <c r="E4470" s="0" t="s">
        <v>5244</v>
      </c>
    </row>
    <row r="4471" customFormat="false" ht="15" hidden="false" customHeight="false" outlineLevel="0" collapsed="false">
      <c r="A4471" s="0" t="s">
        <v>5241</v>
      </c>
      <c r="B4471" s="0" t="s">
        <v>1393</v>
      </c>
      <c r="C4471" s="0" t="s">
        <v>6031</v>
      </c>
      <c r="D4471" s="0" t="s">
        <v>98</v>
      </c>
      <c r="E4471" s="0" t="s">
        <v>5244</v>
      </c>
    </row>
    <row r="4472" customFormat="false" ht="15" hidden="false" customHeight="false" outlineLevel="0" collapsed="false">
      <c r="A4472" s="0" t="s">
        <v>5241</v>
      </c>
      <c r="B4472" s="0" t="s">
        <v>1394</v>
      </c>
      <c r="C4472" s="0" t="s">
        <v>6032</v>
      </c>
      <c r="D4472" s="0" t="s">
        <v>98</v>
      </c>
      <c r="E4472" s="0" t="s">
        <v>5244</v>
      </c>
    </row>
    <row r="4473" customFormat="false" ht="15" hidden="false" customHeight="false" outlineLevel="0" collapsed="false">
      <c r="A4473" s="0" t="s">
        <v>5241</v>
      </c>
      <c r="B4473" s="0" t="s">
        <v>1395</v>
      </c>
      <c r="C4473" s="0" t="s">
        <v>6033</v>
      </c>
      <c r="D4473" s="0" t="s">
        <v>98</v>
      </c>
      <c r="E4473" s="0" t="s">
        <v>5244</v>
      </c>
    </row>
    <row r="4474" customFormat="false" ht="15" hidden="false" customHeight="false" outlineLevel="0" collapsed="false">
      <c r="A4474" s="0" t="s">
        <v>5241</v>
      </c>
      <c r="B4474" s="0" t="s">
        <v>1396</v>
      </c>
      <c r="C4474" s="0" t="s">
        <v>6034</v>
      </c>
      <c r="D4474" s="0" t="s">
        <v>98</v>
      </c>
      <c r="E4474" s="0" t="s">
        <v>5244</v>
      </c>
    </row>
    <row r="4475" customFormat="false" ht="15" hidden="false" customHeight="false" outlineLevel="0" collapsed="false">
      <c r="A4475" s="0" t="s">
        <v>5241</v>
      </c>
      <c r="B4475" s="0" t="s">
        <v>1397</v>
      </c>
      <c r="C4475" s="0" t="s">
        <v>6035</v>
      </c>
      <c r="D4475" s="0" t="s">
        <v>98</v>
      </c>
      <c r="E4475" s="0" t="s">
        <v>5290</v>
      </c>
    </row>
    <row r="4476" customFormat="false" ht="15" hidden="false" customHeight="false" outlineLevel="0" collapsed="false">
      <c r="A4476" s="0" t="s">
        <v>5241</v>
      </c>
      <c r="B4476" s="0" t="s">
        <v>1398</v>
      </c>
      <c r="C4476" s="0" t="s">
        <v>6036</v>
      </c>
      <c r="D4476" s="0" t="s">
        <v>98</v>
      </c>
      <c r="E4476" s="0" t="s">
        <v>5290</v>
      </c>
    </row>
    <row r="4477" customFormat="false" ht="15" hidden="false" customHeight="false" outlineLevel="0" collapsed="false">
      <c r="A4477" s="0" t="s">
        <v>5241</v>
      </c>
      <c r="B4477" s="0" t="s">
        <v>1399</v>
      </c>
      <c r="C4477" s="0" t="s">
        <v>6037</v>
      </c>
      <c r="D4477" s="0" t="s">
        <v>98</v>
      </c>
      <c r="E4477" s="0" t="s">
        <v>5290</v>
      </c>
    </row>
    <row r="4478" customFormat="false" ht="15" hidden="false" customHeight="false" outlineLevel="0" collapsed="false">
      <c r="A4478" s="0" t="s">
        <v>5241</v>
      </c>
      <c r="B4478" s="0" t="s">
        <v>1400</v>
      </c>
      <c r="C4478" s="0" t="s">
        <v>6038</v>
      </c>
      <c r="D4478" s="0" t="s">
        <v>98</v>
      </c>
      <c r="E4478" s="0" t="s">
        <v>5290</v>
      </c>
    </row>
    <row r="4479" customFormat="false" ht="15" hidden="false" customHeight="false" outlineLevel="0" collapsed="false">
      <c r="A4479" s="0" t="s">
        <v>5241</v>
      </c>
      <c r="B4479" s="0" t="s">
        <v>1401</v>
      </c>
      <c r="C4479" s="0" t="s">
        <v>6039</v>
      </c>
      <c r="D4479" s="0" t="s">
        <v>98</v>
      </c>
      <c r="E4479" s="0" t="s">
        <v>5290</v>
      </c>
    </row>
    <row r="4480" customFormat="false" ht="15" hidden="false" customHeight="false" outlineLevel="0" collapsed="false">
      <c r="A4480" s="0" t="s">
        <v>5241</v>
      </c>
      <c r="B4480" s="0" t="s">
        <v>1402</v>
      </c>
      <c r="C4480" s="0" t="s">
        <v>6040</v>
      </c>
      <c r="D4480" s="0" t="s">
        <v>98</v>
      </c>
      <c r="E4480" s="0" t="s">
        <v>5290</v>
      </c>
    </row>
    <row r="4481" customFormat="false" ht="15" hidden="false" customHeight="false" outlineLevel="0" collapsed="false">
      <c r="A4481" s="0" t="s">
        <v>5241</v>
      </c>
      <c r="B4481" s="0" t="s">
        <v>1403</v>
      </c>
      <c r="C4481" s="0" t="s">
        <v>6041</v>
      </c>
      <c r="D4481" s="0" t="s">
        <v>98</v>
      </c>
      <c r="E4481" s="0" t="s">
        <v>5290</v>
      </c>
    </row>
    <row r="4482" customFormat="false" ht="15" hidden="false" customHeight="false" outlineLevel="0" collapsed="false">
      <c r="A4482" s="0" t="s">
        <v>5241</v>
      </c>
      <c r="B4482" s="0" t="s">
        <v>1404</v>
      </c>
      <c r="C4482" s="0" t="s">
        <v>6042</v>
      </c>
      <c r="D4482" s="0" t="s">
        <v>98</v>
      </c>
      <c r="E4482" s="0" t="s">
        <v>5290</v>
      </c>
    </row>
    <row r="4483" customFormat="false" ht="15" hidden="false" customHeight="false" outlineLevel="0" collapsed="false">
      <c r="A4483" s="0" t="s">
        <v>5241</v>
      </c>
      <c r="B4483" s="0" t="s">
        <v>1405</v>
      </c>
      <c r="C4483" s="0" t="s">
        <v>6043</v>
      </c>
      <c r="D4483" s="0" t="s">
        <v>98</v>
      </c>
      <c r="E4483" s="0" t="s">
        <v>5290</v>
      </c>
    </row>
    <row r="4484" customFormat="false" ht="15" hidden="false" customHeight="false" outlineLevel="0" collapsed="false">
      <c r="A4484" s="0" t="s">
        <v>5241</v>
      </c>
      <c r="B4484" s="0" t="s">
        <v>1406</v>
      </c>
      <c r="C4484" s="0" t="s">
        <v>6044</v>
      </c>
      <c r="D4484" s="0" t="s">
        <v>98</v>
      </c>
      <c r="E4484" s="0" t="s">
        <v>5290</v>
      </c>
    </row>
    <row r="4485" customFormat="false" ht="15" hidden="false" customHeight="false" outlineLevel="0" collapsed="false">
      <c r="A4485" s="0" t="s">
        <v>5241</v>
      </c>
      <c r="B4485" s="0" t="s">
        <v>1407</v>
      </c>
      <c r="C4485" s="0" t="s">
        <v>6045</v>
      </c>
      <c r="D4485" s="0" t="s">
        <v>98</v>
      </c>
      <c r="E4485" s="0" t="s">
        <v>5290</v>
      </c>
    </row>
    <row r="4486" customFormat="false" ht="15" hidden="false" customHeight="false" outlineLevel="0" collapsed="false">
      <c r="A4486" s="0" t="s">
        <v>5241</v>
      </c>
      <c r="B4486" s="0" t="s">
        <v>1408</v>
      </c>
      <c r="C4486" s="0" t="s">
        <v>6046</v>
      </c>
      <c r="D4486" s="0" t="s">
        <v>98</v>
      </c>
      <c r="E4486" s="0" t="s">
        <v>5290</v>
      </c>
    </row>
    <row r="4487" customFormat="false" ht="15" hidden="false" customHeight="false" outlineLevel="0" collapsed="false">
      <c r="A4487" s="0" t="s">
        <v>5241</v>
      </c>
      <c r="B4487" s="0" t="s">
        <v>1409</v>
      </c>
      <c r="C4487" s="0" t="s">
        <v>6047</v>
      </c>
      <c r="D4487" s="0" t="s">
        <v>98</v>
      </c>
      <c r="E4487" s="0" t="s">
        <v>5290</v>
      </c>
    </row>
    <row r="4488" customFormat="false" ht="15" hidden="false" customHeight="false" outlineLevel="0" collapsed="false">
      <c r="A4488" s="0" t="s">
        <v>5241</v>
      </c>
      <c r="B4488" s="0" t="s">
        <v>1410</v>
      </c>
      <c r="C4488" s="0" t="s">
        <v>6048</v>
      </c>
      <c r="D4488" s="0" t="s">
        <v>98</v>
      </c>
      <c r="E4488" s="0" t="s">
        <v>5290</v>
      </c>
    </row>
    <row r="4489" customFormat="false" ht="15" hidden="false" customHeight="false" outlineLevel="0" collapsed="false">
      <c r="A4489" s="0" t="s">
        <v>5241</v>
      </c>
      <c r="B4489" s="0" t="s">
        <v>1412</v>
      </c>
      <c r="C4489" s="0" t="s">
        <v>6049</v>
      </c>
      <c r="D4489" s="0" t="s">
        <v>98</v>
      </c>
      <c r="E4489" s="0" t="s">
        <v>5290</v>
      </c>
    </row>
    <row r="4490" customFormat="false" ht="15" hidden="false" customHeight="false" outlineLevel="0" collapsed="false">
      <c r="A4490" s="0" t="s">
        <v>5241</v>
      </c>
      <c r="B4490" s="0" t="s">
        <v>1413</v>
      </c>
      <c r="C4490" s="0" t="s">
        <v>6050</v>
      </c>
      <c r="D4490" s="0" t="s">
        <v>98</v>
      </c>
      <c r="E4490" s="0" t="s">
        <v>5290</v>
      </c>
    </row>
    <row r="4491" customFormat="false" ht="15" hidden="false" customHeight="false" outlineLevel="0" collapsed="false">
      <c r="A4491" s="0" t="s">
        <v>5241</v>
      </c>
      <c r="B4491" s="0" t="s">
        <v>1415</v>
      </c>
      <c r="C4491" s="0" t="s">
        <v>6051</v>
      </c>
      <c r="D4491" s="0" t="s">
        <v>98</v>
      </c>
      <c r="E4491" s="0" t="s">
        <v>5290</v>
      </c>
    </row>
    <row r="4492" customFormat="false" ht="15" hidden="false" customHeight="false" outlineLevel="0" collapsed="false">
      <c r="A4492" s="0" t="s">
        <v>5241</v>
      </c>
      <c r="B4492" s="0" t="s">
        <v>1416</v>
      </c>
      <c r="C4492" s="0" t="s">
        <v>6052</v>
      </c>
      <c r="D4492" s="0" t="s">
        <v>98</v>
      </c>
      <c r="E4492" s="0" t="s">
        <v>5290</v>
      </c>
    </row>
    <row r="4493" customFormat="false" ht="15" hidden="false" customHeight="false" outlineLevel="0" collapsed="false">
      <c r="A4493" s="0" t="s">
        <v>5241</v>
      </c>
      <c r="B4493" s="0" t="s">
        <v>1417</v>
      </c>
      <c r="C4493" s="0" t="s">
        <v>6053</v>
      </c>
      <c r="D4493" s="0" t="s">
        <v>98</v>
      </c>
      <c r="E4493" s="0" t="s">
        <v>5290</v>
      </c>
    </row>
    <row r="4494" customFormat="false" ht="15" hidden="false" customHeight="false" outlineLevel="0" collapsed="false">
      <c r="A4494" s="0" t="s">
        <v>5241</v>
      </c>
      <c r="B4494" s="0" t="s">
        <v>1418</v>
      </c>
      <c r="C4494" s="0" t="s">
        <v>6054</v>
      </c>
      <c r="D4494" s="0" t="s">
        <v>98</v>
      </c>
      <c r="E4494" s="0" t="s">
        <v>5290</v>
      </c>
    </row>
    <row r="4495" customFormat="false" ht="15" hidden="false" customHeight="false" outlineLevel="0" collapsed="false">
      <c r="A4495" s="0" t="s">
        <v>5241</v>
      </c>
      <c r="B4495" s="0" t="s">
        <v>1420</v>
      </c>
      <c r="C4495" s="0" t="s">
        <v>6055</v>
      </c>
      <c r="D4495" s="0" t="s">
        <v>98</v>
      </c>
      <c r="E4495" s="0" t="s">
        <v>5290</v>
      </c>
    </row>
    <row r="4496" customFormat="false" ht="15" hidden="false" customHeight="false" outlineLevel="0" collapsed="false">
      <c r="A4496" s="0" t="s">
        <v>5241</v>
      </c>
      <c r="B4496" s="0" t="s">
        <v>1421</v>
      </c>
      <c r="C4496" s="0" t="s">
        <v>6056</v>
      </c>
      <c r="D4496" s="0" t="s">
        <v>98</v>
      </c>
      <c r="E4496" s="0" t="s">
        <v>5290</v>
      </c>
    </row>
    <row r="4497" customFormat="false" ht="15" hidden="false" customHeight="false" outlineLevel="0" collapsed="false">
      <c r="A4497" s="0" t="s">
        <v>5241</v>
      </c>
      <c r="B4497" s="0" t="s">
        <v>1422</v>
      </c>
      <c r="C4497" s="0" t="s">
        <v>6057</v>
      </c>
      <c r="D4497" s="0" t="s">
        <v>98</v>
      </c>
      <c r="E4497" s="0" t="s">
        <v>5290</v>
      </c>
    </row>
    <row r="4498" customFormat="false" ht="15" hidden="false" customHeight="false" outlineLevel="0" collapsed="false">
      <c r="A4498" s="0" t="s">
        <v>5241</v>
      </c>
      <c r="B4498" s="0" t="s">
        <v>1423</v>
      </c>
      <c r="C4498" s="0" t="s">
        <v>6058</v>
      </c>
      <c r="D4498" s="0" t="s">
        <v>98</v>
      </c>
      <c r="E4498" s="0" t="s">
        <v>5290</v>
      </c>
    </row>
    <row r="4499" customFormat="false" ht="15" hidden="false" customHeight="false" outlineLevel="0" collapsed="false">
      <c r="A4499" s="0" t="s">
        <v>5241</v>
      </c>
      <c r="B4499" s="0" t="s">
        <v>1425</v>
      </c>
      <c r="C4499" s="0" t="s">
        <v>6059</v>
      </c>
      <c r="D4499" s="0" t="s">
        <v>98</v>
      </c>
      <c r="E4499" s="0" t="s">
        <v>5290</v>
      </c>
    </row>
    <row r="4500" customFormat="false" ht="15" hidden="false" customHeight="false" outlineLevel="0" collapsed="false">
      <c r="A4500" s="0" t="s">
        <v>5241</v>
      </c>
      <c r="B4500" s="0" t="s">
        <v>1426</v>
      </c>
      <c r="C4500" s="0" t="s">
        <v>6060</v>
      </c>
      <c r="D4500" s="0" t="s">
        <v>98</v>
      </c>
      <c r="E4500" s="0" t="s">
        <v>5290</v>
      </c>
    </row>
    <row r="4501" customFormat="false" ht="15" hidden="false" customHeight="false" outlineLevel="0" collapsed="false">
      <c r="A4501" s="0" t="s">
        <v>5241</v>
      </c>
      <c r="B4501" s="0" t="s">
        <v>1427</v>
      </c>
      <c r="C4501" s="0" t="s">
        <v>6061</v>
      </c>
      <c r="D4501" s="0" t="s">
        <v>98</v>
      </c>
      <c r="E4501" s="0" t="s">
        <v>5290</v>
      </c>
    </row>
    <row r="4502" customFormat="false" ht="15" hidden="false" customHeight="false" outlineLevel="0" collapsed="false">
      <c r="A4502" s="0" t="s">
        <v>5241</v>
      </c>
      <c r="B4502" s="0" t="s">
        <v>1428</v>
      </c>
      <c r="C4502" s="0" t="s">
        <v>6062</v>
      </c>
      <c r="D4502" s="0" t="s">
        <v>98</v>
      </c>
      <c r="E4502" s="0" t="s">
        <v>5290</v>
      </c>
    </row>
    <row r="4503" customFormat="false" ht="15" hidden="false" customHeight="false" outlineLevel="0" collapsed="false">
      <c r="A4503" s="0" t="s">
        <v>5241</v>
      </c>
      <c r="B4503" s="0" t="s">
        <v>1429</v>
      </c>
      <c r="C4503" s="0" t="s">
        <v>6063</v>
      </c>
      <c r="D4503" s="0" t="s">
        <v>98</v>
      </c>
      <c r="E4503" s="0" t="s">
        <v>5244</v>
      </c>
    </row>
    <row r="4504" customFormat="false" ht="15" hidden="false" customHeight="false" outlineLevel="0" collapsed="false">
      <c r="A4504" s="0" t="s">
        <v>5241</v>
      </c>
      <c r="B4504" s="0" t="s">
        <v>1430</v>
      </c>
      <c r="C4504" s="0" t="s">
        <v>6064</v>
      </c>
      <c r="D4504" s="0" t="s">
        <v>98</v>
      </c>
      <c r="E4504" s="0" t="s">
        <v>5244</v>
      </c>
    </row>
    <row r="4505" customFormat="false" ht="15" hidden="false" customHeight="false" outlineLevel="0" collapsed="false">
      <c r="A4505" s="0" t="s">
        <v>5241</v>
      </c>
      <c r="B4505" s="0" t="s">
        <v>1431</v>
      </c>
      <c r="C4505" s="0" t="s">
        <v>6065</v>
      </c>
      <c r="D4505" s="0" t="s">
        <v>98</v>
      </c>
      <c r="E4505" s="0" t="s">
        <v>5244</v>
      </c>
    </row>
    <row r="4506" customFormat="false" ht="15" hidden="false" customHeight="false" outlineLevel="0" collapsed="false">
      <c r="A4506" s="0" t="s">
        <v>5241</v>
      </c>
      <c r="B4506" s="0" t="s">
        <v>1432</v>
      </c>
      <c r="C4506" s="0" t="s">
        <v>6066</v>
      </c>
      <c r="D4506" s="0" t="s">
        <v>98</v>
      </c>
      <c r="E4506" s="0" t="s">
        <v>5244</v>
      </c>
    </row>
    <row r="4507" customFormat="false" ht="15" hidden="false" customHeight="false" outlineLevel="0" collapsed="false">
      <c r="A4507" s="0" t="s">
        <v>5241</v>
      </c>
      <c r="B4507" s="0" t="s">
        <v>1433</v>
      </c>
      <c r="C4507" s="0" t="s">
        <v>6067</v>
      </c>
      <c r="D4507" s="0" t="s">
        <v>98</v>
      </c>
      <c r="E4507" s="0" t="s">
        <v>5244</v>
      </c>
    </row>
    <row r="4508" customFormat="false" ht="15" hidden="false" customHeight="false" outlineLevel="0" collapsed="false">
      <c r="A4508" s="0" t="s">
        <v>5241</v>
      </c>
      <c r="B4508" s="0" t="s">
        <v>1434</v>
      </c>
      <c r="C4508" s="0" t="s">
        <v>6068</v>
      </c>
      <c r="D4508" s="0" t="s">
        <v>98</v>
      </c>
      <c r="E4508" s="0" t="s">
        <v>5244</v>
      </c>
    </row>
    <row r="4509" customFormat="false" ht="15" hidden="false" customHeight="false" outlineLevel="0" collapsed="false">
      <c r="A4509" s="0" t="s">
        <v>5241</v>
      </c>
      <c r="B4509" s="0" t="s">
        <v>1435</v>
      </c>
      <c r="C4509" s="0" t="s">
        <v>6069</v>
      </c>
      <c r="D4509" s="0" t="s">
        <v>98</v>
      </c>
      <c r="E4509" s="0" t="s">
        <v>5244</v>
      </c>
    </row>
    <row r="4510" customFormat="false" ht="15" hidden="false" customHeight="false" outlineLevel="0" collapsed="false">
      <c r="A4510" s="0" t="s">
        <v>5241</v>
      </c>
      <c r="B4510" s="0" t="s">
        <v>1436</v>
      </c>
      <c r="C4510" s="0" t="s">
        <v>6070</v>
      </c>
      <c r="D4510" s="0" t="s">
        <v>98</v>
      </c>
      <c r="E4510" s="0" t="s">
        <v>5244</v>
      </c>
    </row>
    <row r="4511" customFormat="false" ht="15" hidden="false" customHeight="false" outlineLevel="0" collapsed="false">
      <c r="A4511" s="0" t="s">
        <v>5241</v>
      </c>
      <c r="B4511" s="0" t="s">
        <v>1437</v>
      </c>
      <c r="C4511" s="0" t="s">
        <v>6071</v>
      </c>
      <c r="D4511" s="0" t="s">
        <v>98</v>
      </c>
      <c r="E4511" s="0" t="s">
        <v>5244</v>
      </c>
    </row>
    <row r="4512" customFormat="false" ht="15" hidden="false" customHeight="false" outlineLevel="0" collapsed="false">
      <c r="A4512" s="0" t="s">
        <v>5241</v>
      </c>
      <c r="B4512" s="0" t="s">
        <v>1438</v>
      </c>
      <c r="C4512" s="0" t="s">
        <v>6072</v>
      </c>
      <c r="D4512" s="0" t="s">
        <v>98</v>
      </c>
      <c r="E4512" s="0" t="s">
        <v>5244</v>
      </c>
    </row>
    <row r="4513" customFormat="false" ht="15" hidden="false" customHeight="false" outlineLevel="0" collapsed="false">
      <c r="A4513" s="0" t="s">
        <v>5241</v>
      </c>
      <c r="B4513" s="0" t="s">
        <v>1439</v>
      </c>
      <c r="C4513" s="0" t="s">
        <v>6073</v>
      </c>
      <c r="D4513" s="0" t="s">
        <v>98</v>
      </c>
      <c r="E4513" s="0" t="s">
        <v>5244</v>
      </c>
    </row>
    <row r="4514" customFormat="false" ht="15" hidden="false" customHeight="false" outlineLevel="0" collapsed="false">
      <c r="A4514" s="0" t="s">
        <v>5241</v>
      </c>
      <c r="B4514" s="0" t="s">
        <v>1440</v>
      </c>
      <c r="C4514" s="0" t="s">
        <v>6074</v>
      </c>
      <c r="D4514" s="0" t="s">
        <v>98</v>
      </c>
      <c r="E4514" s="0" t="s">
        <v>5244</v>
      </c>
    </row>
    <row r="4515" customFormat="false" ht="15" hidden="false" customHeight="false" outlineLevel="0" collapsed="false">
      <c r="A4515" s="0" t="s">
        <v>5241</v>
      </c>
      <c r="B4515" s="0" t="s">
        <v>1441</v>
      </c>
      <c r="C4515" s="0" t="s">
        <v>6075</v>
      </c>
      <c r="D4515" s="0" t="s">
        <v>98</v>
      </c>
      <c r="E4515" s="0" t="s">
        <v>5244</v>
      </c>
    </row>
    <row r="4516" customFormat="false" ht="15" hidden="false" customHeight="false" outlineLevel="0" collapsed="false">
      <c r="A4516" s="0" t="s">
        <v>5241</v>
      </c>
      <c r="B4516" s="0" t="s">
        <v>1442</v>
      </c>
      <c r="C4516" s="0" t="s">
        <v>6076</v>
      </c>
      <c r="D4516" s="0" t="s">
        <v>98</v>
      </c>
      <c r="E4516" s="0" t="s">
        <v>5244</v>
      </c>
    </row>
    <row r="4517" customFormat="false" ht="15" hidden="false" customHeight="false" outlineLevel="0" collapsed="false">
      <c r="A4517" s="0" t="s">
        <v>5241</v>
      </c>
      <c r="B4517" s="0" t="s">
        <v>1443</v>
      </c>
      <c r="C4517" s="0" t="s">
        <v>6077</v>
      </c>
      <c r="D4517" s="0" t="s">
        <v>98</v>
      </c>
      <c r="E4517" s="0" t="s">
        <v>5244</v>
      </c>
    </row>
    <row r="4518" customFormat="false" ht="15" hidden="false" customHeight="false" outlineLevel="0" collapsed="false">
      <c r="A4518" s="0" t="s">
        <v>5241</v>
      </c>
      <c r="B4518" s="0" t="s">
        <v>1444</v>
      </c>
      <c r="C4518" s="0" t="s">
        <v>6078</v>
      </c>
      <c r="D4518" s="0" t="s">
        <v>98</v>
      </c>
      <c r="E4518" s="0" t="s">
        <v>5244</v>
      </c>
    </row>
    <row r="4519" customFormat="false" ht="15" hidden="false" customHeight="false" outlineLevel="0" collapsed="false">
      <c r="A4519" s="0" t="s">
        <v>5241</v>
      </c>
      <c r="B4519" s="0" t="s">
        <v>1445</v>
      </c>
      <c r="C4519" s="0" t="s">
        <v>6079</v>
      </c>
      <c r="D4519" s="0" t="s">
        <v>98</v>
      </c>
      <c r="E4519" s="0" t="s">
        <v>5244</v>
      </c>
    </row>
    <row r="4520" customFormat="false" ht="15" hidden="false" customHeight="false" outlineLevel="0" collapsed="false">
      <c r="A4520" s="0" t="s">
        <v>5241</v>
      </c>
      <c r="B4520" s="0" t="s">
        <v>1446</v>
      </c>
      <c r="C4520" s="0" t="s">
        <v>6080</v>
      </c>
      <c r="D4520" s="0" t="s">
        <v>98</v>
      </c>
      <c r="E4520" s="0" t="s">
        <v>5244</v>
      </c>
    </row>
    <row r="4521" customFormat="false" ht="15" hidden="false" customHeight="false" outlineLevel="0" collapsed="false">
      <c r="A4521" s="0" t="s">
        <v>5241</v>
      </c>
      <c r="B4521" s="0" t="s">
        <v>1447</v>
      </c>
      <c r="C4521" s="0" t="s">
        <v>6081</v>
      </c>
      <c r="D4521" s="0" t="s">
        <v>98</v>
      </c>
      <c r="E4521" s="0" t="s">
        <v>5244</v>
      </c>
    </row>
    <row r="4522" customFormat="false" ht="15" hidden="false" customHeight="false" outlineLevel="0" collapsed="false">
      <c r="A4522" s="0" t="s">
        <v>5241</v>
      </c>
      <c r="B4522" s="0" t="s">
        <v>1448</v>
      </c>
      <c r="C4522" s="0" t="s">
        <v>6082</v>
      </c>
      <c r="D4522" s="0" t="s">
        <v>98</v>
      </c>
      <c r="E4522" s="0" t="s">
        <v>5244</v>
      </c>
    </row>
    <row r="4523" customFormat="false" ht="15" hidden="false" customHeight="false" outlineLevel="0" collapsed="false">
      <c r="A4523" s="0" t="s">
        <v>5241</v>
      </c>
      <c r="B4523" s="0" t="s">
        <v>1449</v>
      </c>
      <c r="C4523" s="0" t="s">
        <v>6083</v>
      </c>
      <c r="D4523" s="0" t="s">
        <v>98</v>
      </c>
      <c r="E4523" s="0" t="s">
        <v>5244</v>
      </c>
    </row>
    <row r="4524" customFormat="false" ht="15" hidden="false" customHeight="false" outlineLevel="0" collapsed="false">
      <c r="A4524" s="0" t="s">
        <v>5241</v>
      </c>
      <c r="B4524" s="0" t="s">
        <v>1450</v>
      </c>
      <c r="C4524" s="0" t="s">
        <v>6084</v>
      </c>
      <c r="D4524" s="0" t="s">
        <v>98</v>
      </c>
      <c r="E4524" s="0" t="s">
        <v>5244</v>
      </c>
    </row>
    <row r="4525" customFormat="false" ht="15" hidden="false" customHeight="false" outlineLevel="0" collapsed="false">
      <c r="A4525" s="0" t="s">
        <v>5241</v>
      </c>
      <c r="B4525" s="0" t="s">
        <v>1451</v>
      </c>
      <c r="C4525" s="0" t="s">
        <v>6085</v>
      </c>
      <c r="D4525" s="0" t="s">
        <v>98</v>
      </c>
      <c r="E4525" s="0" t="s">
        <v>5244</v>
      </c>
    </row>
    <row r="4526" customFormat="false" ht="15" hidden="false" customHeight="false" outlineLevel="0" collapsed="false">
      <c r="A4526" s="0" t="s">
        <v>5241</v>
      </c>
      <c r="B4526" s="0" t="s">
        <v>1452</v>
      </c>
      <c r="C4526" s="0" t="s">
        <v>6086</v>
      </c>
      <c r="D4526" s="0" t="s">
        <v>98</v>
      </c>
      <c r="E4526" s="0" t="s">
        <v>5244</v>
      </c>
    </row>
    <row r="4527" customFormat="false" ht="15" hidden="false" customHeight="false" outlineLevel="0" collapsed="false">
      <c r="A4527" s="0" t="s">
        <v>5241</v>
      </c>
      <c r="B4527" s="0" t="s">
        <v>1453</v>
      </c>
      <c r="C4527" s="0" t="s">
        <v>6087</v>
      </c>
      <c r="D4527" s="0" t="s">
        <v>98</v>
      </c>
      <c r="E4527" s="0" t="s">
        <v>5244</v>
      </c>
    </row>
    <row r="4528" customFormat="false" ht="15" hidden="false" customHeight="false" outlineLevel="0" collapsed="false">
      <c r="A4528" s="0" t="s">
        <v>5241</v>
      </c>
      <c r="B4528" s="0" t="s">
        <v>1454</v>
      </c>
      <c r="C4528" s="0" t="s">
        <v>6088</v>
      </c>
      <c r="D4528" s="0" t="s">
        <v>98</v>
      </c>
      <c r="E4528" s="0" t="s">
        <v>5244</v>
      </c>
    </row>
    <row r="4529" customFormat="false" ht="15" hidden="false" customHeight="false" outlineLevel="0" collapsed="false">
      <c r="A4529" s="0" t="s">
        <v>5241</v>
      </c>
      <c r="B4529" s="0" t="s">
        <v>1455</v>
      </c>
      <c r="C4529" s="0" t="s">
        <v>6089</v>
      </c>
      <c r="D4529" s="0" t="s">
        <v>98</v>
      </c>
      <c r="E4529" s="0" t="s">
        <v>5244</v>
      </c>
    </row>
    <row r="4530" customFormat="false" ht="15" hidden="false" customHeight="false" outlineLevel="0" collapsed="false">
      <c r="A4530" s="0" t="s">
        <v>5241</v>
      </c>
      <c r="B4530" s="0" t="s">
        <v>1456</v>
      </c>
      <c r="C4530" s="0" t="s">
        <v>6090</v>
      </c>
      <c r="D4530" s="0" t="s">
        <v>98</v>
      </c>
      <c r="E4530" s="0" t="s">
        <v>5244</v>
      </c>
    </row>
    <row r="4531" customFormat="false" ht="15" hidden="false" customHeight="false" outlineLevel="0" collapsed="false">
      <c r="A4531" s="0" t="s">
        <v>5241</v>
      </c>
      <c r="B4531" s="0" t="s">
        <v>1457</v>
      </c>
      <c r="C4531" s="0" t="s">
        <v>6091</v>
      </c>
      <c r="D4531" s="0" t="s">
        <v>98</v>
      </c>
      <c r="E4531" s="0" t="s">
        <v>5290</v>
      </c>
    </row>
    <row r="4532" customFormat="false" ht="15" hidden="false" customHeight="false" outlineLevel="0" collapsed="false">
      <c r="A4532" s="0" t="s">
        <v>5241</v>
      </c>
      <c r="B4532" s="0" t="s">
        <v>1459</v>
      </c>
      <c r="C4532" s="0" t="s">
        <v>6092</v>
      </c>
      <c r="D4532" s="0" t="s">
        <v>98</v>
      </c>
      <c r="E4532" s="0" t="s">
        <v>5290</v>
      </c>
    </row>
    <row r="4533" customFormat="false" ht="15" hidden="false" customHeight="false" outlineLevel="0" collapsed="false">
      <c r="A4533" s="0" t="s">
        <v>5241</v>
      </c>
      <c r="B4533" s="0" t="s">
        <v>1461</v>
      </c>
      <c r="C4533" s="0" t="s">
        <v>6093</v>
      </c>
      <c r="D4533" s="0" t="s">
        <v>98</v>
      </c>
      <c r="E4533" s="0" t="s">
        <v>5290</v>
      </c>
    </row>
    <row r="4534" customFormat="false" ht="15" hidden="false" customHeight="false" outlineLevel="0" collapsed="false">
      <c r="A4534" s="0" t="s">
        <v>5241</v>
      </c>
      <c r="B4534" s="0" t="s">
        <v>1463</v>
      </c>
      <c r="C4534" s="0" t="s">
        <v>6094</v>
      </c>
      <c r="D4534" s="0" t="s">
        <v>98</v>
      </c>
      <c r="E4534" s="0" t="s">
        <v>5290</v>
      </c>
    </row>
    <row r="4535" customFormat="false" ht="15" hidden="false" customHeight="false" outlineLevel="0" collapsed="false">
      <c r="A4535" s="0" t="s">
        <v>5241</v>
      </c>
      <c r="B4535" s="0" t="s">
        <v>1465</v>
      </c>
      <c r="C4535" s="0" t="s">
        <v>6095</v>
      </c>
      <c r="D4535" s="0" t="s">
        <v>98</v>
      </c>
      <c r="E4535" s="0" t="s">
        <v>5290</v>
      </c>
    </row>
    <row r="4536" customFormat="false" ht="15" hidden="false" customHeight="false" outlineLevel="0" collapsed="false">
      <c r="A4536" s="0" t="s">
        <v>5241</v>
      </c>
      <c r="B4536" s="0" t="s">
        <v>1467</v>
      </c>
      <c r="C4536" s="0" t="s">
        <v>6096</v>
      </c>
      <c r="D4536" s="0" t="s">
        <v>98</v>
      </c>
      <c r="E4536" s="0" t="s">
        <v>5290</v>
      </c>
    </row>
    <row r="4537" customFormat="false" ht="15" hidden="false" customHeight="false" outlineLevel="0" collapsed="false">
      <c r="A4537" s="0" t="s">
        <v>5241</v>
      </c>
      <c r="B4537" s="0" t="s">
        <v>1469</v>
      </c>
      <c r="C4537" s="0" t="s">
        <v>6097</v>
      </c>
      <c r="D4537" s="0" t="s">
        <v>98</v>
      </c>
      <c r="E4537" s="0" t="s">
        <v>5290</v>
      </c>
    </row>
    <row r="4538" customFormat="false" ht="15" hidden="false" customHeight="false" outlineLevel="0" collapsed="false">
      <c r="A4538" s="0" t="s">
        <v>5241</v>
      </c>
      <c r="B4538" s="0" t="s">
        <v>1471</v>
      </c>
      <c r="C4538" s="0" t="s">
        <v>6098</v>
      </c>
      <c r="D4538" s="0" t="s">
        <v>98</v>
      </c>
      <c r="E4538" s="0" t="s">
        <v>5290</v>
      </c>
    </row>
    <row r="4539" customFormat="false" ht="15" hidden="false" customHeight="false" outlineLevel="0" collapsed="false">
      <c r="A4539" s="0" t="s">
        <v>5241</v>
      </c>
      <c r="B4539" s="0" t="s">
        <v>1473</v>
      </c>
      <c r="C4539" s="0" t="s">
        <v>6099</v>
      </c>
      <c r="D4539" s="0" t="s">
        <v>98</v>
      </c>
      <c r="E4539" s="0" t="s">
        <v>5290</v>
      </c>
    </row>
    <row r="4540" customFormat="false" ht="15" hidden="false" customHeight="false" outlineLevel="0" collapsed="false">
      <c r="A4540" s="0" t="s">
        <v>5241</v>
      </c>
      <c r="B4540" s="0" t="s">
        <v>1475</v>
      </c>
      <c r="C4540" s="0" t="s">
        <v>6100</v>
      </c>
      <c r="D4540" s="0" t="s">
        <v>98</v>
      </c>
      <c r="E4540" s="0" t="s">
        <v>5290</v>
      </c>
    </row>
    <row r="4541" customFormat="false" ht="15" hidden="false" customHeight="false" outlineLevel="0" collapsed="false">
      <c r="A4541" s="0" t="s">
        <v>5241</v>
      </c>
      <c r="B4541" s="0" t="s">
        <v>1477</v>
      </c>
      <c r="C4541" s="0" t="s">
        <v>6101</v>
      </c>
      <c r="D4541" s="0" t="s">
        <v>98</v>
      </c>
      <c r="E4541" s="0" t="s">
        <v>5290</v>
      </c>
    </row>
    <row r="4542" customFormat="false" ht="15" hidden="false" customHeight="false" outlineLevel="0" collapsed="false">
      <c r="A4542" s="0" t="s">
        <v>5241</v>
      </c>
      <c r="B4542" s="0" t="s">
        <v>1479</v>
      </c>
      <c r="C4542" s="0" t="s">
        <v>6102</v>
      </c>
      <c r="D4542" s="0" t="s">
        <v>98</v>
      </c>
      <c r="E4542" s="0" t="s">
        <v>5290</v>
      </c>
    </row>
    <row r="4543" customFormat="false" ht="15" hidden="false" customHeight="false" outlineLevel="0" collapsed="false">
      <c r="A4543" s="0" t="s">
        <v>5241</v>
      </c>
      <c r="B4543" s="0" t="s">
        <v>1481</v>
      </c>
      <c r="C4543" s="0" t="s">
        <v>6103</v>
      </c>
      <c r="D4543" s="0" t="s">
        <v>98</v>
      </c>
      <c r="E4543" s="0" t="s">
        <v>5290</v>
      </c>
    </row>
    <row r="4544" customFormat="false" ht="15" hidden="false" customHeight="false" outlineLevel="0" collapsed="false">
      <c r="A4544" s="0" t="s">
        <v>5241</v>
      </c>
      <c r="B4544" s="0" t="s">
        <v>1483</v>
      </c>
      <c r="C4544" s="0" t="s">
        <v>6104</v>
      </c>
      <c r="D4544" s="0" t="s">
        <v>98</v>
      </c>
      <c r="E4544" s="0" t="s">
        <v>5290</v>
      </c>
    </row>
    <row r="4545" customFormat="false" ht="15" hidden="false" customHeight="false" outlineLevel="0" collapsed="false">
      <c r="A4545" s="0" t="s">
        <v>5241</v>
      </c>
      <c r="B4545" s="0" t="s">
        <v>1485</v>
      </c>
      <c r="C4545" s="0" t="s">
        <v>6105</v>
      </c>
      <c r="D4545" s="0" t="s">
        <v>98</v>
      </c>
      <c r="E4545" s="0" t="s">
        <v>5290</v>
      </c>
    </row>
    <row r="4546" customFormat="false" ht="15" hidden="false" customHeight="false" outlineLevel="0" collapsed="false">
      <c r="A4546" s="0" t="s">
        <v>5241</v>
      </c>
      <c r="B4546" s="0" t="s">
        <v>1487</v>
      </c>
      <c r="C4546" s="0" t="s">
        <v>6106</v>
      </c>
      <c r="D4546" s="0" t="s">
        <v>98</v>
      </c>
      <c r="E4546" s="0" t="s">
        <v>5290</v>
      </c>
    </row>
    <row r="4547" customFormat="false" ht="15" hidden="false" customHeight="false" outlineLevel="0" collapsed="false">
      <c r="A4547" s="0" t="s">
        <v>5241</v>
      </c>
      <c r="B4547" s="0" t="s">
        <v>1489</v>
      </c>
      <c r="C4547" s="0" t="s">
        <v>6107</v>
      </c>
      <c r="D4547" s="0" t="s">
        <v>98</v>
      </c>
      <c r="E4547" s="0" t="s">
        <v>5290</v>
      </c>
    </row>
    <row r="4548" customFormat="false" ht="15" hidden="false" customHeight="false" outlineLevel="0" collapsed="false">
      <c r="A4548" s="0" t="s">
        <v>5241</v>
      </c>
      <c r="B4548" s="0" t="s">
        <v>1491</v>
      </c>
      <c r="C4548" s="0" t="s">
        <v>6108</v>
      </c>
      <c r="D4548" s="0" t="s">
        <v>98</v>
      </c>
      <c r="E4548" s="0" t="s">
        <v>5290</v>
      </c>
    </row>
    <row r="4549" customFormat="false" ht="15" hidden="false" customHeight="false" outlineLevel="0" collapsed="false">
      <c r="A4549" s="0" t="s">
        <v>5241</v>
      </c>
      <c r="B4549" s="0" t="s">
        <v>1493</v>
      </c>
      <c r="C4549" s="0" t="s">
        <v>6109</v>
      </c>
      <c r="D4549" s="0" t="s">
        <v>98</v>
      </c>
      <c r="E4549" s="0" t="s">
        <v>5290</v>
      </c>
    </row>
    <row r="4550" customFormat="false" ht="15" hidden="false" customHeight="false" outlineLevel="0" collapsed="false">
      <c r="A4550" s="0" t="s">
        <v>5241</v>
      </c>
      <c r="B4550" s="0" t="s">
        <v>1495</v>
      </c>
      <c r="C4550" s="0" t="s">
        <v>6110</v>
      </c>
      <c r="D4550" s="0" t="s">
        <v>98</v>
      </c>
      <c r="E4550" s="0" t="s">
        <v>5290</v>
      </c>
    </row>
    <row r="4551" customFormat="false" ht="15" hidden="false" customHeight="false" outlineLevel="0" collapsed="false">
      <c r="A4551" s="0" t="s">
        <v>5241</v>
      </c>
      <c r="B4551" s="0" t="s">
        <v>1497</v>
      </c>
      <c r="C4551" s="0" t="s">
        <v>6111</v>
      </c>
      <c r="D4551" s="0" t="s">
        <v>98</v>
      </c>
      <c r="E4551" s="0" t="s">
        <v>5290</v>
      </c>
    </row>
    <row r="4552" customFormat="false" ht="15" hidden="false" customHeight="false" outlineLevel="0" collapsed="false">
      <c r="A4552" s="0" t="s">
        <v>5241</v>
      </c>
      <c r="B4552" s="0" t="s">
        <v>1499</v>
      </c>
      <c r="C4552" s="0" t="s">
        <v>6112</v>
      </c>
      <c r="D4552" s="0" t="s">
        <v>98</v>
      </c>
      <c r="E4552" s="0" t="s">
        <v>5290</v>
      </c>
    </row>
    <row r="4553" customFormat="false" ht="15" hidden="false" customHeight="false" outlineLevel="0" collapsed="false">
      <c r="A4553" s="0" t="s">
        <v>5241</v>
      </c>
      <c r="B4553" s="0" t="s">
        <v>1501</v>
      </c>
      <c r="C4553" s="0" t="s">
        <v>6113</v>
      </c>
      <c r="D4553" s="0" t="s">
        <v>98</v>
      </c>
      <c r="E4553" s="0" t="s">
        <v>5290</v>
      </c>
    </row>
    <row r="4554" customFormat="false" ht="15" hidden="false" customHeight="false" outlineLevel="0" collapsed="false">
      <c r="A4554" s="0" t="s">
        <v>5241</v>
      </c>
      <c r="B4554" s="0" t="s">
        <v>1503</v>
      </c>
      <c r="C4554" s="0" t="s">
        <v>6114</v>
      </c>
      <c r="D4554" s="0" t="s">
        <v>98</v>
      </c>
      <c r="E4554" s="0" t="s">
        <v>5290</v>
      </c>
    </row>
    <row r="4555" customFormat="false" ht="15" hidden="false" customHeight="false" outlineLevel="0" collapsed="false">
      <c r="A4555" s="0" t="s">
        <v>5241</v>
      </c>
      <c r="B4555" s="0" t="s">
        <v>1505</v>
      </c>
      <c r="C4555" s="0" t="s">
        <v>6115</v>
      </c>
      <c r="D4555" s="0" t="s">
        <v>98</v>
      </c>
      <c r="E4555" s="0" t="s">
        <v>5290</v>
      </c>
    </row>
    <row r="4556" customFormat="false" ht="15" hidden="false" customHeight="false" outlineLevel="0" collapsed="false">
      <c r="A4556" s="0" t="s">
        <v>5241</v>
      </c>
      <c r="B4556" s="0" t="s">
        <v>1507</v>
      </c>
      <c r="C4556" s="0" t="s">
        <v>6116</v>
      </c>
      <c r="D4556" s="0" t="s">
        <v>98</v>
      </c>
      <c r="E4556" s="0" t="s">
        <v>5290</v>
      </c>
    </row>
    <row r="4557" customFormat="false" ht="15" hidden="false" customHeight="false" outlineLevel="0" collapsed="false">
      <c r="A4557" s="0" t="s">
        <v>5241</v>
      </c>
      <c r="B4557" s="0" t="s">
        <v>1509</v>
      </c>
      <c r="C4557" s="0" t="s">
        <v>6117</v>
      </c>
      <c r="D4557" s="0" t="s">
        <v>98</v>
      </c>
      <c r="E4557" s="0" t="s">
        <v>5290</v>
      </c>
    </row>
    <row r="4558" customFormat="false" ht="15" hidden="false" customHeight="false" outlineLevel="0" collapsed="false">
      <c r="A4558" s="0" t="s">
        <v>5241</v>
      </c>
      <c r="B4558" s="0" t="s">
        <v>1511</v>
      </c>
      <c r="C4558" s="0" t="s">
        <v>6118</v>
      </c>
      <c r="D4558" s="0" t="s">
        <v>98</v>
      </c>
      <c r="E4558" s="0" t="s">
        <v>5290</v>
      </c>
    </row>
    <row r="4559" customFormat="false" ht="15" hidden="false" customHeight="false" outlineLevel="0" collapsed="false">
      <c r="A4559" s="0" t="s">
        <v>5241</v>
      </c>
      <c r="B4559" s="0" t="s">
        <v>5118</v>
      </c>
      <c r="C4559" s="0" t="s">
        <v>6119</v>
      </c>
      <c r="D4559" s="0" t="s">
        <v>98</v>
      </c>
      <c r="E4559" s="0" t="s">
        <v>5244</v>
      </c>
    </row>
    <row r="4560" customFormat="false" ht="15" hidden="false" customHeight="false" outlineLevel="0" collapsed="false">
      <c r="A4560" s="0" t="s">
        <v>5241</v>
      </c>
      <c r="B4560" s="0" t="s">
        <v>5120</v>
      </c>
      <c r="C4560" s="0" t="s">
        <v>6120</v>
      </c>
      <c r="D4560" s="0" t="s">
        <v>98</v>
      </c>
      <c r="E4560" s="0" t="s">
        <v>5244</v>
      </c>
    </row>
    <row r="4561" customFormat="false" ht="15" hidden="false" customHeight="false" outlineLevel="0" collapsed="false">
      <c r="A4561" s="0" t="s">
        <v>5241</v>
      </c>
      <c r="B4561" s="0" t="s">
        <v>5122</v>
      </c>
      <c r="C4561" s="0" t="s">
        <v>6121</v>
      </c>
      <c r="D4561" s="0" t="s">
        <v>98</v>
      </c>
      <c r="E4561" s="0" t="s">
        <v>5244</v>
      </c>
    </row>
    <row r="4562" customFormat="false" ht="15" hidden="false" customHeight="false" outlineLevel="0" collapsed="false">
      <c r="A4562" s="0" t="s">
        <v>5241</v>
      </c>
      <c r="B4562" s="0" t="s">
        <v>5124</v>
      </c>
      <c r="C4562" s="0" t="s">
        <v>6122</v>
      </c>
      <c r="D4562" s="0" t="s">
        <v>98</v>
      </c>
      <c r="E4562" s="0" t="s">
        <v>5244</v>
      </c>
    </row>
    <row r="4563" customFormat="false" ht="15" hidden="false" customHeight="false" outlineLevel="0" collapsed="false">
      <c r="A4563" s="0" t="s">
        <v>5241</v>
      </c>
      <c r="B4563" s="0" t="s">
        <v>5126</v>
      </c>
      <c r="C4563" s="0" t="s">
        <v>6123</v>
      </c>
      <c r="D4563" s="0" t="s">
        <v>98</v>
      </c>
      <c r="E4563" s="0" t="s">
        <v>5244</v>
      </c>
    </row>
    <row r="4564" customFormat="false" ht="15" hidden="false" customHeight="false" outlineLevel="0" collapsed="false">
      <c r="A4564" s="0" t="s">
        <v>5241</v>
      </c>
      <c r="B4564" s="0" t="s">
        <v>5128</v>
      </c>
      <c r="C4564" s="0" t="s">
        <v>6124</v>
      </c>
      <c r="D4564" s="0" t="s">
        <v>98</v>
      </c>
      <c r="E4564" s="0" t="s">
        <v>5244</v>
      </c>
    </row>
    <row r="4565" customFormat="false" ht="15" hidden="false" customHeight="false" outlineLevel="0" collapsed="false">
      <c r="A4565" s="0" t="s">
        <v>5241</v>
      </c>
      <c r="B4565" s="0" t="s">
        <v>5130</v>
      </c>
      <c r="C4565" s="0" t="s">
        <v>6125</v>
      </c>
      <c r="D4565" s="0" t="s">
        <v>98</v>
      </c>
      <c r="E4565" s="0" t="s">
        <v>5244</v>
      </c>
    </row>
    <row r="4566" customFormat="false" ht="15" hidden="false" customHeight="false" outlineLevel="0" collapsed="false">
      <c r="A4566" s="0" t="s">
        <v>5241</v>
      </c>
      <c r="B4566" s="0" t="s">
        <v>5132</v>
      </c>
      <c r="C4566" s="0" t="s">
        <v>6126</v>
      </c>
      <c r="D4566" s="0" t="s">
        <v>98</v>
      </c>
      <c r="E4566" s="0" t="s">
        <v>5244</v>
      </c>
    </row>
    <row r="4567" customFormat="false" ht="15" hidden="false" customHeight="false" outlineLevel="0" collapsed="false">
      <c r="A4567" s="0" t="s">
        <v>5241</v>
      </c>
      <c r="B4567" s="0" t="s">
        <v>5134</v>
      </c>
      <c r="C4567" s="0" t="s">
        <v>6127</v>
      </c>
      <c r="D4567" s="0" t="s">
        <v>98</v>
      </c>
      <c r="E4567" s="0" t="s">
        <v>5244</v>
      </c>
    </row>
    <row r="4568" customFormat="false" ht="15" hidden="false" customHeight="false" outlineLevel="0" collapsed="false">
      <c r="A4568" s="0" t="s">
        <v>5241</v>
      </c>
      <c r="B4568" s="0" t="s">
        <v>5136</v>
      </c>
      <c r="C4568" s="0" t="s">
        <v>6128</v>
      </c>
      <c r="D4568" s="0" t="s">
        <v>98</v>
      </c>
      <c r="E4568" s="0" t="s">
        <v>5244</v>
      </c>
    </row>
    <row r="4569" customFormat="false" ht="15" hidden="false" customHeight="false" outlineLevel="0" collapsed="false">
      <c r="A4569" s="0" t="s">
        <v>5241</v>
      </c>
      <c r="B4569" s="0" t="s">
        <v>5138</v>
      </c>
      <c r="C4569" s="0" t="s">
        <v>6129</v>
      </c>
      <c r="D4569" s="0" t="s">
        <v>98</v>
      </c>
      <c r="E4569" s="0" t="s">
        <v>5244</v>
      </c>
    </row>
    <row r="4570" customFormat="false" ht="15" hidden="false" customHeight="false" outlineLevel="0" collapsed="false">
      <c r="A4570" s="0" t="s">
        <v>5241</v>
      </c>
      <c r="B4570" s="0" t="s">
        <v>5140</v>
      </c>
      <c r="C4570" s="0" t="s">
        <v>6130</v>
      </c>
      <c r="D4570" s="0" t="s">
        <v>98</v>
      </c>
      <c r="E4570" s="0" t="s">
        <v>5244</v>
      </c>
    </row>
    <row r="4571" customFormat="false" ht="15" hidden="false" customHeight="false" outlineLevel="0" collapsed="false">
      <c r="A4571" s="0" t="s">
        <v>5241</v>
      </c>
      <c r="B4571" s="0" t="s">
        <v>5142</v>
      </c>
      <c r="C4571" s="0" t="s">
        <v>6131</v>
      </c>
      <c r="D4571" s="0" t="s">
        <v>98</v>
      </c>
      <c r="E4571" s="0" t="s">
        <v>5244</v>
      </c>
    </row>
    <row r="4572" customFormat="false" ht="15" hidden="false" customHeight="false" outlineLevel="0" collapsed="false">
      <c r="A4572" s="0" t="s">
        <v>5241</v>
      </c>
      <c r="B4572" s="0" t="s">
        <v>5144</v>
      </c>
      <c r="C4572" s="0" t="s">
        <v>6132</v>
      </c>
      <c r="D4572" s="0" t="s">
        <v>98</v>
      </c>
      <c r="E4572" s="0" t="s">
        <v>5244</v>
      </c>
    </row>
    <row r="4573" customFormat="false" ht="15" hidden="false" customHeight="false" outlineLevel="0" collapsed="false">
      <c r="A4573" s="0" t="s">
        <v>5241</v>
      </c>
      <c r="B4573" s="0" t="s">
        <v>5146</v>
      </c>
      <c r="C4573" s="0" t="s">
        <v>6133</v>
      </c>
      <c r="D4573" s="0" t="s">
        <v>98</v>
      </c>
      <c r="E4573" s="0" t="s">
        <v>5244</v>
      </c>
    </row>
    <row r="4574" customFormat="false" ht="15" hidden="false" customHeight="false" outlineLevel="0" collapsed="false">
      <c r="A4574" s="0" t="s">
        <v>5241</v>
      </c>
      <c r="B4574" s="0" t="s">
        <v>1513</v>
      </c>
      <c r="C4574" s="0" t="s">
        <v>6134</v>
      </c>
      <c r="D4574" s="0" t="s">
        <v>98</v>
      </c>
      <c r="E4574" s="0" t="s">
        <v>5244</v>
      </c>
    </row>
    <row r="4575" customFormat="false" ht="15" hidden="false" customHeight="false" outlineLevel="0" collapsed="false">
      <c r="A4575" s="0" t="s">
        <v>5241</v>
      </c>
      <c r="B4575" s="0" t="s">
        <v>5149</v>
      </c>
      <c r="C4575" s="0" t="s">
        <v>6135</v>
      </c>
      <c r="D4575" s="0" t="s">
        <v>98</v>
      </c>
      <c r="E4575" s="0" t="s">
        <v>5244</v>
      </c>
    </row>
    <row r="4576" customFormat="false" ht="15" hidden="false" customHeight="false" outlineLevel="0" collapsed="false">
      <c r="A4576" s="0" t="s">
        <v>5241</v>
      </c>
      <c r="B4576" s="0" t="s">
        <v>5151</v>
      </c>
      <c r="C4576" s="0" t="s">
        <v>6136</v>
      </c>
      <c r="D4576" s="0" t="s">
        <v>98</v>
      </c>
      <c r="E4576" s="0" t="s">
        <v>5244</v>
      </c>
    </row>
    <row r="4577" customFormat="false" ht="15" hidden="false" customHeight="false" outlineLevel="0" collapsed="false">
      <c r="A4577" s="0" t="s">
        <v>5241</v>
      </c>
      <c r="B4577" s="0" t="s">
        <v>5153</v>
      </c>
      <c r="C4577" s="0" t="s">
        <v>6137</v>
      </c>
      <c r="D4577" s="0" t="s">
        <v>98</v>
      </c>
      <c r="E4577" s="0" t="s">
        <v>5244</v>
      </c>
    </row>
    <row r="4578" customFormat="false" ht="15" hidden="false" customHeight="false" outlineLevel="0" collapsed="false">
      <c r="A4578" s="0" t="s">
        <v>5241</v>
      </c>
      <c r="B4578" s="0" t="s">
        <v>5155</v>
      </c>
      <c r="C4578" s="0" t="s">
        <v>6138</v>
      </c>
      <c r="D4578" s="0" t="s">
        <v>98</v>
      </c>
      <c r="E4578" s="0" t="s">
        <v>5244</v>
      </c>
    </row>
    <row r="4579" customFormat="false" ht="15" hidden="false" customHeight="false" outlineLevel="0" collapsed="false">
      <c r="A4579" s="0" t="s">
        <v>5241</v>
      </c>
      <c r="B4579" s="0" t="s">
        <v>5157</v>
      </c>
      <c r="C4579" s="0" t="s">
        <v>6139</v>
      </c>
      <c r="D4579" s="0" t="s">
        <v>98</v>
      </c>
      <c r="E4579" s="0" t="s">
        <v>5244</v>
      </c>
    </row>
    <row r="4580" customFormat="false" ht="15" hidden="false" customHeight="false" outlineLevel="0" collapsed="false">
      <c r="A4580" s="0" t="s">
        <v>5241</v>
      </c>
      <c r="B4580" s="0" t="s">
        <v>5159</v>
      </c>
      <c r="C4580" s="0" t="s">
        <v>6140</v>
      </c>
      <c r="D4580" s="0" t="s">
        <v>98</v>
      </c>
      <c r="E4580" s="0" t="s">
        <v>5244</v>
      </c>
    </row>
    <row r="4581" customFormat="false" ht="15" hidden="false" customHeight="false" outlineLevel="0" collapsed="false">
      <c r="A4581" s="0" t="s">
        <v>5241</v>
      </c>
      <c r="B4581" s="0" t="s">
        <v>5161</v>
      </c>
      <c r="C4581" s="0" t="s">
        <v>6141</v>
      </c>
      <c r="D4581" s="0" t="s">
        <v>98</v>
      </c>
      <c r="E4581" s="0" t="s">
        <v>5244</v>
      </c>
    </row>
    <row r="4582" customFormat="false" ht="15" hidden="false" customHeight="false" outlineLevel="0" collapsed="false">
      <c r="A4582" s="0" t="s">
        <v>5241</v>
      </c>
      <c r="B4582" s="0" t="s">
        <v>5163</v>
      </c>
      <c r="C4582" s="0" t="s">
        <v>6142</v>
      </c>
      <c r="D4582" s="0" t="s">
        <v>98</v>
      </c>
      <c r="E4582" s="0" t="s">
        <v>5244</v>
      </c>
    </row>
    <row r="4583" customFormat="false" ht="15" hidden="false" customHeight="false" outlineLevel="0" collapsed="false">
      <c r="A4583" s="0" t="s">
        <v>5241</v>
      </c>
      <c r="B4583" s="0" t="s">
        <v>5165</v>
      </c>
      <c r="C4583" s="0" t="s">
        <v>6143</v>
      </c>
      <c r="D4583" s="0" t="s">
        <v>98</v>
      </c>
      <c r="E4583" s="0" t="s">
        <v>5244</v>
      </c>
    </row>
    <row r="4584" customFormat="false" ht="15" hidden="false" customHeight="false" outlineLevel="0" collapsed="false">
      <c r="A4584" s="0" t="s">
        <v>5241</v>
      </c>
      <c r="B4584" s="0" t="s">
        <v>5167</v>
      </c>
      <c r="C4584" s="0" t="s">
        <v>6144</v>
      </c>
      <c r="D4584" s="0" t="s">
        <v>98</v>
      </c>
      <c r="E4584" s="0" t="s">
        <v>5244</v>
      </c>
    </row>
    <row r="4585" customFormat="false" ht="15" hidden="false" customHeight="false" outlineLevel="0" collapsed="false">
      <c r="A4585" s="0" t="s">
        <v>5241</v>
      </c>
      <c r="B4585" s="0" t="s">
        <v>5169</v>
      </c>
      <c r="C4585" s="0" t="s">
        <v>6145</v>
      </c>
      <c r="D4585" s="0" t="s">
        <v>98</v>
      </c>
      <c r="E4585" s="0" t="s">
        <v>5244</v>
      </c>
    </row>
    <row r="4586" customFormat="false" ht="15" hidden="false" customHeight="false" outlineLevel="0" collapsed="false">
      <c r="A4586" s="0" t="s">
        <v>5241</v>
      </c>
      <c r="B4586" s="0" t="s">
        <v>5171</v>
      </c>
      <c r="C4586" s="0" t="s">
        <v>6146</v>
      </c>
      <c r="D4586" s="0" t="s">
        <v>98</v>
      </c>
      <c r="E4586" s="0" t="s">
        <v>5244</v>
      </c>
    </row>
    <row r="4587" customFormat="false" ht="15" hidden="false" customHeight="false" outlineLevel="0" collapsed="false">
      <c r="A4587" s="0" t="s">
        <v>5241</v>
      </c>
      <c r="B4587" s="0" t="s">
        <v>5173</v>
      </c>
      <c r="C4587" s="0" t="s">
        <v>6147</v>
      </c>
      <c r="D4587" s="0" t="s">
        <v>98</v>
      </c>
      <c r="E4587" s="0" t="s">
        <v>5290</v>
      </c>
    </row>
    <row r="4588" customFormat="false" ht="15" hidden="false" customHeight="false" outlineLevel="0" collapsed="false">
      <c r="A4588" s="0" t="s">
        <v>5241</v>
      </c>
      <c r="B4588" s="0" t="s">
        <v>5175</v>
      </c>
      <c r="C4588" s="0" t="s">
        <v>6148</v>
      </c>
      <c r="D4588" s="0" t="s">
        <v>98</v>
      </c>
      <c r="E4588" s="0" t="s">
        <v>5290</v>
      </c>
    </row>
    <row r="4589" customFormat="false" ht="15" hidden="false" customHeight="false" outlineLevel="0" collapsed="false">
      <c r="A4589" s="0" t="s">
        <v>5241</v>
      </c>
      <c r="B4589" s="0" t="s">
        <v>5177</v>
      </c>
      <c r="C4589" s="0" t="s">
        <v>6149</v>
      </c>
      <c r="D4589" s="0" t="s">
        <v>98</v>
      </c>
      <c r="E4589" s="0" t="s">
        <v>5290</v>
      </c>
    </row>
    <row r="4590" customFormat="false" ht="15" hidden="false" customHeight="false" outlineLevel="0" collapsed="false">
      <c r="A4590" s="0" t="s">
        <v>5241</v>
      </c>
      <c r="B4590" s="0" t="s">
        <v>1515</v>
      </c>
      <c r="C4590" s="0" t="s">
        <v>6150</v>
      </c>
      <c r="D4590" s="0" t="s">
        <v>98</v>
      </c>
      <c r="E4590" s="0" t="s">
        <v>5290</v>
      </c>
    </row>
    <row r="4591" customFormat="false" ht="15" hidden="false" customHeight="false" outlineLevel="0" collapsed="false">
      <c r="A4591" s="0" t="s">
        <v>5241</v>
      </c>
      <c r="B4591" s="0" t="s">
        <v>1516</v>
      </c>
      <c r="C4591" s="0" t="s">
        <v>6151</v>
      </c>
      <c r="D4591" s="0" t="s">
        <v>98</v>
      </c>
      <c r="E4591" s="0" t="s">
        <v>5290</v>
      </c>
    </row>
    <row r="4592" customFormat="false" ht="15" hidden="false" customHeight="false" outlineLevel="0" collapsed="false">
      <c r="A4592" s="0" t="s">
        <v>5241</v>
      </c>
      <c r="B4592" s="0" t="s">
        <v>1517</v>
      </c>
      <c r="C4592" s="0" t="s">
        <v>6152</v>
      </c>
      <c r="D4592" s="0" t="s">
        <v>98</v>
      </c>
      <c r="E4592" s="0" t="s">
        <v>5290</v>
      </c>
    </row>
    <row r="4593" customFormat="false" ht="15" hidden="false" customHeight="false" outlineLevel="0" collapsed="false">
      <c r="A4593" s="0" t="s">
        <v>5241</v>
      </c>
      <c r="B4593" s="0" t="s">
        <v>1518</v>
      </c>
      <c r="C4593" s="0" t="s">
        <v>6153</v>
      </c>
      <c r="D4593" s="0" t="s">
        <v>98</v>
      </c>
      <c r="E4593" s="0" t="s">
        <v>5290</v>
      </c>
    </row>
    <row r="4594" customFormat="false" ht="15" hidden="false" customHeight="false" outlineLevel="0" collapsed="false">
      <c r="A4594" s="0" t="s">
        <v>5241</v>
      </c>
      <c r="B4594" s="0" t="s">
        <v>1519</v>
      </c>
      <c r="C4594" s="0" t="s">
        <v>6154</v>
      </c>
      <c r="D4594" s="0" t="s">
        <v>98</v>
      </c>
      <c r="E4594" s="0" t="s">
        <v>5290</v>
      </c>
    </row>
    <row r="4595" customFormat="false" ht="15" hidden="false" customHeight="false" outlineLevel="0" collapsed="false">
      <c r="A4595" s="0" t="s">
        <v>5241</v>
      </c>
      <c r="B4595" s="0" t="s">
        <v>1520</v>
      </c>
      <c r="C4595" s="0" t="s">
        <v>6155</v>
      </c>
      <c r="D4595" s="0" t="s">
        <v>98</v>
      </c>
      <c r="E4595" s="0" t="s">
        <v>5290</v>
      </c>
    </row>
    <row r="4596" customFormat="false" ht="15" hidden="false" customHeight="false" outlineLevel="0" collapsed="false">
      <c r="A4596" s="0" t="s">
        <v>5241</v>
      </c>
      <c r="B4596" s="0" t="s">
        <v>1521</v>
      </c>
      <c r="C4596" s="0" t="s">
        <v>6156</v>
      </c>
      <c r="D4596" s="0" t="s">
        <v>98</v>
      </c>
      <c r="E4596" s="0" t="s">
        <v>5290</v>
      </c>
    </row>
    <row r="4597" customFormat="false" ht="15" hidden="false" customHeight="false" outlineLevel="0" collapsed="false">
      <c r="A4597" s="0" t="s">
        <v>5241</v>
      </c>
      <c r="B4597" s="0" t="s">
        <v>1522</v>
      </c>
      <c r="C4597" s="0" t="s">
        <v>6157</v>
      </c>
      <c r="D4597" s="0" t="s">
        <v>98</v>
      </c>
      <c r="E4597" s="0" t="s">
        <v>5290</v>
      </c>
    </row>
    <row r="4598" customFormat="false" ht="15" hidden="false" customHeight="false" outlineLevel="0" collapsed="false">
      <c r="A4598" s="0" t="s">
        <v>5241</v>
      </c>
      <c r="B4598" s="0" t="s">
        <v>1523</v>
      </c>
      <c r="C4598" s="0" t="s">
        <v>6158</v>
      </c>
      <c r="D4598" s="0" t="s">
        <v>98</v>
      </c>
      <c r="E4598" s="0" t="s">
        <v>5290</v>
      </c>
    </row>
    <row r="4599" customFormat="false" ht="15" hidden="false" customHeight="false" outlineLevel="0" collapsed="false">
      <c r="A4599" s="0" t="s">
        <v>5241</v>
      </c>
      <c r="B4599" s="0" t="s">
        <v>1524</v>
      </c>
      <c r="C4599" s="0" t="s">
        <v>6159</v>
      </c>
      <c r="D4599" s="0" t="s">
        <v>98</v>
      </c>
      <c r="E4599" s="0" t="s">
        <v>5290</v>
      </c>
    </row>
    <row r="4600" customFormat="false" ht="15" hidden="false" customHeight="false" outlineLevel="0" collapsed="false">
      <c r="A4600" s="0" t="s">
        <v>5241</v>
      </c>
      <c r="B4600" s="0" t="s">
        <v>1525</v>
      </c>
      <c r="C4600" s="0" t="s">
        <v>6160</v>
      </c>
      <c r="D4600" s="0" t="s">
        <v>98</v>
      </c>
      <c r="E4600" s="0" t="s">
        <v>5290</v>
      </c>
    </row>
    <row r="4601" customFormat="false" ht="15" hidden="false" customHeight="false" outlineLevel="0" collapsed="false">
      <c r="A4601" s="0" t="s">
        <v>5241</v>
      </c>
      <c r="B4601" s="0" t="s">
        <v>1526</v>
      </c>
      <c r="C4601" s="0" t="s">
        <v>6161</v>
      </c>
      <c r="D4601" s="0" t="s">
        <v>98</v>
      </c>
      <c r="E4601" s="0" t="s">
        <v>5290</v>
      </c>
    </row>
    <row r="4602" customFormat="false" ht="15" hidden="false" customHeight="false" outlineLevel="0" collapsed="false">
      <c r="A4602" s="0" t="s">
        <v>5241</v>
      </c>
      <c r="B4602" s="0" t="s">
        <v>1527</v>
      </c>
      <c r="C4602" s="0" t="s">
        <v>6162</v>
      </c>
      <c r="D4602" s="0" t="s">
        <v>98</v>
      </c>
      <c r="E4602" s="0" t="s">
        <v>5290</v>
      </c>
    </row>
    <row r="4603" customFormat="false" ht="15" hidden="false" customHeight="false" outlineLevel="0" collapsed="false">
      <c r="A4603" s="0" t="s">
        <v>5241</v>
      </c>
      <c r="B4603" s="0" t="s">
        <v>1528</v>
      </c>
      <c r="C4603" s="0" t="s">
        <v>6163</v>
      </c>
      <c r="D4603" s="0" t="s">
        <v>98</v>
      </c>
      <c r="E4603" s="0" t="s">
        <v>5290</v>
      </c>
    </row>
    <row r="4604" customFormat="false" ht="15" hidden="false" customHeight="false" outlineLevel="0" collapsed="false">
      <c r="A4604" s="0" t="s">
        <v>5241</v>
      </c>
      <c r="B4604" s="0" t="s">
        <v>1529</v>
      </c>
      <c r="C4604" s="0" t="s">
        <v>6164</v>
      </c>
      <c r="D4604" s="0" t="s">
        <v>98</v>
      </c>
      <c r="E4604" s="0" t="s">
        <v>5290</v>
      </c>
    </row>
    <row r="4605" customFormat="false" ht="15" hidden="false" customHeight="false" outlineLevel="0" collapsed="false">
      <c r="A4605" s="0" t="s">
        <v>5241</v>
      </c>
      <c r="B4605" s="0" t="s">
        <v>1530</v>
      </c>
      <c r="C4605" s="0" t="s">
        <v>6165</v>
      </c>
      <c r="D4605" s="0" t="s">
        <v>98</v>
      </c>
      <c r="E4605" s="0" t="s">
        <v>5290</v>
      </c>
    </row>
    <row r="4606" customFormat="false" ht="15" hidden="false" customHeight="false" outlineLevel="0" collapsed="false">
      <c r="A4606" s="0" t="s">
        <v>5241</v>
      </c>
      <c r="B4606" s="0" t="s">
        <v>1531</v>
      </c>
      <c r="C4606" s="0" t="s">
        <v>6166</v>
      </c>
      <c r="D4606" s="0" t="s">
        <v>98</v>
      </c>
      <c r="E4606" s="0" t="s">
        <v>5290</v>
      </c>
    </row>
    <row r="4607" customFormat="false" ht="15" hidden="false" customHeight="false" outlineLevel="0" collapsed="false">
      <c r="A4607" s="0" t="s">
        <v>5241</v>
      </c>
      <c r="B4607" s="0" t="s">
        <v>1532</v>
      </c>
      <c r="C4607" s="0" t="s">
        <v>6167</v>
      </c>
      <c r="D4607" s="0" t="s">
        <v>98</v>
      </c>
      <c r="E4607" s="0" t="s">
        <v>5290</v>
      </c>
    </row>
    <row r="4608" customFormat="false" ht="15" hidden="false" customHeight="false" outlineLevel="0" collapsed="false">
      <c r="A4608" s="0" t="s">
        <v>5241</v>
      </c>
      <c r="B4608" s="0" t="s">
        <v>1533</v>
      </c>
      <c r="C4608" s="0" t="s">
        <v>6168</v>
      </c>
      <c r="D4608" s="0" t="s">
        <v>98</v>
      </c>
      <c r="E4608" s="0" t="s">
        <v>5290</v>
      </c>
    </row>
    <row r="4609" customFormat="false" ht="15" hidden="false" customHeight="false" outlineLevel="0" collapsed="false">
      <c r="A4609" s="0" t="s">
        <v>5241</v>
      </c>
      <c r="B4609" s="0" t="s">
        <v>1534</v>
      </c>
      <c r="C4609" s="0" t="s">
        <v>6169</v>
      </c>
      <c r="D4609" s="0" t="s">
        <v>98</v>
      </c>
      <c r="E4609" s="0" t="s">
        <v>5290</v>
      </c>
    </row>
    <row r="4610" customFormat="false" ht="15" hidden="false" customHeight="false" outlineLevel="0" collapsed="false">
      <c r="A4610" s="0" t="s">
        <v>5241</v>
      </c>
      <c r="B4610" s="0" t="s">
        <v>1535</v>
      </c>
      <c r="C4610" s="0" t="s">
        <v>6170</v>
      </c>
      <c r="D4610" s="0" t="s">
        <v>98</v>
      </c>
      <c r="E4610" s="0" t="s">
        <v>5290</v>
      </c>
    </row>
    <row r="4611" customFormat="false" ht="15" hidden="false" customHeight="false" outlineLevel="0" collapsed="false">
      <c r="A4611" s="0" t="s">
        <v>5241</v>
      </c>
      <c r="B4611" s="0" t="s">
        <v>1536</v>
      </c>
      <c r="C4611" s="0" t="s">
        <v>6171</v>
      </c>
      <c r="D4611" s="0" t="s">
        <v>98</v>
      </c>
      <c r="E4611" s="0" t="s">
        <v>5290</v>
      </c>
    </row>
    <row r="4612" customFormat="false" ht="15" hidden="false" customHeight="false" outlineLevel="0" collapsed="false">
      <c r="A4612" s="0" t="s">
        <v>5241</v>
      </c>
      <c r="B4612" s="0" t="s">
        <v>1537</v>
      </c>
      <c r="C4612" s="0" t="s">
        <v>6172</v>
      </c>
      <c r="D4612" s="0" t="s">
        <v>98</v>
      </c>
      <c r="E4612" s="0" t="s">
        <v>5290</v>
      </c>
    </row>
    <row r="4613" customFormat="false" ht="15" hidden="false" customHeight="false" outlineLevel="0" collapsed="false">
      <c r="A4613" s="0" t="s">
        <v>5241</v>
      </c>
      <c r="B4613" s="0" t="s">
        <v>1538</v>
      </c>
      <c r="C4613" s="0" t="s">
        <v>6173</v>
      </c>
      <c r="D4613" s="0" t="s">
        <v>98</v>
      </c>
      <c r="E4613" s="0" t="s">
        <v>5290</v>
      </c>
    </row>
    <row r="4614" customFormat="false" ht="15" hidden="false" customHeight="false" outlineLevel="0" collapsed="false">
      <c r="A4614" s="0" t="s">
        <v>5241</v>
      </c>
      <c r="B4614" s="0" t="s">
        <v>1539</v>
      </c>
      <c r="C4614" s="0" t="s">
        <v>6174</v>
      </c>
      <c r="D4614" s="0" t="s">
        <v>98</v>
      </c>
      <c r="E4614" s="0" t="s">
        <v>5290</v>
      </c>
    </row>
    <row r="4615" customFormat="false" ht="15" hidden="false" customHeight="false" outlineLevel="0" collapsed="false">
      <c r="A4615" s="0" t="s">
        <v>5241</v>
      </c>
      <c r="B4615" s="0" t="s">
        <v>1540</v>
      </c>
      <c r="C4615" s="0" t="s">
        <v>6175</v>
      </c>
      <c r="D4615" s="0" t="s">
        <v>98</v>
      </c>
      <c r="E4615" s="0" t="s">
        <v>5244</v>
      </c>
    </row>
    <row r="4616" customFormat="false" ht="15" hidden="false" customHeight="false" outlineLevel="0" collapsed="false">
      <c r="A4616" s="0" t="s">
        <v>5241</v>
      </c>
      <c r="B4616" s="0" t="s">
        <v>1542</v>
      </c>
      <c r="C4616" s="0" t="s">
        <v>6176</v>
      </c>
      <c r="D4616" s="0" t="s">
        <v>98</v>
      </c>
      <c r="E4616" s="0" t="s">
        <v>5244</v>
      </c>
    </row>
    <row r="4617" customFormat="false" ht="15" hidden="false" customHeight="false" outlineLevel="0" collapsed="false">
      <c r="A4617" s="0" t="s">
        <v>5241</v>
      </c>
      <c r="B4617" s="0" t="s">
        <v>1544</v>
      </c>
      <c r="C4617" s="0" t="s">
        <v>6177</v>
      </c>
      <c r="D4617" s="0" t="s">
        <v>98</v>
      </c>
      <c r="E4617" s="0" t="s">
        <v>5244</v>
      </c>
    </row>
    <row r="4618" customFormat="false" ht="15" hidden="false" customHeight="false" outlineLevel="0" collapsed="false">
      <c r="A4618" s="0" t="s">
        <v>5241</v>
      </c>
      <c r="B4618" s="0" t="s">
        <v>1545</v>
      </c>
      <c r="C4618" s="0" t="s">
        <v>6178</v>
      </c>
      <c r="D4618" s="0" t="s">
        <v>98</v>
      </c>
      <c r="E4618" s="0" t="s">
        <v>5244</v>
      </c>
    </row>
    <row r="4619" customFormat="false" ht="15" hidden="false" customHeight="false" outlineLevel="0" collapsed="false">
      <c r="A4619" s="0" t="s">
        <v>5241</v>
      </c>
      <c r="B4619" s="0" t="s">
        <v>1546</v>
      </c>
      <c r="C4619" s="0" t="s">
        <v>6179</v>
      </c>
      <c r="D4619" s="0" t="s">
        <v>98</v>
      </c>
      <c r="E4619" s="0" t="s">
        <v>5244</v>
      </c>
    </row>
    <row r="4620" customFormat="false" ht="15" hidden="false" customHeight="false" outlineLevel="0" collapsed="false">
      <c r="A4620" s="0" t="s">
        <v>5241</v>
      </c>
      <c r="B4620" s="0" t="s">
        <v>1547</v>
      </c>
      <c r="C4620" s="0" t="s">
        <v>6180</v>
      </c>
      <c r="D4620" s="0" t="s">
        <v>98</v>
      </c>
      <c r="E4620" s="0" t="s">
        <v>5244</v>
      </c>
    </row>
    <row r="4621" customFormat="false" ht="15" hidden="false" customHeight="false" outlineLevel="0" collapsed="false">
      <c r="A4621" s="0" t="s">
        <v>5241</v>
      </c>
      <c r="B4621" s="0" t="s">
        <v>1548</v>
      </c>
      <c r="C4621" s="0" t="s">
        <v>6181</v>
      </c>
      <c r="D4621" s="0" t="s">
        <v>98</v>
      </c>
      <c r="E4621" s="0" t="s">
        <v>5244</v>
      </c>
    </row>
    <row r="4622" customFormat="false" ht="15" hidden="false" customHeight="false" outlineLevel="0" collapsed="false">
      <c r="A4622" s="0" t="s">
        <v>5241</v>
      </c>
      <c r="B4622" s="0" t="s">
        <v>1550</v>
      </c>
      <c r="C4622" s="0" t="s">
        <v>6182</v>
      </c>
      <c r="D4622" s="0" t="s">
        <v>98</v>
      </c>
      <c r="E4622" s="0" t="s">
        <v>5244</v>
      </c>
    </row>
    <row r="4623" customFormat="false" ht="15" hidden="false" customHeight="false" outlineLevel="0" collapsed="false">
      <c r="A4623" s="0" t="s">
        <v>5241</v>
      </c>
      <c r="B4623" s="0" t="s">
        <v>1552</v>
      </c>
      <c r="C4623" s="0" t="s">
        <v>6183</v>
      </c>
      <c r="D4623" s="0" t="s">
        <v>98</v>
      </c>
      <c r="E4623" s="0" t="s">
        <v>5244</v>
      </c>
    </row>
    <row r="4624" customFormat="false" ht="15" hidden="false" customHeight="false" outlineLevel="0" collapsed="false">
      <c r="A4624" s="0" t="s">
        <v>5241</v>
      </c>
      <c r="B4624" s="0" t="s">
        <v>1554</v>
      </c>
      <c r="C4624" s="0" t="s">
        <v>6184</v>
      </c>
      <c r="D4624" s="0" t="s">
        <v>98</v>
      </c>
      <c r="E4624" s="0" t="s">
        <v>5244</v>
      </c>
    </row>
    <row r="4625" customFormat="false" ht="15" hidden="false" customHeight="false" outlineLevel="0" collapsed="false">
      <c r="A4625" s="0" t="s">
        <v>5241</v>
      </c>
      <c r="B4625" s="0" t="s">
        <v>1556</v>
      </c>
      <c r="C4625" s="0" t="s">
        <v>6185</v>
      </c>
      <c r="D4625" s="0" t="s">
        <v>98</v>
      </c>
      <c r="E4625" s="0" t="s">
        <v>5244</v>
      </c>
    </row>
    <row r="4626" customFormat="false" ht="15" hidden="false" customHeight="false" outlineLevel="0" collapsed="false">
      <c r="A4626" s="0" t="s">
        <v>5241</v>
      </c>
      <c r="B4626" s="0" t="s">
        <v>1557</v>
      </c>
      <c r="C4626" s="0" t="s">
        <v>6186</v>
      </c>
      <c r="D4626" s="0" t="s">
        <v>98</v>
      </c>
      <c r="E4626" s="0" t="s">
        <v>5244</v>
      </c>
    </row>
    <row r="4627" customFormat="false" ht="15" hidden="false" customHeight="false" outlineLevel="0" collapsed="false">
      <c r="A4627" s="0" t="s">
        <v>5241</v>
      </c>
      <c r="B4627" s="0" t="s">
        <v>1558</v>
      </c>
      <c r="C4627" s="0" t="s">
        <v>6187</v>
      </c>
      <c r="D4627" s="0" t="s">
        <v>98</v>
      </c>
      <c r="E4627" s="0" t="s">
        <v>5244</v>
      </c>
    </row>
    <row r="4628" customFormat="false" ht="15" hidden="false" customHeight="false" outlineLevel="0" collapsed="false">
      <c r="A4628" s="0" t="s">
        <v>5241</v>
      </c>
      <c r="B4628" s="0" t="s">
        <v>1559</v>
      </c>
      <c r="C4628" s="0" t="s">
        <v>6188</v>
      </c>
      <c r="D4628" s="0" t="s">
        <v>98</v>
      </c>
      <c r="E4628" s="0" t="s">
        <v>5244</v>
      </c>
    </row>
    <row r="4629" customFormat="false" ht="15" hidden="false" customHeight="false" outlineLevel="0" collapsed="false">
      <c r="A4629" s="0" t="s">
        <v>5241</v>
      </c>
      <c r="B4629" s="0" t="s">
        <v>1560</v>
      </c>
      <c r="C4629" s="0" t="s">
        <v>6189</v>
      </c>
      <c r="D4629" s="0" t="s">
        <v>98</v>
      </c>
      <c r="E4629" s="0" t="s">
        <v>5244</v>
      </c>
    </row>
    <row r="4630" customFormat="false" ht="15" hidden="false" customHeight="false" outlineLevel="0" collapsed="false">
      <c r="A4630" s="0" t="s">
        <v>5241</v>
      </c>
      <c r="B4630" s="0" t="s">
        <v>1561</v>
      </c>
      <c r="C4630" s="0" t="s">
        <v>6190</v>
      </c>
      <c r="D4630" s="0" t="s">
        <v>98</v>
      </c>
      <c r="E4630" s="0" t="s">
        <v>5244</v>
      </c>
    </row>
    <row r="4631" customFormat="false" ht="15" hidden="false" customHeight="false" outlineLevel="0" collapsed="false">
      <c r="A4631" s="0" t="s">
        <v>5241</v>
      </c>
      <c r="B4631" s="0" t="s">
        <v>1562</v>
      </c>
      <c r="C4631" s="0" t="s">
        <v>6191</v>
      </c>
      <c r="D4631" s="0" t="s">
        <v>98</v>
      </c>
      <c r="E4631" s="0" t="s">
        <v>5244</v>
      </c>
    </row>
    <row r="4632" customFormat="false" ht="15" hidden="false" customHeight="false" outlineLevel="0" collapsed="false">
      <c r="A4632" s="0" t="s">
        <v>5241</v>
      </c>
      <c r="B4632" s="0" t="s">
        <v>1563</v>
      </c>
      <c r="C4632" s="0" t="s">
        <v>6192</v>
      </c>
      <c r="D4632" s="0" t="s">
        <v>98</v>
      </c>
      <c r="E4632" s="0" t="s">
        <v>5244</v>
      </c>
    </row>
    <row r="4633" customFormat="false" ht="15" hidden="false" customHeight="false" outlineLevel="0" collapsed="false">
      <c r="A4633" s="0" t="s">
        <v>5241</v>
      </c>
      <c r="B4633" s="0" t="s">
        <v>1564</v>
      </c>
      <c r="C4633" s="0" t="s">
        <v>6193</v>
      </c>
      <c r="D4633" s="0" t="s">
        <v>98</v>
      </c>
      <c r="E4633" s="0" t="s">
        <v>5244</v>
      </c>
    </row>
    <row r="4634" customFormat="false" ht="15" hidden="false" customHeight="false" outlineLevel="0" collapsed="false">
      <c r="A4634" s="0" t="s">
        <v>5241</v>
      </c>
      <c r="B4634" s="0" t="s">
        <v>1565</v>
      </c>
      <c r="C4634" s="0" t="s">
        <v>6194</v>
      </c>
      <c r="D4634" s="0" t="s">
        <v>98</v>
      </c>
      <c r="E4634" s="0" t="s">
        <v>5244</v>
      </c>
    </row>
    <row r="4635" customFormat="false" ht="15" hidden="false" customHeight="false" outlineLevel="0" collapsed="false">
      <c r="A4635" s="0" t="s">
        <v>5241</v>
      </c>
      <c r="B4635" s="0" t="s">
        <v>1566</v>
      </c>
      <c r="C4635" s="0" t="s">
        <v>6195</v>
      </c>
      <c r="D4635" s="0" t="s">
        <v>98</v>
      </c>
      <c r="E4635" s="0" t="s">
        <v>5244</v>
      </c>
    </row>
    <row r="4636" customFormat="false" ht="15" hidden="false" customHeight="false" outlineLevel="0" collapsed="false">
      <c r="A4636" s="0" t="s">
        <v>5241</v>
      </c>
      <c r="B4636" s="0" t="s">
        <v>1567</v>
      </c>
      <c r="C4636" s="0" t="s">
        <v>6196</v>
      </c>
      <c r="D4636" s="0" t="s">
        <v>98</v>
      </c>
      <c r="E4636" s="0" t="s">
        <v>5244</v>
      </c>
    </row>
    <row r="4637" customFormat="false" ht="15" hidden="false" customHeight="false" outlineLevel="0" collapsed="false">
      <c r="A4637" s="0" t="s">
        <v>5241</v>
      </c>
      <c r="B4637" s="0" t="s">
        <v>1568</v>
      </c>
      <c r="C4637" s="0" t="s">
        <v>6197</v>
      </c>
      <c r="D4637" s="0" t="s">
        <v>98</v>
      </c>
      <c r="E4637" s="0" t="s">
        <v>5244</v>
      </c>
    </row>
    <row r="4638" customFormat="false" ht="15" hidden="false" customHeight="false" outlineLevel="0" collapsed="false">
      <c r="A4638" s="0" t="s">
        <v>5241</v>
      </c>
      <c r="B4638" s="0" t="s">
        <v>1569</v>
      </c>
      <c r="C4638" s="0" t="s">
        <v>6198</v>
      </c>
      <c r="D4638" s="0" t="s">
        <v>98</v>
      </c>
      <c r="E4638" s="0" t="s">
        <v>5244</v>
      </c>
    </row>
    <row r="4639" customFormat="false" ht="15" hidden="false" customHeight="false" outlineLevel="0" collapsed="false">
      <c r="A4639" s="0" t="s">
        <v>5241</v>
      </c>
      <c r="B4639" s="0" t="s">
        <v>1570</v>
      </c>
      <c r="C4639" s="0" t="s">
        <v>6199</v>
      </c>
      <c r="D4639" s="0" t="s">
        <v>98</v>
      </c>
      <c r="E4639" s="0" t="s">
        <v>5244</v>
      </c>
    </row>
    <row r="4640" customFormat="false" ht="15" hidden="false" customHeight="false" outlineLevel="0" collapsed="false">
      <c r="A4640" s="0" t="s">
        <v>5241</v>
      </c>
      <c r="B4640" s="0" t="s">
        <v>1571</v>
      </c>
      <c r="C4640" s="0" t="s">
        <v>6200</v>
      </c>
      <c r="D4640" s="0" t="s">
        <v>98</v>
      </c>
      <c r="E4640" s="0" t="s">
        <v>5244</v>
      </c>
    </row>
    <row r="4641" customFormat="false" ht="15" hidden="false" customHeight="false" outlineLevel="0" collapsed="false">
      <c r="A4641" s="0" t="s">
        <v>5241</v>
      </c>
      <c r="B4641" s="0" t="s">
        <v>1572</v>
      </c>
      <c r="C4641" s="0" t="s">
        <v>6201</v>
      </c>
      <c r="D4641" s="0" t="s">
        <v>98</v>
      </c>
      <c r="E4641" s="0" t="s">
        <v>5244</v>
      </c>
    </row>
    <row r="4642" customFormat="false" ht="15" hidden="false" customHeight="false" outlineLevel="0" collapsed="false">
      <c r="A4642" s="0" t="s">
        <v>5241</v>
      </c>
      <c r="B4642" s="0" t="s">
        <v>1573</v>
      </c>
      <c r="C4642" s="0" t="s">
        <v>6202</v>
      </c>
      <c r="D4642" s="0" t="s">
        <v>98</v>
      </c>
      <c r="E4642" s="0" t="s">
        <v>5244</v>
      </c>
    </row>
    <row r="4643" customFormat="false" ht="15" hidden="false" customHeight="false" outlineLevel="0" collapsed="false">
      <c r="A4643" s="0" t="s">
        <v>5241</v>
      </c>
      <c r="B4643" s="0" t="s">
        <v>1574</v>
      </c>
      <c r="C4643" s="0" t="s">
        <v>6203</v>
      </c>
      <c r="D4643" s="0" t="s">
        <v>98</v>
      </c>
      <c r="E4643" s="0" t="s">
        <v>5290</v>
      </c>
    </row>
    <row r="4644" customFormat="false" ht="15" hidden="false" customHeight="false" outlineLevel="0" collapsed="false">
      <c r="A4644" s="0" t="s">
        <v>5241</v>
      </c>
      <c r="B4644" s="0" t="s">
        <v>1575</v>
      </c>
      <c r="C4644" s="0" t="s">
        <v>6204</v>
      </c>
      <c r="D4644" s="0" t="s">
        <v>98</v>
      </c>
      <c r="E4644" s="0" t="s">
        <v>5290</v>
      </c>
    </row>
    <row r="4645" customFormat="false" ht="15" hidden="false" customHeight="false" outlineLevel="0" collapsed="false">
      <c r="A4645" s="0" t="s">
        <v>5241</v>
      </c>
      <c r="B4645" s="0" t="s">
        <v>1576</v>
      </c>
      <c r="C4645" s="0" t="s">
        <v>6205</v>
      </c>
      <c r="D4645" s="0" t="s">
        <v>98</v>
      </c>
      <c r="E4645" s="0" t="s">
        <v>5290</v>
      </c>
    </row>
    <row r="4646" customFormat="false" ht="15" hidden="false" customHeight="false" outlineLevel="0" collapsed="false">
      <c r="A4646" s="0" t="s">
        <v>5241</v>
      </c>
      <c r="B4646" s="0" t="s">
        <v>1577</v>
      </c>
      <c r="C4646" s="0" t="s">
        <v>6206</v>
      </c>
      <c r="D4646" s="0" t="s">
        <v>98</v>
      </c>
      <c r="E4646" s="0" t="s">
        <v>5290</v>
      </c>
    </row>
    <row r="4647" customFormat="false" ht="15" hidden="false" customHeight="false" outlineLevel="0" collapsed="false">
      <c r="A4647" s="0" t="s">
        <v>5241</v>
      </c>
      <c r="B4647" s="0" t="s">
        <v>1578</v>
      </c>
      <c r="C4647" s="0" t="s">
        <v>6207</v>
      </c>
      <c r="D4647" s="0" t="s">
        <v>98</v>
      </c>
      <c r="E4647" s="0" t="s">
        <v>5290</v>
      </c>
    </row>
    <row r="4648" customFormat="false" ht="15" hidden="false" customHeight="false" outlineLevel="0" collapsed="false">
      <c r="A4648" s="0" t="s">
        <v>5241</v>
      </c>
      <c r="B4648" s="0" t="s">
        <v>1579</v>
      </c>
      <c r="C4648" s="0" t="s">
        <v>6208</v>
      </c>
      <c r="D4648" s="0" t="s">
        <v>98</v>
      </c>
      <c r="E4648" s="0" t="s">
        <v>5290</v>
      </c>
    </row>
    <row r="4649" customFormat="false" ht="15" hidden="false" customHeight="false" outlineLevel="0" collapsed="false">
      <c r="A4649" s="0" t="s">
        <v>5241</v>
      </c>
      <c r="B4649" s="0" t="s">
        <v>1580</v>
      </c>
      <c r="C4649" s="0" t="s">
        <v>6209</v>
      </c>
      <c r="D4649" s="0" t="s">
        <v>98</v>
      </c>
      <c r="E4649" s="0" t="s">
        <v>5290</v>
      </c>
    </row>
    <row r="4650" customFormat="false" ht="15" hidden="false" customHeight="false" outlineLevel="0" collapsed="false">
      <c r="A4650" s="0" t="s">
        <v>5241</v>
      </c>
      <c r="B4650" s="0" t="s">
        <v>1581</v>
      </c>
      <c r="C4650" s="0" t="s">
        <v>6210</v>
      </c>
      <c r="D4650" s="0" t="s">
        <v>98</v>
      </c>
      <c r="E4650" s="0" t="s">
        <v>5290</v>
      </c>
    </row>
    <row r="4651" customFormat="false" ht="15" hidden="false" customHeight="false" outlineLevel="0" collapsed="false">
      <c r="A4651" s="0" t="s">
        <v>5241</v>
      </c>
      <c r="B4651" s="0" t="s">
        <v>1582</v>
      </c>
      <c r="C4651" s="0" t="s">
        <v>6211</v>
      </c>
      <c r="D4651" s="0" t="s">
        <v>98</v>
      </c>
      <c r="E4651" s="0" t="s">
        <v>5290</v>
      </c>
    </row>
    <row r="4652" customFormat="false" ht="15" hidden="false" customHeight="false" outlineLevel="0" collapsed="false">
      <c r="A4652" s="0" t="s">
        <v>5241</v>
      </c>
      <c r="B4652" s="0" t="s">
        <v>1583</v>
      </c>
      <c r="C4652" s="0" t="s">
        <v>6212</v>
      </c>
      <c r="D4652" s="0" t="s">
        <v>98</v>
      </c>
      <c r="E4652" s="0" t="s">
        <v>5290</v>
      </c>
    </row>
    <row r="4653" customFormat="false" ht="15" hidden="false" customHeight="false" outlineLevel="0" collapsed="false">
      <c r="A4653" s="0" t="s">
        <v>5241</v>
      </c>
      <c r="B4653" s="0" t="s">
        <v>1584</v>
      </c>
      <c r="C4653" s="0" t="s">
        <v>6213</v>
      </c>
      <c r="D4653" s="0" t="s">
        <v>98</v>
      </c>
      <c r="E4653" s="0" t="s">
        <v>5290</v>
      </c>
    </row>
    <row r="4654" customFormat="false" ht="15" hidden="false" customHeight="false" outlineLevel="0" collapsed="false">
      <c r="A4654" s="0" t="s">
        <v>5241</v>
      </c>
      <c r="B4654" s="0" t="s">
        <v>1585</v>
      </c>
      <c r="C4654" s="0" t="s">
        <v>6214</v>
      </c>
      <c r="D4654" s="0" t="s">
        <v>98</v>
      </c>
      <c r="E4654" s="0" t="s">
        <v>5290</v>
      </c>
    </row>
    <row r="4655" customFormat="false" ht="15" hidden="false" customHeight="false" outlineLevel="0" collapsed="false">
      <c r="A4655" s="0" t="s">
        <v>5241</v>
      </c>
      <c r="B4655" s="0" t="s">
        <v>1586</v>
      </c>
      <c r="C4655" s="0" t="s">
        <v>6215</v>
      </c>
      <c r="D4655" s="0" t="s">
        <v>98</v>
      </c>
      <c r="E4655" s="0" t="s">
        <v>5290</v>
      </c>
    </row>
    <row r="4656" customFormat="false" ht="15" hidden="false" customHeight="false" outlineLevel="0" collapsed="false">
      <c r="A4656" s="0" t="s">
        <v>5241</v>
      </c>
      <c r="B4656" s="0" t="s">
        <v>1587</v>
      </c>
      <c r="C4656" s="0" t="s">
        <v>6216</v>
      </c>
      <c r="D4656" s="0" t="s">
        <v>98</v>
      </c>
      <c r="E4656" s="0" t="s">
        <v>5290</v>
      </c>
    </row>
    <row r="4657" customFormat="false" ht="15" hidden="false" customHeight="false" outlineLevel="0" collapsed="false">
      <c r="A4657" s="0" t="s">
        <v>5241</v>
      </c>
      <c r="B4657" s="0" t="s">
        <v>1588</v>
      </c>
      <c r="C4657" s="0" t="s">
        <v>6217</v>
      </c>
      <c r="D4657" s="0" t="s">
        <v>98</v>
      </c>
      <c r="E4657" s="0" t="s">
        <v>5290</v>
      </c>
    </row>
    <row r="4658" customFormat="false" ht="15" hidden="false" customHeight="false" outlineLevel="0" collapsed="false">
      <c r="A4658" s="0" t="s">
        <v>5241</v>
      </c>
      <c r="B4658" s="0" t="s">
        <v>1589</v>
      </c>
      <c r="C4658" s="0" t="s">
        <v>6218</v>
      </c>
      <c r="D4658" s="0" t="s">
        <v>98</v>
      </c>
      <c r="E4658" s="0" t="s">
        <v>5290</v>
      </c>
    </row>
    <row r="4659" customFormat="false" ht="15" hidden="false" customHeight="false" outlineLevel="0" collapsed="false">
      <c r="A4659" s="0" t="s">
        <v>5241</v>
      </c>
      <c r="B4659" s="0" t="s">
        <v>1590</v>
      </c>
      <c r="C4659" s="0" t="s">
        <v>6219</v>
      </c>
      <c r="D4659" s="0" t="s">
        <v>98</v>
      </c>
      <c r="E4659" s="0" t="s">
        <v>5290</v>
      </c>
    </row>
    <row r="4660" customFormat="false" ht="15" hidden="false" customHeight="false" outlineLevel="0" collapsed="false">
      <c r="A4660" s="0" t="s">
        <v>5241</v>
      </c>
      <c r="B4660" s="0" t="s">
        <v>1591</v>
      </c>
      <c r="C4660" s="0" t="s">
        <v>6220</v>
      </c>
      <c r="D4660" s="0" t="s">
        <v>98</v>
      </c>
      <c r="E4660" s="0" t="s">
        <v>5290</v>
      </c>
    </row>
    <row r="4661" customFormat="false" ht="15" hidden="false" customHeight="false" outlineLevel="0" collapsed="false">
      <c r="A4661" s="0" t="s">
        <v>5241</v>
      </c>
      <c r="B4661" s="0" t="s">
        <v>1592</v>
      </c>
      <c r="C4661" s="0" t="s">
        <v>6221</v>
      </c>
      <c r="D4661" s="0" t="s">
        <v>98</v>
      </c>
      <c r="E4661" s="0" t="s">
        <v>5290</v>
      </c>
    </row>
    <row r="4662" customFormat="false" ht="15" hidden="false" customHeight="false" outlineLevel="0" collapsed="false">
      <c r="A4662" s="0" t="s">
        <v>5241</v>
      </c>
      <c r="B4662" s="0" t="s">
        <v>1593</v>
      </c>
      <c r="C4662" s="0" t="s">
        <v>6222</v>
      </c>
      <c r="D4662" s="0" t="s">
        <v>98</v>
      </c>
      <c r="E4662" s="0" t="s">
        <v>5290</v>
      </c>
    </row>
    <row r="4663" customFormat="false" ht="15" hidden="false" customHeight="false" outlineLevel="0" collapsed="false">
      <c r="A4663" s="0" t="s">
        <v>5241</v>
      </c>
      <c r="B4663" s="0" t="s">
        <v>1594</v>
      </c>
      <c r="C4663" s="0" t="s">
        <v>6223</v>
      </c>
      <c r="D4663" s="0" t="s">
        <v>98</v>
      </c>
      <c r="E4663" s="0" t="s">
        <v>5290</v>
      </c>
    </row>
    <row r="4664" customFormat="false" ht="15" hidden="false" customHeight="false" outlineLevel="0" collapsed="false">
      <c r="A4664" s="0" t="s">
        <v>5241</v>
      </c>
      <c r="B4664" s="0" t="s">
        <v>1595</v>
      </c>
      <c r="C4664" s="0" t="s">
        <v>6224</v>
      </c>
      <c r="D4664" s="0" t="s">
        <v>98</v>
      </c>
      <c r="E4664" s="0" t="s">
        <v>5290</v>
      </c>
    </row>
    <row r="4665" customFormat="false" ht="15" hidden="false" customHeight="false" outlineLevel="0" collapsed="false">
      <c r="A4665" s="0" t="s">
        <v>5241</v>
      </c>
      <c r="B4665" s="0" t="s">
        <v>1596</v>
      </c>
      <c r="C4665" s="0" t="s">
        <v>6225</v>
      </c>
      <c r="D4665" s="0" t="s">
        <v>98</v>
      </c>
      <c r="E4665" s="0" t="s">
        <v>5290</v>
      </c>
    </row>
    <row r="4666" customFormat="false" ht="15" hidden="false" customHeight="false" outlineLevel="0" collapsed="false">
      <c r="A4666" s="0" t="s">
        <v>5241</v>
      </c>
      <c r="B4666" s="0" t="s">
        <v>1597</v>
      </c>
      <c r="C4666" s="0" t="s">
        <v>6226</v>
      </c>
      <c r="D4666" s="0" t="s">
        <v>98</v>
      </c>
      <c r="E4666" s="0" t="s">
        <v>5290</v>
      </c>
    </row>
    <row r="4667" customFormat="false" ht="15" hidden="false" customHeight="false" outlineLevel="0" collapsed="false">
      <c r="A4667" s="0" t="s">
        <v>5241</v>
      </c>
      <c r="B4667" s="0" t="s">
        <v>1598</v>
      </c>
      <c r="C4667" s="0" t="s">
        <v>6227</v>
      </c>
      <c r="D4667" s="0" t="s">
        <v>98</v>
      </c>
      <c r="E4667" s="0" t="s">
        <v>5290</v>
      </c>
    </row>
    <row r="4668" customFormat="false" ht="15" hidden="false" customHeight="false" outlineLevel="0" collapsed="false">
      <c r="A4668" s="0" t="s">
        <v>5241</v>
      </c>
      <c r="B4668" s="0" t="s">
        <v>1599</v>
      </c>
      <c r="C4668" s="0" t="s">
        <v>6228</v>
      </c>
      <c r="D4668" s="0" t="s">
        <v>98</v>
      </c>
      <c r="E4668" s="0" t="s">
        <v>5290</v>
      </c>
    </row>
    <row r="4669" customFormat="false" ht="15" hidden="false" customHeight="false" outlineLevel="0" collapsed="false">
      <c r="A4669" s="0" t="s">
        <v>5241</v>
      </c>
      <c r="B4669" s="0" t="s">
        <v>1600</v>
      </c>
      <c r="C4669" s="0" t="s">
        <v>6229</v>
      </c>
      <c r="D4669" s="0" t="s">
        <v>98</v>
      </c>
      <c r="E4669" s="0" t="s">
        <v>5290</v>
      </c>
    </row>
    <row r="4670" customFormat="false" ht="15" hidden="false" customHeight="false" outlineLevel="0" collapsed="false">
      <c r="A4670" s="0" t="s">
        <v>5241</v>
      </c>
      <c r="B4670" s="0" t="s">
        <v>1601</v>
      </c>
      <c r="C4670" s="0" t="s">
        <v>6230</v>
      </c>
      <c r="D4670" s="0" t="s">
        <v>98</v>
      </c>
      <c r="E4670" s="0" t="s">
        <v>5290</v>
      </c>
    </row>
    <row r="4671" customFormat="false" ht="15" hidden="false" customHeight="false" outlineLevel="0" collapsed="false">
      <c r="A4671" s="0" t="s">
        <v>5241</v>
      </c>
      <c r="B4671" s="0" t="s">
        <v>1602</v>
      </c>
      <c r="C4671" s="0" t="s">
        <v>6231</v>
      </c>
      <c r="D4671" s="0" t="s">
        <v>98</v>
      </c>
      <c r="E4671" s="0" t="s">
        <v>5244</v>
      </c>
    </row>
    <row r="4672" customFormat="false" ht="15" hidden="false" customHeight="false" outlineLevel="0" collapsed="false">
      <c r="A4672" s="0" t="s">
        <v>5241</v>
      </c>
      <c r="B4672" s="0" t="s">
        <v>1604</v>
      </c>
      <c r="C4672" s="0" t="s">
        <v>6232</v>
      </c>
      <c r="D4672" s="0" t="s">
        <v>98</v>
      </c>
      <c r="E4672" s="0" t="s">
        <v>5244</v>
      </c>
    </row>
    <row r="4673" customFormat="false" ht="15" hidden="false" customHeight="false" outlineLevel="0" collapsed="false">
      <c r="A4673" s="0" t="s">
        <v>5241</v>
      </c>
      <c r="B4673" s="0" t="s">
        <v>1606</v>
      </c>
      <c r="C4673" s="0" t="s">
        <v>6233</v>
      </c>
      <c r="D4673" s="0" t="s">
        <v>98</v>
      </c>
      <c r="E4673" s="0" t="s">
        <v>5244</v>
      </c>
    </row>
    <row r="4674" customFormat="false" ht="15" hidden="false" customHeight="false" outlineLevel="0" collapsed="false">
      <c r="A4674" s="0" t="s">
        <v>5241</v>
      </c>
      <c r="B4674" s="0" t="s">
        <v>1608</v>
      </c>
      <c r="C4674" s="0" t="s">
        <v>6234</v>
      </c>
      <c r="D4674" s="0" t="s">
        <v>98</v>
      </c>
      <c r="E4674" s="0" t="s">
        <v>5244</v>
      </c>
    </row>
    <row r="4675" customFormat="false" ht="15" hidden="false" customHeight="false" outlineLevel="0" collapsed="false">
      <c r="A4675" s="0" t="s">
        <v>5241</v>
      </c>
      <c r="B4675" s="0" t="s">
        <v>1610</v>
      </c>
      <c r="C4675" s="0" t="s">
        <v>6235</v>
      </c>
      <c r="D4675" s="0" t="s">
        <v>98</v>
      </c>
      <c r="E4675" s="0" t="s">
        <v>5244</v>
      </c>
    </row>
    <row r="4676" customFormat="false" ht="15" hidden="false" customHeight="false" outlineLevel="0" collapsed="false">
      <c r="A4676" s="0" t="s">
        <v>5241</v>
      </c>
      <c r="B4676" s="0" t="s">
        <v>1612</v>
      </c>
      <c r="C4676" s="0" t="s">
        <v>6236</v>
      </c>
      <c r="D4676" s="0" t="s">
        <v>98</v>
      </c>
      <c r="E4676" s="0" t="s">
        <v>5244</v>
      </c>
    </row>
    <row r="4677" customFormat="false" ht="15" hidden="false" customHeight="false" outlineLevel="0" collapsed="false">
      <c r="A4677" s="0" t="s">
        <v>5241</v>
      </c>
      <c r="B4677" s="0" t="s">
        <v>1614</v>
      </c>
      <c r="C4677" s="0" t="s">
        <v>6237</v>
      </c>
      <c r="D4677" s="0" t="s">
        <v>98</v>
      </c>
      <c r="E4677" s="0" t="s">
        <v>5244</v>
      </c>
    </row>
    <row r="4678" customFormat="false" ht="15" hidden="false" customHeight="false" outlineLevel="0" collapsed="false">
      <c r="A4678" s="0" t="s">
        <v>5241</v>
      </c>
      <c r="B4678" s="0" t="s">
        <v>1616</v>
      </c>
      <c r="C4678" s="0" t="s">
        <v>6238</v>
      </c>
      <c r="D4678" s="0" t="s">
        <v>98</v>
      </c>
      <c r="E4678" s="0" t="s">
        <v>5244</v>
      </c>
    </row>
    <row r="4679" customFormat="false" ht="15" hidden="false" customHeight="false" outlineLevel="0" collapsed="false">
      <c r="A4679" s="0" t="s">
        <v>5241</v>
      </c>
      <c r="B4679" s="0" t="s">
        <v>1618</v>
      </c>
      <c r="C4679" s="0" t="s">
        <v>6239</v>
      </c>
      <c r="D4679" s="0" t="s">
        <v>98</v>
      </c>
      <c r="E4679" s="0" t="s">
        <v>5244</v>
      </c>
    </row>
    <row r="4680" customFormat="false" ht="15" hidden="false" customHeight="false" outlineLevel="0" collapsed="false">
      <c r="A4680" s="0" t="s">
        <v>5241</v>
      </c>
      <c r="B4680" s="0" t="s">
        <v>1620</v>
      </c>
      <c r="C4680" s="0" t="s">
        <v>6240</v>
      </c>
      <c r="D4680" s="0" t="s">
        <v>98</v>
      </c>
      <c r="E4680" s="0" t="s">
        <v>5244</v>
      </c>
    </row>
    <row r="4681" customFormat="false" ht="15" hidden="false" customHeight="false" outlineLevel="0" collapsed="false">
      <c r="A4681" s="0" t="s">
        <v>5241</v>
      </c>
      <c r="B4681" s="0" t="s">
        <v>1622</v>
      </c>
      <c r="C4681" s="0" t="s">
        <v>6241</v>
      </c>
      <c r="D4681" s="0" t="s">
        <v>98</v>
      </c>
      <c r="E4681" s="0" t="s">
        <v>5244</v>
      </c>
    </row>
    <row r="4682" customFormat="false" ht="15" hidden="false" customHeight="false" outlineLevel="0" collapsed="false">
      <c r="A4682" s="0" t="s">
        <v>5241</v>
      </c>
      <c r="B4682" s="0" t="s">
        <v>1624</v>
      </c>
      <c r="C4682" s="0" t="s">
        <v>6242</v>
      </c>
      <c r="D4682" s="0" t="s">
        <v>98</v>
      </c>
      <c r="E4682" s="0" t="s">
        <v>5244</v>
      </c>
    </row>
    <row r="4683" customFormat="false" ht="15" hidden="false" customHeight="false" outlineLevel="0" collapsed="false">
      <c r="A4683" s="0" t="s">
        <v>5241</v>
      </c>
      <c r="B4683" s="0" t="s">
        <v>1626</v>
      </c>
      <c r="C4683" s="0" t="s">
        <v>6243</v>
      </c>
      <c r="D4683" s="0" t="s">
        <v>98</v>
      </c>
      <c r="E4683" s="0" t="s">
        <v>5244</v>
      </c>
    </row>
    <row r="4684" customFormat="false" ht="15" hidden="false" customHeight="false" outlineLevel="0" collapsed="false">
      <c r="A4684" s="0" t="s">
        <v>5241</v>
      </c>
      <c r="B4684" s="0" t="s">
        <v>1628</v>
      </c>
      <c r="C4684" s="0" t="s">
        <v>6244</v>
      </c>
      <c r="D4684" s="0" t="s">
        <v>98</v>
      </c>
      <c r="E4684" s="0" t="s">
        <v>5244</v>
      </c>
    </row>
    <row r="4685" customFormat="false" ht="15" hidden="false" customHeight="false" outlineLevel="0" collapsed="false">
      <c r="A4685" s="0" t="s">
        <v>5241</v>
      </c>
      <c r="B4685" s="0" t="s">
        <v>1630</v>
      </c>
      <c r="C4685" s="0" t="s">
        <v>6245</v>
      </c>
      <c r="D4685" s="0" t="s">
        <v>98</v>
      </c>
      <c r="E4685" s="0" t="s">
        <v>5244</v>
      </c>
    </row>
    <row r="4686" customFormat="false" ht="15" hidden="false" customHeight="false" outlineLevel="0" collapsed="false">
      <c r="A4686" s="0" t="s">
        <v>5241</v>
      </c>
      <c r="B4686" s="0" t="s">
        <v>1632</v>
      </c>
      <c r="C4686" s="0" t="s">
        <v>6246</v>
      </c>
      <c r="D4686" s="0" t="s">
        <v>98</v>
      </c>
      <c r="E4686" s="0" t="s">
        <v>5244</v>
      </c>
    </row>
    <row r="4687" customFormat="false" ht="15" hidden="false" customHeight="false" outlineLevel="0" collapsed="false">
      <c r="A4687" s="0" t="s">
        <v>5241</v>
      </c>
      <c r="B4687" s="0" t="s">
        <v>1634</v>
      </c>
      <c r="C4687" s="0" t="s">
        <v>6247</v>
      </c>
      <c r="D4687" s="0" t="s">
        <v>98</v>
      </c>
      <c r="E4687" s="0" t="s">
        <v>5244</v>
      </c>
    </row>
    <row r="4688" customFormat="false" ht="15" hidden="false" customHeight="false" outlineLevel="0" collapsed="false">
      <c r="A4688" s="0" t="s">
        <v>5241</v>
      </c>
      <c r="B4688" s="0" t="s">
        <v>1636</v>
      </c>
      <c r="C4688" s="0" t="s">
        <v>6248</v>
      </c>
      <c r="D4688" s="0" t="s">
        <v>98</v>
      </c>
      <c r="E4688" s="0" t="s">
        <v>5244</v>
      </c>
    </row>
    <row r="4689" customFormat="false" ht="15" hidden="false" customHeight="false" outlineLevel="0" collapsed="false">
      <c r="A4689" s="0" t="s">
        <v>5241</v>
      </c>
      <c r="B4689" s="0" t="s">
        <v>1638</v>
      </c>
      <c r="C4689" s="0" t="s">
        <v>6249</v>
      </c>
      <c r="D4689" s="0" t="s">
        <v>98</v>
      </c>
      <c r="E4689" s="0" t="s">
        <v>5244</v>
      </c>
    </row>
    <row r="4690" customFormat="false" ht="15" hidden="false" customHeight="false" outlineLevel="0" collapsed="false">
      <c r="A4690" s="0" t="s">
        <v>5241</v>
      </c>
      <c r="B4690" s="0" t="s">
        <v>1640</v>
      </c>
      <c r="C4690" s="0" t="s">
        <v>6250</v>
      </c>
      <c r="D4690" s="0" t="s">
        <v>98</v>
      </c>
      <c r="E4690" s="0" t="s">
        <v>5244</v>
      </c>
    </row>
    <row r="4691" customFormat="false" ht="15" hidden="false" customHeight="false" outlineLevel="0" collapsed="false">
      <c r="A4691" s="0" t="s">
        <v>5241</v>
      </c>
      <c r="B4691" s="0" t="s">
        <v>1642</v>
      </c>
      <c r="C4691" s="0" t="s">
        <v>6251</v>
      </c>
      <c r="D4691" s="0" t="s">
        <v>98</v>
      </c>
      <c r="E4691" s="0" t="s">
        <v>5244</v>
      </c>
    </row>
    <row r="4692" customFormat="false" ht="15" hidden="false" customHeight="false" outlineLevel="0" collapsed="false">
      <c r="A4692" s="0" t="s">
        <v>5241</v>
      </c>
      <c r="B4692" s="0" t="s">
        <v>1644</v>
      </c>
      <c r="C4692" s="0" t="s">
        <v>6252</v>
      </c>
      <c r="D4692" s="0" t="s">
        <v>98</v>
      </c>
      <c r="E4692" s="0" t="s">
        <v>5244</v>
      </c>
    </row>
    <row r="4693" customFormat="false" ht="15" hidden="false" customHeight="false" outlineLevel="0" collapsed="false">
      <c r="A4693" s="0" t="s">
        <v>5241</v>
      </c>
      <c r="B4693" s="0" t="s">
        <v>1646</v>
      </c>
      <c r="C4693" s="0" t="s">
        <v>6253</v>
      </c>
      <c r="D4693" s="0" t="s">
        <v>98</v>
      </c>
      <c r="E4693" s="0" t="s">
        <v>5244</v>
      </c>
    </row>
    <row r="4694" customFormat="false" ht="15" hidden="false" customHeight="false" outlineLevel="0" collapsed="false">
      <c r="A4694" s="0" t="s">
        <v>5241</v>
      </c>
      <c r="B4694" s="0" t="s">
        <v>1648</v>
      </c>
      <c r="C4694" s="0" t="s">
        <v>6254</v>
      </c>
      <c r="D4694" s="0" t="s">
        <v>98</v>
      </c>
      <c r="E4694" s="0" t="s">
        <v>5244</v>
      </c>
    </row>
    <row r="4695" customFormat="false" ht="15" hidden="false" customHeight="false" outlineLevel="0" collapsed="false">
      <c r="A4695" s="0" t="s">
        <v>5241</v>
      </c>
      <c r="B4695" s="0" t="s">
        <v>1650</v>
      </c>
      <c r="C4695" s="0" t="s">
        <v>6255</v>
      </c>
      <c r="D4695" s="0" t="s">
        <v>98</v>
      </c>
      <c r="E4695" s="0" t="s">
        <v>5244</v>
      </c>
    </row>
    <row r="4696" customFormat="false" ht="15" hidden="false" customHeight="false" outlineLevel="0" collapsed="false">
      <c r="A4696" s="0" t="s">
        <v>5241</v>
      </c>
      <c r="B4696" s="0" t="s">
        <v>1652</v>
      </c>
      <c r="C4696" s="0" t="s">
        <v>6256</v>
      </c>
      <c r="D4696" s="0" t="s">
        <v>98</v>
      </c>
      <c r="E4696" s="0" t="s">
        <v>5244</v>
      </c>
    </row>
    <row r="4697" customFormat="false" ht="15" hidden="false" customHeight="false" outlineLevel="0" collapsed="false">
      <c r="A4697" s="0" t="s">
        <v>5241</v>
      </c>
      <c r="B4697" s="0" t="s">
        <v>1654</v>
      </c>
      <c r="C4697" s="0" t="s">
        <v>6257</v>
      </c>
      <c r="D4697" s="0" t="s">
        <v>98</v>
      </c>
      <c r="E4697" s="0" t="s">
        <v>5244</v>
      </c>
    </row>
    <row r="4698" customFormat="false" ht="15" hidden="false" customHeight="false" outlineLevel="0" collapsed="false">
      <c r="A4698" s="0" t="s">
        <v>5241</v>
      </c>
      <c r="B4698" s="0" t="s">
        <v>1656</v>
      </c>
      <c r="C4698" s="0" t="s">
        <v>6258</v>
      </c>
      <c r="D4698" s="0" t="s">
        <v>98</v>
      </c>
      <c r="E4698" s="0" t="s">
        <v>5244</v>
      </c>
    </row>
    <row r="4699" customFormat="false" ht="15" hidden="false" customHeight="false" outlineLevel="0" collapsed="false">
      <c r="A4699" s="0" t="s">
        <v>5241</v>
      </c>
      <c r="B4699" s="0" t="s">
        <v>6259</v>
      </c>
      <c r="C4699" s="0" t="s">
        <v>6260</v>
      </c>
      <c r="D4699" s="0" t="s">
        <v>98</v>
      </c>
      <c r="E4699" s="0" t="s">
        <v>5290</v>
      </c>
    </row>
    <row r="4700" customFormat="false" ht="15" hidden="false" customHeight="false" outlineLevel="0" collapsed="false">
      <c r="A4700" s="0" t="s">
        <v>5241</v>
      </c>
      <c r="B4700" s="0" t="s">
        <v>6261</v>
      </c>
      <c r="C4700" s="0" t="s">
        <v>6262</v>
      </c>
      <c r="D4700" s="0" t="s">
        <v>98</v>
      </c>
      <c r="E4700" s="0" t="s">
        <v>5290</v>
      </c>
    </row>
    <row r="4701" customFormat="false" ht="15" hidden="false" customHeight="false" outlineLevel="0" collapsed="false">
      <c r="A4701" s="0" t="s">
        <v>5241</v>
      </c>
      <c r="B4701" s="0" t="s">
        <v>6263</v>
      </c>
      <c r="C4701" s="0" t="s">
        <v>6264</v>
      </c>
      <c r="D4701" s="0" t="s">
        <v>98</v>
      </c>
      <c r="E4701" s="0" t="s">
        <v>5290</v>
      </c>
    </row>
    <row r="4702" customFormat="false" ht="15" hidden="false" customHeight="false" outlineLevel="0" collapsed="false">
      <c r="A4702" s="0" t="s">
        <v>5241</v>
      </c>
      <c r="B4702" s="0" t="s">
        <v>6265</v>
      </c>
      <c r="C4702" s="0" t="s">
        <v>6266</v>
      </c>
      <c r="D4702" s="0" t="s">
        <v>98</v>
      </c>
      <c r="E4702" s="0" t="s">
        <v>5290</v>
      </c>
    </row>
    <row r="4703" customFormat="false" ht="15" hidden="false" customHeight="false" outlineLevel="0" collapsed="false">
      <c r="A4703" s="0" t="s">
        <v>5241</v>
      </c>
      <c r="B4703" s="0" t="s">
        <v>6267</v>
      </c>
      <c r="C4703" s="0" t="s">
        <v>6268</v>
      </c>
      <c r="D4703" s="0" t="s">
        <v>98</v>
      </c>
      <c r="E4703" s="0" t="s">
        <v>5290</v>
      </c>
    </row>
    <row r="4704" customFormat="false" ht="15" hidden="false" customHeight="false" outlineLevel="0" collapsed="false">
      <c r="A4704" s="0" t="s">
        <v>5241</v>
      </c>
      <c r="B4704" s="0" t="s">
        <v>6269</v>
      </c>
      <c r="C4704" s="0" t="s">
        <v>6270</v>
      </c>
      <c r="D4704" s="0" t="s">
        <v>98</v>
      </c>
      <c r="E4704" s="0" t="s">
        <v>5290</v>
      </c>
    </row>
    <row r="4705" customFormat="false" ht="15" hidden="false" customHeight="false" outlineLevel="0" collapsed="false">
      <c r="A4705" s="0" t="s">
        <v>5241</v>
      </c>
      <c r="B4705" s="0" t="s">
        <v>6271</v>
      </c>
      <c r="C4705" s="0" t="s">
        <v>6272</v>
      </c>
      <c r="D4705" s="0" t="s">
        <v>98</v>
      </c>
      <c r="E4705" s="0" t="s">
        <v>5290</v>
      </c>
    </row>
    <row r="4706" customFormat="false" ht="15" hidden="false" customHeight="false" outlineLevel="0" collapsed="false">
      <c r="A4706" s="0" t="s">
        <v>5241</v>
      </c>
      <c r="B4706" s="0" t="s">
        <v>1658</v>
      </c>
      <c r="C4706" s="0" t="s">
        <v>6273</v>
      </c>
      <c r="D4706" s="0" t="s">
        <v>98</v>
      </c>
      <c r="E4706" s="0" t="s">
        <v>5290</v>
      </c>
    </row>
    <row r="4707" customFormat="false" ht="15" hidden="false" customHeight="false" outlineLevel="0" collapsed="false">
      <c r="A4707" s="0" t="s">
        <v>5241</v>
      </c>
      <c r="B4707" s="0" t="s">
        <v>6274</v>
      </c>
      <c r="C4707" s="0" t="s">
        <v>6275</v>
      </c>
      <c r="D4707" s="0" t="s">
        <v>98</v>
      </c>
      <c r="E4707" s="0" t="s">
        <v>5290</v>
      </c>
    </row>
    <row r="4708" customFormat="false" ht="15" hidden="false" customHeight="false" outlineLevel="0" collapsed="false">
      <c r="A4708" s="0" t="s">
        <v>5241</v>
      </c>
      <c r="B4708" s="0" t="s">
        <v>6276</v>
      </c>
      <c r="C4708" s="0" t="s">
        <v>6277</v>
      </c>
      <c r="D4708" s="0" t="s">
        <v>98</v>
      </c>
      <c r="E4708" s="0" t="s">
        <v>5290</v>
      </c>
    </row>
    <row r="4709" customFormat="false" ht="15" hidden="false" customHeight="false" outlineLevel="0" collapsed="false">
      <c r="A4709" s="0" t="s">
        <v>5241</v>
      </c>
      <c r="B4709" s="0" t="s">
        <v>6278</v>
      </c>
      <c r="C4709" s="0" t="s">
        <v>6279</v>
      </c>
      <c r="D4709" s="0" t="s">
        <v>98</v>
      </c>
      <c r="E4709" s="0" t="s">
        <v>5290</v>
      </c>
    </row>
    <row r="4710" customFormat="false" ht="15" hidden="false" customHeight="false" outlineLevel="0" collapsed="false">
      <c r="A4710" s="0" t="s">
        <v>5241</v>
      </c>
      <c r="B4710" s="0" t="s">
        <v>6280</v>
      </c>
      <c r="C4710" s="0" t="s">
        <v>6281</v>
      </c>
      <c r="D4710" s="0" t="s">
        <v>98</v>
      </c>
      <c r="E4710" s="0" t="s">
        <v>5290</v>
      </c>
    </row>
    <row r="4711" customFormat="false" ht="15" hidden="false" customHeight="false" outlineLevel="0" collapsed="false">
      <c r="A4711" s="0" t="s">
        <v>5241</v>
      </c>
      <c r="B4711" s="0" t="s">
        <v>6282</v>
      </c>
      <c r="C4711" s="0" t="s">
        <v>6283</v>
      </c>
      <c r="D4711" s="0" t="s">
        <v>98</v>
      </c>
      <c r="E4711" s="0" t="s">
        <v>5290</v>
      </c>
    </row>
    <row r="4712" customFormat="false" ht="15" hidden="false" customHeight="false" outlineLevel="0" collapsed="false">
      <c r="A4712" s="0" t="s">
        <v>5241</v>
      </c>
      <c r="B4712" s="0" t="s">
        <v>6284</v>
      </c>
      <c r="C4712" s="0" t="s">
        <v>6285</v>
      </c>
      <c r="D4712" s="0" t="s">
        <v>98</v>
      </c>
      <c r="E4712" s="0" t="s">
        <v>5290</v>
      </c>
    </row>
    <row r="4713" customFormat="false" ht="15" hidden="false" customHeight="false" outlineLevel="0" collapsed="false">
      <c r="A4713" s="0" t="s">
        <v>5241</v>
      </c>
      <c r="B4713" s="0" t="s">
        <v>6286</v>
      </c>
      <c r="C4713" s="0" t="s">
        <v>6287</v>
      </c>
      <c r="D4713" s="0" t="s">
        <v>98</v>
      </c>
      <c r="E4713" s="0" t="s">
        <v>5290</v>
      </c>
    </row>
    <row r="4714" customFormat="false" ht="15" hidden="false" customHeight="false" outlineLevel="0" collapsed="false">
      <c r="A4714" s="0" t="s">
        <v>5241</v>
      </c>
      <c r="B4714" s="0" t="s">
        <v>6288</v>
      </c>
      <c r="C4714" s="0" t="s">
        <v>6289</v>
      </c>
      <c r="D4714" s="0" t="s">
        <v>98</v>
      </c>
      <c r="E4714" s="0" t="s">
        <v>5290</v>
      </c>
    </row>
    <row r="4715" customFormat="false" ht="15" hidden="false" customHeight="false" outlineLevel="0" collapsed="false">
      <c r="A4715" s="0" t="s">
        <v>5241</v>
      </c>
      <c r="B4715" s="0" t="s">
        <v>6290</v>
      </c>
      <c r="C4715" s="0" t="s">
        <v>6291</v>
      </c>
      <c r="D4715" s="0" t="s">
        <v>98</v>
      </c>
      <c r="E4715" s="0" t="s">
        <v>5290</v>
      </c>
    </row>
    <row r="4716" customFormat="false" ht="15" hidden="false" customHeight="false" outlineLevel="0" collapsed="false">
      <c r="A4716" s="0" t="s">
        <v>5241</v>
      </c>
      <c r="B4716" s="0" t="s">
        <v>6292</v>
      </c>
      <c r="C4716" s="0" t="s">
        <v>6293</v>
      </c>
      <c r="D4716" s="0" t="s">
        <v>98</v>
      </c>
      <c r="E4716" s="0" t="s">
        <v>5290</v>
      </c>
    </row>
    <row r="4717" customFormat="false" ht="15" hidden="false" customHeight="false" outlineLevel="0" collapsed="false">
      <c r="A4717" s="0" t="s">
        <v>5241</v>
      </c>
      <c r="B4717" s="0" t="s">
        <v>6294</v>
      </c>
      <c r="C4717" s="0" t="s">
        <v>6295</v>
      </c>
      <c r="D4717" s="0" t="s">
        <v>98</v>
      </c>
      <c r="E4717" s="0" t="s">
        <v>5290</v>
      </c>
    </row>
    <row r="4718" customFormat="false" ht="15" hidden="false" customHeight="false" outlineLevel="0" collapsed="false">
      <c r="A4718" s="0" t="s">
        <v>5241</v>
      </c>
      <c r="B4718" s="0" t="s">
        <v>6296</v>
      </c>
      <c r="C4718" s="0" t="s">
        <v>6297</v>
      </c>
      <c r="D4718" s="0" t="s">
        <v>98</v>
      </c>
      <c r="E4718" s="0" t="s">
        <v>5290</v>
      </c>
    </row>
    <row r="4719" customFormat="false" ht="15" hidden="false" customHeight="false" outlineLevel="0" collapsed="false">
      <c r="A4719" s="0" t="s">
        <v>5241</v>
      </c>
      <c r="B4719" s="0" t="s">
        <v>6298</v>
      </c>
      <c r="C4719" s="0" t="s">
        <v>6299</v>
      </c>
      <c r="D4719" s="0" t="s">
        <v>98</v>
      </c>
      <c r="E4719" s="0" t="s">
        <v>5290</v>
      </c>
    </row>
    <row r="4720" customFormat="false" ht="15" hidden="false" customHeight="false" outlineLevel="0" collapsed="false">
      <c r="A4720" s="0" t="s">
        <v>5241</v>
      </c>
      <c r="B4720" s="0" t="s">
        <v>6300</v>
      </c>
      <c r="C4720" s="0" t="s">
        <v>6301</v>
      </c>
      <c r="D4720" s="0" t="s">
        <v>98</v>
      </c>
      <c r="E4720" s="0" t="s">
        <v>5290</v>
      </c>
    </row>
    <row r="4721" customFormat="false" ht="15" hidden="false" customHeight="false" outlineLevel="0" collapsed="false">
      <c r="A4721" s="0" t="s">
        <v>5241</v>
      </c>
      <c r="B4721" s="0" t="s">
        <v>6302</v>
      </c>
      <c r="C4721" s="0" t="s">
        <v>6303</v>
      </c>
      <c r="D4721" s="0" t="s">
        <v>98</v>
      </c>
      <c r="E4721" s="0" t="s">
        <v>5290</v>
      </c>
    </row>
    <row r="4722" customFormat="false" ht="15" hidden="false" customHeight="false" outlineLevel="0" collapsed="false">
      <c r="A4722" s="0" t="s">
        <v>5241</v>
      </c>
      <c r="B4722" s="0" t="s">
        <v>6304</v>
      </c>
      <c r="C4722" s="0" t="s">
        <v>6305</v>
      </c>
      <c r="D4722" s="0" t="s">
        <v>98</v>
      </c>
      <c r="E4722" s="0" t="s">
        <v>5290</v>
      </c>
    </row>
    <row r="4723" customFormat="false" ht="15" hidden="false" customHeight="false" outlineLevel="0" collapsed="false">
      <c r="A4723" s="0" t="s">
        <v>5241</v>
      </c>
      <c r="B4723" s="0" t="s">
        <v>6306</v>
      </c>
      <c r="C4723" s="0" t="s">
        <v>6307</v>
      </c>
      <c r="D4723" s="0" t="s">
        <v>98</v>
      </c>
      <c r="E4723" s="0" t="s">
        <v>5290</v>
      </c>
    </row>
    <row r="4724" customFormat="false" ht="15" hidden="false" customHeight="false" outlineLevel="0" collapsed="false">
      <c r="A4724" s="0" t="s">
        <v>5241</v>
      </c>
      <c r="B4724" s="0" t="s">
        <v>6308</v>
      </c>
      <c r="C4724" s="0" t="s">
        <v>6309</v>
      </c>
      <c r="D4724" s="0" t="s">
        <v>98</v>
      </c>
      <c r="E4724" s="0" t="s">
        <v>5290</v>
      </c>
    </row>
    <row r="4725" customFormat="false" ht="15" hidden="false" customHeight="false" outlineLevel="0" collapsed="false">
      <c r="A4725" s="0" t="s">
        <v>5241</v>
      </c>
      <c r="B4725" s="0" t="s">
        <v>6310</v>
      </c>
      <c r="C4725" s="0" t="s">
        <v>6311</v>
      </c>
      <c r="D4725" s="0" t="s">
        <v>98</v>
      </c>
      <c r="E4725" s="0" t="s">
        <v>5290</v>
      </c>
    </row>
    <row r="4726" customFormat="false" ht="15" hidden="false" customHeight="false" outlineLevel="0" collapsed="false">
      <c r="A4726" s="0" t="s">
        <v>5241</v>
      </c>
      <c r="B4726" s="0" t="s">
        <v>6312</v>
      </c>
      <c r="C4726" s="0" t="s">
        <v>6313</v>
      </c>
      <c r="D4726" s="0" t="s">
        <v>98</v>
      </c>
      <c r="E4726" s="0" t="s">
        <v>5290</v>
      </c>
    </row>
    <row r="4727" customFormat="false" ht="15" hidden="false" customHeight="false" outlineLevel="0" collapsed="false">
      <c r="A4727" s="0" t="s">
        <v>5241</v>
      </c>
      <c r="B4727" s="0" t="s">
        <v>6314</v>
      </c>
      <c r="C4727" s="0" t="s">
        <v>6315</v>
      </c>
      <c r="D4727" s="0" t="s">
        <v>98</v>
      </c>
      <c r="E4727" s="0" t="s">
        <v>5244</v>
      </c>
    </row>
    <row r="4728" customFormat="false" ht="15" hidden="false" customHeight="false" outlineLevel="0" collapsed="false">
      <c r="A4728" s="0" t="s">
        <v>5241</v>
      </c>
      <c r="B4728" s="0" t="s">
        <v>6316</v>
      </c>
      <c r="C4728" s="0" t="s">
        <v>6317</v>
      </c>
      <c r="D4728" s="0" t="s">
        <v>98</v>
      </c>
      <c r="E4728" s="0" t="s">
        <v>5244</v>
      </c>
    </row>
    <row r="4729" customFormat="false" ht="15" hidden="false" customHeight="false" outlineLevel="0" collapsed="false">
      <c r="A4729" s="0" t="s">
        <v>5241</v>
      </c>
      <c r="B4729" s="0" t="s">
        <v>6318</v>
      </c>
      <c r="C4729" s="0" t="s">
        <v>6319</v>
      </c>
      <c r="D4729" s="0" t="s">
        <v>98</v>
      </c>
      <c r="E4729" s="0" t="s">
        <v>5244</v>
      </c>
    </row>
    <row r="4730" customFormat="false" ht="15" hidden="false" customHeight="false" outlineLevel="0" collapsed="false">
      <c r="A4730" s="0" t="s">
        <v>5241</v>
      </c>
      <c r="B4730" s="0" t="s">
        <v>6320</v>
      </c>
      <c r="C4730" s="0" t="s">
        <v>6321</v>
      </c>
      <c r="D4730" s="0" t="s">
        <v>98</v>
      </c>
      <c r="E4730" s="0" t="s">
        <v>5244</v>
      </c>
    </row>
    <row r="4731" customFormat="false" ht="15" hidden="false" customHeight="false" outlineLevel="0" collapsed="false">
      <c r="A4731" s="0" t="s">
        <v>5241</v>
      </c>
      <c r="B4731" s="0" t="s">
        <v>6322</v>
      </c>
      <c r="C4731" s="0" t="s">
        <v>6323</v>
      </c>
      <c r="D4731" s="0" t="s">
        <v>98</v>
      </c>
      <c r="E4731" s="0" t="s">
        <v>5244</v>
      </c>
    </row>
    <row r="4732" customFormat="false" ht="15" hidden="false" customHeight="false" outlineLevel="0" collapsed="false">
      <c r="A4732" s="0" t="s">
        <v>5241</v>
      </c>
      <c r="B4732" s="0" t="s">
        <v>6324</v>
      </c>
      <c r="C4732" s="0" t="s">
        <v>6325</v>
      </c>
      <c r="D4732" s="0" t="s">
        <v>98</v>
      </c>
      <c r="E4732" s="0" t="s">
        <v>5244</v>
      </c>
    </row>
    <row r="4733" customFormat="false" ht="15" hidden="false" customHeight="false" outlineLevel="0" collapsed="false">
      <c r="A4733" s="0" t="s">
        <v>5241</v>
      </c>
      <c r="B4733" s="0" t="s">
        <v>6326</v>
      </c>
      <c r="C4733" s="0" t="s">
        <v>6327</v>
      </c>
      <c r="D4733" s="0" t="s">
        <v>98</v>
      </c>
      <c r="E4733" s="0" t="s">
        <v>5244</v>
      </c>
    </row>
    <row r="4734" customFormat="false" ht="15" hidden="false" customHeight="false" outlineLevel="0" collapsed="false">
      <c r="A4734" s="0" t="s">
        <v>5241</v>
      </c>
      <c r="B4734" s="0" t="s">
        <v>6328</v>
      </c>
      <c r="C4734" s="0" t="s">
        <v>6329</v>
      </c>
      <c r="D4734" s="0" t="s">
        <v>98</v>
      </c>
      <c r="E4734" s="0" t="s">
        <v>5244</v>
      </c>
    </row>
    <row r="4735" customFormat="false" ht="15" hidden="false" customHeight="false" outlineLevel="0" collapsed="false">
      <c r="A4735" s="0" t="s">
        <v>5241</v>
      </c>
      <c r="B4735" s="0" t="s">
        <v>6330</v>
      </c>
      <c r="C4735" s="0" t="s">
        <v>6331</v>
      </c>
      <c r="D4735" s="0" t="s">
        <v>98</v>
      </c>
      <c r="E4735" s="0" t="s">
        <v>5244</v>
      </c>
    </row>
    <row r="4736" customFormat="false" ht="15" hidden="false" customHeight="false" outlineLevel="0" collapsed="false">
      <c r="A4736" s="0" t="s">
        <v>5241</v>
      </c>
      <c r="B4736" s="0" t="s">
        <v>1660</v>
      </c>
      <c r="C4736" s="0" t="s">
        <v>6332</v>
      </c>
      <c r="D4736" s="0" t="s">
        <v>98</v>
      </c>
      <c r="E4736" s="0" t="s">
        <v>5244</v>
      </c>
    </row>
    <row r="4737" customFormat="false" ht="15" hidden="false" customHeight="false" outlineLevel="0" collapsed="false">
      <c r="A4737" s="0" t="s">
        <v>5241</v>
      </c>
      <c r="B4737" s="0" t="s">
        <v>1661</v>
      </c>
      <c r="C4737" s="0" t="s">
        <v>6333</v>
      </c>
      <c r="D4737" s="0" t="s">
        <v>98</v>
      </c>
      <c r="E4737" s="0" t="s">
        <v>5244</v>
      </c>
    </row>
    <row r="4738" customFormat="false" ht="15" hidden="false" customHeight="false" outlineLevel="0" collapsed="false">
      <c r="A4738" s="0" t="s">
        <v>5241</v>
      </c>
      <c r="B4738" s="0" t="s">
        <v>1662</v>
      </c>
      <c r="C4738" s="0" t="s">
        <v>6334</v>
      </c>
      <c r="D4738" s="0" t="s">
        <v>98</v>
      </c>
      <c r="E4738" s="0" t="s">
        <v>5244</v>
      </c>
    </row>
    <row r="4739" customFormat="false" ht="15" hidden="false" customHeight="false" outlineLevel="0" collapsed="false">
      <c r="A4739" s="0" t="s">
        <v>5241</v>
      </c>
      <c r="B4739" s="0" t="s">
        <v>1663</v>
      </c>
      <c r="C4739" s="0" t="s">
        <v>6335</v>
      </c>
      <c r="D4739" s="0" t="s">
        <v>98</v>
      </c>
      <c r="E4739" s="0" t="s">
        <v>5244</v>
      </c>
    </row>
    <row r="4740" customFormat="false" ht="15" hidden="false" customHeight="false" outlineLevel="0" collapsed="false">
      <c r="A4740" s="0" t="s">
        <v>5241</v>
      </c>
      <c r="B4740" s="0" t="s">
        <v>1664</v>
      </c>
      <c r="C4740" s="0" t="s">
        <v>6336</v>
      </c>
      <c r="D4740" s="0" t="s">
        <v>98</v>
      </c>
      <c r="E4740" s="0" t="s">
        <v>5244</v>
      </c>
    </row>
    <row r="4741" customFormat="false" ht="15" hidden="false" customHeight="false" outlineLevel="0" collapsed="false">
      <c r="A4741" s="0" t="s">
        <v>5241</v>
      </c>
      <c r="B4741" s="0" t="s">
        <v>1665</v>
      </c>
      <c r="C4741" s="0" t="s">
        <v>6337</v>
      </c>
      <c r="D4741" s="0" t="s">
        <v>98</v>
      </c>
      <c r="E4741" s="0" t="s">
        <v>5244</v>
      </c>
    </row>
    <row r="4742" customFormat="false" ht="15" hidden="false" customHeight="false" outlineLevel="0" collapsed="false">
      <c r="A4742" s="0" t="s">
        <v>5241</v>
      </c>
      <c r="B4742" s="0" t="s">
        <v>1666</v>
      </c>
      <c r="C4742" s="0" t="s">
        <v>6338</v>
      </c>
      <c r="D4742" s="0" t="s">
        <v>98</v>
      </c>
      <c r="E4742" s="0" t="s">
        <v>5244</v>
      </c>
    </row>
    <row r="4743" customFormat="false" ht="15" hidden="false" customHeight="false" outlineLevel="0" collapsed="false">
      <c r="A4743" s="0" t="s">
        <v>5241</v>
      </c>
      <c r="B4743" s="0" t="s">
        <v>1667</v>
      </c>
      <c r="C4743" s="0" t="s">
        <v>6339</v>
      </c>
      <c r="D4743" s="0" t="s">
        <v>98</v>
      </c>
      <c r="E4743" s="0" t="s">
        <v>5244</v>
      </c>
    </row>
    <row r="4744" customFormat="false" ht="15" hidden="false" customHeight="false" outlineLevel="0" collapsed="false">
      <c r="A4744" s="0" t="s">
        <v>5241</v>
      </c>
      <c r="B4744" s="0" t="s">
        <v>1668</v>
      </c>
      <c r="C4744" s="0" t="s">
        <v>6340</v>
      </c>
      <c r="D4744" s="0" t="s">
        <v>98</v>
      </c>
      <c r="E4744" s="0" t="s">
        <v>5244</v>
      </c>
    </row>
    <row r="4745" customFormat="false" ht="15" hidden="false" customHeight="false" outlineLevel="0" collapsed="false">
      <c r="A4745" s="0" t="s">
        <v>5241</v>
      </c>
      <c r="B4745" s="0" t="s">
        <v>1669</v>
      </c>
      <c r="C4745" s="0" t="s">
        <v>6341</v>
      </c>
      <c r="D4745" s="0" t="s">
        <v>98</v>
      </c>
      <c r="E4745" s="0" t="s">
        <v>5244</v>
      </c>
    </row>
    <row r="4746" customFormat="false" ht="15" hidden="false" customHeight="false" outlineLevel="0" collapsed="false">
      <c r="A4746" s="0" t="s">
        <v>5241</v>
      </c>
      <c r="B4746" s="0" t="s">
        <v>1670</v>
      </c>
      <c r="C4746" s="0" t="s">
        <v>6342</v>
      </c>
      <c r="D4746" s="0" t="s">
        <v>98</v>
      </c>
      <c r="E4746" s="0" t="s">
        <v>5244</v>
      </c>
    </row>
    <row r="4747" customFormat="false" ht="15" hidden="false" customHeight="false" outlineLevel="0" collapsed="false">
      <c r="A4747" s="0" t="s">
        <v>5241</v>
      </c>
      <c r="B4747" s="0" t="s">
        <v>1671</v>
      </c>
      <c r="C4747" s="0" t="s">
        <v>6343</v>
      </c>
      <c r="D4747" s="0" t="s">
        <v>98</v>
      </c>
      <c r="E4747" s="0" t="s">
        <v>5244</v>
      </c>
    </row>
    <row r="4748" customFormat="false" ht="15" hidden="false" customHeight="false" outlineLevel="0" collapsed="false">
      <c r="A4748" s="0" t="s">
        <v>5241</v>
      </c>
      <c r="B4748" s="0" t="s">
        <v>1672</v>
      </c>
      <c r="C4748" s="0" t="s">
        <v>6344</v>
      </c>
      <c r="D4748" s="0" t="s">
        <v>98</v>
      </c>
      <c r="E4748" s="0" t="s">
        <v>5244</v>
      </c>
    </row>
    <row r="4749" customFormat="false" ht="15" hidden="false" customHeight="false" outlineLevel="0" collapsed="false">
      <c r="A4749" s="0" t="s">
        <v>5241</v>
      </c>
      <c r="B4749" s="0" t="s">
        <v>1673</v>
      </c>
      <c r="C4749" s="0" t="s">
        <v>6345</v>
      </c>
      <c r="D4749" s="0" t="s">
        <v>98</v>
      </c>
      <c r="E4749" s="0" t="s">
        <v>5244</v>
      </c>
    </row>
    <row r="4750" customFormat="false" ht="15" hidden="false" customHeight="false" outlineLevel="0" collapsed="false">
      <c r="A4750" s="0" t="s">
        <v>5241</v>
      </c>
      <c r="B4750" s="0" t="s">
        <v>1674</v>
      </c>
      <c r="C4750" s="0" t="s">
        <v>6346</v>
      </c>
      <c r="D4750" s="0" t="s">
        <v>98</v>
      </c>
      <c r="E4750" s="0" t="s">
        <v>5244</v>
      </c>
    </row>
    <row r="4751" customFormat="false" ht="15" hidden="false" customHeight="false" outlineLevel="0" collapsed="false">
      <c r="A4751" s="0" t="s">
        <v>5241</v>
      </c>
      <c r="B4751" s="0" t="s">
        <v>1675</v>
      </c>
      <c r="C4751" s="0" t="s">
        <v>6347</v>
      </c>
      <c r="D4751" s="0" t="s">
        <v>98</v>
      </c>
      <c r="E4751" s="0" t="s">
        <v>5244</v>
      </c>
    </row>
    <row r="4752" customFormat="false" ht="15" hidden="false" customHeight="false" outlineLevel="0" collapsed="false">
      <c r="A4752" s="0" t="s">
        <v>5241</v>
      </c>
      <c r="B4752" s="0" t="s">
        <v>1676</v>
      </c>
      <c r="C4752" s="0" t="s">
        <v>6348</v>
      </c>
      <c r="D4752" s="0" t="s">
        <v>98</v>
      </c>
      <c r="E4752" s="0" t="s">
        <v>5244</v>
      </c>
    </row>
    <row r="4753" customFormat="false" ht="15" hidden="false" customHeight="false" outlineLevel="0" collapsed="false">
      <c r="A4753" s="0" t="s">
        <v>5241</v>
      </c>
      <c r="B4753" s="0" t="s">
        <v>1677</v>
      </c>
      <c r="C4753" s="0" t="s">
        <v>6349</v>
      </c>
      <c r="D4753" s="0" t="s">
        <v>98</v>
      </c>
      <c r="E4753" s="0" t="s">
        <v>5244</v>
      </c>
    </row>
    <row r="4754" customFormat="false" ht="15" hidden="false" customHeight="false" outlineLevel="0" collapsed="false">
      <c r="A4754" s="0" t="s">
        <v>5241</v>
      </c>
      <c r="B4754" s="0" t="s">
        <v>1678</v>
      </c>
      <c r="C4754" s="0" t="s">
        <v>6350</v>
      </c>
      <c r="D4754" s="0" t="s">
        <v>98</v>
      </c>
      <c r="E4754" s="0" t="s">
        <v>5244</v>
      </c>
    </row>
    <row r="4755" customFormat="false" ht="15" hidden="false" customHeight="false" outlineLevel="0" collapsed="false">
      <c r="A4755" s="0" t="s">
        <v>5241</v>
      </c>
      <c r="B4755" s="0" t="s">
        <v>1679</v>
      </c>
      <c r="C4755" s="0" t="s">
        <v>6351</v>
      </c>
      <c r="D4755" s="0" t="s">
        <v>98</v>
      </c>
      <c r="E4755" s="0" t="s">
        <v>5290</v>
      </c>
    </row>
    <row r="4756" customFormat="false" ht="15" hidden="false" customHeight="false" outlineLevel="0" collapsed="false">
      <c r="A4756" s="0" t="s">
        <v>5241</v>
      </c>
      <c r="B4756" s="0" t="s">
        <v>1680</v>
      </c>
      <c r="C4756" s="0" t="s">
        <v>6352</v>
      </c>
      <c r="D4756" s="0" t="s">
        <v>98</v>
      </c>
      <c r="E4756" s="0" t="s">
        <v>5290</v>
      </c>
    </row>
    <row r="4757" customFormat="false" ht="15" hidden="false" customHeight="false" outlineLevel="0" collapsed="false">
      <c r="A4757" s="0" t="s">
        <v>5241</v>
      </c>
      <c r="B4757" s="0" t="s">
        <v>1681</v>
      </c>
      <c r="C4757" s="0" t="s">
        <v>6353</v>
      </c>
      <c r="D4757" s="0" t="s">
        <v>98</v>
      </c>
      <c r="E4757" s="0" t="s">
        <v>5290</v>
      </c>
    </row>
    <row r="4758" customFormat="false" ht="15" hidden="false" customHeight="false" outlineLevel="0" collapsed="false">
      <c r="A4758" s="0" t="s">
        <v>5241</v>
      </c>
      <c r="B4758" s="0" t="s">
        <v>1682</v>
      </c>
      <c r="C4758" s="0" t="s">
        <v>6354</v>
      </c>
      <c r="D4758" s="0" t="s">
        <v>98</v>
      </c>
      <c r="E4758" s="0" t="s">
        <v>5290</v>
      </c>
    </row>
    <row r="4759" customFormat="false" ht="15" hidden="false" customHeight="false" outlineLevel="0" collapsed="false">
      <c r="A4759" s="0" t="s">
        <v>5241</v>
      </c>
      <c r="B4759" s="0" t="s">
        <v>1683</v>
      </c>
      <c r="C4759" s="0" t="s">
        <v>6355</v>
      </c>
      <c r="D4759" s="0" t="s">
        <v>98</v>
      </c>
      <c r="E4759" s="0" t="s">
        <v>5290</v>
      </c>
    </row>
    <row r="4760" customFormat="false" ht="15" hidden="false" customHeight="false" outlineLevel="0" collapsed="false">
      <c r="A4760" s="0" t="s">
        <v>5241</v>
      </c>
      <c r="B4760" s="0" t="s">
        <v>1684</v>
      </c>
      <c r="C4760" s="0" t="s">
        <v>6356</v>
      </c>
      <c r="D4760" s="0" t="s">
        <v>98</v>
      </c>
      <c r="E4760" s="0" t="s">
        <v>5290</v>
      </c>
    </row>
    <row r="4761" customFormat="false" ht="15" hidden="false" customHeight="false" outlineLevel="0" collapsed="false">
      <c r="A4761" s="0" t="s">
        <v>5241</v>
      </c>
      <c r="B4761" s="0" t="s">
        <v>1685</v>
      </c>
      <c r="C4761" s="0" t="s">
        <v>6357</v>
      </c>
      <c r="D4761" s="0" t="s">
        <v>98</v>
      </c>
      <c r="E4761" s="0" t="s">
        <v>5290</v>
      </c>
    </row>
    <row r="4762" customFormat="false" ht="15" hidden="false" customHeight="false" outlineLevel="0" collapsed="false">
      <c r="A4762" s="0" t="s">
        <v>5241</v>
      </c>
      <c r="B4762" s="0" t="s">
        <v>1686</v>
      </c>
      <c r="C4762" s="0" t="s">
        <v>6358</v>
      </c>
      <c r="D4762" s="0" t="s">
        <v>98</v>
      </c>
      <c r="E4762" s="0" t="s">
        <v>5290</v>
      </c>
    </row>
    <row r="4763" customFormat="false" ht="15" hidden="false" customHeight="false" outlineLevel="0" collapsed="false">
      <c r="A4763" s="0" t="s">
        <v>5241</v>
      </c>
      <c r="B4763" s="0" t="s">
        <v>1687</v>
      </c>
      <c r="C4763" s="0" t="s">
        <v>6359</v>
      </c>
      <c r="D4763" s="0" t="s">
        <v>98</v>
      </c>
      <c r="E4763" s="0" t="s">
        <v>5290</v>
      </c>
    </row>
    <row r="4764" customFormat="false" ht="15" hidden="false" customHeight="false" outlineLevel="0" collapsed="false">
      <c r="A4764" s="0" t="s">
        <v>5241</v>
      </c>
      <c r="B4764" s="0" t="s">
        <v>1688</v>
      </c>
      <c r="C4764" s="0" t="s">
        <v>6360</v>
      </c>
      <c r="D4764" s="0" t="s">
        <v>98</v>
      </c>
      <c r="E4764" s="0" t="s">
        <v>5290</v>
      </c>
    </row>
    <row r="4765" customFormat="false" ht="15" hidden="false" customHeight="false" outlineLevel="0" collapsed="false">
      <c r="A4765" s="0" t="s">
        <v>5241</v>
      </c>
      <c r="B4765" s="0" t="s">
        <v>1689</v>
      </c>
      <c r="C4765" s="0" t="s">
        <v>6361</v>
      </c>
      <c r="D4765" s="0" t="s">
        <v>98</v>
      </c>
      <c r="E4765" s="0" t="s">
        <v>5290</v>
      </c>
    </row>
    <row r="4766" customFormat="false" ht="15" hidden="false" customHeight="false" outlineLevel="0" collapsed="false">
      <c r="A4766" s="0" t="s">
        <v>5241</v>
      </c>
      <c r="B4766" s="0" t="s">
        <v>1690</v>
      </c>
      <c r="C4766" s="0" t="s">
        <v>6362</v>
      </c>
      <c r="D4766" s="0" t="s">
        <v>98</v>
      </c>
      <c r="E4766" s="0" t="s">
        <v>5290</v>
      </c>
    </row>
    <row r="4767" customFormat="false" ht="15" hidden="false" customHeight="false" outlineLevel="0" collapsed="false">
      <c r="A4767" s="0" t="s">
        <v>5241</v>
      </c>
      <c r="B4767" s="0" t="s">
        <v>1691</v>
      </c>
      <c r="C4767" s="0" t="s">
        <v>6363</v>
      </c>
      <c r="D4767" s="0" t="s">
        <v>98</v>
      </c>
      <c r="E4767" s="0" t="s">
        <v>5290</v>
      </c>
    </row>
    <row r="4768" customFormat="false" ht="15" hidden="false" customHeight="false" outlineLevel="0" collapsed="false">
      <c r="A4768" s="0" t="s">
        <v>5241</v>
      </c>
      <c r="B4768" s="0" t="s">
        <v>1692</v>
      </c>
      <c r="C4768" s="0" t="s">
        <v>6364</v>
      </c>
      <c r="D4768" s="0" t="s">
        <v>98</v>
      </c>
      <c r="E4768" s="0" t="s">
        <v>5290</v>
      </c>
    </row>
    <row r="4769" customFormat="false" ht="15" hidden="false" customHeight="false" outlineLevel="0" collapsed="false">
      <c r="A4769" s="0" t="s">
        <v>5241</v>
      </c>
      <c r="B4769" s="0" t="s">
        <v>1693</v>
      </c>
      <c r="C4769" s="0" t="s">
        <v>6365</v>
      </c>
      <c r="D4769" s="0" t="s">
        <v>98</v>
      </c>
      <c r="E4769" s="0" t="s">
        <v>5290</v>
      </c>
    </row>
    <row r="4770" customFormat="false" ht="15" hidden="false" customHeight="false" outlineLevel="0" collapsed="false">
      <c r="A4770" s="0" t="s">
        <v>5241</v>
      </c>
      <c r="B4770" s="0" t="s">
        <v>1694</v>
      </c>
      <c r="C4770" s="0" t="s">
        <v>6366</v>
      </c>
      <c r="D4770" s="0" t="s">
        <v>98</v>
      </c>
      <c r="E4770" s="0" t="s">
        <v>5290</v>
      </c>
    </row>
    <row r="4771" customFormat="false" ht="15" hidden="false" customHeight="false" outlineLevel="0" collapsed="false">
      <c r="A4771" s="0" t="s">
        <v>5241</v>
      </c>
      <c r="B4771" s="0" t="s">
        <v>1696</v>
      </c>
      <c r="C4771" s="0" t="s">
        <v>6367</v>
      </c>
      <c r="D4771" s="0" t="s">
        <v>98</v>
      </c>
      <c r="E4771" s="0" t="s">
        <v>5290</v>
      </c>
    </row>
    <row r="4772" customFormat="false" ht="15" hidden="false" customHeight="false" outlineLevel="0" collapsed="false">
      <c r="A4772" s="0" t="s">
        <v>5241</v>
      </c>
      <c r="B4772" s="0" t="s">
        <v>1697</v>
      </c>
      <c r="C4772" s="0" t="s">
        <v>6368</v>
      </c>
      <c r="D4772" s="0" t="s">
        <v>98</v>
      </c>
      <c r="E4772" s="0" t="s">
        <v>5290</v>
      </c>
    </row>
    <row r="4773" customFormat="false" ht="15" hidden="false" customHeight="false" outlineLevel="0" collapsed="false">
      <c r="A4773" s="0" t="s">
        <v>5241</v>
      </c>
      <c r="B4773" s="0" t="s">
        <v>1698</v>
      </c>
      <c r="C4773" s="0" t="s">
        <v>6369</v>
      </c>
      <c r="D4773" s="0" t="s">
        <v>98</v>
      </c>
      <c r="E4773" s="0" t="s">
        <v>5290</v>
      </c>
    </row>
    <row r="4774" customFormat="false" ht="15" hidden="false" customHeight="false" outlineLevel="0" collapsed="false">
      <c r="A4774" s="0" t="s">
        <v>5241</v>
      </c>
      <c r="B4774" s="0" t="s">
        <v>1699</v>
      </c>
      <c r="C4774" s="0" t="s">
        <v>6370</v>
      </c>
      <c r="D4774" s="0" t="s">
        <v>98</v>
      </c>
      <c r="E4774" s="0" t="s">
        <v>5290</v>
      </c>
    </row>
    <row r="4775" customFormat="false" ht="15" hidden="false" customHeight="false" outlineLevel="0" collapsed="false">
      <c r="A4775" s="0" t="s">
        <v>5241</v>
      </c>
      <c r="B4775" s="0" t="s">
        <v>1700</v>
      </c>
      <c r="C4775" s="0" t="s">
        <v>6371</v>
      </c>
      <c r="D4775" s="0" t="s">
        <v>98</v>
      </c>
      <c r="E4775" s="0" t="s">
        <v>5290</v>
      </c>
    </row>
    <row r="4776" customFormat="false" ht="15" hidden="false" customHeight="false" outlineLevel="0" collapsed="false">
      <c r="A4776" s="0" t="s">
        <v>5241</v>
      </c>
      <c r="B4776" s="0" t="s">
        <v>1701</v>
      </c>
      <c r="C4776" s="0" t="s">
        <v>6372</v>
      </c>
      <c r="D4776" s="0" t="s">
        <v>98</v>
      </c>
      <c r="E4776" s="0" t="s">
        <v>5290</v>
      </c>
    </row>
    <row r="4777" customFormat="false" ht="15" hidden="false" customHeight="false" outlineLevel="0" collapsed="false">
      <c r="A4777" s="0" t="s">
        <v>5241</v>
      </c>
      <c r="B4777" s="0" t="s">
        <v>1702</v>
      </c>
      <c r="C4777" s="0" t="s">
        <v>6373</v>
      </c>
      <c r="D4777" s="0" t="s">
        <v>98</v>
      </c>
      <c r="E4777" s="0" t="s">
        <v>5290</v>
      </c>
    </row>
    <row r="4778" customFormat="false" ht="15" hidden="false" customHeight="false" outlineLevel="0" collapsed="false">
      <c r="A4778" s="0" t="s">
        <v>5241</v>
      </c>
      <c r="B4778" s="0" t="s">
        <v>1703</v>
      </c>
      <c r="C4778" s="0" t="s">
        <v>6374</v>
      </c>
      <c r="D4778" s="0" t="s">
        <v>98</v>
      </c>
      <c r="E4778" s="0" t="s">
        <v>5290</v>
      </c>
    </row>
    <row r="4779" customFormat="false" ht="15" hidden="false" customHeight="false" outlineLevel="0" collapsed="false">
      <c r="A4779" s="0" t="s">
        <v>5241</v>
      </c>
      <c r="B4779" s="0" t="s">
        <v>1704</v>
      </c>
      <c r="C4779" s="0" t="s">
        <v>6375</v>
      </c>
      <c r="D4779" s="0" t="s">
        <v>98</v>
      </c>
      <c r="E4779" s="0" t="s">
        <v>5290</v>
      </c>
    </row>
    <row r="4780" customFormat="false" ht="15" hidden="false" customHeight="false" outlineLevel="0" collapsed="false">
      <c r="A4780" s="0" t="s">
        <v>5241</v>
      </c>
      <c r="B4780" s="0" t="s">
        <v>1705</v>
      </c>
      <c r="C4780" s="0" t="s">
        <v>6376</v>
      </c>
      <c r="D4780" s="0" t="s">
        <v>98</v>
      </c>
      <c r="E4780" s="0" t="s">
        <v>5290</v>
      </c>
    </row>
    <row r="4781" customFormat="false" ht="15" hidden="false" customHeight="false" outlineLevel="0" collapsed="false">
      <c r="A4781" s="0" t="s">
        <v>5241</v>
      </c>
      <c r="B4781" s="0" t="s">
        <v>1706</v>
      </c>
      <c r="C4781" s="0" t="s">
        <v>6377</v>
      </c>
      <c r="D4781" s="0" t="s">
        <v>98</v>
      </c>
      <c r="E4781" s="0" t="s">
        <v>5290</v>
      </c>
    </row>
    <row r="4782" customFormat="false" ht="15" hidden="false" customHeight="false" outlineLevel="0" collapsed="false">
      <c r="A4782" s="0" t="s">
        <v>5241</v>
      </c>
      <c r="B4782" s="0" t="s">
        <v>1707</v>
      </c>
      <c r="C4782" s="0" t="s">
        <v>6378</v>
      </c>
      <c r="D4782" s="0" t="s">
        <v>98</v>
      </c>
      <c r="E4782" s="0" t="s">
        <v>5290</v>
      </c>
    </row>
    <row r="4783" customFormat="false" ht="15" hidden="false" customHeight="false" outlineLevel="0" collapsed="false">
      <c r="A4783" s="0" t="s">
        <v>5241</v>
      </c>
      <c r="B4783" s="0" t="s">
        <v>1708</v>
      </c>
      <c r="C4783" s="0" t="s">
        <v>6379</v>
      </c>
      <c r="D4783" s="0" t="s">
        <v>98</v>
      </c>
      <c r="E4783" s="0" t="s">
        <v>5244</v>
      </c>
    </row>
    <row r="4784" customFormat="false" ht="15" hidden="false" customHeight="false" outlineLevel="0" collapsed="false">
      <c r="A4784" s="0" t="s">
        <v>5241</v>
      </c>
      <c r="B4784" s="0" t="s">
        <v>1709</v>
      </c>
      <c r="C4784" s="0" t="s">
        <v>6380</v>
      </c>
      <c r="D4784" s="0" t="s">
        <v>98</v>
      </c>
      <c r="E4784" s="0" t="s">
        <v>5244</v>
      </c>
    </row>
    <row r="4785" customFormat="false" ht="15" hidden="false" customHeight="false" outlineLevel="0" collapsed="false">
      <c r="A4785" s="0" t="s">
        <v>5241</v>
      </c>
      <c r="B4785" s="0" t="s">
        <v>1710</v>
      </c>
      <c r="C4785" s="0" t="s">
        <v>6381</v>
      </c>
      <c r="D4785" s="0" t="s">
        <v>98</v>
      </c>
      <c r="E4785" s="0" t="s">
        <v>5244</v>
      </c>
    </row>
    <row r="4786" customFormat="false" ht="15" hidden="false" customHeight="false" outlineLevel="0" collapsed="false">
      <c r="A4786" s="0" t="s">
        <v>5241</v>
      </c>
      <c r="B4786" s="0" t="s">
        <v>1711</v>
      </c>
      <c r="C4786" s="0" t="s">
        <v>6382</v>
      </c>
      <c r="D4786" s="0" t="s">
        <v>98</v>
      </c>
      <c r="E4786" s="0" t="s">
        <v>5244</v>
      </c>
    </row>
    <row r="4787" customFormat="false" ht="15" hidden="false" customHeight="false" outlineLevel="0" collapsed="false">
      <c r="A4787" s="0" t="s">
        <v>5241</v>
      </c>
      <c r="B4787" s="0" t="s">
        <v>1712</v>
      </c>
      <c r="C4787" s="0" t="s">
        <v>6383</v>
      </c>
      <c r="D4787" s="0" t="s">
        <v>98</v>
      </c>
      <c r="E4787" s="0" t="s">
        <v>5244</v>
      </c>
    </row>
    <row r="4788" customFormat="false" ht="15" hidden="false" customHeight="false" outlineLevel="0" collapsed="false">
      <c r="A4788" s="0" t="s">
        <v>5241</v>
      </c>
      <c r="B4788" s="0" t="s">
        <v>1713</v>
      </c>
      <c r="C4788" s="0" t="s">
        <v>6384</v>
      </c>
      <c r="D4788" s="0" t="s">
        <v>98</v>
      </c>
      <c r="E4788" s="0" t="s">
        <v>5244</v>
      </c>
    </row>
    <row r="4789" customFormat="false" ht="15" hidden="false" customHeight="false" outlineLevel="0" collapsed="false">
      <c r="A4789" s="0" t="s">
        <v>5241</v>
      </c>
      <c r="B4789" s="0" t="s">
        <v>1714</v>
      </c>
      <c r="C4789" s="0" t="s">
        <v>6385</v>
      </c>
      <c r="D4789" s="0" t="s">
        <v>98</v>
      </c>
      <c r="E4789" s="0" t="s">
        <v>5244</v>
      </c>
    </row>
    <row r="4790" customFormat="false" ht="15" hidden="false" customHeight="false" outlineLevel="0" collapsed="false">
      <c r="A4790" s="0" t="s">
        <v>5241</v>
      </c>
      <c r="B4790" s="0" t="s">
        <v>1715</v>
      </c>
      <c r="C4790" s="0" t="s">
        <v>6386</v>
      </c>
      <c r="D4790" s="0" t="s">
        <v>98</v>
      </c>
      <c r="E4790" s="0" t="s">
        <v>5244</v>
      </c>
    </row>
    <row r="4791" customFormat="false" ht="15" hidden="false" customHeight="false" outlineLevel="0" collapsed="false">
      <c r="A4791" s="0" t="s">
        <v>5241</v>
      </c>
      <c r="B4791" s="0" t="s">
        <v>1716</v>
      </c>
      <c r="C4791" s="0" t="s">
        <v>6387</v>
      </c>
      <c r="D4791" s="0" t="s">
        <v>98</v>
      </c>
      <c r="E4791" s="0" t="s">
        <v>5244</v>
      </c>
    </row>
    <row r="4792" customFormat="false" ht="15" hidden="false" customHeight="false" outlineLevel="0" collapsed="false">
      <c r="A4792" s="0" t="s">
        <v>5241</v>
      </c>
      <c r="B4792" s="0" t="s">
        <v>1717</v>
      </c>
      <c r="C4792" s="0" t="s">
        <v>6388</v>
      </c>
      <c r="D4792" s="0" t="s">
        <v>98</v>
      </c>
      <c r="E4792" s="0" t="s">
        <v>5244</v>
      </c>
    </row>
    <row r="4793" customFormat="false" ht="15" hidden="false" customHeight="false" outlineLevel="0" collapsed="false">
      <c r="A4793" s="0" t="s">
        <v>5241</v>
      </c>
      <c r="B4793" s="0" t="s">
        <v>1718</v>
      </c>
      <c r="C4793" s="0" t="s">
        <v>6389</v>
      </c>
      <c r="D4793" s="0" t="s">
        <v>98</v>
      </c>
      <c r="E4793" s="0" t="s">
        <v>5244</v>
      </c>
    </row>
    <row r="4794" customFormat="false" ht="15" hidden="false" customHeight="false" outlineLevel="0" collapsed="false">
      <c r="A4794" s="0" t="s">
        <v>5241</v>
      </c>
      <c r="B4794" s="0" t="s">
        <v>1719</v>
      </c>
      <c r="C4794" s="0" t="s">
        <v>6390</v>
      </c>
      <c r="D4794" s="0" t="s">
        <v>98</v>
      </c>
      <c r="E4794" s="0" t="s">
        <v>5244</v>
      </c>
    </row>
    <row r="4795" customFormat="false" ht="15" hidden="false" customHeight="false" outlineLevel="0" collapsed="false">
      <c r="A4795" s="0" t="s">
        <v>5241</v>
      </c>
      <c r="B4795" s="0" t="s">
        <v>1720</v>
      </c>
      <c r="C4795" s="0" t="s">
        <v>6391</v>
      </c>
      <c r="D4795" s="0" t="s">
        <v>98</v>
      </c>
      <c r="E4795" s="0" t="s">
        <v>5244</v>
      </c>
    </row>
    <row r="4796" customFormat="false" ht="15" hidden="false" customHeight="false" outlineLevel="0" collapsed="false">
      <c r="A4796" s="0" t="s">
        <v>5241</v>
      </c>
      <c r="B4796" s="0" t="s">
        <v>1721</v>
      </c>
      <c r="C4796" s="0" t="s">
        <v>6392</v>
      </c>
      <c r="D4796" s="0" t="s">
        <v>98</v>
      </c>
      <c r="E4796" s="0" t="s">
        <v>5244</v>
      </c>
    </row>
    <row r="4797" customFormat="false" ht="15" hidden="false" customHeight="false" outlineLevel="0" collapsed="false">
      <c r="A4797" s="0" t="s">
        <v>5241</v>
      </c>
      <c r="B4797" s="0" t="s">
        <v>1722</v>
      </c>
      <c r="C4797" s="0" t="s">
        <v>6393</v>
      </c>
      <c r="D4797" s="0" t="s">
        <v>98</v>
      </c>
      <c r="E4797" s="0" t="s">
        <v>5244</v>
      </c>
    </row>
    <row r="4798" customFormat="false" ht="15" hidden="false" customHeight="false" outlineLevel="0" collapsed="false">
      <c r="A4798" s="0" t="s">
        <v>5241</v>
      </c>
      <c r="B4798" s="0" t="s">
        <v>1723</v>
      </c>
      <c r="C4798" s="0" t="s">
        <v>6394</v>
      </c>
      <c r="D4798" s="0" t="s">
        <v>98</v>
      </c>
      <c r="E4798" s="0" t="s">
        <v>5244</v>
      </c>
    </row>
    <row r="4799" customFormat="false" ht="15" hidden="false" customHeight="false" outlineLevel="0" collapsed="false">
      <c r="A4799" s="0" t="s">
        <v>5241</v>
      </c>
      <c r="B4799" s="0" t="s">
        <v>1724</v>
      </c>
      <c r="C4799" s="0" t="s">
        <v>6395</v>
      </c>
      <c r="D4799" s="0" t="s">
        <v>98</v>
      </c>
      <c r="E4799" s="0" t="s">
        <v>5244</v>
      </c>
    </row>
    <row r="4800" customFormat="false" ht="15" hidden="false" customHeight="false" outlineLevel="0" collapsed="false">
      <c r="A4800" s="0" t="s">
        <v>5241</v>
      </c>
      <c r="B4800" s="0" t="s">
        <v>1725</v>
      </c>
      <c r="C4800" s="0" t="s">
        <v>6396</v>
      </c>
      <c r="D4800" s="0" t="s">
        <v>98</v>
      </c>
      <c r="E4800" s="0" t="s">
        <v>5244</v>
      </c>
    </row>
    <row r="4801" customFormat="false" ht="15" hidden="false" customHeight="false" outlineLevel="0" collapsed="false">
      <c r="A4801" s="0" t="s">
        <v>5241</v>
      </c>
      <c r="B4801" s="0" t="s">
        <v>1726</v>
      </c>
      <c r="C4801" s="0" t="s">
        <v>6397</v>
      </c>
      <c r="D4801" s="0" t="s">
        <v>98</v>
      </c>
      <c r="E4801" s="0" t="s">
        <v>5244</v>
      </c>
    </row>
    <row r="4802" customFormat="false" ht="15" hidden="false" customHeight="false" outlineLevel="0" collapsed="false">
      <c r="A4802" s="0" t="s">
        <v>5241</v>
      </c>
      <c r="B4802" s="0" t="s">
        <v>1727</v>
      </c>
      <c r="C4802" s="0" t="s">
        <v>6398</v>
      </c>
      <c r="D4802" s="0" t="s">
        <v>98</v>
      </c>
      <c r="E4802" s="0" t="s">
        <v>5244</v>
      </c>
    </row>
    <row r="4803" customFormat="false" ht="15" hidden="false" customHeight="false" outlineLevel="0" collapsed="false">
      <c r="A4803" s="0" t="s">
        <v>5241</v>
      </c>
      <c r="B4803" s="0" t="s">
        <v>1728</v>
      </c>
      <c r="C4803" s="0" t="s">
        <v>6399</v>
      </c>
      <c r="D4803" s="0" t="s">
        <v>98</v>
      </c>
      <c r="E4803" s="0" t="s">
        <v>5244</v>
      </c>
    </row>
    <row r="4804" customFormat="false" ht="15" hidden="false" customHeight="false" outlineLevel="0" collapsed="false">
      <c r="A4804" s="0" t="s">
        <v>5241</v>
      </c>
      <c r="B4804" s="0" t="s">
        <v>1729</v>
      </c>
      <c r="C4804" s="0" t="s">
        <v>6400</v>
      </c>
      <c r="D4804" s="0" t="s">
        <v>98</v>
      </c>
      <c r="E4804" s="0" t="s">
        <v>5244</v>
      </c>
    </row>
    <row r="4805" customFormat="false" ht="15" hidden="false" customHeight="false" outlineLevel="0" collapsed="false">
      <c r="A4805" s="0" t="s">
        <v>5241</v>
      </c>
      <c r="B4805" s="0" t="s">
        <v>1730</v>
      </c>
      <c r="C4805" s="0" t="s">
        <v>6401</v>
      </c>
      <c r="D4805" s="0" t="s">
        <v>98</v>
      </c>
      <c r="E4805" s="0" t="s">
        <v>5244</v>
      </c>
    </row>
    <row r="4806" customFormat="false" ht="15" hidden="false" customHeight="false" outlineLevel="0" collapsed="false">
      <c r="A4806" s="0" t="s">
        <v>5241</v>
      </c>
      <c r="B4806" s="0" t="s">
        <v>1731</v>
      </c>
      <c r="C4806" s="0" t="s">
        <v>6402</v>
      </c>
      <c r="D4806" s="0" t="s">
        <v>98</v>
      </c>
      <c r="E4806" s="0" t="s">
        <v>5244</v>
      </c>
    </row>
    <row r="4807" customFormat="false" ht="15" hidden="false" customHeight="false" outlineLevel="0" collapsed="false">
      <c r="A4807" s="0" t="s">
        <v>5241</v>
      </c>
      <c r="B4807" s="0" t="s">
        <v>1732</v>
      </c>
      <c r="C4807" s="0" t="s">
        <v>6403</v>
      </c>
      <c r="D4807" s="0" t="s">
        <v>98</v>
      </c>
      <c r="E4807" s="0" t="s">
        <v>5244</v>
      </c>
    </row>
    <row r="4808" customFormat="false" ht="15" hidden="false" customHeight="false" outlineLevel="0" collapsed="false">
      <c r="A4808" s="0" t="s">
        <v>5241</v>
      </c>
      <c r="B4808" s="0" t="s">
        <v>1733</v>
      </c>
      <c r="C4808" s="0" t="s">
        <v>6404</v>
      </c>
      <c r="D4808" s="0" t="s">
        <v>98</v>
      </c>
      <c r="E4808" s="0" t="s">
        <v>5244</v>
      </c>
    </row>
    <row r="4809" customFormat="false" ht="15" hidden="false" customHeight="false" outlineLevel="0" collapsed="false">
      <c r="A4809" s="0" t="s">
        <v>5241</v>
      </c>
      <c r="B4809" s="0" t="s">
        <v>1734</v>
      </c>
      <c r="C4809" s="0" t="s">
        <v>6405</v>
      </c>
      <c r="D4809" s="0" t="s">
        <v>98</v>
      </c>
      <c r="E4809" s="0" t="s">
        <v>5244</v>
      </c>
    </row>
    <row r="4810" customFormat="false" ht="15" hidden="false" customHeight="false" outlineLevel="0" collapsed="false">
      <c r="A4810" s="0" t="s">
        <v>5241</v>
      </c>
      <c r="B4810" s="0" t="s">
        <v>1735</v>
      </c>
      <c r="C4810" s="0" t="s">
        <v>6406</v>
      </c>
      <c r="D4810" s="0" t="s">
        <v>98</v>
      </c>
      <c r="E4810" s="0" t="s">
        <v>5244</v>
      </c>
    </row>
    <row r="4811" customFormat="false" ht="15" hidden="false" customHeight="false" outlineLevel="0" collapsed="false">
      <c r="A4811" s="0" t="s">
        <v>5241</v>
      </c>
      <c r="B4811" s="0" t="s">
        <v>1736</v>
      </c>
      <c r="C4811" s="0" t="s">
        <v>6407</v>
      </c>
      <c r="D4811" s="0" t="s">
        <v>98</v>
      </c>
      <c r="E4811" s="0" t="s">
        <v>5290</v>
      </c>
    </row>
    <row r="4812" customFormat="false" ht="15" hidden="false" customHeight="false" outlineLevel="0" collapsed="false">
      <c r="A4812" s="0" t="s">
        <v>5241</v>
      </c>
      <c r="B4812" s="0" t="s">
        <v>1738</v>
      </c>
      <c r="C4812" s="0" t="s">
        <v>6408</v>
      </c>
      <c r="D4812" s="0" t="s">
        <v>98</v>
      </c>
      <c r="E4812" s="0" t="s">
        <v>5290</v>
      </c>
    </row>
    <row r="4813" customFormat="false" ht="15" hidden="false" customHeight="false" outlineLevel="0" collapsed="false">
      <c r="A4813" s="0" t="s">
        <v>5241</v>
      </c>
      <c r="B4813" s="0" t="s">
        <v>1740</v>
      </c>
      <c r="C4813" s="0" t="s">
        <v>6409</v>
      </c>
      <c r="D4813" s="0" t="s">
        <v>98</v>
      </c>
      <c r="E4813" s="0" t="s">
        <v>5290</v>
      </c>
    </row>
    <row r="4814" customFormat="false" ht="15" hidden="false" customHeight="false" outlineLevel="0" collapsed="false">
      <c r="A4814" s="0" t="s">
        <v>5241</v>
      </c>
      <c r="B4814" s="0" t="s">
        <v>1742</v>
      </c>
      <c r="C4814" s="0" t="s">
        <v>6410</v>
      </c>
      <c r="D4814" s="0" t="s">
        <v>98</v>
      </c>
      <c r="E4814" s="0" t="s">
        <v>5290</v>
      </c>
    </row>
    <row r="4815" customFormat="false" ht="15" hidden="false" customHeight="false" outlineLevel="0" collapsed="false">
      <c r="A4815" s="0" t="s">
        <v>5241</v>
      </c>
      <c r="B4815" s="0" t="s">
        <v>1744</v>
      </c>
      <c r="C4815" s="0" t="s">
        <v>6411</v>
      </c>
      <c r="D4815" s="0" t="s">
        <v>98</v>
      </c>
      <c r="E4815" s="0" t="s">
        <v>5290</v>
      </c>
    </row>
    <row r="4816" customFormat="false" ht="15" hidden="false" customHeight="false" outlineLevel="0" collapsed="false">
      <c r="A4816" s="0" t="s">
        <v>5241</v>
      </c>
      <c r="B4816" s="0" t="s">
        <v>1746</v>
      </c>
      <c r="C4816" s="0" t="s">
        <v>6412</v>
      </c>
      <c r="D4816" s="0" t="s">
        <v>98</v>
      </c>
      <c r="E4816" s="0" t="s">
        <v>5290</v>
      </c>
    </row>
    <row r="4817" customFormat="false" ht="15" hidden="false" customHeight="false" outlineLevel="0" collapsed="false">
      <c r="A4817" s="0" t="s">
        <v>5241</v>
      </c>
      <c r="B4817" s="0" t="s">
        <v>1748</v>
      </c>
      <c r="C4817" s="0" t="s">
        <v>6413</v>
      </c>
      <c r="D4817" s="0" t="s">
        <v>98</v>
      </c>
      <c r="E4817" s="0" t="s">
        <v>5290</v>
      </c>
    </row>
    <row r="4818" customFormat="false" ht="15" hidden="false" customHeight="false" outlineLevel="0" collapsed="false">
      <c r="A4818" s="0" t="s">
        <v>5241</v>
      </c>
      <c r="B4818" s="0" t="s">
        <v>1750</v>
      </c>
      <c r="C4818" s="0" t="s">
        <v>6414</v>
      </c>
      <c r="D4818" s="0" t="s">
        <v>98</v>
      </c>
      <c r="E4818" s="0" t="s">
        <v>5290</v>
      </c>
    </row>
    <row r="4819" customFormat="false" ht="15" hidden="false" customHeight="false" outlineLevel="0" collapsed="false">
      <c r="A4819" s="0" t="s">
        <v>5241</v>
      </c>
      <c r="B4819" s="0" t="s">
        <v>1752</v>
      </c>
      <c r="C4819" s="0" t="s">
        <v>6415</v>
      </c>
      <c r="D4819" s="0" t="s">
        <v>98</v>
      </c>
      <c r="E4819" s="0" t="s">
        <v>5290</v>
      </c>
    </row>
    <row r="4820" customFormat="false" ht="15" hidden="false" customHeight="false" outlineLevel="0" collapsed="false">
      <c r="A4820" s="0" t="s">
        <v>5241</v>
      </c>
      <c r="B4820" s="0" t="s">
        <v>1754</v>
      </c>
      <c r="C4820" s="0" t="s">
        <v>6416</v>
      </c>
      <c r="D4820" s="0" t="s">
        <v>98</v>
      </c>
      <c r="E4820" s="0" t="s">
        <v>5290</v>
      </c>
    </row>
    <row r="4821" customFormat="false" ht="15" hidden="false" customHeight="false" outlineLevel="0" collapsed="false">
      <c r="A4821" s="0" t="s">
        <v>5241</v>
      </c>
      <c r="B4821" s="0" t="s">
        <v>1756</v>
      </c>
      <c r="C4821" s="0" t="s">
        <v>6417</v>
      </c>
      <c r="D4821" s="0" t="s">
        <v>98</v>
      </c>
      <c r="E4821" s="0" t="s">
        <v>5290</v>
      </c>
    </row>
    <row r="4822" customFormat="false" ht="15" hidden="false" customHeight="false" outlineLevel="0" collapsed="false">
      <c r="A4822" s="0" t="s">
        <v>5241</v>
      </c>
      <c r="B4822" s="0" t="s">
        <v>1758</v>
      </c>
      <c r="C4822" s="0" t="s">
        <v>6418</v>
      </c>
      <c r="D4822" s="0" t="s">
        <v>98</v>
      </c>
      <c r="E4822" s="0" t="s">
        <v>5290</v>
      </c>
    </row>
    <row r="4823" customFormat="false" ht="15" hidden="false" customHeight="false" outlineLevel="0" collapsed="false">
      <c r="A4823" s="0" t="s">
        <v>5241</v>
      </c>
      <c r="B4823" s="0" t="s">
        <v>1760</v>
      </c>
      <c r="C4823" s="0" t="s">
        <v>6419</v>
      </c>
      <c r="D4823" s="0" t="s">
        <v>98</v>
      </c>
      <c r="E4823" s="0" t="s">
        <v>5290</v>
      </c>
    </row>
    <row r="4824" customFormat="false" ht="15" hidden="false" customHeight="false" outlineLevel="0" collapsed="false">
      <c r="A4824" s="0" t="s">
        <v>5241</v>
      </c>
      <c r="B4824" s="0" t="s">
        <v>1762</v>
      </c>
      <c r="C4824" s="0" t="s">
        <v>6420</v>
      </c>
      <c r="D4824" s="0" t="s">
        <v>98</v>
      </c>
      <c r="E4824" s="0" t="s">
        <v>5290</v>
      </c>
    </row>
    <row r="4825" customFormat="false" ht="15" hidden="false" customHeight="false" outlineLevel="0" collapsed="false">
      <c r="A4825" s="0" t="s">
        <v>5241</v>
      </c>
      <c r="B4825" s="0" t="s">
        <v>1764</v>
      </c>
      <c r="C4825" s="0" t="s">
        <v>6421</v>
      </c>
      <c r="D4825" s="0" t="s">
        <v>98</v>
      </c>
      <c r="E4825" s="0" t="s">
        <v>5290</v>
      </c>
    </row>
    <row r="4826" customFormat="false" ht="15" hidden="false" customHeight="false" outlineLevel="0" collapsed="false">
      <c r="A4826" s="0" t="s">
        <v>5241</v>
      </c>
      <c r="B4826" s="0" t="s">
        <v>1766</v>
      </c>
      <c r="C4826" s="0" t="s">
        <v>6422</v>
      </c>
      <c r="D4826" s="0" t="s">
        <v>98</v>
      </c>
      <c r="E4826" s="0" t="s">
        <v>5290</v>
      </c>
    </row>
    <row r="4827" customFormat="false" ht="15" hidden="false" customHeight="false" outlineLevel="0" collapsed="false">
      <c r="A4827" s="0" t="s">
        <v>5241</v>
      </c>
      <c r="B4827" s="0" t="s">
        <v>1768</v>
      </c>
      <c r="C4827" s="0" t="s">
        <v>6423</v>
      </c>
      <c r="D4827" s="0" t="s">
        <v>98</v>
      </c>
      <c r="E4827" s="0" t="s">
        <v>5290</v>
      </c>
    </row>
    <row r="4828" customFormat="false" ht="15" hidden="false" customHeight="false" outlineLevel="0" collapsed="false">
      <c r="A4828" s="0" t="s">
        <v>5241</v>
      </c>
      <c r="B4828" s="0" t="s">
        <v>1770</v>
      </c>
      <c r="C4828" s="0" t="s">
        <v>6424</v>
      </c>
      <c r="D4828" s="0" t="s">
        <v>98</v>
      </c>
      <c r="E4828" s="0" t="s">
        <v>5290</v>
      </c>
    </row>
    <row r="4829" customFormat="false" ht="15" hidden="false" customHeight="false" outlineLevel="0" collapsed="false">
      <c r="A4829" s="0" t="s">
        <v>5241</v>
      </c>
      <c r="B4829" s="0" t="s">
        <v>1772</v>
      </c>
      <c r="C4829" s="0" t="s">
        <v>6425</v>
      </c>
      <c r="D4829" s="0" t="s">
        <v>98</v>
      </c>
      <c r="E4829" s="0" t="s">
        <v>5290</v>
      </c>
    </row>
    <row r="4830" customFormat="false" ht="15" hidden="false" customHeight="false" outlineLevel="0" collapsed="false">
      <c r="A4830" s="0" t="s">
        <v>5241</v>
      </c>
      <c r="B4830" s="0" t="s">
        <v>1774</v>
      </c>
      <c r="C4830" s="0" t="s">
        <v>6426</v>
      </c>
      <c r="D4830" s="0" t="s">
        <v>98</v>
      </c>
      <c r="E4830" s="0" t="s">
        <v>5290</v>
      </c>
    </row>
    <row r="4831" customFormat="false" ht="15" hidden="false" customHeight="false" outlineLevel="0" collapsed="false">
      <c r="A4831" s="0" t="s">
        <v>5241</v>
      </c>
      <c r="B4831" s="0" t="s">
        <v>1776</v>
      </c>
      <c r="C4831" s="0" t="s">
        <v>6427</v>
      </c>
      <c r="D4831" s="0" t="s">
        <v>98</v>
      </c>
      <c r="E4831" s="0" t="s">
        <v>5290</v>
      </c>
    </row>
    <row r="4832" customFormat="false" ht="15" hidden="false" customHeight="false" outlineLevel="0" collapsed="false">
      <c r="A4832" s="0" t="s">
        <v>5241</v>
      </c>
      <c r="B4832" s="0" t="s">
        <v>1778</v>
      </c>
      <c r="C4832" s="0" t="s">
        <v>6428</v>
      </c>
      <c r="D4832" s="0" t="s">
        <v>98</v>
      </c>
      <c r="E4832" s="0" t="s">
        <v>5290</v>
      </c>
    </row>
    <row r="4833" customFormat="false" ht="15" hidden="false" customHeight="false" outlineLevel="0" collapsed="false">
      <c r="A4833" s="0" t="s">
        <v>5241</v>
      </c>
      <c r="B4833" s="0" t="s">
        <v>1780</v>
      </c>
      <c r="C4833" s="0" t="s">
        <v>6429</v>
      </c>
      <c r="D4833" s="0" t="s">
        <v>98</v>
      </c>
      <c r="E4833" s="0" t="s">
        <v>5290</v>
      </c>
    </row>
    <row r="4834" customFormat="false" ht="15" hidden="false" customHeight="false" outlineLevel="0" collapsed="false">
      <c r="A4834" s="0" t="s">
        <v>5241</v>
      </c>
      <c r="B4834" s="0" t="s">
        <v>1782</v>
      </c>
      <c r="C4834" s="0" t="s">
        <v>6430</v>
      </c>
      <c r="D4834" s="0" t="s">
        <v>98</v>
      </c>
      <c r="E4834" s="0" t="s">
        <v>5290</v>
      </c>
    </row>
    <row r="4835" customFormat="false" ht="15" hidden="false" customHeight="false" outlineLevel="0" collapsed="false">
      <c r="A4835" s="0" t="s">
        <v>5241</v>
      </c>
      <c r="B4835" s="0" t="s">
        <v>1784</v>
      </c>
      <c r="C4835" s="0" t="s">
        <v>6431</v>
      </c>
      <c r="D4835" s="0" t="s">
        <v>98</v>
      </c>
      <c r="E4835" s="0" t="s">
        <v>5290</v>
      </c>
    </row>
    <row r="4836" customFormat="false" ht="15" hidden="false" customHeight="false" outlineLevel="0" collapsed="false">
      <c r="A4836" s="0" t="s">
        <v>5241</v>
      </c>
      <c r="B4836" s="0" t="s">
        <v>1786</v>
      </c>
      <c r="C4836" s="0" t="s">
        <v>6432</v>
      </c>
      <c r="D4836" s="0" t="s">
        <v>98</v>
      </c>
      <c r="E4836" s="0" t="s">
        <v>5290</v>
      </c>
    </row>
    <row r="4837" customFormat="false" ht="15" hidden="false" customHeight="false" outlineLevel="0" collapsed="false">
      <c r="A4837" s="0" t="s">
        <v>5241</v>
      </c>
      <c r="B4837" s="0" t="s">
        <v>1788</v>
      </c>
      <c r="C4837" s="0" t="s">
        <v>6433</v>
      </c>
      <c r="D4837" s="0" t="s">
        <v>98</v>
      </c>
      <c r="E4837" s="0" t="s">
        <v>5290</v>
      </c>
    </row>
    <row r="4838" customFormat="false" ht="15" hidden="false" customHeight="false" outlineLevel="0" collapsed="false">
      <c r="A4838" s="0" t="s">
        <v>5241</v>
      </c>
      <c r="B4838" s="0" t="s">
        <v>1790</v>
      </c>
      <c r="C4838" s="0" t="s">
        <v>6434</v>
      </c>
      <c r="D4838" s="0" t="s">
        <v>98</v>
      </c>
      <c r="E4838" s="0" t="s">
        <v>5290</v>
      </c>
    </row>
    <row r="4839" customFormat="false" ht="15" hidden="false" customHeight="false" outlineLevel="0" collapsed="false">
      <c r="A4839" s="0" t="s">
        <v>5241</v>
      </c>
      <c r="B4839" s="0" t="s">
        <v>6435</v>
      </c>
      <c r="C4839" s="0" t="s">
        <v>6436</v>
      </c>
      <c r="D4839" s="0" t="s">
        <v>98</v>
      </c>
      <c r="E4839" s="0" t="s">
        <v>5244</v>
      </c>
    </row>
    <row r="4840" customFormat="false" ht="15" hidden="false" customHeight="false" outlineLevel="0" collapsed="false">
      <c r="A4840" s="0" t="s">
        <v>5241</v>
      </c>
      <c r="B4840" s="0" t="s">
        <v>6437</v>
      </c>
      <c r="C4840" s="0" t="s">
        <v>6438</v>
      </c>
      <c r="D4840" s="0" t="s">
        <v>98</v>
      </c>
      <c r="E4840" s="0" t="s">
        <v>5244</v>
      </c>
    </row>
    <row r="4841" customFormat="false" ht="15" hidden="false" customHeight="false" outlineLevel="0" collapsed="false">
      <c r="A4841" s="0" t="s">
        <v>5241</v>
      </c>
      <c r="B4841" s="0" t="s">
        <v>6439</v>
      </c>
      <c r="C4841" s="0" t="s">
        <v>6440</v>
      </c>
      <c r="D4841" s="0" t="s">
        <v>98</v>
      </c>
      <c r="E4841" s="0" t="s">
        <v>5244</v>
      </c>
    </row>
    <row r="4842" customFormat="false" ht="15" hidden="false" customHeight="false" outlineLevel="0" collapsed="false">
      <c r="A4842" s="0" t="s">
        <v>5241</v>
      </c>
      <c r="B4842" s="0" t="s">
        <v>6441</v>
      </c>
      <c r="C4842" s="0" t="s">
        <v>6442</v>
      </c>
      <c r="D4842" s="0" t="s">
        <v>98</v>
      </c>
      <c r="E4842" s="0" t="s">
        <v>5244</v>
      </c>
    </row>
    <row r="4843" customFormat="false" ht="15" hidden="false" customHeight="false" outlineLevel="0" collapsed="false">
      <c r="A4843" s="0" t="s">
        <v>5241</v>
      </c>
      <c r="B4843" s="0" t="s">
        <v>6443</v>
      </c>
      <c r="C4843" s="0" t="s">
        <v>6444</v>
      </c>
      <c r="D4843" s="0" t="s">
        <v>98</v>
      </c>
      <c r="E4843" s="0" t="s">
        <v>5244</v>
      </c>
    </row>
    <row r="4844" customFormat="false" ht="15" hidden="false" customHeight="false" outlineLevel="0" collapsed="false">
      <c r="A4844" s="0" t="s">
        <v>5241</v>
      </c>
      <c r="B4844" s="0" t="s">
        <v>6445</v>
      </c>
      <c r="C4844" s="0" t="s">
        <v>6446</v>
      </c>
      <c r="D4844" s="0" t="s">
        <v>98</v>
      </c>
      <c r="E4844" s="0" t="s">
        <v>5244</v>
      </c>
    </row>
    <row r="4845" customFormat="false" ht="15" hidden="false" customHeight="false" outlineLevel="0" collapsed="false">
      <c r="A4845" s="0" t="s">
        <v>5241</v>
      </c>
      <c r="B4845" s="0" t="s">
        <v>6447</v>
      </c>
      <c r="C4845" s="0" t="s">
        <v>6448</v>
      </c>
      <c r="D4845" s="0" t="s">
        <v>98</v>
      </c>
      <c r="E4845" s="0" t="s">
        <v>5244</v>
      </c>
    </row>
    <row r="4846" customFormat="false" ht="15" hidden="false" customHeight="false" outlineLevel="0" collapsed="false">
      <c r="A4846" s="0" t="s">
        <v>5241</v>
      </c>
      <c r="B4846" s="0" t="s">
        <v>6449</v>
      </c>
      <c r="C4846" s="0" t="s">
        <v>6450</v>
      </c>
      <c r="D4846" s="0" t="s">
        <v>98</v>
      </c>
      <c r="E4846" s="0" t="s">
        <v>5244</v>
      </c>
    </row>
    <row r="4847" customFormat="false" ht="15" hidden="false" customHeight="false" outlineLevel="0" collapsed="false">
      <c r="A4847" s="0" t="s">
        <v>5241</v>
      </c>
      <c r="B4847" s="0" t="s">
        <v>6451</v>
      </c>
      <c r="C4847" s="0" t="s">
        <v>6452</v>
      </c>
      <c r="D4847" s="0" t="s">
        <v>98</v>
      </c>
      <c r="E4847" s="0" t="s">
        <v>5244</v>
      </c>
    </row>
    <row r="4848" customFormat="false" ht="15" hidden="false" customHeight="false" outlineLevel="0" collapsed="false">
      <c r="A4848" s="0" t="s">
        <v>5241</v>
      </c>
      <c r="B4848" s="0" t="s">
        <v>6453</v>
      </c>
      <c r="C4848" s="0" t="s">
        <v>6454</v>
      </c>
      <c r="D4848" s="0" t="s">
        <v>98</v>
      </c>
      <c r="E4848" s="0" t="s">
        <v>5244</v>
      </c>
    </row>
    <row r="4849" customFormat="false" ht="15" hidden="false" customHeight="false" outlineLevel="0" collapsed="false">
      <c r="A4849" s="0" t="s">
        <v>5241</v>
      </c>
      <c r="B4849" s="0" t="s">
        <v>6455</v>
      </c>
      <c r="C4849" s="0" t="s">
        <v>6456</v>
      </c>
      <c r="D4849" s="0" t="s">
        <v>98</v>
      </c>
      <c r="E4849" s="0" t="s">
        <v>5244</v>
      </c>
    </row>
    <row r="4850" customFormat="false" ht="15" hidden="false" customHeight="false" outlineLevel="0" collapsed="false">
      <c r="A4850" s="0" t="s">
        <v>5241</v>
      </c>
      <c r="B4850" s="0" t="s">
        <v>6457</v>
      </c>
      <c r="C4850" s="0" t="s">
        <v>6458</v>
      </c>
      <c r="D4850" s="0" t="s">
        <v>98</v>
      </c>
      <c r="E4850" s="0" t="s">
        <v>5244</v>
      </c>
    </row>
    <row r="4851" customFormat="false" ht="15" hidden="false" customHeight="false" outlineLevel="0" collapsed="false">
      <c r="A4851" s="0" t="s">
        <v>5241</v>
      </c>
      <c r="B4851" s="0" t="s">
        <v>6459</v>
      </c>
      <c r="C4851" s="0" t="s">
        <v>6460</v>
      </c>
      <c r="D4851" s="0" t="s">
        <v>98</v>
      </c>
      <c r="E4851" s="0" t="s">
        <v>5244</v>
      </c>
    </row>
    <row r="4852" customFormat="false" ht="15" hidden="false" customHeight="false" outlineLevel="0" collapsed="false">
      <c r="A4852" s="0" t="s">
        <v>5241</v>
      </c>
      <c r="B4852" s="0" t="s">
        <v>6461</v>
      </c>
      <c r="C4852" s="0" t="s">
        <v>6462</v>
      </c>
      <c r="D4852" s="0" t="s">
        <v>98</v>
      </c>
      <c r="E4852" s="0" t="s">
        <v>5244</v>
      </c>
    </row>
    <row r="4853" customFormat="false" ht="15" hidden="false" customHeight="false" outlineLevel="0" collapsed="false">
      <c r="A4853" s="0" t="s">
        <v>5241</v>
      </c>
      <c r="B4853" s="0" t="s">
        <v>6463</v>
      </c>
      <c r="C4853" s="0" t="s">
        <v>6464</v>
      </c>
      <c r="D4853" s="0" t="s">
        <v>98</v>
      </c>
      <c r="E4853" s="0" t="s">
        <v>5244</v>
      </c>
    </row>
    <row r="4854" customFormat="false" ht="15" hidden="false" customHeight="false" outlineLevel="0" collapsed="false">
      <c r="A4854" s="0" t="s">
        <v>5241</v>
      </c>
      <c r="B4854" s="0" t="s">
        <v>1792</v>
      </c>
      <c r="C4854" s="0" t="s">
        <v>6465</v>
      </c>
      <c r="D4854" s="0" t="s">
        <v>98</v>
      </c>
      <c r="E4854" s="0" t="s">
        <v>5244</v>
      </c>
    </row>
    <row r="4855" customFormat="false" ht="15" hidden="false" customHeight="false" outlineLevel="0" collapsed="false">
      <c r="A4855" s="0" t="s">
        <v>5241</v>
      </c>
      <c r="B4855" s="0" t="s">
        <v>6466</v>
      </c>
      <c r="C4855" s="0" t="s">
        <v>6467</v>
      </c>
      <c r="D4855" s="0" t="s">
        <v>98</v>
      </c>
      <c r="E4855" s="0" t="s">
        <v>5244</v>
      </c>
    </row>
    <row r="4856" customFormat="false" ht="15" hidden="false" customHeight="false" outlineLevel="0" collapsed="false">
      <c r="A4856" s="0" t="s">
        <v>5241</v>
      </c>
      <c r="B4856" s="0" t="s">
        <v>6468</v>
      </c>
      <c r="C4856" s="0" t="s">
        <v>6469</v>
      </c>
      <c r="D4856" s="0" t="s">
        <v>98</v>
      </c>
      <c r="E4856" s="0" t="s">
        <v>5244</v>
      </c>
    </row>
    <row r="4857" customFormat="false" ht="15" hidden="false" customHeight="false" outlineLevel="0" collapsed="false">
      <c r="A4857" s="0" t="s">
        <v>5241</v>
      </c>
      <c r="B4857" s="0" t="s">
        <v>6470</v>
      </c>
      <c r="C4857" s="0" t="s">
        <v>6471</v>
      </c>
      <c r="D4857" s="0" t="s">
        <v>98</v>
      </c>
      <c r="E4857" s="0" t="s">
        <v>5244</v>
      </c>
    </row>
    <row r="4858" customFormat="false" ht="15" hidden="false" customHeight="false" outlineLevel="0" collapsed="false">
      <c r="A4858" s="0" t="s">
        <v>5241</v>
      </c>
      <c r="B4858" s="0" t="s">
        <v>6472</v>
      </c>
      <c r="C4858" s="0" t="s">
        <v>6473</v>
      </c>
      <c r="D4858" s="0" t="s">
        <v>98</v>
      </c>
      <c r="E4858" s="0" t="s">
        <v>5244</v>
      </c>
    </row>
    <row r="4859" customFormat="false" ht="15" hidden="false" customHeight="false" outlineLevel="0" collapsed="false">
      <c r="A4859" s="0" t="s">
        <v>5241</v>
      </c>
      <c r="B4859" s="0" t="s">
        <v>6474</v>
      </c>
      <c r="C4859" s="0" t="s">
        <v>6475</v>
      </c>
      <c r="D4859" s="0" t="s">
        <v>98</v>
      </c>
      <c r="E4859" s="0" t="s">
        <v>5244</v>
      </c>
    </row>
    <row r="4860" customFormat="false" ht="15" hidden="false" customHeight="false" outlineLevel="0" collapsed="false">
      <c r="A4860" s="0" t="s">
        <v>5241</v>
      </c>
      <c r="B4860" s="0" t="s">
        <v>6476</v>
      </c>
      <c r="C4860" s="0" t="s">
        <v>6477</v>
      </c>
      <c r="D4860" s="0" t="s">
        <v>98</v>
      </c>
      <c r="E4860" s="0" t="s">
        <v>5244</v>
      </c>
    </row>
    <row r="4861" customFormat="false" ht="15" hidden="false" customHeight="false" outlineLevel="0" collapsed="false">
      <c r="A4861" s="0" t="s">
        <v>5241</v>
      </c>
      <c r="B4861" s="0" t="s">
        <v>6478</v>
      </c>
      <c r="C4861" s="0" t="s">
        <v>6479</v>
      </c>
      <c r="D4861" s="0" t="s">
        <v>98</v>
      </c>
      <c r="E4861" s="0" t="s">
        <v>5244</v>
      </c>
    </row>
    <row r="4862" customFormat="false" ht="15" hidden="false" customHeight="false" outlineLevel="0" collapsed="false">
      <c r="A4862" s="0" t="s">
        <v>5241</v>
      </c>
      <c r="B4862" s="0" t="s">
        <v>6480</v>
      </c>
      <c r="C4862" s="0" t="s">
        <v>6481</v>
      </c>
      <c r="D4862" s="0" t="s">
        <v>98</v>
      </c>
      <c r="E4862" s="0" t="s">
        <v>5244</v>
      </c>
    </row>
    <row r="4863" customFormat="false" ht="15" hidden="false" customHeight="false" outlineLevel="0" collapsed="false">
      <c r="A4863" s="0" t="s">
        <v>5241</v>
      </c>
      <c r="B4863" s="0" t="s">
        <v>6482</v>
      </c>
      <c r="C4863" s="0" t="s">
        <v>6483</v>
      </c>
      <c r="D4863" s="0" t="s">
        <v>98</v>
      </c>
      <c r="E4863" s="0" t="s">
        <v>5244</v>
      </c>
    </row>
    <row r="4864" customFormat="false" ht="15" hidden="false" customHeight="false" outlineLevel="0" collapsed="false">
      <c r="A4864" s="0" t="s">
        <v>5241</v>
      </c>
      <c r="B4864" s="0" t="s">
        <v>6484</v>
      </c>
      <c r="C4864" s="0" t="s">
        <v>6485</v>
      </c>
      <c r="D4864" s="0" t="s">
        <v>98</v>
      </c>
      <c r="E4864" s="0" t="s">
        <v>5244</v>
      </c>
    </row>
    <row r="4865" customFormat="false" ht="15" hidden="false" customHeight="false" outlineLevel="0" collapsed="false">
      <c r="A4865" s="0" t="s">
        <v>5241</v>
      </c>
      <c r="B4865" s="0" t="s">
        <v>6486</v>
      </c>
      <c r="C4865" s="0" t="s">
        <v>6487</v>
      </c>
      <c r="D4865" s="0" t="s">
        <v>98</v>
      </c>
      <c r="E4865" s="0" t="s">
        <v>5244</v>
      </c>
    </row>
    <row r="4866" customFormat="false" ht="15" hidden="false" customHeight="false" outlineLevel="0" collapsed="false">
      <c r="A4866" s="0" t="s">
        <v>5241</v>
      </c>
      <c r="B4866" s="0" t="s">
        <v>6488</v>
      </c>
      <c r="C4866" s="0" t="s">
        <v>6489</v>
      </c>
      <c r="D4866" s="0" t="s">
        <v>98</v>
      </c>
      <c r="E4866" s="0" t="s">
        <v>5244</v>
      </c>
    </row>
    <row r="4867" customFormat="false" ht="15" hidden="false" customHeight="false" outlineLevel="0" collapsed="false">
      <c r="A4867" s="0" t="s">
        <v>5241</v>
      </c>
      <c r="B4867" s="0" t="s">
        <v>6490</v>
      </c>
      <c r="C4867" s="0" t="s">
        <v>6491</v>
      </c>
      <c r="D4867" s="0" t="s">
        <v>98</v>
      </c>
      <c r="E4867" s="0" t="s">
        <v>5290</v>
      </c>
    </row>
    <row r="4868" customFormat="false" ht="15" hidden="false" customHeight="false" outlineLevel="0" collapsed="false">
      <c r="A4868" s="0" t="s">
        <v>5241</v>
      </c>
      <c r="B4868" s="0" t="s">
        <v>6492</v>
      </c>
      <c r="C4868" s="0" t="s">
        <v>6493</v>
      </c>
      <c r="D4868" s="0" t="s">
        <v>98</v>
      </c>
      <c r="E4868" s="0" t="s">
        <v>5290</v>
      </c>
    </row>
    <row r="4869" customFormat="false" ht="15" hidden="false" customHeight="false" outlineLevel="0" collapsed="false">
      <c r="A4869" s="0" t="s">
        <v>5241</v>
      </c>
      <c r="B4869" s="0" t="s">
        <v>6494</v>
      </c>
      <c r="C4869" s="0" t="s">
        <v>6495</v>
      </c>
      <c r="D4869" s="0" t="s">
        <v>98</v>
      </c>
      <c r="E4869" s="0" t="s">
        <v>5290</v>
      </c>
    </row>
    <row r="4870" customFormat="false" ht="15" hidden="false" customHeight="false" outlineLevel="0" collapsed="false">
      <c r="A4870" s="0" t="s">
        <v>5241</v>
      </c>
      <c r="B4870" s="0" t="s">
        <v>1794</v>
      </c>
      <c r="C4870" s="0" t="s">
        <v>6496</v>
      </c>
      <c r="D4870" s="0" t="s">
        <v>98</v>
      </c>
      <c r="E4870" s="0" t="s">
        <v>5290</v>
      </c>
    </row>
    <row r="4871" customFormat="false" ht="15" hidden="false" customHeight="false" outlineLevel="0" collapsed="false">
      <c r="A4871" s="0" t="s">
        <v>5241</v>
      </c>
      <c r="B4871" s="0" t="s">
        <v>1795</v>
      </c>
      <c r="C4871" s="0" t="s">
        <v>6497</v>
      </c>
      <c r="D4871" s="0" t="s">
        <v>98</v>
      </c>
      <c r="E4871" s="0" t="s">
        <v>5290</v>
      </c>
    </row>
    <row r="4872" customFormat="false" ht="15" hidden="false" customHeight="false" outlineLevel="0" collapsed="false">
      <c r="A4872" s="0" t="s">
        <v>5241</v>
      </c>
      <c r="B4872" s="0" t="s">
        <v>1796</v>
      </c>
      <c r="C4872" s="0" t="s">
        <v>6498</v>
      </c>
      <c r="D4872" s="0" t="s">
        <v>98</v>
      </c>
      <c r="E4872" s="0" t="s">
        <v>5290</v>
      </c>
    </row>
    <row r="4873" customFormat="false" ht="15" hidden="false" customHeight="false" outlineLevel="0" collapsed="false">
      <c r="A4873" s="0" t="s">
        <v>5241</v>
      </c>
      <c r="B4873" s="0" t="s">
        <v>1797</v>
      </c>
      <c r="C4873" s="0" t="s">
        <v>6499</v>
      </c>
      <c r="D4873" s="0" t="s">
        <v>98</v>
      </c>
      <c r="E4873" s="0" t="s">
        <v>5290</v>
      </c>
    </row>
    <row r="4874" customFormat="false" ht="15" hidden="false" customHeight="false" outlineLevel="0" collapsed="false">
      <c r="A4874" s="0" t="s">
        <v>5241</v>
      </c>
      <c r="B4874" s="0" t="s">
        <v>1798</v>
      </c>
      <c r="C4874" s="0" t="s">
        <v>6500</v>
      </c>
      <c r="D4874" s="0" t="s">
        <v>98</v>
      </c>
      <c r="E4874" s="0" t="s">
        <v>5290</v>
      </c>
    </row>
    <row r="4875" customFormat="false" ht="15" hidden="false" customHeight="false" outlineLevel="0" collapsed="false">
      <c r="A4875" s="0" t="s">
        <v>5241</v>
      </c>
      <c r="B4875" s="0" t="s">
        <v>1799</v>
      </c>
      <c r="C4875" s="0" t="s">
        <v>6501</v>
      </c>
      <c r="D4875" s="0" t="s">
        <v>98</v>
      </c>
      <c r="E4875" s="0" t="s">
        <v>5290</v>
      </c>
    </row>
    <row r="4876" customFormat="false" ht="15" hidden="false" customHeight="false" outlineLevel="0" collapsed="false">
      <c r="A4876" s="0" t="s">
        <v>5241</v>
      </c>
      <c r="B4876" s="0" t="s">
        <v>1800</v>
      </c>
      <c r="C4876" s="0" t="s">
        <v>6502</v>
      </c>
      <c r="D4876" s="0" t="s">
        <v>98</v>
      </c>
      <c r="E4876" s="0" t="s">
        <v>5290</v>
      </c>
    </row>
    <row r="4877" customFormat="false" ht="15" hidden="false" customHeight="false" outlineLevel="0" collapsed="false">
      <c r="A4877" s="0" t="s">
        <v>5241</v>
      </c>
      <c r="B4877" s="0" t="s">
        <v>1801</v>
      </c>
      <c r="C4877" s="0" t="s">
        <v>6503</v>
      </c>
      <c r="D4877" s="0" t="s">
        <v>98</v>
      </c>
      <c r="E4877" s="0" t="s">
        <v>5290</v>
      </c>
    </row>
    <row r="4878" customFormat="false" ht="15" hidden="false" customHeight="false" outlineLevel="0" collapsed="false">
      <c r="A4878" s="0" t="s">
        <v>5241</v>
      </c>
      <c r="B4878" s="0" t="s">
        <v>1802</v>
      </c>
      <c r="C4878" s="0" t="s">
        <v>6504</v>
      </c>
      <c r="D4878" s="0" t="s">
        <v>98</v>
      </c>
      <c r="E4878" s="0" t="s">
        <v>5290</v>
      </c>
    </row>
    <row r="4879" customFormat="false" ht="15" hidden="false" customHeight="false" outlineLevel="0" collapsed="false">
      <c r="A4879" s="0" t="s">
        <v>5241</v>
      </c>
      <c r="B4879" s="0" t="s">
        <v>1803</v>
      </c>
      <c r="C4879" s="0" t="s">
        <v>6505</v>
      </c>
      <c r="D4879" s="0" t="s">
        <v>98</v>
      </c>
      <c r="E4879" s="0" t="s">
        <v>5290</v>
      </c>
    </row>
    <row r="4880" customFormat="false" ht="15" hidden="false" customHeight="false" outlineLevel="0" collapsed="false">
      <c r="A4880" s="0" t="s">
        <v>5241</v>
      </c>
      <c r="B4880" s="0" t="s">
        <v>1804</v>
      </c>
      <c r="C4880" s="0" t="s">
        <v>6506</v>
      </c>
      <c r="D4880" s="0" t="s">
        <v>98</v>
      </c>
      <c r="E4880" s="0" t="s">
        <v>5290</v>
      </c>
    </row>
    <row r="4881" customFormat="false" ht="15" hidden="false" customHeight="false" outlineLevel="0" collapsed="false">
      <c r="A4881" s="0" t="s">
        <v>5241</v>
      </c>
      <c r="B4881" s="0" t="s">
        <v>1805</v>
      </c>
      <c r="C4881" s="0" t="s">
        <v>6507</v>
      </c>
      <c r="D4881" s="0" t="s">
        <v>98</v>
      </c>
      <c r="E4881" s="0" t="s">
        <v>5290</v>
      </c>
    </row>
    <row r="4882" customFormat="false" ht="15" hidden="false" customHeight="false" outlineLevel="0" collapsed="false">
      <c r="A4882" s="0" t="s">
        <v>5241</v>
      </c>
      <c r="B4882" s="0" t="s">
        <v>1806</v>
      </c>
      <c r="C4882" s="0" t="s">
        <v>6508</v>
      </c>
      <c r="D4882" s="0" t="s">
        <v>98</v>
      </c>
      <c r="E4882" s="0" t="s">
        <v>5290</v>
      </c>
    </row>
    <row r="4883" customFormat="false" ht="15" hidden="false" customHeight="false" outlineLevel="0" collapsed="false">
      <c r="A4883" s="0" t="s">
        <v>5241</v>
      </c>
      <c r="B4883" s="0" t="s">
        <v>1807</v>
      </c>
      <c r="C4883" s="0" t="s">
        <v>6509</v>
      </c>
      <c r="D4883" s="0" t="s">
        <v>98</v>
      </c>
      <c r="E4883" s="0" t="s">
        <v>5290</v>
      </c>
    </row>
    <row r="4884" customFormat="false" ht="15" hidden="false" customHeight="false" outlineLevel="0" collapsed="false">
      <c r="A4884" s="0" t="s">
        <v>5241</v>
      </c>
      <c r="B4884" s="0" t="s">
        <v>1808</v>
      </c>
      <c r="C4884" s="0" t="s">
        <v>6510</v>
      </c>
      <c r="D4884" s="0" t="s">
        <v>98</v>
      </c>
      <c r="E4884" s="0" t="s">
        <v>5290</v>
      </c>
    </row>
    <row r="4885" customFormat="false" ht="15" hidden="false" customHeight="false" outlineLevel="0" collapsed="false">
      <c r="A4885" s="0" t="s">
        <v>5241</v>
      </c>
      <c r="B4885" s="0" t="s">
        <v>1809</v>
      </c>
      <c r="C4885" s="0" t="s">
        <v>6511</v>
      </c>
      <c r="D4885" s="0" t="s">
        <v>98</v>
      </c>
      <c r="E4885" s="0" t="s">
        <v>5290</v>
      </c>
    </row>
    <row r="4886" customFormat="false" ht="15" hidden="false" customHeight="false" outlineLevel="0" collapsed="false">
      <c r="A4886" s="0" t="s">
        <v>5241</v>
      </c>
      <c r="B4886" s="0" t="s">
        <v>1810</v>
      </c>
      <c r="C4886" s="0" t="s">
        <v>6512</v>
      </c>
      <c r="D4886" s="0" t="s">
        <v>98</v>
      </c>
      <c r="E4886" s="0" t="s">
        <v>5290</v>
      </c>
    </row>
    <row r="4887" customFormat="false" ht="15" hidden="false" customHeight="false" outlineLevel="0" collapsed="false">
      <c r="A4887" s="0" t="s">
        <v>5241</v>
      </c>
      <c r="B4887" s="0" t="s">
        <v>1811</v>
      </c>
      <c r="C4887" s="0" t="s">
        <v>6513</v>
      </c>
      <c r="D4887" s="0" t="s">
        <v>98</v>
      </c>
      <c r="E4887" s="0" t="s">
        <v>5290</v>
      </c>
    </row>
    <row r="4888" customFormat="false" ht="15" hidden="false" customHeight="false" outlineLevel="0" collapsed="false">
      <c r="A4888" s="0" t="s">
        <v>5241</v>
      </c>
      <c r="B4888" s="0" t="s">
        <v>1812</v>
      </c>
      <c r="C4888" s="0" t="s">
        <v>6514</v>
      </c>
      <c r="D4888" s="0" t="s">
        <v>98</v>
      </c>
      <c r="E4888" s="0" t="s">
        <v>5290</v>
      </c>
    </row>
    <row r="4889" customFormat="false" ht="15" hidden="false" customHeight="false" outlineLevel="0" collapsed="false">
      <c r="A4889" s="0" t="s">
        <v>5241</v>
      </c>
      <c r="B4889" s="0" t="s">
        <v>1813</v>
      </c>
      <c r="C4889" s="0" t="s">
        <v>6515</v>
      </c>
      <c r="D4889" s="0" t="s">
        <v>98</v>
      </c>
      <c r="E4889" s="0" t="s">
        <v>5290</v>
      </c>
    </row>
    <row r="4890" customFormat="false" ht="15" hidden="false" customHeight="false" outlineLevel="0" collapsed="false">
      <c r="A4890" s="0" t="s">
        <v>5241</v>
      </c>
      <c r="B4890" s="0" t="s">
        <v>1814</v>
      </c>
      <c r="C4890" s="0" t="s">
        <v>6516</v>
      </c>
      <c r="D4890" s="0" t="s">
        <v>98</v>
      </c>
      <c r="E4890" s="0" t="s">
        <v>5290</v>
      </c>
    </row>
    <row r="4891" customFormat="false" ht="15" hidden="false" customHeight="false" outlineLevel="0" collapsed="false">
      <c r="A4891" s="0" t="s">
        <v>5241</v>
      </c>
      <c r="B4891" s="0" t="s">
        <v>1815</v>
      </c>
      <c r="C4891" s="0" t="s">
        <v>6517</v>
      </c>
      <c r="D4891" s="0" t="s">
        <v>98</v>
      </c>
      <c r="E4891" s="0" t="s">
        <v>5290</v>
      </c>
    </row>
    <row r="4892" customFormat="false" ht="15" hidden="false" customHeight="false" outlineLevel="0" collapsed="false">
      <c r="A4892" s="0" t="s">
        <v>5241</v>
      </c>
      <c r="B4892" s="0" t="s">
        <v>1816</v>
      </c>
      <c r="C4892" s="0" t="s">
        <v>6518</v>
      </c>
      <c r="D4892" s="0" t="s">
        <v>98</v>
      </c>
      <c r="E4892" s="0" t="s">
        <v>5290</v>
      </c>
    </row>
    <row r="4893" customFormat="false" ht="15" hidden="false" customHeight="false" outlineLevel="0" collapsed="false">
      <c r="A4893" s="0" t="s">
        <v>5241</v>
      </c>
      <c r="B4893" s="0" t="s">
        <v>1817</v>
      </c>
      <c r="C4893" s="0" t="s">
        <v>6519</v>
      </c>
      <c r="D4893" s="0" t="s">
        <v>98</v>
      </c>
      <c r="E4893" s="0" t="s">
        <v>5290</v>
      </c>
    </row>
    <row r="4894" customFormat="false" ht="15" hidden="false" customHeight="false" outlineLevel="0" collapsed="false">
      <c r="A4894" s="0" t="s">
        <v>5241</v>
      </c>
      <c r="B4894" s="0" t="s">
        <v>1818</v>
      </c>
      <c r="C4894" s="0" t="s">
        <v>6520</v>
      </c>
      <c r="D4894" s="0" t="s">
        <v>98</v>
      </c>
      <c r="E4894" s="0" t="s">
        <v>5290</v>
      </c>
    </row>
    <row r="4895" customFormat="false" ht="15" hidden="false" customHeight="false" outlineLevel="0" collapsed="false">
      <c r="A4895" s="0" t="s">
        <v>5241</v>
      </c>
      <c r="B4895" s="0" t="s">
        <v>1819</v>
      </c>
      <c r="C4895" s="0" t="s">
        <v>6521</v>
      </c>
      <c r="D4895" s="0" t="s">
        <v>98</v>
      </c>
      <c r="E4895" s="0" t="s">
        <v>5244</v>
      </c>
    </row>
    <row r="4896" customFormat="false" ht="15" hidden="false" customHeight="false" outlineLevel="0" collapsed="false">
      <c r="A4896" s="0" t="s">
        <v>5241</v>
      </c>
      <c r="B4896" s="0" t="s">
        <v>1820</v>
      </c>
      <c r="C4896" s="0" t="s">
        <v>6522</v>
      </c>
      <c r="D4896" s="0" t="s">
        <v>98</v>
      </c>
      <c r="E4896" s="0" t="s">
        <v>5244</v>
      </c>
    </row>
    <row r="4897" customFormat="false" ht="15" hidden="false" customHeight="false" outlineLevel="0" collapsed="false">
      <c r="A4897" s="0" t="s">
        <v>5241</v>
      </c>
      <c r="B4897" s="0" t="s">
        <v>1821</v>
      </c>
      <c r="C4897" s="0" t="s">
        <v>6523</v>
      </c>
      <c r="D4897" s="0" t="s">
        <v>98</v>
      </c>
      <c r="E4897" s="0" t="s">
        <v>5244</v>
      </c>
    </row>
    <row r="4898" customFormat="false" ht="15" hidden="false" customHeight="false" outlineLevel="0" collapsed="false">
      <c r="A4898" s="0" t="s">
        <v>5241</v>
      </c>
      <c r="B4898" s="0" t="s">
        <v>1822</v>
      </c>
      <c r="C4898" s="0" t="s">
        <v>6524</v>
      </c>
      <c r="D4898" s="0" t="s">
        <v>98</v>
      </c>
      <c r="E4898" s="0" t="s">
        <v>5244</v>
      </c>
    </row>
    <row r="4899" customFormat="false" ht="15" hidden="false" customHeight="false" outlineLevel="0" collapsed="false">
      <c r="A4899" s="0" t="s">
        <v>5241</v>
      </c>
      <c r="B4899" s="0" t="s">
        <v>1823</v>
      </c>
      <c r="C4899" s="0" t="s">
        <v>6525</v>
      </c>
      <c r="D4899" s="0" t="s">
        <v>98</v>
      </c>
      <c r="E4899" s="0" t="s">
        <v>5244</v>
      </c>
    </row>
    <row r="4900" customFormat="false" ht="15" hidden="false" customHeight="false" outlineLevel="0" collapsed="false">
      <c r="A4900" s="0" t="s">
        <v>5241</v>
      </c>
      <c r="B4900" s="0" t="s">
        <v>1825</v>
      </c>
      <c r="C4900" s="0" t="s">
        <v>6526</v>
      </c>
      <c r="D4900" s="0" t="s">
        <v>98</v>
      </c>
      <c r="E4900" s="0" t="s">
        <v>5244</v>
      </c>
    </row>
    <row r="4901" customFormat="false" ht="15" hidden="false" customHeight="false" outlineLevel="0" collapsed="false">
      <c r="A4901" s="0" t="s">
        <v>5241</v>
      </c>
      <c r="B4901" s="0" t="s">
        <v>1827</v>
      </c>
      <c r="C4901" s="0" t="s">
        <v>6527</v>
      </c>
      <c r="D4901" s="0" t="s">
        <v>98</v>
      </c>
      <c r="E4901" s="0" t="s">
        <v>5244</v>
      </c>
    </row>
    <row r="4902" customFormat="false" ht="15" hidden="false" customHeight="false" outlineLevel="0" collapsed="false">
      <c r="A4902" s="0" t="s">
        <v>5241</v>
      </c>
      <c r="B4902" s="0" t="s">
        <v>1829</v>
      </c>
      <c r="C4902" s="0" t="s">
        <v>6528</v>
      </c>
      <c r="D4902" s="0" t="s">
        <v>98</v>
      </c>
      <c r="E4902" s="0" t="s">
        <v>5244</v>
      </c>
    </row>
    <row r="4903" customFormat="false" ht="15" hidden="false" customHeight="false" outlineLevel="0" collapsed="false">
      <c r="A4903" s="0" t="s">
        <v>5241</v>
      </c>
      <c r="B4903" s="0" t="s">
        <v>1831</v>
      </c>
      <c r="C4903" s="0" t="s">
        <v>6529</v>
      </c>
      <c r="D4903" s="0" t="s">
        <v>98</v>
      </c>
      <c r="E4903" s="0" t="s">
        <v>5244</v>
      </c>
    </row>
    <row r="4904" customFormat="false" ht="15" hidden="false" customHeight="false" outlineLevel="0" collapsed="false">
      <c r="A4904" s="0" t="s">
        <v>5241</v>
      </c>
      <c r="B4904" s="0" t="s">
        <v>1833</v>
      </c>
      <c r="C4904" s="0" t="s">
        <v>6530</v>
      </c>
      <c r="D4904" s="0" t="s">
        <v>98</v>
      </c>
      <c r="E4904" s="0" t="s">
        <v>5244</v>
      </c>
    </row>
    <row r="4905" customFormat="false" ht="15" hidden="false" customHeight="false" outlineLevel="0" collapsed="false">
      <c r="A4905" s="0" t="s">
        <v>5241</v>
      </c>
      <c r="B4905" s="0" t="s">
        <v>1834</v>
      </c>
      <c r="C4905" s="0" t="s">
        <v>6531</v>
      </c>
      <c r="D4905" s="0" t="s">
        <v>98</v>
      </c>
      <c r="E4905" s="0" t="s">
        <v>5244</v>
      </c>
    </row>
    <row r="4906" customFormat="false" ht="15" hidden="false" customHeight="false" outlineLevel="0" collapsed="false">
      <c r="A4906" s="0" t="s">
        <v>5241</v>
      </c>
      <c r="B4906" s="0" t="s">
        <v>1835</v>
      </c>
      <c r="C4906" s="0" t="s">
        <v>6532</v>
      </c>
      <c r="D4906" s="0" t="s">
        <v>98</v>
      </c>
      <c r="E4906" s="0" t="s">
        <v>5244</v>
      </c>
    </row>
    <row r="4907" customFormat="false" ht="15" hidden="false" customHeight="false" outlineLevel="0" collapsed="false">
      <c r="A4907" s="0" t="s">
        <v>5241</v>
      </c>
      <c r="B4907" s="0" t="s">
        <v>1836</v>
      </c>
      <c r="C4907" s="0" t="s">
        <v>6533</v>
      </c>
      <c r="D4907" s="0" t="s">
        <v>98</v>
      </c>
      <c r="E4907" s="0" t="s">
        <v>5244</v>
      </c>
    </row>
    <row r="4908" customFormat="false" ht="15" hidden="false" customHeight="false" outlineLevel="0" collapsed="false">
      <c r="A4908" s="0" t="s">
        <v>5241</v>
      </c>
      <c r="B4908" s="0" t="s">
        <v>1837</v>
      </c>
      <c r="C4908" s="0" t="s">
        <v>6534</v>
      </c>
      <c r="D4908" s="0" t="s">
        <v>98</v>
      </c>
      <c r="E4908" s="0" t="s">
        <v>5244</v>
      </c>
    </row>
    <row r="4909" customFormat="false" ht="15" hidden="false" customHeight="false" outlineLevel="0" collapsed="false">
      <c r="A4909" s="0" t="s">
        <v>5241</v>
      </c>
      <c r="B4909" s="0" t="s">
        <v>1838</v>
      </c>
      <c r="C4909" s="0" t="s">
        <v>6535</v>
      </c>
      <c r="D4909" s="0" t="s">
        <v>98</v>
      </c>
      <c r="E4909" s="0" t="s">
        <v>5244</v>
      </c>
    </row>
    <row r="4910" customFormat="false" ht="15" hidden="false" customHeight="false" outlineLevel="0" collapsed="false">
      <c r="A4910" s="0" t="s">
        <v>5241</v>
      </c>
      <c r="B4910" s="0" t="s">
        <v>1839</v>
      </c>
      <c r="C4910" s="0" t="s">
        <v>6536</v>
      </c>
      <c r="D4910" s="0" t="s">
        <v>98</v>
      </c>
      <c r="E4910" s="0" t="s">
        <v>5244</v>
      </c>
    </row>
    <row r="4911" customFormat="false" ht="15" hidden="false" customHeight="false" outlineLevel="0" collapsed="false">
      <c r="A4911" s="0" t="s">
        <v>5241</v>
      </c>
      <c r="B4911" s="0" t="s">
        <v>1842</v>
      </c>
      <c r="C4911" s="0" t="s">
        <v>6537</v>
      </c>
      <c r="D4911" s="0" t="s">
        <v>98</v>
      </c>
      <c r="E4911" s="0" t="s">
        <v>5244</v>
      </c>
    </row>
    <row r="4912" customFormat="false" ht="15" hidden="false" customHeight="false" outlineLevel="0" collapsed="false">
      <c r="A4912" s="0" t="s">
        <v>5241</v>
      </c>
      <c r="B4912" s="0" t="s">
        <v>1843</v>
      </c>
      <c r="C4912" s="0" t="s">
        <v>6538</v>
      </c>
      <c r="D4912" s="0" t="s">
        <v>98</v>
      </c>
      <c r="E4912" s="0" t="s">
        <v>5244</v>
      </c>
    </row>
    <row r="4913" customFormat="false" ht="15" hidden="false" customHeight="false" outlineLevel="0" collapsed="false">
      <c r="A4913" s="0" t="s">
        <v>5241</v>
      </c>
      <c r="B4913" s="0" t="s">
        <v>1844</v>
      </c>
      <c r="C4913" s="0" t="s">
        <v>6539</v>
      </c>
      <c r="D4913" s="0" t="s">
        <v>98</v>
      </c>
      <c r="E4913" s="0" t="s">
        <v>5244</v>
      </c>
    </row>
    <row r="4914" customFormat="false" ht="15" hidden="false" customHeight="false" outlineLevel="0" collapsed="false">
      <c r="A4914" s="0" t="s">
        <v>5241</v>
      </c>
      <c r="B4914" s="0" t="s">
        <v>1845</v>
      </c>
      <c r="C4914" s="0" t="s">
        <v>6540</v>
      </c>
      <c r="D4914" s="0" t="s">
        <v>98</v>
      </c>
      <c r="E4914" s="0" t="s">
        <v>5244</v>
      </c>
    </row>
    <row r="4915" customFormat="false" ht="15" hidden="false" customHeight="false" outlineLevel="0" collapsed="false">
      <c r="A4915" s="0" t="s">
        <v>5241</v>
      </c>
      <c r="B4915" s="0" t="s">
        <v>1846</v>
      </c>
      <c r="C4915" s="0" t="s">
        <v>6541</v>
      </c>
      <c r="D4915" s="0" t="s">
        <v>98</v>
      </c>
      <c r="E4915" s="0" t="s">
        <v>5244</v>
      </c>
    </row>
    <row r="4916" customFormat="false" ht="15" hidden="false" customHeight="false" outlineLevel="0" collapsed="false">
      <c r="A4916" s="0" t="s">
        <v>5241</v>
      </c>
      <c r="B4916" s="0" t="s">
        <v>1847</v>
      </c>
      <c r="C4916" s="0" t="s">
        <v>6542</v>
      </c>
      <c r="D4916" s="0" t="s">
        <v>98</v>
      </c>
      <c r="E4916" s="0" t="s">
        <v>5244</v>
      </c>
    </row>
    <row r="4917" customFormat="false" ht="15" hidden="false" customHeight="false" outlineLevel="0" collapsed="false">
      <c r="A4917" s="0" t="s">
        <v>5241</v>
      </c>
      <c r="B4917" s="0" t="s">
        <v>1848</v>
      </c>
      <c r="C4917" s="0" t="s">
        <v>6543</v>
      </c>
      <c r="D4917" s="0" t="s">
        <v>98</v>
      </c>
      <c r="E4917" s="0" t="s">
        <v>5244</v>
      </c>
    </row>
    <row r="4918" customFormat="false" ht="15" hidden="false" customHeight="false" outlineLevel="0" collapsed="false">
      <c r="A4918" s="0" t="s">
        <v>5241</v>
      </c>
      <c r="B4918" s="0" t="s">
        <v>1849</v>
      </c>
      <c r="C4918" s="0" t="s">
        <v>6544</v>
      </c>
      <c r="D4918" s="0" t="s">
        <v>98</v>
      </c>
      <c r="E4918" s="0" t="s">
        <v>5244</v>
      </c>
    </row>
    <row r="4919" customFormat="false" ht="15" hidden="false" customHeight="false" outlineLevel="0" collapsed="false">
      <c r="A4919" s="0" t="s">
        <v>5241</v>
      </c>
      <c r="B4919" s="0" t="s">
        <v>1850</v>
      </c>
      <c r="C4919" s="0" t="s">
        <v>6545</v>
      </c>
      <c r="D4919" s="0" t="s">
        <v>98</v>
      </c>
      <c r="E4919" s="0" t="s">
        <v>5244</v>
      </c>
    </row>
    <row r="4920" customFormat="false" ht="15" hidden="false" customHeight="false" outlineLevel="0" collapsed="false">
      <c r="A4920" s="0" t="s">
        <v>5241</v>
      </c>
      <c r="B4920" s="0" t="s">
        <v>1851</v>
      </c>
      <c r="C4920" s="0" t="s">
        <v>6546</v>
      </c>
      <c r="D4920" s="0" t="s">
        <v>98</v>
      </c>
      <c r="E4920" s="0" t="s">
        <v>5244</v>
      </c>
    </row>
    <row r="4921" customFormat="false" ht="15" hidden="false" customHeight="false" outlineLevel="0" collapsed="false">
      <c r="A4921" s="0" t="s">
        <v>5241</v>
      </c>
      <c r="B4921" s="0" t="s">
        <v>1852</v>
      </c>
      <c r="C4921" s="0" t="s">
        <v>6547</v>
      </c>
      <c r="D4921" s="0" t="s">
        <v>98</v>
      </c>
      <c r="E4921" s="0" t="s">
        <v>5244</v>
      </c>
    </row>
    <row r="4922" customFormat="false" ht="15" hidden="false" customHeight="false" outlineLevel="0" collapsed="false">
      <c r="A4922" s="0" t="s">
        <v>5241</v>
      </c>
      <c r="B4922" s="0" t="s">
        <v>1853</v>
      </c>
      <c r="C4922" s="0" t="s">
        <v>6548</v>
      </c>
      <c r="D4922" s="0" t="s">
        <v>98</v>
      </c>
      <c r="E4922" s="0" t="s">
        <v>5244</v>
      </c>
    </row>
    <row r="4923" customFormat="false" ht="15" hidden="false" customHeight="false" outlineLevel="0" collapsed="false">
      <c r="A4923" s="0" t="s">
        <v>5241</v>
      </c>
      <c r="B4923" s="0" t="s">
        <v>1854</v>
      </c>
      <c r="C4923" s="0" t="s">
        <v>6549</v>
      </c>
      <c r="D4923" s="0" t="s">
        <v>98</v>
      </c>
      <c r="E4923" s="0" t="s">
        <v>5290</v>
      </c>
    </row>
    <row r="4924" customFormat="false" ht="15" hidden="false" customHeight="false" outlineLevel="0" collapsed="false">
      <c r="A4924" s="0" t="s">
        <v>5241</v>
      </c>
      <c r="B4924" s="0" t="s">
        <v>1855</v>
      </c>
      <c r="C4924" s="0" t="s">
        <v>6550</v>
      </c>
      <c r="D4924" s="0" t="s">
        <v>98</v>
      </c>
      <c r="E4924" s="0" t="s">
        <v>5290</v>
      </c>
    </row>
    <row r="4925" customFormat="false" ht="15" hidden="false" customHeight="false" outlineLevel="0" collapsed="false">
      <c r="A4925" s="0" t="s">
        <v>5241</v>
      </c>
      <c r="B4925" s="0" t="s">
        <v>1856</v>
      </c>
      <c r="C4925" s="0" t="s">
        <v>6551</v>
      </c>
      <c r="D4925" s="0" t="s">
        <v>98</v>
      </c>
      <c r="E4925" s="0" t="s">
        <v>5290</v>
      </c>
    </row>
    <row r="4926" customFormat="false" ht="15" hidden="false" customHeight="false" outlineLevel="0" collapsed="false">
      <c r="A4926" s="0" t="s">
        <v>5241</v>
      </c>
      <c r="B4926" s="0" t="s">
        <v>1857</v>
      </c>
      <c r="C4926" s="0" t="s">
        <v>6552</v>
      </c>
      <c r="D4926" s="0" t="s">
        <v>98</v>
      </c>
      <c r="E4926" s="0" t="s">
        <v>5290</v>
      </c>
    </row>
    <row r="4927" customFormat="false" ht="15" hidden="false" customHeight="false" outlineLevel="0" collapsed="false">
      <c r="A4927" s="0" t="s">
        <v>5241</v>
      </c>
      <c r="B4927" s="0" t="s">
        <v>1858</v>
      </c>
      <c r="C4927" s="0" t="s">
        <v>6553</v>
      </c>
      <c r="D4927" s="0" t="s">
        <v>98</v>
      </c>
      <c r="E4927" s="0" t="s">
        <v>5290</v>
      </c>
    </row>
    <row r="4928" customFormat="false" ht="15" hidden="false" customHeight="false" outlineLevel="0" collapsed="false">
      <c r="A4928" s="0" t="s">
        <v>5241</v>
      </c>
      <c r="B4928" s="0" t="s">
        <v>1860</v>
      </c>
      <c r="C4928" s="0" t="s">
        <v>6554</v>
      </c>
      <c r="D4928" s="0" t="s">
        <v>98</v>
      </c>
      <c r="E4928" s="0" t="s">
        <v>5290</v>
      </c>
    </row>
    <row r="4929" customFormat="false" ht="15" hidden="false" customHeight="false" outlineLevel="0" collapsed="false">
      <c r="A4929" s="0" t="s">
        <v>5241</v>
      </c>
      <c r="B4929" s="0" t="s">
        <v>1861</v>
      </c>
      <c r="C4929" s="0" t="s">
        <v>6555</v>
      </c>
      <c r="D4929" s="0" t="s">
        <v>98</v>
      </c>
      <c r="E4929" s="0" t="s">
        <v>5290</v>
      </c>
    </row>
    <row r="4930" customFormat="false" ht="15" hidden="false" customHeight="false" outlineLevel="0" collapsed="false">
      <c r="A4930" s="0" t="s">
        <v>5241</v>
      </c>
      <c r="B4930" s="0" t="s">
        <v>1862</v>
      </c>
      <c r="C4930" s="0" t="s">
        <v>6556</v>
      </c>
      <c r="D4930" s="0" t="s">
        <v>98</v>
      </c>
      <c r="E4930" s="0" t="s">
        <v>5290</v>
      </c>
    </row>
    <row r="4931" customFormat="false" ht="15" hidden="false" customHeight="false" outlineLevel="0" collapsed="false">
      <c r="A4931" s="0" t="s">
        <v>5241</v>
      </c>
      <c r="B4931" s="0" t="s">
        <v>1863</v>
      </c>
      <c r="C4931" s="0" t="s">
        <v>6557</v>
      </c>
      <c r="D4931" s="0" t="s">
        <v>98</v>
      </c>
      <c r="E4931" s="0" t="s">
        <v>5290</v>
      </c>
    </row>
    <row r="4932" customFormat="false" ht="15" hidden="false" customHeight="false" outlineLevel="0" collapsed="false">
      <c r="A4932" s="0" t="s">
        <v>5241</v>
      </c>
      <c r="B4932" s="0" t="s">
        <v>1864</v>
      </c>
      <c r="C4932" s="0" t="s">
        <v>6558</v>
      </c>
      <c r="D4932" s="0" t="s">
        <v>98</v>
      </c>
      <c r="E4932" s="0" t="s">
        <v>5290</v>
      </c>
    </row>
    <row r="4933" customFormat="false" ht="15" hidden="false" customHeight="false" outlineLevel="0" collapsed="false">
      <c r="A4933" s="0" t="s">
        <v>5241</v>
      </c>
      <c r="B4933" s="0" t="s">
        <v>1865</v>
      </c>
      <c r="C4933" s="0" t="s">
        <v>6559</v>
      </c>
      <c r="D4933" s="0" t="s">
        <v>98</v>
      </c>
      <c r="E4933" s="0" t="s">
        <v>5290</v>
      </c>
    </row>
    <row r="4934" customFormat="false" ht="15" hidden="false" customHeight="false" outlineLevel="0" collapsed="false">
      <c r="A4934" s="0" t="s">
        <v>5241</v>
      </c>
      <c r="B4934" s="0" t="s">
        <v>1866</v>
      </c>
      <c r="C4934" s="0" t="s">
        <v>6560</v>
      </c>
      <c r="D4934" s="0" t="s">
        <v>98</v>
      </c>
      <c r="E4934" s="0" t="s">
        <v>5290</v>
      </c>
    </row>
    <row r="4935" customFormat="false" ht="15" hidden="false" customHeight="false" outlineLevel="0" collapsed="false">
      <c r="A4935" s="0" t="s">
        <v>5241</v>
      </c>
      <c r="B4935" s="0" t="s">
        <v>1867</v>
      </c>
      <c r="C4935" s="0" t="s">
        <v>6561</v>
      </c>
      <c r="D4935" s="0" t="s">
        <v>98</v>
      </c>
      <c r="E4935" s="0" t="s">
        <v>5290</v>
      </c>
    </row>
    <row r="4936" customFormat="false" ht="15" hidden="false" customHeight="false" outlineLevel="0" collapsed="false">
      <c r="A4936" s="0" t="s">
        <v>5241</v>
      </c>
      <c r="B4936" s="0" t="s">
        <v>1868</v>
      </c>
      <c r="C4936" s="0" t="s">
        <v>6562</v>
      </c>
      <c r="D4936" s="0" t="s">
        <v>98</v>
      </c>
      <c r="E4936" s="0" t="s">
        <v>5290</v>
      </c>
    </row>
    <row r="4937" customFormat="false" ht="15" hidden="false" customHeight="false" outlineLevel="0" collapsed="false">
      <c r="A4937" s="0" t="s">
        <v>5241</v>
      </c>
      <c r="B4937" s="0" t="s">
        <v>1869</v>
      </c>
      <c r="C4937" s="0" t="s">
        <v>6563</v>
      </c>
      <c r="D4937" s="0" t="s">
        <v>98</v>
      </c>
      <c r="E4937" s="0" t="s">
        <v>5290</v>
      </c>
    </row>
    <row r="4938" customFormat="false" ht="15" hidden="false" customHeight="false" outlineLevel="0" collapsed="false">
      <c r="A4938" s="0" t="s">
        <v>5241</v>
      </c>
      <c r="B4938" s="0" t="s">
        <v>1870</v>
      </c>
      <c r="C4938" s="0" t="s">
        <v>6564</v>
      </c>
      <c r="D4938" s="0" t="s">
        <v>98</v>
      </c>
      <c r="E4938" s="0" t="s">
        <v>5290</v>
      </c>
    </row>
    <row r="4939" customFormat="false" ht="15" hidden="false" customHeight="false" outlineLevel="0" collapsed="false">
      <c r="A4939" s="0" t="s">
        <v>5241</v>
      </c>
      <c r="B4939" s="0" t="s">
        <v>1871</v>
      </c>
      <c r="C4939" s="0" t="s">
        <v>6565</v>
      </c>
      <c r="D4939" s="0" t="s">
        <v>98</v>
      </c>
      <c r="E4939" s="0" t="s">
        <v>5290</v>
      </c>
    </row>
    <row r="4940" customFormat="false" ht="15" hidden="false" customHeight="false" outlineLevel="0" collapsed="false">
      <c r="A4940" s="0" t="s">
        <v>5241</v>
      </c>
      <c r="B4940" s="0" t="s">
        <v>1872</v>
      </c>
      <c r="C4940" s="0" t="s">
        <v>6566</v>
      </c>
      <c r="D4940" s="0" t="s">
        <v>98</v>
      </c>
      <c r="E4940" s="0" t="s">
        <v>5290</v>
      </c>
    </row>
    <row r="4941" customFormat="false" ht="15" hidden="false" customHeight="false" outlineLevel="0" collapsed="false">
      <c r="A4941" s="0" t="s">
        <v>5241</v>
      </c>
      <c r="B4941" s="0" t="s">
        <v>1873</v>
      </c>
      <c r="C4941" s="0" t="s">
        <v>6567</v>
      </c>
      <c r="D4941" s="0" t="s">
        <v>98</v>
      </c>
      <c r="E4941" s="0" t="s">
        <v>5290</v>
      </c>
    </row>
    <row r="4942" customFormat="false" ht="15" hidden="false" customHeight="false" outlineLevel="0" collapsed="false">
      <c r="A4942" s="0" t="s">
        <v>5241</v>
      </c>
      <c r="B4942" s="0" t="s">
        <v>1874</v>
      </c>
      <c r="C4942" s="0" t="s">
        <v>6568</v>
      </c>
      <c r="D4942" s="0" t="s">
        <v>98</v>
      </c>
      <c r="E4942" s="0" t="s">
        <v>5290</v>
      </c>
    </row>
    <row r="4943" customFormat="false" ht="15" hidden="false" customHeight="false" outlineLevel="0" collapsed="false">
      <c r="A4943" s="0" t="s">
        <v>5241</v>
      </c>
      <c r="B4943" s="0" t="s">
        <v>1875</v>
      </c>
      <c r="C4943" s="0" t="s">
        <v>6569</v>
      </c>
      <c r="D4943" s="0" t="s">
        <v>98</v>
      </c>
      <c r="E4943" s="0" t="s">
        <v>5290</v>
      </c>
    </row>
    <row r="4944" customFormat="false" ht="15" hidden="false" customHeight="false" outlineLevel="0" collapsed="false">
      <c r="A4944" s="0" t="s">
        <v>5241</v>
      </c>
      <c r="B4944" s="0" t="s">
        <v>1876</v>
      </c>
      <c r="C4944" s="0" t="s">
        <v>6570</v>
      </c>
      <c r="D4944" s="0" t="s">
        <v>98</v>
      </c>
      <c r="E4944" s="0" t="s">
        <v>5290</v>
      </c>
    </row>
    <row r="4945" customFormat="false" ht="15" hidden="false" customHeight="false" outlineLevel="0" collapsed="false">
      <c r="A4945" s="0" t="s">
        <v>5241</v>
      </c>
      <c r="B4945" s="0" t="s">
        <v>1877</v>
      </c>
      <c r="C4945" s="0" t="s">
        <v>6571</v>
      </c>
      <c r="D4945" s="0" t="s">
        <v>98</v>
      </c>
      <c r="E4945" s="0" t="s">
        <v>5290</v>
      </c>
    </row>
    <row r="4946" customFormat="false" ht="15" hidden="false" customHeight="false" outlineLevel="0" collapsed="false">
      <c r="A4946" s="0" t="s">
        <v>5241</v>
      </c>
      <c r="B4946" s="0" t="s">
        <v>1878</v>
      </c>
      <c r="C4946" s="0" t="s">
        <v>6572</v>
      </c>
      <c r="D4946" s="0" t="s">
        <v>98</v>
      </c>
      <c r="E4946" s="0" t="s">
        <v>5290</v>
      </c>
    </row>
    <row r="4947" customFormat="false" ht="15" hidden="false" customHeight="false" outlineLevel="0" collapsed="false">
      <c r="A4947" s="0" t="s">
        <v>5241</v>
      </c>
      <c r="B4947" s="0" t="s">
        <v>1879</v>
      </c>
      <c r="C4947" s="0" t="s">
        <v>6573</v>
      </c>
      <c r="D4947" s="0" t="s">
        <v>98</v>
      </c>
      <c r="E4947" s="0" t="s">
        <v>5290</v>
      </c>
    </row>
    <row r="4948" customFormat="false" ht="15" hidden="false" customHeight="false" outlineLevel="0" collapsed="false">
      <c r="A4948" s="0" t="s">
        <v>5241</v>
      </c>
      <c r="B4948" s="0" t="s">
        <v>1880</v>
      </c>
      <c r="C4948" s="0" t="s">
        <v>6574</v>
      </c>
      <c r="D4948" s="0" t="s">
        <v>98</v>
      </c>
      <c r="E4948" s="0" t="s">
        <v>5290</v>
      </c>
    </row>
    <row r="4949" customFormat="false" ht="15" hidden="false" customHeight="false" outlineLevel="0" collapsed="false">
      <c r="A4949" s="0" t="s">
        <v>5241</v>
      </c>
      <c r="B4949" s="0" t="s">
        <v>1881</v>
      </c>
      <c r="C4949" s="0" t="s">
        <v>6575</v>
      </c>
      <c r="D4949" s="0" t="s">
        <v>98</v>
      </c>
      <c r="E4949" s="0" t="s">
        <v>5290</v>
      </c>
    </row>
    <row r="4950" customFormat="false" ht="15" hidden="false" customHeight="false" outlineLevel="0" collapsed="false">
      <c r="A4950" s="0" t="s">
        <v>5241</v>
      </c>
      <c r="B4950" s="0" t="s">
        <v>1882</v>
      </c>
      <c r="C4950" s="0" t="s">
        <v>6576</v>
      </c>
      <c r="D4950" s="0" t="s">
        <v>98</v>
      </c>
      <c r="E4950" s="0" t="s">
        <v>5290</v>
      </c>
    </row>
    <row r="4951" customFormat="false" ht="15" hidden="false" customHeight="false" outlineLevel="0" collapsed="false">
      <c r="A4951" s="0" t="s">
        <v>5241</v>
      </c>
      <c r="B4951" s="0" t="s">
        <v>1883</v>
      </c>
      <c r="C4951" s="0" t="s">
        <v>6577</v>
      </c>
      <c r="D4951" s="0" t="s">
        <v>98</v>
      </c>
      <c r="E4951" s="0" t="s">
        <v>5244</v>
      </c>
    </row>
    <row r="4952" customFormat="false" ht="15" hidden="false" customHeight="false" outlineLevel="0" collapsed="false">
      <c r="A4952" s="0" t="s">
        <v>5241</v>
      </c>
      <c r="B4952" s="0" t="s">
        <v>1885</v>
      </c>
      <c r="C4952" s="0" t="s">
        <v>6578</v>
      </c>
      <c r="D4952" s="0" t="s">
        <v>98</v>
      </c>
      <c r="E4952" s="0" t="s">
        <v>5244</v>
      </c>
    </row>
    <row r="4953" customFormat="false" ht="15" hidden="false" customHeight="false" outlineLevel="0" collapsed="false">
      <c r="A4953" s="0" t="s">
        <v>5241</v>
      </c>
      <c r="B4953" s="0" t="s">
        <v>1887</v>
      </c>
      <c r="C4953" s="0" t="s">
        <v>6579</v>
      </c>
      <c r="D4953" s="0" t="s">
        <v>98</v>
      </c>
      <c r="E4953" s="0" t="s">
        <v>5244</v>
      </c>
    </row>
    <row r="4954" customFormat="false" ht="15" hidden="false" customHeight="false" outlineLevel="0" collapsed="false">
      <c r="A4954" s="0" t="s">
        <v>5241</v>
      </c>
      <c r="B4954" s="0" t="s">
        <v>1889</v>
      </c>
      <c r="C4954" s="0" t="s">
        <v>6580</v>
      </c>
      <c r="D4954" s="0" t="s">
        <v>98</v>
      </c>
      <c r="E4954" s="0" t="s">
        <v>5244</v>
      </c>
    </row>
    <row r="4955" customFormat="false" ht="15" hidden="false" customHeight="false" outlineLevel="0" collapsed="false">
      <c r="A4955" s="0" t="s">
        <v>5241</v>
      </c>
      <c r="B4955" s="0" t="s">
        <v>1891</v>
      </c>
      <c r="C4955" s="0" t="s">
        <v>6581</v>
      </c>
      <c r="D4955" s="0" t="s">
        <v>98</v>
      </c>
      <c r="E4955" s="0" t="s">
        <v>5244</v>
      </c>
    </row>
    <row r="4956" customFormat="false" ht="15" hidden="false" customHeight="false" outlineLevel="0" collapsed="false">
      <c r="A4956" s="0" t="s">
        <v>5241</v>
      </c>
      <c r="B4956" s="0" t="s">
        <v>1893</v>
      </c>
      <c r="C4956" s="0" t="s">
        <v>6582</v>
      </c>
      <c r="D4956" s="0" t="s">
        <v>98</v>
      </c>
      <c r="E4956" s="0" t="s">
        <v>5244</v>
      </c>
    </row>
    <row r="4957" customFormat="false" ht="15" hidden="false" customHeight="false" outlineLevel="0" collapsed="false">
      <c r="A4957" s="0" t="s">
        <v>5241</v>
      </c>
      <c r="B4957" s="0" t="s">
        <v>1895</v>
      </c>
      <c r="C4957" s="0" t="s">
        <v>6583</v>
      </c>
      <c r="D4957" s="0" t="s">
        <v>98</v>
      </c>
      <c r="E4957" s="0" t="s">
        <v>5244</v>
      </c>
    </row>
    <row r="4958" customFormat="false" ht="15" hidden="false" customHeight="false" outlineLevel="0" collapsed="false">
      <c r="A4958" s="0" t="s">
        <v>5241</v>
      </c>
      <c r="B4958" s="0" t="s">
        <v>1897</v>
      </c>
      <c r="C4958" s="0" t="s">
        <v>6584</v>
      </c>
      <c r="D4958" s="0" t="s">
        <v>98</v>
      </c>
      <c r="E4958" s="0" t="s">
        <v>5244</v>
      </c>
    </row>
    <row r="4959" customFormat="false" ht="15" hidden="false" customHeight="false" outlineLevel="0" collapsed="false">
      <c r="A4959" s="0" t="s">
        <v>5241</v>
      </c>
      <c r="B4959" s="0" t="s">
        <v>1899</v>
      </c>
      <c r="C4959" s="0" t="s">
        <v>6585</v>
      </c>
      <c r="D4959" s="0" t="s">
        <v>98</v>
      </c>
      <c r="E4959" s="0" t="s">
        <v>5244</v>
      </c>
    </row>
    <row r="4960" customFormat="false" ht="15" hidden="false" customHeight="false" outlineLevel="0" collapsed="false">
      <c r="A4960" s="0" t="s">
        <v>5241</v>
      </c>
      <c r="B4960" s="0" t="s">
        <v>1901</v>
      </c>
      <c r="C4960" s="0" t="s">
        <v>6586</v>
      </c>
      <c r="D4960" s="0" t="s">
        <v>98</v>
      </c>
      <c r="E4960" s="0" t="s">
        <v>5244</v>
      </c>
    </row>
    <row r="4961" customFormat="false" ht="15" hidden="false" customHeight="false" outlineLevel="0" collapsed="false">
      <c r="A4961" s="0" t="s">
        <v>5241</v>
      </c>
      <c r="B4961" s="0" t="s">
        <v>1903</v>
      </c>
      <c r="C4961" s="0" t="s">
        <v>6587</v>
      </c>
      <c r="D4961" s="0" t="s">
        <v>98</v>
      </c>
      <c r="E4961" s="0" t="s">
        <v>5244</v>
      </c>
    </row>
    <row r="4962" customFormat="false" ht="15" hidden="false" customHeight="false" outlineLevel="0" collapsed="false">
      <c r="A4962" s="0" t="s">
        <v>5241</v>
      </c>
      <c r="B4962" s="0" t="s">
        <v>1905</v>
      </c>
      <c r="C4962" s="0" t="s">
        <v>6588</v>
      </c>
      <c r="D4962" s="0" t="s">
        <v>98</v>
      </c>
      <c r="E4962" s="0" t="s">
        <v>5244</v>
      </c>
    </row>
    <row r="4963" customFormat="false" ht="15" hidden="false" customHeight="false" outlineLevel="0" collapsed="false">
      <c r="A4963" s="0" t="s">
        <v>5241</v>
      </c>
      <c r="B4963" s="0" t="s">
        <v>1907</v>
      </c>
      <c r="C4963" s="0" t="s">
        <v>6589</v>
      </c>
      <c r="D4963" s="0" t="s">
        <v>98</v>
      </c>
      <c r="E4963" s="0" t="s">
        <v>5244</v>
      </c>
    </row>
    <row r="4964" customFormat="false" ht="15" hidden="false" customHeight="false" outlineLevel="0" collapsed="false">
      <c r="A4964" s="0" t="s">
        <v>5241</v>
      </c>
      <c r="B4964" s="0" t="s">
        <v>1909</v>
      </c>
      <c r="C4964" s="0" t="s">
        <v>6590</v>
      </c>
      <c r="D4964" s="0" t="s">
        <v>98</v>
      </c>
      <c r="E4964" s="0" t="s">
        <v>5244</v>
      </c>
    </row>
    <row r="4965" customFormat="false" ht="15" hidden="false" customHeight="false" outlineLevel="0" collapsed="false">
      <c r="A4965" s="0" t="s">
        <v>5241</v>
      </c>
      <c r="B4965" s="0" t="s">
        <v>1911</v>
      </c>
      <c r="C4965" s="0" t="s">
        <v>6591</v>
      </c>
      <c r="D4965" s="0" t="s">
        <v>98</v>
      </c>
      <c r="E4965" s="0" t="s">
        <v>5244</v>
      </c>
    </row>
    <row r="4966" customFormat="false" ht="15" hidden="false" customHeight="false" outlineLevel="0" collapsed="false">
      <c r="A4966" s="0" t="s">
        <v>5241</v>
      </c>
      <c r="B4966" s="0" t="s">
        <v>1913</v>
      </c>
      <c r="C4966" s="0" t="s">
        <v>6592</v>
      </c>
      <c r="D4966" s="0" t="s">
        <v>98</v>
      </c>
      <c r="E4966" s="0" t="s">
        <v>5244</v>
      </c>
    </row>
    <row r="4967" customFormat="false" ht="15" hidden="false" customHeight="false" outlineLevel="0" collapsed="false">
      <c r="A4967" s="0" t="s">
        <v>5241</v>
      </c>
      <c r="B4967" s="0" t="s">
        <v>1915</v>
      </c>
      <c r="C4967" s="0" t="s">
        <v>6593</v>
      </c>
      <c r="D4967" s="0" t="s">
        <v>98</v>
      </c>
      <c r="E4967" s="0" t="s">
        <v>5244</v>
      </c>
    </row>
    <row r="4968" customFormat="false" ht="15" hidden="false" customHeight="false" outlineLevel="0" collapsed="false">
      <c r="A4968" s="0" t="s">
        <v>5241</v>
      </c>
      <c r="B4968" s="0" t="s">
        <v>1917</v>
      </c>
      <c r="C4968" s="0" t="s">
        <v>6594</v>
      </c>
      <c r="D4968" s="0" t="s">
        <v>98</v>
      </c>
      <c r="E4968" s="0" t="s">
        <v>5244</v>
      </c>
    </row>
    <row r="4969" customFormat="false" ht="15" hidden="false" customHeight="false" outlineLevel="0" collapsed="false">
      <c r="A4969" s="0" t="s">
        <v>5241</v>
      </c>
      <c r="B4969" s="0" t="s">
        <v>1919</v>
      </c>
      <c r="C4969" s="0" t="s">
        <v>6595</v>
      </c>
      <c r="D4969" s="0" t="s">
        <v>98</v>
      </c>
      <c r="E4969" s="0" t="s">
        <v>5244</v>
      </c>
    </row>
    <row r="4970" customFormat="false" ht="15" hidden="false" customHeight="false" outlineLevel="0" collapsed="false">
      <c r="A4970" s="0" t="s">
        <v>5241</v>
      </c>
      <c r="B4970" s="0" t="s">
        <v>1921</v>
      </c>
      <c r="C4970" s="0" t="s">
        <v>6596</v>
      </c>
      <c r="D4970" s="0" t="s">
        <v>98</v>
      </c>
      <c r="E4970" s="0" t="s">
        <v>5244</v>
      </c>
    </row>
    <row r="4971" customFormat="false" ht="15" hidden="false" customHeight="false" outlineLevel="0" collapsed="false">
      <c r="A4971" s="0" t="s">
        <v>5241</v>
      </c>
      <c r="B4971" s="0" t="s">
        <v>1923</v>
      </c>
      <c r="C4971" s="0" t="s">
        <v>6597</v>
      </c>
      <c r="D4971" s="0" t="s">
        <v>98</v>
      </c>
      <c r="E4971" s="0" t="s">
        <v>5244</v>
      </c>
    </row>
    <row r="4972" customFormat="false" ht="15" hidden="false" customHeight="false" outlineLevel="0" collapsed="false">
      <c r="A4972" s="0" t="s">
        <v>5241</v>
      </c>
      <c r="B4972" s="0" t="s">
        <v>1925</v>
      </c>
      <c r="C4972" s="0" t="s">
        <v>6598</v>
      </c>
      <c r="D4972" s="0" t="s">
        <v>98</v>
      </c>
      <c r="E4972" s="0" t="s">
        <v>5244</v>
      </c>
    </row>
    <row r="4973" customFormat="false" ht="15" hidden="false" customHeight="false" outlineLevel="0" collapsed="false">
      <c r="A4973" s="0" t="s">
        <v>5241</v>
      </c>
      <c r="B4973" s="0" t="s">
        <v>1927</v>
      </c>
      <c r="C4973" s="0" t="s">
        <v>6599</v>
      </c>
      <c r="D4973" s="0" t="s">
        <v>98</v>
      </c>
      <c r="E4973" s="0" t="s">
        <v>5244</v>
      </c>
    </row>
    <row r="4974" customFormat="false" ht="15" hidden="false" customHeight="false" outlineLevel="0" collapsed="false">
      <c r="A4974" s="0" t="s">
        <v>5241</v>
      </c>
      <c r="B4974" s="0" t="s">
        <v>1929</v>
      </c>
      <c r="C4974" s="0" t="s">
        <v>6600</v>
      </c>
      <c r="D4974" s="0" t="s">
        <v>98</v>
      </c>
      <c r="E4974" s="0" t="s">
        <v>5244</v>
      </c>
    </row>
    <row r="4975" customFormat="false" ht="15" hidden="false" customHeight="false" outlineLevel="0" collapsed="false">
      <c r="A4975" s="0" t="s">
        <v>5241</v>
      </c>
      <c r="B4975" s="0" t="s">
        <v>1931</v>
      </c>
      <c r="C4975" s="0" t="s">
        <v>6601</v>
      </c>
      <c r="D4975" s="0" t="s">
        <v>98</v>
      </c>
      <c r="E4975" s="0" t="s">
        <v>5244</v>
      </c>
    </row>
    <row r="4976" customFormat="false" ht="15" hidden="false" customHeight="false" outlineLevel="0" collapsed="false">
      <c r="A4976" s="0" t="s">
        <v>5241</v>
      </c>
      <c r="B4976" s="0" t="s">
        <v>1933</v>
      </c>
      <c r="C4976" s="0" t="s">
        <v>6602</v>
      </c>
      <c r="D4976" s="0" t="s">
        <v>98</v>
      </c>
      <c r="E4976" s="0" t="s">
        <v>5244</v>
      </c>
    </row>
    <row r="4977" customFormat="false" ht="15" hidden="false" customHeight="false" outlineLevel="0" collapsed="false">
      <c r="A4977" s="0" t="s">
        <v>5241</v>
      </c>
      <c r="B4977" s="0" t="s">
        <v>1935</v>
      </c>
      <c r="C4977" s="0" t="s">
        <v>6603</v>
      </c>
      <c r="D4977" s="0" t="s">
        <v>98</v>
      </c>
      <c r="E4977" s="0" t="s">
        <v>5244</v>
      </c>
    </row>
    <row r="4978" customFormat="false" ht="15" hidden="false" customHeight="false" outlineLevel="0" collapsed="false">
      <c r="A4978" s="0" t="s">
        <v>5241</v>
      </c>
      <c r="B4978" s="0" t="s">
        <v>1937</v>
      </c>
      <c r="C4978" s="0" t="s">
        <v>6604</v>
      </c>
      <c r="D4978" s="0" t="s">
        <v>98</v>
      </c>
      <c r="E4978" s="0" t="s">
        <v>5244</v>
      </c>
    </row>
    <row r="4979" customFormat="false" ht="15" hidden="false" customHeight="false" outlineLevel="0" collapsed="false">
      <c r="A4979" s="0" t="s">
        <v>5241</v>
      </c>
      <c r="B4979" s="0" t="s">
        <v>6605</v>
      </c>
      <c r="C4979" s="0" t="s">
        <v>6606</v>
      </c>
      <c r="D4979" s="0" t="s">
        <v>98</v>
      </c>
      <c r="E4979" s="0" t="s">
        <v>5290</v>
      </c>
    </row>
    <row r="4980" customFormat="false" ht="15" hidden="false" customHeight="false" outlineLevel="0" collapsed="false">
      <c r="A4980" s="0" t="s">
        <v>5241</v>
      </c>
      <c r="B4980" s="0" t="s">
        <v>6607</v>
      </c>
      <c r="C4980" s="0" t="s">
        <v>6608</v>
      </c>
      <c r="D4980" s="0" t="s">
        <v>98</v>
      </c>
      <c r="E4980" s="0" t="s">
        <v>5290</v>
      </c>
    </row>
    <row r="4981" customFormat="false" ht="15" hidden="false" customHeight="false" outlineLevel="0" collapsed="false">
      <c r="A4981" s="0" t="s">
        <v>5241</v>
      </c>
      <c r="B4981" s="0" t="s">
        <v>6609</v>
      </c>
      <c r="C4981" s="0" t="s">
        <v>6610</v>
      </c>
      <c r="D4981" s="0" t="s">
        <v>98</v>
      </c>
      <c r="E4981" s="0" t="s">
        <v>5290</v>
      </c>
    </row>
    <row r="4982" customFormat="false" ht="15" hidden="false" customHeight="false" outlineLevel="0" collapsed="false">
      <c r="A4982" s="0" t="s">
        <v>5241</v>
      </c>
      <c r="B4982" s="0" t="s">
        <v>6611</v>
      </c>
      <c r="C4982" s="0" t="s">
        <v>6612</v>
      </c>
      <c r="D4982" s="0" t="s">
        <v>98</v>
      </c>
      <c r="E4982" s="0" t="s">
        <v>5290</v>
      </c>
    </row>
    <row r="4983" customFormat="false" ht="15" hidden="false" customHeight="false" outlineLevel="0" collapsed="false">
      <c r="A4983" s="0" t="s">
        <v>5241</v>
      </c>
      <c r="B4983" s="0" t="s">
        <v>1939</v>
      </c>
      <c r="C4983" s="0" t="s">
        <v>6613</v>
      </c>
      <c r="D4983" s="0" t="s">
        <v>98</v>
      </c>
      <c r="E4983" s="0" t="s">
        <v>5290</v>
      </c>
    </row>
    <row r="4984" customFormat="false" ht="15" hidden="false" customHeight="false" outlineLevel="0" collapsed="false">
      <c r="A4984" s="0" t="s">
        <v>5241</v>
      </c>
      <c r="B4984" s="0" t="s">
        <v>6614</v>
      </c>
      <c r="C4984" s="0" t="s">
        <v>6615</v>
      </c>
      <c r="D4984" s="0" t="s">
        <v>98</v>
      </c>
      <c r="E4984" s="0" t="s">
        <v>5290</v>
      </c>
    </row>
    <row r="4985" customFormat="false" ht="15" hidden="false" customHeight="false" outlineLevel="0" collapsed="false">
      <c r="A4985" s="0" t="s">
        <v>5241</v>
      </c>
      <c r="B4985" s="0" t="s">
        <v>6616</v>
      </c>
      <c r="C4985" s="0" t="s">
        <v>6617</v>
      </c>
      <c r="D4985" s="0" t="s">
        <v>98</v>
      </c>
      <c r="E4985" s="0" t="s">
        <v>5290</v>
      </c>
    </row>
    <row r="4986" customFormat="false" ht="15" hidden="false" customHeight="false" outlineLevel="0" collapsed="false">
      <c r="A4986" s="0" t="s">
        <v>5241</v>
      </c>
      <c r="B4986" s="0" t="s">
        <v>6618</v>
      </c>
      <c r="C4986" s="0" t="s">
        <v>6619</v>
      </c>
      <c r="D4986" s="0" t="s">
        <v>98</v>
      </c>
      <c r="E4986" s="0" t="s">
        <v>5290</v>
      </c>
    </row>
    <row r="4987" customFormat="false" ht="15" hidden="false" customHeight="false" outlineLevel="0" collapsed="false">
      <c r="A4987" s="0" t="s">
        <v>5241</v>
      </c>
      <c r="B4987" s="0" t="s">
        <v>6620</v>
      </c>
      <c r="C4987" s="0" t="s">
        <v>6621</v>
      </c>
      <c r="D4987" s="0" t="s">
        <v>98</v>
      </c>
      <c r="E4987" s="0" t="s">
        <v>5290</v>
      </c>
    </row>
    <row r="4988" customFormat="false" ht="15" hidden="false" customHeight="false" outlineLevel="0" collapsed="false">
      <c r="A4988" s="0" t="s">
        <v>5241</v>
      </c>
      <c r="B4988" s="0" t="s">
        <v>6622</v>
      </c>
      <c r="C4988" s="0" t="s">
        <v>6623</v>
      </c>
      <c r="D4988" s="0" t="s">
        <v>98</v>
      </c>
      <c r="E4988" s="0" t="s">
        <v>5290</v>
      </c>
    </row>
    <row r="4989" customFormat="false" ht="15" hidden="false" customHeight="false" outlineLevel="0" collapsed="false">
      <c r="A4989" s="0" t="s">
        <v>5241</v>
      </c>
      <c r="B4989" s="0" t="s">
        <v>6624</v>
      </c>
      <c r="C4989" s="0" t="s">
        <v>6625</v>
      </c>
      <c r="D4989" s="0" t="s">
        <v>98</v>
      </c>
      <c r="E4989" s="0" t="s">
        <v>5290</v>
      </c>
    </row>
    <row r="4990" customFormat="false" ht="15" hidden="false" customHeight="false" outlineLevel="0" collapsed="false">
      <c r="A4990" s="0" t="s">
        <v>5241</v>
      </c>
      <c r="B4990" s="0" t="s">
        <v>6626</v>
      </c>
      <c r="C4990" s="0" t="s">
        <v>6627</v>
      </c>
      <c r="D4990" s="0" t="s">
        <v>98</v>
      </c>
      <c r="E4990" s="0" t="s">
        <v>5290</v>
      </c>
    </row>
    <row r="4991" customFormat="false" ht="15" hidden="false" customHeight="false" outlineLevel="0" collapsed="false">
      <c r="A4991" s="0" t="s">
        <v>5241</v>
      </c>
      <c r="B4991" s="0" t="s">
        <v>6628</v>
      </c>
      <c r="C4991" s="0" t="s">
        <v>6629</v>
      </c>
      <c r="D4991" s="0" t="s">
        <v>98</v>
      </c>
      <c r="E4991" s="0" t="s">
        <v>5290</v>
      </c>
    </row>
    <row r="4992" customFormat="false" ht="15" hidden="false" customHeight="false" outlineLevel="0" collapsed="false">
      <c r="A4992" s="0" t="s">
        <v>5241</v>
      </c>
      <c r="B4992" s="0" t="s">
        <v>6630</v>
      </c>
      <c r="C4992" s="0" t="s">
        <v>6631</v>
      </c>
      <c r="D4992" s="0" t="s">
        <v>98</v>
      </c>
      <c r="E4992" s="0" t="s">
        <v>5290</v>
      </c>
    </row>
    <row r="4993" customFormat="false" ht="15" hidden="false" customHeight="false" outlineLevel="0" collapsed="false">
      <c r="A4993" s="0" t="s">
        <v>5241</v>
      </c>
      <c r="B4993" s="0" t="s">
        <v>6632</v>
      </c>
      <c r="C4993" s="0" t="s">
        <v>6633</v>
      </c>
      <c r="D4993" s="0" t="s">
        <v>98</v>
      </c>
      <c r="E4993" s="0" t="s">
        <v>5290</v>
      </c>
    </row>
    <row r="4994" customFormat="false" ht="15" hidden="false" customHeight="false" outlineLevel="0" collapsed="false">
      <c r="A4994" s="0" t="s">
        <v>5241</v>
      </c>
      <c r="B4994" s="0" t="s">
        <v>6634</v>
      </c>
      <c r="C4994" s="0" t="s">
        <v>6635</v>
      </c>
      <c r="D4994" s="0" t="s">
        <v>98</v>
      </c>
      <c r="E4994" s="0" t="s">
        <v>5290</v>
      </c>
    </row>
    <row r="4995" customFormat="false" ht="15" hidden="false" customHeight="false" outlineLevel="0" collapsed="false">
      <c r="A4995" s="0" t="s">
        <v>5241</v>
      </c>
      <c r="B4995" s="0" t="s">
        <v>6636</v>
      </c>
      <c r="C4995" s="0" t="s">
        <v>6637</v>
      </c>
      <c r="D4995" s="0" t="s">
        <v>98</v>
      </c>
      <c r="E4995" s="0" t="s">
        <v>5290</v>
      </c>
    </row>
    <row r="4996" customFormat="false" ht="15" hidden="false" customHeight="false" outlineLevel="0" collapsed="false">
      <c r="A4996" s="0" t="s">
        <v>5241</v>
      </c>
      <c r="B4996" s="0" t="s">
        <v>6638</v>
      </c>
      <c r="C4996" s="0" t="s">
        <v>6639</v>
      </c>
      <c r="D4996" s="0" t="s">
        <v>98</v>
      </c>
      <c r="E4996" s="0" t="s">
        <v>5290</v>
      </c>
    </row>
    <row r="4997" customFormat="false" ht="15" hidden="false" customHeight="false" outlineLevel="0" collapsed="false">
      <c r="A4997" s="0" t="s">
        <v>5241</v>
      </c>
      <c r="B4997" s="0" t="s">
        <v>6640</v>
      </c>
      <c r="C4997" s="0" t="s">
        <v>6641</v>
      </c>
      <c r="D4997" s="0" t="s">
        <v>98</v>
      </c>
      <c r="E4997" s="0" t="s">
        <v>5290</v>
      </c>
    </row>
    <row r="4998" customFormat="false" ht="15" hidden="false" customHeight="false" outlineLevel="0" collapsed="false">
      <c r="A4998" s="0" t="s">
        <v>5241</v>
      </c>
      <c r="B4998" s="0" t="s">
        <v>6642</v>
      </c>
      <c r="C4998" s="0" t="s">
        <v>6643</v>
      </c>
      <c r="D4998" s="0" t="s">
        <v>98</v>
      </c>
      <c r="E4998" s="0" t="s">
        <v>5290</v>
      </c>
    </row>
    <row r="4999" customFormat="false" ht="15" hidden="false" customHeight="false" outlineLevel="0" collapsed="false">
      <c r="A4999" s="0" t="s">
        <v>5241</v>
      </c>
      <c r="B4999" s="0" t="s">
        <v>6644</v>
      </c>
      <c r="C4999" s="0" t="s">
        <v>6645</v>
      </c>
      <c r="D4999" s="0" t="s">
        <v>98</v>
      </c>
      <c r="E4999" s="0" t="s">
        <v>5290</v>
      </c>
    </row>
    <row r="5000" customFormat="false" ht="15" hidden="false" customHeight="false" outlineLevel="0" collapsed="false">
      <c r="A5000" s="0" t="s">
        <v>5241</v>
      </c>
      <c r="B5000" s="0" t="s">
        <v>6646</v>
      </c>
      <c r="C5000" s="0" t="s">
        <v>6647</v>
      </c>
      <c r="D5000" s="0" t="s">
        <v>98</v>
      </c>
      <c r="E5000" s="0" t="s">
        <v>5290</v>
      </c>
    </row>
    <row r="5001" customFormat="false" ht="15" hidden="false" customHeight="false" outlineLevel="0" collapsed="false">
      <c r="A5001" s="0" t="s">
        <v>5241</v>
      </c>
      <c r="B5001" s="0" t="s">
        <v>6648</v>
      </c>
      <c r="C5001" s="0" t="s">
        <v>6649</v>
      </c>
      <c r="D5001" s="0" t="s">
        <v>98</v>
      </c>
      <c r="E5001" s="0" t="s">
        <v>5290</v>
      </c>
    </row>
    <row r="5002" customFormat="false" ht="15" hidden="false" customHeight="false" outlineLevel="0" collapsed="false">
      <c r="A5002" s="0" t="s">
        <v>5241</v>
      </c>
      <c r="B5002" s="0" t="s">
        <v>6650</v>
      </c>
      <c r="C5002" s="0" t="s">
        <v>6651</v>
      </c>
      <c r="D5002" s="0" t="s">
        <v>98</v>
      </c>
      <c r="E5002" s="0" t="s">
        <v>5290</v>
      </c>
    </row>
    <row r="5003" customFormat="false" ht="15" hidden="false" customHeight="false" outlineLevel="0" collapsed="false">
      <c r="A5003" s="0" t="s">
        <v>5241</v>
      </c>
      <c r="B5003" s="0" t="s">
        <v>6652</v>
      </c>
      <c r="C5003" s="0" t="s">
        <v>6653</v>
      </c>
      <c r="D5003" s="0" t="s">
        <v>98</v>
      </c>
      <c r="E5003" s="0" t="s">
        <v>5290</v>
      </c>
    </row>
    <row r="5004" customFormat="false" ht="15" hidden="false" customHeight="false" outlineLevel="0" collapsed="false">
      <c r="A5004" s="0" t="s">
        <v>5241</v>
      </c>
      <c r="B5004" s="0" t="s">
        <v>6654</v>
      </c>
      <c r="C5004" s="0" t="s">
        <v>6655</v>
      </c>
      <c r="D5004" s="0" t="s">
        <v>98</v>
      </c>
      <c r="E5004" s="0" t="s">
        <v>5290</v>
      </c>
    </row>
    <row r="5005" customFormat="false" ht="15" hidden="false" customHeight="false" outlineLevel="0" collapsed="false">
      <c r="A5005" s="0" t="s">
        <v>5241</v>
      </c>
      <c r="B5005" s="0" t="s">
        <v>6656</v>
      </c>
      <c r="C5005" s="0" t="s">
        <v>6657</v>
      </c>
      <c r="D5005" s="0" t="s">
        <v>98</v>
      </c>
      <c r="E5005" s="0" t="s">
        <v>5290</v>
      </c>
    </row>
    <row r="5006" customFormat="false" ht="15" hidden="false" customHeight="false" outlineLevel="0" collapsed="false">
      <c r="A5006" s="0" t="s">
        <v>5241</v>
      </c>
      <c r="B5006" s="0" t="s">
        <v>6658</v>
      </c>
      <c r="C5006" s="0" t="s">
        <v>6659</v>
      </c>
      <c r="D5006" s="0" t="s">
        <v>98</v>
      </c>
      <c r="E5006" s="0" t="s">
        <v>5290</v>
      </c>
    </row>
    <row r="5007" customFormat="false" ht="15" hidden="false" customHeight="false" outlineLevel="0" collapsed="false">
      <c r="A5007" s="0" t="s">
        <v>6660</v>
      </c>
      <c r="B5007" s="0" t="s">
        <v>4424</v>
      </c>
      <c r="C5007" s="0" t="s">
        <v>3231</v>
      </c>
      <c r="D5007" s="0" t="s">
        <v>86</v>
      </c>
      <c r="E5007" s="0" t="s">
        <v>6661</v>
      </c>
    </row>
    <row r="5008" customFormat="false" ht="15" hidden="false" customHeight="false" outlineLevel="0" collapsed="false">
      <c r="A5008" s="0" t="s">
        <v>6660</v>
      </c>
      <c r="B5008" s="0" t="s">
        <v>4429</v>
      </c>
      <c r="C5008" s="0" t="s">
        <v>6662</v>
      </c>
      <c r="D5008" s="0" t="s">
        <v>86</v>
      </c>
      <c r="E5008" s="0" t="s">
        <v>6663</v>
      </c>
    </row>
    <row r="5009" customFormat="false" ht="15" hidden="false" customHeight="false" outlineLevel="0" collapsed="false">
      <c r="A5009" s="0" t="s">
        <v>6660</v>
      </c>
      <c r="B5009" s="0" t="s">
        <v>4434</v>
      </c>
      <c r="C5009" s="0" t="s">
        <v>6664</v>
      </c>
      <c r="D5009" s="0" t="s">
        <v>86</v>
      </c>
      <c r="E5009" s="0" t="s">
        <v>6663</v>
      </c>
    </row>
    <row r="5010" customFormat="false" ht="15" hidden="false" customHeight="false" outlineLevel="0" collapsed="false">
      <c r="A5010" s="0" t="s">
        <v>6660</v>
      </c>
      <c r="B5010" s="0" t="s">
        <v>4439</v>
      </c>
      <c r="C5010" s="0" t="s">
        <v>509</v>
      </c>
      <c r="D5010" s="0" t="s">
        <v>86</v>
      </c>
      <c r="E5010" s="0" t="s">
        <v>6665</v>
      </c>
    </row>
    <row r="5011" customFormat="false" ht="15" hidden="false" customHeight="false" outlineLevel="0" collapsed="false">
      <c r="A5011" s="0" t="s">
        <v>6660</v>
      </c>
      <c r="B5011" s="0" t="s">
        <v>6666</v>
      </c>
      <c r="C5011" s="0" t="s">
        <v>550</v>
      </c>
      <c r="D5011" s="0" t="s">
        <v>93</v>
      </c>
      <c r="E5011" s="0" t="s">
        <v>6667</v>
      </c>
    </row>
    <row r="5012" customFormat="false" ht="15" hidden="false" customHeight="false" outlineLevel="0" collapsed="false">
      <c r="A5012" s="0" t="s">
        <v>6660</v>
      </c>
      <c r="B5012" s="0" t="s">
        <v>6668</v>
      </c>
      <c r="C5012" s="0" t="s">
        <v>6669</v>
      </c>
      <c r="D5012" s="0" t="s">
        <v>86</v>
      </c>
      <c r="E5012" s="0" t="s">
        <v>6670</v>
      </c>
    </row>
    <row r="5013" customFormat="false" ht="15" hidden="false" customHeight="false" outlineLevel="0" collapsed="false">
      <c r="A5013" s="0" t="s">
        <v>6660</v>
      </c>
      <c r="B5013" s="0" t="s">
        <v>6671</v>
      </c>
      <c r="C5013" s="0" t="s">
        <v>6672</v>
      </c>
      <c r="D5013" s="0" t="s">
        <v>86</v>
      </c>
      <c r="E5013" s="0" t="s">
        <v>6673</v>
      </c>
    </row>
    <row r="5014" customFormat="false" ht="15" hidden="false" customHeight="false" outlineLevel="0" collapsed="false">
      <c r="A5014" s="0" t="s">
        <v>6660</v>
      </c>
      <c r="B5014" s="0" t="s">
        <v>6674</v>
      </c>
      <c r="C5014" s="0" t="s">
        <v>600</v>
      </c>
      <c r="D5014" s="0" t="s">
        <v>6675</v>
      </c>
      <c r="E5014" s="0" t="s">
        <v>492</v>
      </c>
    </row>
    <row r="5015" customFormat="false" ht="15" hidden="false" customHeight="false" outlineLevel="0" collapsed="false">
      <c r="A5015" s="0" t="s">
        <v>6660</v>
      </c>
      <c r="B5015" s="0" t="s">
        <v>6676</v>
      </c>
      <c r="C5015" s="0" t="s">
        <v>6677</v>
      </c>
      <c r="D5015" s="0" t="s">
        <v>93</v>
      </c>
      <c r="E5015" s="0" t="s">
        <v>492</v>
      </c>
    </row>
    <row r="5016" customFormat="false" ht="15" hidden="false" customHeight="false" outlineLevel="0" collapsed="false">
      <c r="A5016" s="0" t="s">
        <v>6660</v>
      </c>
      <c r="B5016" s="0" t="s">
        <v>6678</v>
      </c>
      <c r="C5016" s="0" t="s">
        <v>6679</v>
      </c>
      <c r="D5016" s="0" t="s">
        <v>86</v>
      </c>
      <c r="E5016" s="0" t="s">
        <v>6680</v>
      </c>
    </row>
    <row r="5017" customFormat="false" ht="15" hidden="false" customHeight="false" outlineLevel="0" collapsed="false">
      <c r="A5017" s="0" t="s">
        <v>6660</v>
      </c>
      <c r="B5017" s="0" t="s">
        <v>6681</v>
      </c>
      <c r="C5017" s="0" t="s">
        <v>6682</v>
      </c>
      <c r="D5017" s="0" t="s">
        <v>86</v>
      </c>
      <c r="E5017" s="0" t="s">
        <v>6683</v>
      </c>
    </row>
    <row r="5018" customFormat="false" ht="15" hidden="false" customHeight="false" outlineLevel="0" collapsed="false">
      <c r="A5018" s="0" t="s">
        <v>6660</v>
      </c>
      <c r="B5018" s="0" t="s">
        <v>6684</v>
      </c>
      <c r="C5018" s="0" t="s">
        <v>6685</v>
      </c>
      <c r="D5018" s="0" t="s">
        <v>98</v>
      </c>
      <c r="E5018" s="0" t="s">
        <v>424</v>
      </c>
    </row>
    <row r="5019" customFormat="false" ht="15" hidden="false" customHeight="false" outlineLevel="0" collapsed="false">
      <c r="A5019" s="0" t="s">
        <v>6660</v>
      </c>
      <c r="B5019" s="0" t="s">
        <v>6686</v>
      </c>
      <c r="C5019" s="0" t="s">
        <v>6687</v>
      </c>
      <c r="D5019" s="0" t="s">
        <v>98</v>
      </c>
      <c r="E5019" s="0" t="s">
        <v>425</v>
      </c>
    </row>
    <row r="5020" customFormat="false" ht="15" hidden="false" customHeight="false" outlineLevel="0" collapsed="false">
      <c r="A5020" s="0" t="s">
        <v>6660</v>
      </c>
      <c r="B5020" s="0" t="s">
        <v>6688</v>
      </c>
      <c r="C5020" s="0" t="s">
        <v>6689</v>
      </c>
      <c r="D5020" s="0" t="s">
        <v>98</v>
      </c>
      <c r="E5020" s="0" t="s">
        <v>426</v>
      </c>
    </row>
    <row r="5021" customFormat="false" ht="15" hidden="false" customHeight="false" outlineLevel="0" collapsed="false">
      <c r="A5021" s="0" t="s">
        <v>6660</v>
      </c>
      <c r="B5021" s="0" t="s">
        <v>6690</v>
      </c>
      <c r="C5021" s="0" t="s">
        <v>6691</v>
      </c>
      <c r="D5021" s="0" t="s">
        <v>98</v>
      </c>
      <c r="E5021" s="0" t="s">
        <v>427</v>
      </c>
    </row>
    <row r="5022" customFormat="false" ht="15" hidden="false" customHeight="false" outlineLevel="0" collapsed="false">
      <c r="A5022" s="0" t="s">
        <v>6660</v>
      </c>
      <c r="B5022" s="0" t="s">
        <v>6692</v>
      </c>
      <c r="C5022" s="0" t="s">
        <v>6693</v>
      </c>
      <c r="D5022" s="0" t="s">
        <v>98</v>
      </c>
      <c r="E5022" s="0" t="s">
        <v>428</v>
      </c>
    </row>
    <row r="5023" customFormat="false" ht="15" hidden="false" customHeight="false" outlineLevel="0" collapsed="false">
      <c r="A5023" s="0" t="s">
        <v>6660</v>
      </c>
      <c r="B5023" s="0" t="s">
        <v>6694</v>
      </c>
      <c r="C5023" s="0" t="s">
        <v>6695</v>
      </c>
      <c r="D5023" s="0" t="s">
        <v>98</v>
      </c>
      <c r="E5023" s="0" t="s">
        <v>429</v>
      </c>
    </row>
    <row r="5024" customFormat="false" ht="15" hidden="false" customHeight="false" outlineLevel="0" collapsed="false">
      <c r="A5024" s="0" t="s">
        <v>6660</v>
      </c>
      <c r="B5024" s="0" t="s">
        <v>6696</v>
      </c>
      <c r="C5024" s="0" t="s">
        <v>6697</v>
      </c>
      <c r="D5024" s="0" t="s">
        <v>98</v>
      </c>
      <c r="E5024" s="0" t="s">
        <v>430</v>
      </c>
    </row>
    <row r="5025" customFormat="false" ht="15" hidden="false" customHeight="false" outlineLevel="0" collapsed="false">
      <c r="A5025" s="0" t="s">
        <v>6660</v>
      </c>
      <c r="B5025" s="0" t="s">
        <v>6698</v>
      </c>
      <c r="C5025" s="0" t="s">
        <v>6699</v>
      </c>
      <c r="D5025" s="0" t="s">
        <v>98</v>
      </c>
      <c r="E5025" s="0" t="s">
        <v>431</v>
      </c>
    </row>
    <row r="5026" customFormat="false" ht="15" hidden="false" customHeight="false" outlineLevel="0" collapsed="false">
      <c r="A5026" s="0" t="s">
        <v>6660</v>
      </c>
      <c r="B5026" s="0" t="s">
        <v>6700</v>
      </c>
      <c r="C5026" s="0" t="s">
        <v>6701</v>
      </c>
      <c r="D5026" s="0" t="s">
        <v>98</v>
      </c>
      <c r="E5026" s="0" t="s">
        <v>432</v>
      </c>
    </row>
    <row r="5027" customFormat="false" ht="15" hidden="false" customHeight="false" outlineLevel="0" collapsed="false">
      <c r="A5027" s="0" t="s">
        <v>6660</v>
      </c>
      <c r="B5027" s="0" t="s">
        <v>6702</v>
      </c>
      <c r="C5027" s="0" t="s">
        <v>6703</v>
      </c>
      <c r="D5027" s="0" t="s">
        <v>98</v>
      </c>
      <c r="E5027" s="0" t="s">
        <v>433</v>
      </c>
    </row>
    <row r="5028" customFormat="false" ht="15" hidden="false" customHeight="false" outlineLevel="0" collapsed="false">
      <c r="A5028" s="0" t="s">
        <v>6660</v>
      </c>
      <c r="B5028" s="0" t="s">
        <v>6704</v>
      </c>
      <c r="C5028" s="0" t="s">
        <v>6705</v>
      </c>
      <c r="D5028" s="0" t="s">
        <v>98</v>
      </c>
      <c r="E5028" s="0" t="s">
        <v>434</v>
      </c>
    </row>
    <row r="5029" customFormat="false" ht="15" hidden="false" customHeight="false" outlineLevel="0" collapsed="false">
      <c r="A5029" s="0" t="s">
        <v>6660</v>
      </c>
      <c r="B5029" s="0" t="s">
        <v>6706</v>
      </c>
      <c r="C5029" s="0" t="s">
        <v>457</v>
      </c>
      <c r="D5029" s="0" t="s">
        <v>86</v>
      </c>
      <c r="E5029" s="0" t="s">
        <v>462</v>
      </c>
    </row>
    <row r="5030" customFormat="false" ht="15" hidden="false" customHeight="false" outlineLevel="0" collapsed="false">
      <c r="A5030" s="0" t="s">
        <v>6660</v>
      </c>
      <c r="B5030" s="0" t="s">
        <v>6707</v>
      </c>
      <c r="C5030" s="0" t="s">
        <v>458</v>
      </c>
      <c r="D5030" s="0" t="s">
        <v>461</v>
      </c>
      <c r="E5030" s="0" t="s">
        <v>462</v>
      </c>
    </row>
    <row r="5031" customFormat="false" ht="15" hidden="false" customHeight="false" outlineLevel="0" collapsed="false">
      <c r="A5031" s="0" t="s">
        <v>6660</v>
      </c>
      <c r="B5031" s="0" t="s">
        <v>6708</v>
      </c>
      <c r="C5031" s="0" t="s">
        <v>459</v>
      </c>
      <c r="D5031" s="0" t="s">
        <v>86</v>
      </c>
      <c r="E5031" s="0" t="s">
        <v>462</v>
      </c>
    </row>
    <row r="5032" customFormat="false" ht="15" hidden="false" customHeight="false" outlineLevel="0" collapsed="false">
      <c r="A5032" s="0" t="s">
        <v>6660</v>
      </c>
      <c r="B5032" s="0" t="s">
        <v>1397</v>
      </c>
      <c r="C5032" s="0" t="s">
        <v>6709</v>
      </c>
      <c r="D5032" s="0" t="s">
        <v>98</v>
      </c>
      <c r="E5032" s="0" t="s">
        <v>6710</v>
      </c>
    </row>
    <row r="5033" customFormat="false" ht="15" hidden="false" customHeight="false" outlineLevel="0" collapsed="false">
      <c r="A5033" s="0" t="s">
        <v>6660</v>
      </c>
      <c r="B5033" s="0" t="s">
        <v>1398</v>
      </c>
      <c r="C5033" s="0" t="s">
        <v>6711</v>
      </c>
      <c r="D5033" s="0" t="s">
        <v>98</v>
      </c>
      <c r="E5033" s="0" t="s">
        <v>6712</v>
      </c>
    </row>
    <row r="5034" customFormat="false" ht="15" hidden="false" customHeight="false" outlineLevel="0" collapsed="false">
      <c r="A5034" s="0" t="s">
        <v>6660</v>
      </c>
      <c r="B5034" s="0" t="s">
        <v>1399</v>
      </c>
      <c r="C5034" s="0" t="s">
        <v>6713</v>
      </c>
      <c r="D5034" s="0" t="s">
        <v>98</v>
      </c>
      <c r="E5034" s="0" t="s">
        <v>6714</v>
      </c>
    </row>
    <row r="5035" customFormat="false" ht="15" hidden="false" customHeight="false" outlineLevel="0" collapsed="false">
      <c r="A5035" s="0" t="s">
        <v>6660</v>
      </c>
      <c r="B5035" s="0" t="s">
        <v>1400</v>
      </c>
      <c r="C5035" s="0" t="s">
        <v>6715</v>
      </c>
      <c r="D5035" s="0" t="s">
        <v>98</v>
      </c>
      <c r="E5035" s="0" t="s">
        <v>6716</v>
      </c>
    </row>
    <row r="5036" customFormat="false" ht="15" hidden="false" customHeight="false" outlineLevel="0" collapsed="false">
      <c r="A5036" s="0" t="s">
        <v>6660</v>
      </c>
      <c r="B5036" s="0" t="s">
        <v>1401</v>
      </c>
      <c r="C5036" s="0" t="s">
        <v>321</v>
      </c>
      <c r="D5036" s="0" t="s">
        <v>93</v>
      </c>
      <c r="E5036" s="0" t="s">
        <v>6717</v>
      </c>
    </row>
    <row r="5037" customFormat="false" ht="15" hidden="false" customHeight="false" outlineLevel="0" collapsed="false">
      <c r="A5037" s="0" t="s">
        <v>6660</v>
      </c>
      <c r="B5037" s="0" t="s">
        <v>1402</v>
      </c>
      <c r="C5037" s="0" t="s">
        <v>321</v>
      </c>
      <c r="D5037" s="0" t="s">
        <v>93</v>
      </c>
      <c r="E5037" s="0" t="s">
        <v>6718</v>
      </c>
    </row>
    <row r="5038" customFormat="false" ht="15" hidden="false" customHeight="false" outlineLevel="0" collapsed="false">
      <c r="A5038" s="0" t="s">
        <v>6660</v>
      </c>
      <c r="B5038" s="0" t="s">
        <v>1403</v>
      </c>
      <c r="C5038" s="0" t="s">
        <v>321</v>
      </c>
      <c r="D5038" s="0" t="s">
        <v>93</v>
      </c>
      <c r="E5038" s="0" t="s">
        <v>6718</v>
      </c>
    </row>
    <row r="5039" customFormat="false" ht="15" hidden="false" customHeight="false" outlineLevel="0" collapsed="false">
      <c r="A5039" s="0" t="s">
        <v>6660</v>
      </c>
      <c r="B5039" s="0" t="s">
        <v>6719</v>
      </c>
      <c r="C5039" s="0" t="s">
        <v>467</v>
      </c>
      <c r="D5039" s="0" t="s">
        <v>86</v>
      </c>
      <c r="E5039" s="0" t="s">
        <v>462</v>
      </c>
    </row>
    <row r="5040" customFormat="false" ht="15" hidden="false" customHeight="false" outlineLevel="0" collapsed="false">
      <c r="A5040" s="0" t="s">
        <v>6660</v>
      </c>
      <c r="B5040" s="0" t="s">
        <v>6720</v>
      </c>
      <c r="C5040" s="0" t="s">
        <v>468</v>
      </c>
      <c r="D5040" s="0" t="s">
        <v>461</v>
      </c>
      <c r="E5040" s="0" t="s">
        <v>462</v>
      </c>
    </row>
    <row r="5041" customFormat="false" ht="15" hidden="false" customHeight="false" outlineLevel="0" collapsed="false">
      <c r="A5041" s="0" t="s">
        <v>6660</v>
      </c>
      <c r="B5041" s="0" t="s">
        <v>6721</v>
      </c>
      <c r="C5041" s="0" t="s">
        <v>469</v>
      </c>
      <c r="D5041" s="0" t="s">
        <v>86</v>
      </c>
      <c r="E5041" s="0" t="s">
        <v>462</v>
      </c>
    </row>
    <row r="5042" customFormat="false" ht="15" hidden="false" customHeight="false" outlineLevel="0" collapsed="false">
      <c r="A5042" s="0" t="s">
        <v>6660</v>
      </c>
      <c r="B5042" s="0" t="s">
        <v>1429</v>
      </c>
      <c r="C5042" s="0" t="s">
        <v>6709</v>
      </c>
      <c r="D5042" s="0" t="s">
        <v>98</v>
      </c>
      <c r="E5042" s="0" t="s">
        <v>6710</v>
      </c>
    </row>
    <row r="5043" customFormat="false" ht="15" hidden="false" customHeight="false" outlineLevel="0" collapsed="false">
      <c r="A5043" s="0" t="s">
        <v>6660</v>
      </c>
      <c r="B5043" s="0" t="s">
        <v>1430</v>
      </c>
      <c r="C5043" s="0" t="s">
        <v>6711</v>
      </c>
      <c r="D5043" s="0" t="s">
        <v>98</v>
      </c>
      <c r="E5043" s="0" t="s">
        <v>6712</v>
      </c>
    </row>
    <row r="5044" customFormat="false" ht="15" hidden="false" customHeight="false" outlineLevel="0" collapsed="false">
      <c r="A5044" s="0" t="s">
        <v>6660</v>
      </c>
      <c r="B5044" s="0" t="s">
        <v>1431</v>
      </c>
      <c r="C5044" s="0" t="s">
        <v>6722</v>
      </c>
      <c r="D5044" s="0" t="s">
        <v>98</v>
      </c>
      <c r="E5044" s="0" t="s">
        <v>6714</v>
      </c>
    </row>
    <row r="5045" customFormat="false" ht="15" hidden="false" customHeight="false" outlineLevel="0" collapsed="false">
      <c r="A5045" s="0" t="s">
        <v>6660</v>
      </c>
      <c r="B5045" s="0" t="s">
        <v>1432</v>
      </c>
      <c r="C5045" s="0" t="s">
        <v>6723</v>
      </c>
      <c r="D5045" s="0" t="s">
        <v>98</v>
      </c>
      <c r="E5045" s="0" t="s">
        <v>6716</v>
      </c>
    </row>
    <row r="5046" customFormat="false" ht="15" hidden="false" customHeight="false" outlineLevel="0" collapsed="false">
      <c r="A5046" s="0" t="s">
        <v>6660</v>
      </c>
      <c r="B5046" s="0" t="s">
        <v>1433</v>
      </c>
      <c r="C5046" s="0" t="s">
        <v>322</v>
      </c>
      <c r="D5046" s="0" t="s">
        <v>93</v>
      </c>
      <c r="E5046" s="0" t="s">
        <v>6717</v>
      </c>
    </row>
    <row r="5047" customFormat="false" ht="15" hidden="false" customHeight="false" outlineLevel="0" collapsed="false">
      <c r="A5047" s="0" t="s">
        <v>6660</v>
      </c>
      <c r="B5047" s="0" t="s">
        <v>1434</v>
      </c>
      <c r="C5047" s="0" t="s">
        <v>322</v>
      </c>
      <c r="D5047" s="0" t="s">
        <v>93</v>
      </c>
      <c r="E5047" s="0" t="s">
        <v>6718</v>
      </c>
    </row>
    <row r="5048" customFormat="false" ht="15" hidden="false" customHeight="false" outlineLevel="0" collapsed="false">
      <c r="A5048" s="0" t="s">
        <v>6660</v>
      </c>
      <c r="B5048" s="0" t="s">
        <v>1435</v>
      </c>
      <c r="C5048" s="0" t="s">
        <v>322</v>
      </c>
      <c r="D5048" s="0" t="s">
        <v>93</v>
      </c>
      <c r="E5048" s="0" t="s">
        <v>6718</v>
      </c>
    </row>
    <row r="5049" customFormat="false" ht="15" hidden="false" customHeight="false" outlineLevel="0" collapsed="false">
      <c r="A5049" s="0" t="s">
        <v>6660</v>
      </c>
      <c r="B5049" s="0" t="s">
        <v>6724</v>
      </c>
      <c r="C5049" s="0" t="s">
        <v>472</v>
      </c>
      <c r="D5049" s="0" t="s">
        <v>86</v>
      </c>
      <c r="E5049" s="0" t="s">
        <v>475</v>
      </c>
    </row>
    <row r="5050" customFormat="false" ht="15" hidden="false" customHeight="false" outlineLevel="0" collapsed="false">
      <c r="A5050" s="0" t="s">
        <v>6660</v>
      </c>
      <c r="B5050" s="0" t="s">
        <v>6725</v>
      </c>
      <c r="C5050" s="0" t="s">
        <v>473</v>
      </c>
      <c r="D5050" s="0" t="s">
        <v>474</v>
      </c>
      <c r="E5050" s="0" t="s">
        <v>475</v>
      </c>
    </row>
    <row r="5051" customFormat="false" ht="15" hidden="false" customHeight="false" outlineLevel="0" collapsed="false">
      <c r="A5051" s="0" t="s">
        <v>6660</v>
      </c>
      <c r="B5051" s="0" t="s">
        <v>6726</v>
      </c>
      <c r="C5051" s="0" t="s">
        <v>469</v>
      </c>
      <c r="D5051" s="0" t="s">
        <v>86</v>
      </c>
      <c r="E5051" s="0" t="s">
        <v>475</v>
      </c>
    </row>
    <row r="5052" customFormat="false" ht="15" hidden="false" customHeight="false" outlineLevel="0" collapsed="false">
      <c r="A5052" s="0" t="s">
        <v>6660</v>
      </c>
      <c r="B5052" s="0" t="s">
        <v>1457</v>
      </c>
      <c r="C5052" s="0" t="s">
        <v>6709</v>
      </c>
      <c r="D5052" s="0" t="s">
        <v>98</v>
      </c>
      <c r="E5052" s="0" t="s">
        <v>6710</v>
      </c>
    </row>
    <row r="5053" customFormat="false" ht="15" hidden="false" customHeight="false" outlineLevel="0" collapsed="false">
      <c r="A5053" s="0" t="s">
        <v>6660</v>
      </c>
      <c r="B5053" s="0" t="s">
        <v>1459</v>
      </c>
      <c r="C5053" s="0" t="s">
        <v>6711</v>
      </c>
      <c r="D5053" s="0" t="s">
        <v>98</v>
      </c>
      <c r="E5053" s="0" t="s">
        <v>6712</v>
      </c>
    </row>
    <row r="5054" customFormat="false" ht="15" hidden="false" customHeight="false" outlineLevel="0" collapsed="false">
      <c r="A5054" s="0" t="s">
        <v>6660</v>
      </c>
      <c r="B5054" s="0" t="s">
        <v>1461</v>
      </c>
      <c r="C5054" s="0" t="s">
        <v>6727</v>
      </c>
      <c r="D5054" s="0" t="s">
        <v>98</v>
      </c>
      <c r="E5054" s="0" t="s">
        <v>6714</v>
      </c>
    </row>
    <row r="5055" customFormat="false" ht="15" hidden="false" customHeight="false" outlineLevel="0" collapsed="false">
      <c r="A5055" s="0" t="s">
        <v>6660</v>
      </c>
      <c r="B5055" s="0" t="s">
        <v>1463</v>
      </c>
      <c r="C5055" s="0" t="s">
        <v>6728</v>
      </c>
      <c r="D5055" s="0" t="s">
        <v>98</v>
      </c>
      <c r="E5055" s="0" t="s">
        <v>6716</v>
      </c>
    </row>
    <row r="5056" customFormat="false" ht="15" hidden="false" customHeight="false" outlineLevel="0" collapsed="false">
      <c r="A5056" s="0" t="s">
        <v>6660</v>
      </c>
      <c r="B5056" s="0" t="s">
        <v>1465</v>
      </c>
      <c r="C5056" s="0" t="s">
        <v>324</v>
      </c>
      <c r="D5056" s="0" t="s">
        <v>93</v>
      </c>
      <c r="E5056" s="0" t="s">
        <v>6717</v>
      </c>
    </row>
    <row r="5057" customFormat="false" ht="15" hidden="false" customHeight="false" outlineLevel="0" collapsed="false">
      <c r="A5057" s="0" t="s">
        <v>6660</v>
      </c>
      <c r="B5057" s="0" t="s">
        <v>1467</v>
      </c>
      <c r="C5057" s="0" t="s">
        <v>324</v>
      </c>
      <c r="D5057" s="0" t="s">
        <v>93</v>
      </c>
      <c r="E5057" s="0" t="s">
        <v>6718</v>
      </c>
    </row>
    <row r="5058" customFormat="false" ht="15" hidden="false" customHeight="false" outlineLevel="0" collapsed="false">
      <c r="A5058" s="0" t="s">
        <v>6660</v>
      </c>
      <c r="B5058" s="0" t="s">
        <v>1469</v>
      </c>
      <c r="C5058" s="0" t="s">
        <v>324</v>
      </c>
      <c r="D5058" s="0" t="s">
        <v>93</v>
      </c>
      <c r="E5058" s="0" t="s">
        <v>6718</v>
      </c>
    </row>
    <row r="5059" customFormat="false" ht="15" hidden="false" customHeight="false" outlineLevel="0" collapsed="false">
      <c r="A5059" s="0" t="s">
        <v>6660</v>
      </c>
      <c r="B5059" s="0" t="s">
        <v>6729</v>
      </c>
      <c r="C5059" s="0" t="s">
        <v>477</v>
      </c>
      <c r="D5059" s="0" t="s">
        <v>86</v>
      </c>
      <c r="E5059" s="0" t="s">
        <v>480</v>
      </c>
    </row>
    <row r="5060" customFormat="false" ht="15" hidden="false" customHeight="false" outlineLevel="0" collapsed="false">
      <c r="A5060" s="0" t="s">
        <v>6660</v>
      </c>
      <c r="B5060" s="0" t="s">
        <v>6730</v>
      </c>
      <c r="C5060" s="0" t="s">
        <v>478</v>
      </c>
      <c r="D5060" s="0" t="s">
        <v>461</v>
      </c>
      <c r="E5060" s="0" t="s">
        <v>480</v>
      </c>
    </row>
    <row r="5061" customFormat="false" ht="15" hidden="false" customHeight="false" outlineLevel="0" collapsed="false">
      <c r="A5061" s="0" t="s">
        <v>6660</v>
      </c>
      <c r="B5061" s="0" t="s">
        <v>6731</v>
      </c>
      <c r="C5061" s="0" t="s">
        <v>469</v>
      </c>
      <c r="D5061" s="0" t="s">
        <v>86</v>
      </c>
      <c r="E5061" s="0" t="s">
        <v>480</v>
      </c>
    </row>
    <row r="5062" customFormat="false" ht="15" hidden="false" customHeight="false" outlineLevel="0" collapsed="false">
      <c r="A5062" s="0" t="s">
        <v>6660</v>
      </c>
      <c r="B5062" s="0" t="s">
        <v>5118</v>
      </c>
      <c r="C5062" s="0" t="s">
        <v>6709</v>
      </c>
      <c r="D5062" s="0" t="s">
        <v>98</v>
      </c>
      <c r="E5062" s="0" t="s">
        <v>6710</v>
      </c>
    </row>
    <row r="5063" customFormat="false" ht="15" hidden="false" customHeight="false" outlineLevel="0" collapsed="false">
      <c r="A5063" s="0" t="s">
        <v>6660</v>
      </c>
      <c r="B5063" s="0" t="s">
        <v>5120</v>
      </c>
      <c r="C5063" s="0" t="s">
        <v>6711</v>
      </c>
      <c r="D5063" s="0" t="s">
        <v>98</v>
      </c>
      <c r="E5063" s="0" t="s">
        <v>6712</v>
      </c>
    </row>
    <row r="5064" customFormat="false" ht="15" hidden="false" customHeight="false" outlineLevel="0" collapsed="false">
      <c r="A5064" s="0" t="s">
        <v>6660</v>
      </c>
      <c r="B5064" s="0" t="s">
        <v>5122</v>
      </c>
      <c r="C5064" s="0" t="s">
        <v>6732</v>
      </c>
      <c r="D5064" s="0" t="s">
        <v>98</v>
      </c>
      <c r="E5064" s="0" t="s">
        <v>6714</v>
      </c>
    </row>
    <row r="5065" customFormat="false" ht="15" hidden="false" customHeight="false" outlineLevel="0" collapsed="false">
      <c r="A5065" s="0" t="s">
        <v>6660</v>
      </c>
      <c r="B5065" s="0" t="s">
        <v>5124</v>
      </c>
      <c r="C5065" s="0" t="s">
        <v>6733</v>
      </c>
      <c r="D5065" s="0" t="s">
        <v>98</v>
      </c>
      <c r="E5065" s="0" t="s">
        <v>6716</v>
      </c>
    </row>
    <row r="5066" customFormat="false" ht="15" hidden="false" customHeight="false" outlineLevel="0" collapsed="false">
      <c r="A5066" s="0" t="s">
        <v>6660</v>
      </c>
      <c r="B5066" s="0" t="s">
        <v>5126</v>
      </c>
      <c r="C5066" s="0" t="s">
        <v>324</v>
      </c>
      <c r="D5066" s="0" t="s">
        <v>93</v>
      </c>
      <c r="E5066" s="0" t="s">
        <v>6717</v>
      </c>
    </row>
    <row r="5067" customFormat="false" ht="15" hidden="false" customHeight="false" outlineLevel="0" collapsed="false">
      <c r="A5067" s="0" t="s">
        <v>6660</v>
      </c>
      <c r="B5067" s="0" t="s">
        <v>5128</v>
      </c>
      <c r="C5067" s="0" t="s">
        <v>324</v>
      </c>
      <c r="D5067" s="0" t="s">
        <v>93</v>
      </c>
      <c r="E5067" s="0" t="s">
        <v>6718</v>
      </c>
    </row>
    <row r="5068" customFormat="false" ht="15" hidden="false" customHeight="false" outlineLevel="0" collapsed="false">
      <c r="A5068" s="0" t="s">
        <v>6660</v>
      </c>
      <c r="B5068" s="0" t="s">
        <v>5130</v>
      </c>
      <c r="C5068" s="0" t="s">
        <v>324</v>
      </c>
      <c r="D5068" s="0" t="s">
        <v>93</v>
      </c>
      <c r="E5068" s="0" t="s">
        <v>6718</v>
      </c>
    </row>
    <row r="5069" customFormat="false" ht="15" hidden="false" customHeight="false" outlineLevel="0" collapsed="false">
      <c r="A5069" s="0" t="s">
        <v>6660</v>
      </c>
      <c r="B5069" s="0" t="s">
        <v>6734</v>
      </c>
      <c r="C5069" s="0" t="s">
        <v>482</v>
      </c>
      <c r="D5069" s="0" t="s">
        <v>6735</v>
      </c>
      <c r="E5069" s="0" t="s">
        <v>486</v>
      </c>
    </row>
    <row r="5070" customFormat="false" ht="15" hidden="false" customHeight="false" outlineLevel="0" collapsed="false">
      <c r="A5070" s="0" t="s">
        <v>6660</v>
      </c>
      <c r="B5070" s="0" t="s">
        <v>6736</v>
      </c>
      <c r="C5070" s="0" t="s">
        <v>483</v>
      </c>
      <c r="D5070" s="0" t="s">
        <v>93</v>
      </c>
      <c r="E5070" s="0" t="s">
        <v>486</v>
      </c>
    </row>
    <row r="5071" customFormat="false" ht="15" hidden="false" customHeight="false" outlineLevel="0" collapsed="false">
      <c r="A5071" s="0" t="s">
        <v>6660</v>
      </c>
      <c r="B5071" s="0" t="s">
        <v>6737</v>
      </c>
      <c r="C5071" s="0" t="s">
        <v>484</v>
      </c>
      <c r="D5071" s="0" t="s">
        <v>86</v>
      </c>
      <c r="E5071" s="0" t="s">
        <v>486</v>
      </c>
    </row>
    <row r="5072" customFormat="false" ht="15" hidden="false" customHeight="false" outlineLevel="0" collapsed="false">
      <c r="A5072" s="0" t="s">
        <v>6660</v>
      </c>
      <c r="B5072" s="0" t="s">
        <v>5173</v>
      </c>
      <c r="C5072" s="0" t="s">
        <v>6709</v>
      </c>
      <c r="D5072" s="0" t="s">
        <v>98</v>
      </c>
      <c r="E5072" s="0" t="s">
        <v>6710</v>
      </c>
    </row>
    <row r="5073" customFormat="false" ht="15" hidden="false" customHeight="false" outlineLevel="0" collapsed="false">
      <c r="A5073" s="0" t="s">
        <v>6660</v>
      </c>
      <c r="B5073" s="0" t="s">
        <v>5175</v>
      </c>
      <c r="C5073" s="0" t="s">
        <v>6711</v>
      </c>
      <c r="D5073" s="0" t="s">
        <v>98</v>
      </c>
      <c r="E5073" s="0" t="s">
        <v>6712</v>
      </c>
    </row>
    <row r="5074" customFormat="false" ht="15" hidden="false" customHeight="false" outlineLevel="0" collapsed="false">
      <c r="A5074" s="0" t="s">
        <v>6660</v>
      </c>
      <c r="B5074" s="0" t="s">
        <v>5177</v>
      </c>
      <c r="C5074" s="0" t="s">
        <v>6738</v>
      </c>
      <c r="D5074" s="0" t="s">
        <v>98</v>
      </c>
      <c r="E5074" s="0" t="s">
        <v>6714</v>
      </c>
    </row>
    <row r="5075" customFormat="false" ht="15" hidden="false" customHeight="false" outlineLevel="0" collapsed="false">
      <c r="A5075" s="0" t="s">
        <v>6660</v>
      </c>
      <c r="B5075" s="0" t="s">
        <v>1515</v>
      </c>
      <c r="C5075" s="0" t="s">
        <v>6739</v>
      </c>
      <c r="D5075" s="0" t="s">
        <v>98</v>
      </c>
      <c r="E5075" s="0" t="s">
        <v>6716</v>
      </c>
    </row>
    <row r="5076" customFormat="false" ht="15" hidden="false" customHeight="false" outlineLevel="0" collapsed="false">
      <c r="A5076" s="0" t="s">
        <v>6660</v>
      </c>
      <c r="B5076" s="0" t="s">
        <v>1516</v>
      </c>
      <c r="C5076" s="0" t="s">
        <v>328</v>
      </c>
      <c r="D5076" s="0" t="s">
        <v>93</v>
      </c>
      <c r="E5076" s="0" t="s">
        <v>6717</v>
      </c>
    </row>
    <row r="5077" customFormat="false" ht="15" hidden="false" customHeight="false" outlineLevel="0" collapsed="false">
      <c r="A5077" s="0" t="s">
        <v>6660</v>
      </c>
      <c r="B5077" s="0" t="s">
        <v>1517</v>
      </c>
      <c r="C5077" s="0" t="s">
        <v>327</v>
      </c>
      <c r="D5077" s="0" t="s">
        <v>93</v>
      </c>
      <c r="E5077" s="0" t="s">
        <v>6718</v>
      </c>
    </row>
    <row r="5078" customFormat="false" ht="15" hidden="false" customHeight="false" outlineLevel="0" collapsed="false">
      <c r="A5078" s="0" t="s">
        <v>6660</v>
      </c>
      <c r="B5078" s="0" t="s">
        <v>1518</v>
      </c>
      <c r="C5078" s="0" t="s">
        <v>326</v>
      </c>
      <c r="D5078" s="0" t="s">
        <v>93</v>
      </c>
      <c r="E5078" s="0" t="s">
        <v>6718</v>
      </c>
    </row>
    <row r="5079" customFormat="false" ht="15" hidden="false" customHeight="false" outlineLevel="0" collapsed="false">
      <c r="A5079" s="0" t="s">
        <v>6660</v>
      </c>
      <c r="B5079" s="0" t="s">
        <v>6740</v>
      </c>
      <c r="C5079" s="0" t="s">
        <v>488</v>
      </c>
      <c r="D5079" s="0" t="s">
        <v>6735</v>
      </c>
      <c r="E5079" s="0" t="s">
        <v>492</v>
      </c>
    </row>
    <row r="5080" customFormat="false" ht="15" hidden="false" customHeight="false" outlineLevel="0" collapsed="false">
      <c r="A5080" s="0" t="s">
        <v>6660</v>
      </c>
      <c r="B5080" s="0" t="s">
        <v>6741</v>
      </c>
      <c r="C5080" s="0" t="s">
        <v>489</v>
      </c>
      <c r="D5080" s="0" t="s">
        <v>93</v>
      </c>
      <c r="E5080" s="0" t="s">
        <v>492</v>
      </c>
    </row>
    <row r="5081" customFormat="false" ht="15" hidden="false" customHeight="false" outlineLevel="0" collapsed="false">
      <c r="A5081" s="0" t="s">
        <v>6660</v>
      </c>
      <c r="B5081" s="0" t="s">
        <v>6742</v>
      </c>
      <c r="C5081" s="0" t="s">
        <v>490</v>
      </c>
      <c r="D5081" s="0" t="s">
        <v>86</v>
      </c>
      <c r="E5081" s="0" t="s">
        <v>492</v>
      </c>
    </row>
    <row r="5082" customFormat="false" ht="15" hidden="false" customHeight="false" outlineLevel="0" collapsed="false">
      <c r="A5082" s="0" t="s">
        <v>6660</v>
      </c>
      <c r="B5082" s="0" t="s">
        <v>1540</v>
      </c>
      <c r="C5082" s="0" t="s">
        <v>6709</v>
      </c>
      <c r="D5082" s="0" t="s">
        <v>98</v>
      </c>
      <c r="E5082" s="0" t="s">
        <v>6710</v>
      </c>
    </row>
    <row r="5083" customFormat="false" ht="15" hidden="false" customHeight="false" outlineLevel="0" collapsed="false">
      <c r="A5083" s="0" t="s">
        <v>6660</v>
      </c>
      <c r="B5083" s="0" t="s">
        <v>1542</v>
      </c>
      <c r="C5083" s="0" t="s">
        <v>6711</v>
      </c>
      <c r="D5083" s="0" t="s">
        <v>98</v>
      </c>
      <c r="E5083" s="0" t="s">
        <v>6712</v>
      </c>
    </row>
    <row r="5084" customFormat="false" ht="15" hidden="false" customHeight="false" outlineLevel="0" collapsed="false">
      <c r="A5084" s="0" t="s">
        <v>6660</v>
      </c>
      <c r="B5084" s="0" t="s">
        <v>1544</v>
      </c>
      <c r="C5084" s="0" t="s">
        <v>6743</v>
      </c>
      <c r="D5084" s="0" t="s">
        <v>98</v>
      </c>
      <c r="E5084" s="0" t="s">
        <v>6714</v>
      </c>
    </row>
    <row r="5085" customFormat="false" ht="15" hidden="false" customHeight="false" outlineLevel="0" collapsed="false">
      <c r="A5085" s="0" t="s">
        <v>6660</v>
      </c>
      <c r="B5085" s="0" t="s">
        <v>1545</v>
      </c>
      <c r="C5085" s="0" t="s">
        <v>6744</v>
      </c>
      <c r="D5085" s="0" t="s">
        <v>98</v>
      </c>
      <c r="E5085" s="0" t="s">
        <v>6716</v>
      </c>
    </row>
    <row r="5086" customFormat="false" ht="15" hidden="false" customHeight="false" outlineLevel="0" collapsed="false">
      <c r="A5086" s="0" t="s">
        <v>6660</v>
      </c>
      <c r="B5086" s="0" t="s">
        <v>1546</v>
      </c>
      <c r="C5086" s="0" t="s">
        <v>328</v>
      </c>
      <c r="D5086" s="0" t="s">
        <v>93</v>
      </c>
      <c r="E5086" s="0" t="s">
        <v>6717</v>
      </c>
    </row>
    <row r="5087" customFormat="false" ht="15" hidden="false" customHeight="false" outlineLevel="0" collapsed="false">
      <c r="A5087" s="0" t="s">
        <v>6660</v>
      </c>
      <c r="B5087" s="0" t="s">
        <v>1547</v>
      </c>
      <c r="C5087" s="0" t="s">
        <v>327</v>
      </c>
      <c r="D5087" s="0" t="s">
        <v>93</v>
      </c>
      <c r="E5087" s="0" t="s">
        <v>6718</v>
      </c>
    </row>
    <row r="5088" customFormat="false" ht="15" hidden="false" customHeight="false" outlineLevel="0" collapsed="false">
      <c r="A5088" s="0" t="s">
        <v>6660</v>
      </c>
      <c r="B5088" s="0" t="s">
        <v>1548</v>
      </c>
      <c r="C5088" s="0" t="s">
        <v>326</v>
      </c>
      <c r="D5088" s="0" t="s">
        <v>93</v>
      </c>
      <c r="E5088" s="0" t="s">
        <v>6718</v>
      </c>
    </row>
    <row r="5089" customFormat="false" ht="15" hidden="false" customHeight="false" outlineLevel="0" collapsed="false">
      <c r="A5089" s="0" t="s">
        <v>6660</v>
      </c>
      <c r="B5089" s="0" t="s">
        <v>6745</v>
      </c>
      <c r="C5089" s="0" t="s">
        <v>488</v>
      </c>
      <c r="D5089" s="0" t="s">
        <v>6735</v>
      </c>
      <c r="E5089" s="0" t="s">
        <v>492</v>
      </c>
    </row>
    <row r="5090" customFormat="false" ht="15" hidden="false" customHeight="false" outlineLevel="0" collapsed="false">
      <c r="A5090" s="0" t="s">
        <v>6660</v>
      </c>
      <c r="B5090" s="0" t="s">
        <v>6746</v>
      </c>
      <c r="C5090" s="0" t="s">
        <v>489</v>
      </c>
      <c r="D5090" s="0" t="s">
        <v>93</v>
      </c>
      <c r="E5090" s="0" t="s">
        <v>492</v>
      </c>
    </row>
    <row r="5091" customFormat="false" ht="15" hidden="false" customHeight="false" outlineLevel="0" collapsed="false">
      <c r="A5091" s="0" t="s">
        <v>6660</v>
      </c>
      <c r="B5091" s="0" t="s">
        <v>6747</v>
      </c>
      <c r="C5091" s="0" t="s">
        <v>490</v>
      </c>
      <c r="D5091" s="0" t="s">
        <v>86</v>
      </c>
      <c r="E5091" s="0" t="s">
        <v>492</v>
      </c>
    </row>
    <row r="5092" customFormat="false" ht="15" hidden="false" customHeight="false" outlineLevel="0" collapsed="false">
      <c r="A5092" s="0" t="s">
        <v>6660</v>
      </c>
      <c r="B5092" s="0" t="s">
        <v>1574</v>
      </c>
      <c r="C5092" s="0" t="s">
        <v>6709</v>
      </c>
      <c r="D5092" s="0" t="s">
        <v>98</v>
      </c>
      <c r="E5092" s="0" t="s">
        <v>6710</v>
      </c>
    </row>
    <row r="5093" customFormat="false" ht="15" hidden="false" customHeight="false" outlineLevel="0" collapsed="false">
      <c r="A5093" s="0" t="s">
        <v>6660</v>
      </c>
      <c r="B5093" s="0" t="s">
        <v>1575</v>
      </c>
      <c r="C5093" s="0" t="s">
        <v>6711</v>
      </c>
      <c r="D5093" s="0" t="s">
        <v>98</v>
      </c>
      <c r="E5093" s="0" t="s">
        <v>6712</v>
      </c>
    </row>
    <row r="5094" customFormat="false" ht="15" hidden="false" customHeight="false" outlineLevel="0" collapsed="false">
      <c r="A5094" s="0" t="s">
        <v>6660</v>
      </c>
      <c r="B5094" s="0" t="s">
        <v>1576</v>
      </c>
      <c r="C5094" s="0" t="s">
        <v>6748</v>
      </c>
      <c r="D5094" s="0" t="s">
        <v>98</v>
      </c>
      <c r="E5094" s="0" t="s">
        <v>6714</v>
      </c>
    </row>
    <row r="5095" customFormat="false" ht="15" hidden="false" customHeight="false" outlineLevel="0" collapsed="false">
      <c r="A5095" s="0" t="s">
        <v>6660</v>
      </c>
      <c r="B5095" s="0" t="s">
        <v>1577</v>
      </c>
      <c r="C5095" s="0" t="s">
        <v>6749</v>
      </c>
      <c r="D5095" s="0" t="s">
        <v>98</v>
      </c>
      <c r="E5095" s="0" t="s">
        <v>6716</v>
      </c>
    </row>
    <row r="5096" customFormat="false" ht="15" hidden="false" customHeight="false" outlineLevel="0" collapsed="false">
      <c r="A5096" s="0" t="s">
        <v>6660</v>
      </c>
      <c r="B5096" s="0" t="s">
        <v>1578</v>
      </c>
      <c r="C5096" s="0" t="s">
        <v>329</v>
      </c>
      <c r="D5096" s="0" t="s">
        <v>93</v>
      </c>
      <c r="E5096" s="0" t="s">
        <v>6717</v>
      </c>
    </row>
    <row r="5097" customFormat="false" ht="15" hidden="false" customHeight="false" outlineLevel="0" collapsed="false">
      <c r="A5097" s="0" t="s">
        <v>6660</v>
      </c>
      <c r="B5097" s="0" t="s">
        <v>1579</v>
      </c>
      <c r="C5097" s="0" t="s">
        <v>328</v>
      </c>
      <c r="D5097" s="0" t="s">
        <v>93</v>
      </c>
      <c r="E5097" s="0" t="s">
        <v>6718</v>
      </c>
    </row>
    <row r="5098" customFormat="false" ht="15" hidden="false" customHeight="false" outlineLevel="0" collapsed="false">
      <c r="A5098" s="0" t="s">
        <v>6660</v>
      </c>
      <c r="B5098" s="0" t="s">
        <v>1580</v>
      </c>
      <c r="C5098" s="0" t="s">
        <v>327</v>
      </c>
      <c r="D5098" s="0" t="s">
        <v>93</v>
      </c>
      <c r="E5098" s="0" t="s">
        <v>6718</v>
      </c>
    </row>
    <row r="5099" customFormat="false" ht="15" hidden="false" customHeight="false" outlineLevel="0" collapsed="false">
      <c r="A5099" s="0" t="s">
        <v>6660</v>
      </c>
      <c r="B5099" s="0" t="s">
        <v>6750</v>
      </c>
      <c r="C5099" s="0" t="s">
        <v>488</v>
      </c>
      <c r="D5099" s="0" t="s">
        <v>6735</v>
      </c>
      <c r="E5099" s="0" t="s">
        <v>492</v>
      </c>
    </row>
    <row r="5100" customFormat="false" ht="15" hidden="false" customHeight="false" outlineLevel="0" collapsed="false">
      <c r="A5100" s="0" t="s">
        <v>6660</v>
      </c>
      <c r="B5100" s="0" t="s">
        <v>6751</v>
      </c>
      <c r="C5100" s="0" t="s">
        <v>489</v>
      </c>
      <c r="D5100" s="0" t="s">
        <v>93</v>
      </c>
      <c r="E5100" s="0" t="s">
        <v>492</v>
      </c>
    </row>
    <row r="5101" customFormat="false" ht="15" hidden="false" customHeight="false" outlineLevel="0" collapsed="false">
      <c r="A5101" s="0" t="s">
        <v>6660</v>
      </c>
      <c r="B5101" s="0" t="s">
        <v>6752</v>
      </c>
      <c r="C5101" s="0" t="s">
        <v>490</v>
      </c>
      <c r="D5101" s="0" t="s">
        <v>86</v>
      </c>
      <c r="E5101" s="0" t="s">
        <v>492</v>
      </c>
    </row>
    <row r="5102" customFormat="false" ht="15" hidden="false" customHeight="false" outlineLevel="0" collapsed="false">
      <c r="A5102" s="0" t="s">
        <v>6660</v>
      </c>
      <c r="B5102" s="0" t="s">
        <v>1602</v>
      </c>
      <c r="C5102" s="0" t="s">
        <v>6709</v>
      </c>
      <c r="D5102" s="0" t="s">
        <v>98</v>
      </c>
      <c r="E5102" s="0" t="s">
        <v>6710</v>
      </c>
    </row>
    <row r="5103" customFormat="false" ht="15" hidden="false" customHeight="false" outlineLevel="0" collapsed="false">
      <c r="A5103" s="0" t="s">
        <v>6660</v>
      </c>
      <c r="B5103" s="0" t="s">
        <v>1604</v>
      </c>
      <c r="C5103" s="0" t="s">
        <v>6711</v>
      </c>
      <c r="D5103" s="0" t="s">
        <v>98</v>
      </c>
      <c r="E5103" s="0" t="s">
        <v>6712</v>
      </c>
    </row>
    <row r="5104" customFormat="false" ht="15" hidden="false" customHeight="false" outlineLevel="0" collapsed="false">
      <c r="A5104" s="0" t="s">
        <v>6660</v>
      </c>
      <c r="B5104" s="0" t="s">
        <v>1606</v>
      </c>
      <c r="C5104" s="0" t="s">
        <v>6753</v>
      </c>
      <c r="D5104" s="0" t="s">
        <v>98</v>
      </c>
      <c r="E5104" s="0" t="s">
        <v>6714</v>
      </c>
    </row>
    <row r="5105" customFormat="false" ht="15" hidden="false" customHeight="false" outlineLevel="0" collapsed="false">
      <c r="A5105" s="0" t="s">
        <v>6660</v>
      </c>
      <c r="B5105" s="0" t="s">
        <v>1608</v>
      </c>
      <c r="C5105" s="0" t="s">
        <v>6754</v>
      </c>
      <c r="D5105" s="0" t="s">
        <v>98</v>
      </c>
      <c r="E5105" s="0" t="s">
        <v>6716</v>
      </c>
    </row>
    <row r="5106" customFormat="false" ht="15" hidden="false" customHeight="false" outlineLevel="0" collapsed="false">
      <c r="A5106" s="0" t="s">
        <v>6660</v>
      </c>
      <c r="B5106" s="0" t="s">
        <v>1610</v>
      </c>
      <c r="C5106" s="0" t="s">
        <v>329</v>
      </c>
      <c r="D5106" s="0" t="s">
        <v>93</v>
      </c>
      <c r="E5106" s="0" t="s">
        <v>6717</v>
      </c>
    </row>
    <row r="5107" customFormat="false" ht="15" hidden="false" customHeight="false" outlineLevel="0" collapsed="false">
      <c r="A5107" s="0" t="s">
        <v>6660</v>
      </c>
      <c r="B5107" s="0" t="s">
        <v>1612</v>
      </c>
      <c r="C5107" s="0" t="s">
        <v>328</v>
      </c>
      <c r="D5107" s="0" t="s">
        <v>93</v>
      </c>
      <c r="E5107" s="0" t="s">
        <v>6718</v>
      </c>
    </row>
    <row r="5108" customFormat="false" ht="15" hidden="false" customHeight="false" outlineLevel="0" collapsed="false">
      <c r="A5108" s="0" t="s">
        <v>6660</v>
      </c>
      <c r="B5108" s="0" t="s">
        <v>1614</v>
      </c>
      <c r="C5108" s="0" t="s">
        <v>327</v>
      </c>
      <c r="D5108" s="0" t="s">
        <v>93</v>
      </c>
      <c r="E5108" s="0" t="s">
        <v>6718</v>
      </c>
    </row>
    <row r="5109" customFormat="false" ht="15" hidden="false" customHeight="false" outlineLevel="0" collapsed="false">
      <c r="A5109" s="0" t="s">
        <v>6660</v>
      </c>
      <c r="B5109" s="0" t="s">
        <v>6755</v>
      </c>
      <c r="C5109" s="0" t="s">
        <v>488</v>
      </c>
      <c r="D5109" s="0" t="s">
        <v>6735</v>
      </c>
      <c r="E5109" s="0" t="s">
        <v>492</v>
      </c>
    </row>
    <row r="5110" customFormat="false" ht="15" hidden="false" customHeight="false" outlineLevel="0" collapsed="false">
      <c r="A5110" s="0" t="s">
        <v>6660</v>
      </c>
      <c r="B5110" s="0" t="s">
        <v>6756</v>
      </c>
      <c r="C5110" s="0" t="s">
        <v>489</v>
      </c>
      <c r="D5110" s="0" t="s">
        <v>93</v>
      </c>
      <c r="E5110" s="0" t="s">
        <v>492</v>
      </c>
    </row>
    <row r="5111" customFormat="false" ht="15" hidden="false" customHeight="false" outlineLevel="0" collapsed="false">
      <c r="A5111" s="0" t="s">
        <v>6660</v>
      </c>
      <c r="B5111" s="0" t="s">
        <v>6757</v>
      </c>
      <c r="C5111" s="0" t="s">
        <v>490</v>
      </c>
      <c r="D5111" s="0" t="s">
        <v>86</v>
      </c>
      <c r="E5111" s="0" t="s">
        <v>492</v>
      </c>
    </row>
    <row r="5112" customFormat="false" ht="15" hidden="false" customHeight="false" outlineLevel="0" collapsed="false">
      <c r="A5112" s="0" t="s">
        <v>6660</v>
      </c>
      <c r="B5112" s="0" t="s">
        <v>6259</v>
      </c>
      <c r="C5112" s="0" t="s">
        <v>6709</v>
      </c>
      <c r="D5112" s="0" t="s">
        <v>98</v>
      </c>
      <c r="E5112" s="0" t="s">
        <v>6710</v>
      </c>
    </row>
    <row r="5113" customFormat="false" ht="15" hidden="false" customHeight="false" outlineLevel="0" collapsed="false">
      <c r="A5113" s="0" t="s">
        <v>6660</v>
      </c>
      <c r="B5113" s="0" t="s">
        <v>6261</v>
      </c>
      <c r="C5113" s="0" t="s">
        <v>6711</v>
      </c>
      <c r="D5113" s="0" t="s">
        <v>98</v>
      </c>
      <c r="E5113" s="0" t="s">
        <v>6712</v>
      </c>
    </row>
    <row r="5114" customFormat="false" ht="15" hidden="false" customHeight="false" outlineLevel="0" collapsed="false">
      <c r="A5114" s="0" t="s">
        <v>6660</v>
      </c>
      <c r="B5114" s="0" t="s">
        <v>6263</v>
      </c>
      <c r="C5114" s="0" t="s">
        <v>6758</v>
      </c>
      <c r="D5114" s="0" t="s">
        <v>98</v>
      </c>
      <c r="E5114" s="0" t="s">
        <v>6714</v>
      </c>
    </row>
    <row r="5115" customFormat="false" ht="15" hidden="false" customHeight="false" outlineLevel="0" collapsed="false">
      <c r="A5115" s="0" t="s">
        <v>6660</v>
      </c>
      <c r="B5115" s="0" t="s">
        <v>6265</v>
      </c>
      <c r="C5115" s="0" t="s">
        <v>6759</v>
      </c>
      <c r="D5115" s="0" t="s">
        <v>98</v>
      </c>
      <c r="E5115" s="0" t="s">
        <v>6716</v>
      </c>
    </row>
    <row r="5116" customFormat="false" ht="15" hidden="false" customHeight="false" outlineLevel="0" collapsed="false">
      <c r="A5116" s="0" t="s">
        <v>6660</v>
      </c>
      <c r="B5116" s="0" t="s">
        <v>6267</v>
      </c>
      <c r="C5116" s="0" t="s">
        <v>330</v>
      </c>
      <c r="D5116" s="0" t="s">
        <v>93</v>
      </c>
      <c r="E5116" s="0" t="s">
        <v>6717</v>
      </c>
    </row>
    <row r="5117" customFormat="false" ht="15" hidden="false" customHeight="false" outlineLevel="0" collapsed="false">
      <c r="A5117" s="0" t="s">
        <v>6660</v>
      </c>
      <c r="B5117" s="0" t="s">
        <v>6269</v>
      </c>
      <c r="C5117" s="0" t="s">
        <v>328</v>
      </c>
      <c r="D5117" s="0" t="s">
        <v>93</v>
      </c>
      <c r="E5117" s="0" t="s">
        <v>6718</v>
      </c>
    </row>
    <row r="5118" customFormat="false" ht="15" hidden="false" customHeight="false" outlineLevel="0" collapsed="false">
      <c r="A5118" s="0" t="s">
        <v>6660</v>
      </c>
      <c r="B5118" s="0" t="s">
        <v>6271</v>
      </c>
      <c r="C5118" s="0" t="s">
        <v>327</v>
      </c>
      <c r="D5118" s="0" t="s">
        <v>93</v>
      </c>
      <c r="E5118" s="0" t="s">
        <v>6718</v>
      </c>
    </row>
    <row r="5119" customFormat="false" ht="15" hidden="false" customHeight="false" outlineLevel="0" collapsed="false">
      <c r="A5119" s="0" t="s">
        <v>312</v>
      </c>
      <c r="B5119" s="0" t="s">
        <v>506</v>
      </c>
      <c r="C5119" s="0" t="s">
        <v>48</v>
      </c>
      <c r="D5119" s="0" t="s">
        <v>86</v>
      </c>
      <c r="E5119" s="0" t="s">
        <v>6760</v>
      </c>
    </row>
    <row r="5120" customFormat="false" ht="15" hidden="false" customHeight="false" outlineLevel="0" collapsed="false">
      <c r="A5120" s="0" t="s">
        <v>312</v>
      </c>
      <c r="B5120" s="0" t="s">
        <v>507</v>
      </c>
      <c r="C5120" s="0" t="s">
        <v>6761</v>
      </c>
      <c r="D5120" s="0" t="s">
        <v>98</v>
      </c>
      <c r="E5120" s="0" t="s">
        <v>6760</v>
      </c>
    </row>
    <row r="5121" customFormat="false" ht="15" hidden="false" customHeight="false" outlineLevel="0" collapsed="false">
      <c r="A5121" s="0" t="s">
        <v>312</v>
      </c>
      <c r="B5121" s="0" t="s">
        <v>508</v>
      </c>
      <c r="C5121" s="0" t="s">
        <v>345</v>
      </c>
      <c r="D5121" s="0" t="s">
        <v>93</v>
      </c>
      <c r="E5121" s="0" t="s">
        <v>6762</v>
      </c>
    </row>
    <row r="5122" customFormat="false" ht="15" hidden="false" customHeight="false" outlineLevel="0" collapsed="false">
      <c r="A5122" s="0" t="s">
        <v>312</v>
      </c>
      <c r="B5122" s="0" t="s">
        <v>510</v>
      </c>
      <c r="C5122" s="0" t="s">
        <v>6677</v>
      </c>
      <c r="D5122" s="0" t="s">
        <v>93</v>
      </c>
      <c r="E5122" s="0" t="s">
        <v>6763</v>
      </c>
    </row>
    <row r="5123" customFormat="false" ht="15" hidden="false" customHeight="false" outlineLevel="0" collapsed="false">
      <c r="A5123" s="0" t="s">
        <v>312</v>
      </c>
      <c r="B5123" s="0" t="s">
        <v>518</v>
      </c>
      <c r="C5123" s="0" t="s">
        <v>6764</v>
      </c>
      <c r="D5123" s="0" t="s">
        <v>86</v>
      </c>
      <c r="E5123" s="0" t="s">
        <v>6765</v>
      </c>
    </row>
    <row r="5124" customFormat="false" ht="15" hidden="false" customHeight="false" outlineLevel="0" collapsed="false">
      <c r="A5124" s="0" t="s">
        <v>312</v>
      </c>
      <c r="B5124" s="0" t="s">
        <v>519</v>
      </c>
      <c r="C5124" s="0" t="s">
        <v>6766</v>
      </c>
      <c r="D5124" s="0" t="s">
        <v>86</v>
      </c>
      <c r="E5124" s="0" t="s">
        <v>6765</v>
      </c>
    </row>
    <row r="5125" customFormat="false" ht="15" hidden="false" customHeight="false" outlineLevel="0" collapsed="false">
      <c r="A5125" s="0" t="s">
        <v>312</v>
      </c>
      <c r="B5125" s="0" t="s">
        <v>520</v>
      </c>
      <c r="C5125" s="0" t="s">
        <v>370</v>
      </c>
      <c r="D5125" s="0" t="s">
        <v>93</v>
      </c>
      <c r="E5125" s="0" t="s">
        <v>6762</v>
      </c>
    </row>
    <row r="5126" customFormat="false" ht="15" hidden="false" customHeight="false" outlineLevel="0" collapsed="false">
      <c r="A5126" s="0" t="s">
        <v>312</v>
      </c>
      <c r="B5126" s="0" t="s">
        <v>522</v>
      </c>
      <c r="C5126" s="0" t="s">
        <v>6767</v>
      </c>
      <c r="D5126" s="0" t="s">
        <v>93</v>
      </c>
      <c r="E5126" s="0" t="s">
        <v>6768</v>
      </c>
    </row>
    <row r="5127" customFormat="false" ht="15" hidden="false" customHeight="false" outlineLevel="0" collapsed="false">
      <c r="A5127" s="0" t="s">
        <v>312</v>
      </c>
      <c r="B5127" s="0" t="s">
        <v>528</v>
      </c>
      <c r="C5127" s="0" t="s">
        <v>6764</v>
      </c>
      <c r="D5127" s="0" t="s">
        <v>86</v>
      </c>
      <c r="E5127" s="0" t="s">
        <v>6769</v>
      </c>
    </row>
    <row r="5128" customFormat="false" ht="15" hidden="false" customHeight="false" outlineLevel="0" collapsed="false">
      <c r="A5128" s="0" t="s">
        <v>312</v>
      </c>
      <c r="B5128" s="0" t="s">
        <v>529</v>
      </c>
      <c r="C5128" s="0" t="s">
        <v>6766</v>
      </c>
      <c r="D5128" s="0" t="s">
        <v>86</v>
      </c>
      <c r="E5128" s="0" t="s">
        <v>6769</v>
      </c>
    </row>
    <row r="5129" customFormat="false" ht="15" hidden="false" customHeight="false" outlineLevel="0" collapsed="false">
      <c r="A5129" s="0" t="s">
        <v>312</v>
      </c>
      <c r="B5129" s="0" t="s">
        <v>530</v>
      </c>
      <c r="C5129" s="0" t="s">
        <v>370</v>
      </c>
      <c r="D5129" s="0" t="s">
        <v>93</v>
      </c>
      <c r="E5129" s="0" t="s">
        <v>6762</v>
      </c>
    </row>
    <row r="5130" customFormat="false" ht="15" hidden="false" customHeight="false" outlineLevel="0" collapsed="false">
      <c r="A5130" s="0" t="s">
        <v>312</v>
      </c>
      <c r="B5130" s="0" t="s">
        <v>531</v>
      </c>
      <c r="C5130" s="0" t="s">
        <v>6767</v>
      </c>
      <c r="D5130" s="0" t="s">
        <v>93</v>
      </c>
      <c r="E5130" s="0" t="s">
        <v>6770</v>
      </c>
    </row>
    <row r="5131" customFormat="false" ht="15" hidden="false" customHeight="false" outlineLevel="0" collapsed="false">
      <c r="A5131" s="0" t="s">
        <v>312</v>
      </c>
      <c r="B5131" s="0" t="s">
        <v>537</v>
      </c>
      <c r="C5131" s="0" t="s">
        <v>6764</v>
      </c>
      <c r="D5131" s="0" t="s">
        <v>86</v>
      </c>
      <c r="E5131" s="0" t="s">
        <v>6771</v>
      </c>
    </row>
    <row r="5132" customFormat="false" ht="15" hidden="false" customHeight="false" outlineLevel="0" collapsed="false">
      <c r="A5132" s="0" t="s">
        <v>312</v>
      </c>
      <c r="B5132" s="0" t="s">
        <v>538</v>
      </c>
      <c r="C5132" s="0" t="s">
        <v>6766</v>
      </c>
      <c r="D5132" s="0" t="s">
        <v>86</v>
      </c>
      <c r="E5132" s="0" t="s">
        <v>6771</v>
      </c>
    </row>
    <row r="5133" customFormat="false" ht="15" hidden="false" customHeight="false" outlineLevel="0" collapsed="false">
      <c r="A5133" s="0" t="s">
        <v>312</v>
      </c>
      <c r="B5133" s="0" t="s">
        <v>539</v>
      </c>
      <c r="C5133" s="0" t="s">
        <v>370</v>
      </c>
      <c r="D5133" s="0" t="s">
        <v>93</v>
      </c>
      <c r="E5133" s="0" t="s">
        <v>6762</v>
      </c>
    </row>
    <row r="5134" customFormat="false" ht="15" hidden="false" customHeight="false" outlineLevel="0" collapsed="false">
      <c r="A5134" s="0" t="s">
        <v>312</v>
      </c>
      <c r="B5134" s="0" t="s">
        <v>541</v>
      </c>
      <c r="C5134" s="0" t="s">
        <v>6767</v>
      </c>
      <c r="D5134" s="0" t="s">
        <v>93</v>
      </c>
      <c r="E5134" s="0" t="s">
        <v>6770</v>
      </c>
    </row>
    <row r="5135" customFormat="false" ht="15" hidden="false" customHeight="false" outlineLevel="0" collapsed="false">
      <c r="A5135" s="0" t="s">
        <v>312</v>
      </c>
      <c r="B5135" s="0" t="s">
        <v>547</v>
      </c>
      <c r="C5135" s="0" t="s">
        <v>48</v>
      </c>
      <c r="D5135" s="0" t="s">
        <v>86</v>
      </c>
      <c r="E5135" s="0" t="s">
        <v>6772</v>
      </c>
    </row>
    <row r="5136" customFormat="false" ht="15" hidden="false" customHeight="false" outlineLevel="0" collapsed="false">
      <c r="A5136" s="0" t="s">
        <v>312</v>
      </c>
      <c r="B5136" s="0" t="s">
        <v>548</v>
      </c>
      <c r="C5136" s="0" t="s">
        <v>6766</v>
      </c>
      <c r="D5136" s="0" t="s">
        <v>86</v>
      </c>
      <c r="E5136" s="0" t="s">
        <v>6772</v>
      </c>
    </row>
    <row r="5137" customFormat="false" ht="15" hidden="false" customHeight="false" outlineLevel="0" collapsed="false">
      <c r="A5137" s="0" t="s">
        <v>312</v>
      </c>
      <c r="B5137" s="0" t="s">
        <v>549</v>
      </c>
      <c r="C5137" s="0" t="s">
        <v>370</v>
      </c>
      <c r="D5137" s="0" t="s">
        <v>93</v>
      </c>
      <c r="E5137" s="0" t="s">
        <v>6762</v>
      </c>
    </row>
    <row r="5138" customFormat="false" ht="15" hidden="false" customHeight="false" outlineLevel="0" collapsed="false">
      <c r="A5138" s="0" t="s">
        <v>312</v>
      </c>
      <c r="B5138" s="0" t="s">
        <v>551</v>
      </c>
      <c r="C5138" s="0" t="s">
        <v>6773</v>
      </c>
      <c r="D5138" s="0" t="s">
        <v>93</v>
      </c>
      <c r="E5138" s="0" t="s">
        <v>6774</v>
      </c>
    </row>
    <row r="5139" customFormat="false" ht="15" hidden="false" customHeight="false" outlineLevel="0" collapsed="false">
      <c r="A5139" s="0" t="s">
        <v>312</v>
      </c>
      <c r="B5139" s="0" t="s">
        <v>557</v>
      </c>
      <c r="C5139" s="0" t="s">
        <v>6764</v>
      </c>
      <c r="D5139" s="0" t="s">
        <v>86</v>
      </c>
      <c r="E5139" s="0" t="s">
        <v>6775</v>
      </c>
    </row>
    <row r="5140" customFormat="false" ht="15" hidden="false" customHeight="false" outlineLevel="0" collapsed="false">
      <c r="A5140" s="0" t="s">
        <v>312</v>
      </c>
      <c r="B5140" s="0" t="s">
        <v>558</v>
      </c>
      <c r="C5140" s="0" t="s">
        <v>6766</v>
      </c>
      <c r="D5140" s="0" t="s">
        <v>86</v>
      </c>
      <c r="E5140" s="0" t="s">
        <v>6775</v>
      </c>
    </row>
    <row r="5141" customFormat="false" ht="15" hidden="false" customHeight="false" outlineLevel="0" collapsed="false">
      <c r="A5141" s="0" t="s">
        <v>312</v>
      </c>
      <c r="B5141" s="0" t="s">
        <v>559</v>
      </c>
      <c r="C5141" s="0" t="s">
        <v>370</v>
      </c>
      <c r="D5141" s="0" t="s">
        <v>93</v>
      </c>
      <c r="E5141" s="0" t="s">
        <v>6762</v>
      </c>
    </row>
    <row r="5142" customFormat="false" ht="15" hidden="false" customHeight="false" outlineLevel="0" collapsed="false">
      <c r="A5142" s="0" t="s">
        <v>312</v>
      </c>
      <c r="B5142" s="0" t="s">
        <v>561</v>
      </c>
      <c r="C5142" s="0" t="s">
        <v>6776</v>
      </c>
      <c r="D5142" s="0" t="s">
        <v>93</v>
      </c>
      <c r="E5142" s="0" t="s">
        <v>6777</v>
      </c>
    </row>
    <row r="5143" customFormat="false" ht="15" hidden="false" customHeight="false" outlineLevel="0" collapsed="false">
      <c r="A5143" s="0" t="s">
        <v>312</v>
      </c>
      <c r="B5143" s="0" t="s">
        <v>567</v>
      </c>
      <c r="C5143" s="0" t="s">
        <v>6764</v>
      </c>
      <c r="D5143" s="0" t="s">
        <v>86</v>
      </c>
      <c r="E5143" s="0" t="s">
        <v>230</v>
      </c>
    </row>
    <row r="5144" customFormat="false" ht="15" hidden="false" customHeight="false" outlineLevel="0" collapsed="false">
      <c r="A5144" s="0" t="s">
        <v>312</v>
      </c>
      <c r="B5144" s="0" t="s">
        <v>568</v>
      </c>
      <c r="C5144" s="0" t="s">
        <v>6766</v>
      </c>
      <c r="D5144" s="0" t="s">
        <v>86</v>
      </c>
      <c r="E5144" s="0" t="s">
        <v>230</v>
      </c>
    </row>
    <row r="5145" customFormat="false" ht="15" hidden="false" customHeight="false" outlineLevel="0" collapsed="false">
      <c r="A5145" s="0" t="s">
        <v>312</v>
      </c>
      <c r="B5145" s="0" t="s">
        <v>569</v>
      </c>
      <c r="C5145" s="0" t="s">
        <v>370</v>
      </c>
      <c r="D5145" s="0" t="s">
        <v>93</v>
      </c>
      <c r="E5145" s="0" t="s">
        <v>6762</v>
      </c>
    </row>
    <row r="5146" customFormat="false" ht="15" hidden="false" customHeight="false" outlineLevel="0" collapsed="false">
      <c r="A5146" s="0" t="s">
        <v>312</v>
      </c>
      <c r="B5146" s="0" t="s">
        <v>571</v>
      </c>
      <c r="C5146" s="0" t="s">
        <v>6778</v>
      </c>
      <c r="D5146" s="0" t="s">
        <v>93</v>
      </c>
      <c r="E5146" s="0" t="s">
        <v>6779</v>
      </c>
    </row>
    <row r="5147" customFormat="false" ht="15" hidden="false" customHeight="false" outlineLevel="0" collapsed="false">
      <c r="A5147" s="0" t="s">
        <v>312</v>
      </c>
      <c r="B5147" s="0" t="s">
        <v>577</v>
      </c>
      <c r="C5147" s="0" t="s">
        <v>6764</v>
      </c>
      <c r="D5147" s="0" t="s">
        <v>86</v>
      </c>
      <c r="E5147" s="0" t="s">
        <v>6780</v>
      </c>
    </row>
    <row r="5148" customFormat="false" ht="15" hidden="false" customHeight="false" outlineLevel="0" collapsed="false">
      <c r="A5148" s="0" t="s">
        <v>312</v>
      </c>
      <c r="B5148" s="0" t="s">
        <v>578</v>
      </c>
      <c r="C5148" s="0" t="s">
        <v>6766</v>
      </c>
      <c r="D5148" s="0" t="s">
        <v>86</v>
      </c>
      <c r="E5148" s="0" t="s">
        <v>6780</v>
      </c>
    </row>
    <row r="5149" customFormat="false" ht="15" hidden="false" customHeight="false" outlineLevel="0" collapsed="false">
      <c r="A5149" s="0" t="s">
        <v>312</v>
      </c>
      <c r="B5149" s="0" t="s">
        <v>579</v>
      </c>
      <c r="C5149" s="0" t="s">
        <v>370</v>
      </c>
      <c r="D5149" s="0" t="s">
        <v>93</v>
      </c>
      <c r="E5149" s="0" t="s">
        <v>6762</v>
      </c>
    </row>
    <row r="5150" customFormat="false" ht="15" hidden="false" customHeight="false" outlineLevel="0" collapsed="false">
      <c r="A5150" s="0" t="s">
        <v>312</v>
      </c>
      <c r="B5150" s="0" t="s">
        <v>581</v>
      </c>
      <c r="C5150" s="0" t="s">
        <v>6776</v>
      </c>
      <c r="D5150" s="0" t="s">
        <v>93</v>
      </c>
      <c r="E5150" s="0" t="s">
        <v>6781</v>
      </c>
    </row>
    <row r="5151" customFormat="false" ht="15" hidden="false" customHeight="false" outlineLevel="0" collapsed="false">
      <c r="A5151" s="0" t="s">
        <v>312</v>
      </c>
      <c r="B5151" s="0" t="s">
        <v>587</v>
      </c>
      <c r="C5151" s="0" t="s">
        <v>48</v>
      </c>
      <c r="D5151" s="0" t="s">
        <v>86</v>
      </c>
      <c r="E5151" s="0" t="s">
        <v>242</v>
      </c>
    </row>
    <row r="5152" customFormat="false" ht="15" hidden="false" customHeight="false" outlineLevel="0" collapsed="false">
      <c r="A5152" s="0" t="s">
        <v>312</v>
      </c>
      <c r="B5152" s="0" t="s">
        <v>588</v>
      </c>
      <c r="C5152" s="0" t="s">
        <v>6766</v>
      </c>
      <c r="D5152" s="0" t="s">
        <v>86</v>
      </c>
      <c r="E5152" s="0" t="s">
        <v>242</v>
      </c>
    </row>
    <row r="5153" customFormat="false" ht="15" hidden="false" customHeight="false" outlineLevel="0" collapsed="false">
      <c r="A5153" s="0" t="s">
        <v>312</v>
      </c>
      <c r="B5153" s="0" t="s">
        <v>589</v>
      </c>
      <c r="C5153" s="0" t="s">
        <v>345</v>
      </c>
      <c r="D5153" s="0" t="s">
        <v>93</v>
      </c>
      <c r="E5153" s="0" t="s">
        <v>6762</v>
      </c>
    </row>
    <row r="5154" customFormat="false" ht="15" hidden="false" customHeight="false" outlineLevel="0" collapsed="false">
      <c r="A5154" s="0" t="s">
        <v>312</v>
      </c>
      <c r="B5154" s="0" t="s">
        <v>591</v>
      </c>
      <c r="C5154" s="0" t="s">
        <v>6767</v>
      </c>
      <c r="D5154" s="0" t="s">
        <v>93</v>
      </c>
      <c r="E5154" s="0" t="s">
        <v>6782</v>
      </c>
    </row>
    <row r="5155" customFormat="false" ht="15" hidden="false" customHeight="false" outlineLevel="0" collapsed="false">
      <c r="A5155" s="0" t="s">
        <v>312</v>
      </c>
      <c r="B5155" s="0" t="s">
        <v>597</v>
      </c>
      <c r="C5155" s="0" t="s">
        <v>48</v>
      </c>
      <c r="D5155" s="0" t="s">
        <v>86</v>
      </c>
      <c r="E5155" s="0" t="s">
        <v>247</v>
      </c>
    </row>
    <row r="5156" customFormat="false" ht="15" hidden="false" customHeight="false" outlineLevel="0" collapsed="false">
      <c r="A5156" s="0" t="s">
        <v>312</v>
      </c>
      <c r="B5156" s="0" t="s">
        <v>598</v>
      </c>
      <c r="C5156" s="0" t="s">
        <v>6766</v>
      </c>
      <c r="D5156" s="0" t="s">
        <v>86</v>
      </c>
      <c r="E5156" s="0" t="s">
        <v>247</v>
      </c>
    </row>
    <row r="5157" customFormat="false" ht="15" hidden="false" customHeight="false" outlineLevel="0" collapsed="false">
      <c r="A5157" s="0" t="s">
        <v>312</v>
      </c>
      <c r="B5157" s="0" t="s">
        <v>599</v>
      </c>
      <c r="C5157" s="0" t="s">
        <v>345</v>
      </c>
      <c r="D5157" s="0" t="s">
        <v>93</v>
      </c>
      <c r="E5157" s="0" t="s">
        <v>6762</v>
      </c>
    </row>
    <row r="5158" customFormat="false" ht="15" hidden="false" customHeight="false" outlineLevel="0" collapsed="false">
      <c r="A5158" s="0" t="s">
        <v>312</v>
      </c>
      <c r="B5158" s="0" t="s">
        <v>601</v>
      </c>
      <c r="C5158" s="0" t="s">
        <v>6767</v>
      </c>
      <c r="D5158" s="0" t="s">
        <v>93</v>
      </c>
      <c r="E5158" s="0" t="s">
        <v>6783</v>
      </c>
    </row>
    <row r="5159" customFormat="false" ht="15" hidden="false" customHeight="false" outlineLevel="0" collapsed="false">
      <c r="A5159" s="0" t="s">
        <v>312</v>
      </c>
      <c r="B5159" s="0" t="s">
        <v>607</v>
      </c>
      <c r="C5159" s="0" t="s">
        <v>48</v>
      </c>
      <c r="D5159" s="0" t="s">
        <v>86</v>
      </c>
      <c r="E5159" s="0" t="s">
        <v>251</v>
      </c>
    </row>
    <row r="5160" customFormat="false" ht="15" hidden="false" customHeight="false" outlineLevel="0" collapsed="false">
      <c r="A5160" s="0" t="s">
        <v>312</v>
      </c>
      <c r="B5160" s="0" t="s">
        <v>608</v>
      </c>
      <c r="C5160" s="0" t="s">
        <v>6766</v>
      </c>
      <c r="D5160" s="0" t="s">
        <v>86</v>
      </c>
      <c r="E5160" s="0" t="s">
        <v>251</v>
      </c>
    </row>
    <row r="5161" customFormat="false" ht="15" hidden="false" customHeight="false" outlineLevel="0" collapsed="false">
      <c r="A5161" s="0" t="s">
        <v>312</v>
      </c>
      <c r="B5161" s="0" t="s">
        <v>609</v>
      </c>
      <c r="C5161" s="0" t="s">
        <v>345</v>
      </c>
      <c r="D5161" s="0" t="s">
        <v>93</v>
      </c>
      <c r="E5161" s="0" t="s">
        <v>6762</v>
      </c>
    </row>
    <row r="5162" customFormat="false" ht="15" hidden="false" customHeight="false" outlineLevel="0" collapsed="false">
      <c r="A5162" s="0" t="s">
        <v>312</v>
      </c>
      <c r="B5162" s="0" t="s">
        <v>611</v>
      </c>
      <c r="C5162" s="0" t="s">
        <v>6776</v>
      </c>
      <c r="D5162" s="0" t="s">
        <v>93</v>
      </c>
      <c r="E5162" s="0" t="s">
        <v>6784</v>
      </c>
    </row>
    <row r="5163" customFormat="false" ht="15" hidden="false" customHeight="false" outlineLevel="0" collapsed="false">
      <c r="A5163" s="0" t="s">
        <v>312</v>
      </c>
      <c r="B5163" s="0" t="s">
        <v>617</v>
      </c>
      <c r="C5163" s="0" t="s">
        <v>48</v>
      </c>
      <c r="D5163" s="0" t="s">
        <v>86</v>
      </c>
      <c r="E5163" s="0" t="s">
        <v>257</v>
      </c>
    </row>
    <row r="5164" customFormat="false" ht="15" hidden="false" customHeight="false" outlineLevel="0" collapsed="false">
      <c r="A5164" s="0" t="s">
        <v>312</v>
      </c>
      <c r="B5164" s="0" t="s">
        <v>618</v>
      </c>
      <c r="C5164" s="0" t="s">
        <v>6785</v>
      </c>
      <c r="D5164" s="0" t="s">
        <v>98</v>
      </c>
      <c r="E5164" s="0" t="s">
        <v>257</v>
      </c>
    </row>
    <row r="5165" customFormat="false" ht="15" hidden="false" customHeight="false" outlineLevel="0" collapsed="false">
      <c r="A5165" s="0" t="s">
        <v>312</v>
      </c>
      <c r="B5165" s="0" t="s">
        <v>619</v>
      </c>
      <c r="C5165" s="0" t="s">
        <v>370</v>
      </c>
      <c r="D5165" s="0" t="s">
        <v>93</v>
      </c>
      <c r="E5165" s="0" t="s">
        <v>6762</v>
      </c>
    </row>
    <row r="5166" customFormat="false" ht="15" hidden="false" customHeight="false" outlineLevel="0" collapsed="false">
      <c r="A5166" s="0" t="s">
        <v>312</v>
      </c>
      <c r="B5166" s="0" t="s">
        <v>621</v>
      </c>
      <c r="C5166" s="0" t="s">
        <v>6773</v>
      </c>
      <c r="D5166" s="0" t="s">
        <v>93</v>
      </c>
      <c r="E5166" s="0" t="s">
        <v>6786</v>
      </c>
    </row>
    <row r="5167" customFormat="false" ht="15" hidden="false" customHeight="false" outlineLevel="0" collapsed="false">
      <c r="A5167" s="0" t="s">
        <v>312</v>
      </c>
      <c r="B5167" s="0" t="s">
        <v>627</v>
      </c>
      <c r="C5167" s="0" t="s">
        <v>48</v>
      </c>
      <c r="D5167" s="0" t="s">
        <v>86</v>
      </c>
      <c r="E5167" s="0" t="s">
        <v>6787</v>
      </c>
    </row>
    <row r="5168" customFormat="false" ht="15" hidden="false" customHeight="false" outlineLevel="0" collapsed="false">
      <c r="A5168" s="0" t="s">
        <v>312</v>
      </c>
      <c r="B5168" s="0" t="s">
        <v>628</v>
      </c>
      <c r="C5168" s="0" t="s">
        <v>6766</v>
      </c>
      <c r="D5168" s="0" t="s">
        <v>86</v>
      </c>
      <c r="E5168" s="0" t="s">
        <v>6787</v>
      </c>
    </row>
    <row r="5169" customFormat="false" ht="15" hidden="false" customHeight="false" outlineLevel="0" collapsed="false">
      <c r="A5169" s="0" t="s">
        <v>312</v>
      </c>
      <c r="B5169" s="0" t="s">
        <v>629</v>
      </c>
      <c r="C5169" s="0" t="s">
        <v>345</v>
      </c>
      <c r="D5169" s="0" t="s">
        <v>93</v>
      </c>
      <c r="E5169" s="0" t="s">
        <v>6762</v>
      </c>
    </row>
    <row r="5170" customFormat="false" ht="15" hidden="false" customHeight="false" outlineLevel="0" collapsed="false">
      <c r="A5170" s="0" t="s">
        <v>312</v>
      </c>
      <c r="B5170" s="0" t="s">
        <v>631</v>
      </c>
      <c r="C5170" s="0" t="s">
        <v>6677</v>
      </c>
      <c r="D5170" s="0" t="s">
        <v>93</v>
      </c>
      <c r="E5170" s="0" t="s">
        <v>6788</v>
      </c>
    </row>
    <row r="5171" customFormat="false" ht="15" hidden="false" customHeight="false" outlineLevel="0" collapsed="false">
      <c r="A5171" s="0" t="s">
        <v>312</v>
      </c>
      <c r="B5171" s="0" t="s">
        <v>637</v>
      </c>
      <c r="C5171" s="0" t="s">
        <v>48</v>
      </c>
      <c r="D5171" s="0" t="s">
        <v>86</v>
      </c>
      <c r="E5171" s="0" t="s">
        <v>6789</v>
      </c>
    </row>
    <row r="5172" customFormat="false" ht="15" hidden="false" customHeight="false" outlineLevel="0" collapsed="false">
      <c r="A5172" s="0" t="s">
        <v>312</v>
      </c>
      <c r="B5172" s="0" t="s">
        <v>638</v>
      </c>
      <c r="C5172" s="0" t="s">
        <v>6766</v>
      </c>
      <c r="D5172" s="0" t="s">
        <v>86</v>
      </c>
      <c r="E5172" s="0" t="s">
        <v>6789</v>
      </c>
    </row>
    <row r="5173" customFormat="false" ht="15" hidden="false" customHeight="false" outlineLevel="0" collapsed="false">
      <c r="A5173" s="0" t="s">
        <v>312</v>
      </c>
      <c r="B5173" s="0" t="s">
        <v>639</v>
      </c>
      <c r="C5173" s="0" t="s">
        <v>345</v>
      </c>
      <c r="D5173" s="0" t="s">
        <v>93</v>
      </c>
      <c r="E5173" s="0" t="s">
        <v>6762</v>
      </c>
    </row>
    <row r="5174" customFormat="false" ht="15" hidden="false" customHeight="false" outlineLevel="0" collapsed="false">
      <c r="A5174" s="0" t="s">
        <v>312</v>
      </c>
      <c r="B5174" s="0" t="s">
        <v>640</v>
      </c>
      <c r="C5174" s="0" t="s">
        <v>6790</v>
      </c>
      <c r="D5174" s="0" t="s">
        <v>93</v>
      </c>
      <c r="E5174" s="0" t="s">
        <v>6791</v>
      </c>
    </row>
    <row r="5175" customFormat="false" ht="15" hidden="false" customHeight="false" outlineLevel="0" collapsed="false">
      <c r="A5175" s="0" t="s">
        <v>312</v>
      </c>
      <c r="B5175" s="0" t="s">
        <v>646</v>
      </c>
      <c r="C5175" s="0" t="s">
        <v>48</v>
      </c>
      <c r="D5175" s="0" t="s">
        <v>86</v>
      </c>
      <c r="E5175" s="0" t="s">
        <v>271</v>
      </c>
    </row>
    <row r="5176" customFormat="false" ht="15" hidden="false" customHeight="false" outlineLevel="0" collapsed="false">
      <c r="A5176" s="0" t="s">
        <v>312</v>
      </c>
      <c r="B5176" s="0" t="s">
        <v>647</v>
      </c>
      <c r="C5176" s="0" t="s">
        <v>6766</v>
      </c>
      <c r="D5176" s="0" t="s">
        <v>86</v>
      </c>
      <c r="E5176" s="0" t="s">
        <v>271</v>
      </c>
    </row>
    <row r="5177" customFormat="false" ht="15" hidden="false" customHeight="false" outlineLevel="0" collapsed="false">
      <c r="A5177" s="0" t="s">
        <v>312</v>
      </c>
      <c r="B5177" s="0" t="s">
        <v>648</v>
      </c>
      <c r="C5177" s="0" t="s">
        <v>345</v>
      </c>
      <c r="D5177" s="0" t="s">
        <v>93</v>
      </c>
      <c r="E5177" s="0" t="s">
        <v>6762</v>
      </c>
    </row>
    <row r="5178" customFormat="false" ht="15" hidden="false" customHeight="false" outlineLevel="0" collapsed="false">
      <c r="A5178" s="0" t="s">
        <v>312</v>
      </c>
      <c r="B5178" s="0" t="s">
        <v>649</v>
      </c>
      <c r="C5178" s="0" t="s">
        <v>6790</v>
      </c>
      <c r="D5178" s="0" t="s">
        <v>93</v>
      </c>
      <c r="E5178" s="0" t="s">
        <v>6791</v>
      </c>
    </row>
    <row r="5179" customFormat="false" ht="15" hidden="false" customHeight="false" outlineLevel="0" collapsed="false">
      <c r="A5179" s="0" t="s">
        <v>312</v>
      </c>
      <c r="B5179" s="0" t="s">
        <v>655</v>
      </c>
      <c r="C5179" s="0" t="s">
        <v>48</v>
      </c>
      <c r="D5179" s="0" t="s">
        <v>86</v>
      </c>
      <c r="E5179" s="0" t="s">
        <v>278</v>
      </c>
    </row>
    <row r="5180" customFormat="false" ht="15" hidden="false" customHeight="false" outlineLevel="0" collapsed="false">
      <c r="A5180" s="0" t="s">
        <v>312</v>
      </c>
      <c r="B5180" s="0" t="s">
        <v>656</v>
      </c>
      <c r="C5180" s="0" t="s">
        <v>6792</v>
      </c>
      <c r="D5180" s="0" t="s">
        <v>98</v>
      </c>
      <c r="E5180" s="0" t="s">
        <v>278</v>
      </c>
    </row>
    <row r="5181" customFormat="false" ht="15" hidden="false" customHeight="false" outlineLevel="0" collapsed="false">
      <c r="A5181" s="0" t="s">
        <v>312</v>
      </c>
      <c r="B5181" s="0" t="s">
        <v>657</v>
      </c>
      <c r="C5181" s="0" t="s">
        <v>345</v>
      </c>
      <c r="D5181" s="0" t="s">
        <v>93</v>
      </c>
      <c r="E5181" s="0" t="s">
        <v>6762</v>
      </c>
    </row>
    <row r="5182" customFormat="false" ht="15" hidden="false" customHeight="false" outlineLevel="0" collapsed="false">
      <c r="A5182" s="0" t="s">
        <v>312</v>
      </c>
      <c r="B5182" s="0" t="s">
        <v>659</v>
      </c>
      <c r="C5182" s="0" t="s">
        <v>6773</v>
      </c>
      <c r="D5182" s="0" t="s">
        <v>93</v>
      </c>
      <c r="E5182" s="0" t="s">
        <v>6793</v>
      </c>
    </row>
    <row r="5183" customFormat="false" ht="15" hidden="false" customHeight="false" outlineLevel="0" collapsed="false">
      <c r="A5183" s="0" t="s">
        <v>312</v>
      </c>
      <c r="B5183" s="0" t="s">
        <v>665</v>
      </c>
      <c r="C5183" s="0" t="s">
        <v>48</v>
      </c>
      <c r="D5183" s="0" t="s">
        <v>86</v>
      </c>
      <c r="E5183" s="0" t="s">
        <v>283</v>
      </c>
    </row>
    <row r="5184" customFormat="false" ht="15" hidden="false" customHeight="false" outlineLevel="0" collapsed="false">
      <c r="A5184" s="0" t="s">
        <v>312</v>
      </c>
      <c r="B5184" s="0" t="s">
        <v>666</v>
      </c>
      <c r="C5184" s="0" t="s">
        <v>6766</v>
      </c>
      <c r="D5184" s="0" t="s">
        <v>86</v>
      </c>
      <c r="E5184" s="0" t="s">
        <v>283</v>
      </c>
    </row>
    <row r="5185" customFormat="false" ht="15" hidden="false" customHeight="false" outlineLevel="0" collapsed="false">
      <c r="A5185" s="0" t="s">
        <v>312</v>
      </c>
      <c r="B5185" s="0" t="s">
        <v>667</v>
      </c>
      <c r="C5185" s="0" t="s">
        <v>345</v>
      </c>
      <c r="D5185" s="0" t="s">
        <v>93</v>
      </c>
      <c r="E5185" s="0" t="s">
        <v>6762</v>
      </c>
    </row>
    <row r="5186" customFormat="false" ht="15" hidden="false" customHeight="false" outlineLevel="0" collapsed="false">
      <c r="A5186" s="0" t="s">
        <v>312</v>
      </c>
      <c r="B5186" s="0" t="s">
        <v>668</v>
      </c>
      <c r="C5186" s="0" t="s">
        <v>6773</v>
      </c>
      <c r="D5186" s="0" t="s">
        <v>93</v>
      </c>
      <c r="E5186" s="0" t="s">
        <v>6793</v>
      </c>
    </row>
    <row r="5187" customFormat="false" ht="15" hidden="false" customHeight="false" outlineLevel="0" collapsed="false">
      <c r="A5187" s="0" t="s">
        <v>312</v>
      </c>
      <c r="B5187" s="0" t="s">
        <v>674</v>
      </c>
      <c r="C5187" s="0" t="s">
        <v>48</v>
      </c>
      <c r="D5187" s="0" t="s">
        <v>86</v>
      </c>
      <c r="E5187" s="0" t="s">
        <v>283</v>
      </c>
    </row>
    <row r="5188" customFormat="false" ht="15" hidden="false" customHeight="false" outlineLevel="0" collapsed="false">
      <c r="A5188" s="0" t="s">
        <v>312</v>
      </c>
      <c r="B5188" s="0" t="s">
        <v>675</v>
      </c>
      <c r="C5188" s="0" t="s">
        <v>6766</v>
      </c>
      <c r="D5188" s="0" t="s">
        <v>86</v>
      </c>
      <c r="E5188" s="0" t="s">
        <v>283</v>
      </c>
    </row>
    <row r="5189" customFormat="false" ht="15" hidden="false" customHeight="false" outlineLevel="0" collapsed="false">
      <c r="A5189" s="0" t="s">
        <v>312</v>
      </c>
      <c r="B5189" s="0" t="s">
        <v>676</v>
      </c>
      <c r="C5189" s="0" t="s">
        <v>345</v>
      </c>
      <c r="D5189" s="0" t="s">
        <v>93</v>
      </c>
      <c r="E5189" s="0" t="s">
        <v>6762</v>
      </c>
    </row>
    <row r="5190" customFormat="false" ht="15" hidden="false" customHeight="false" outlineLevel="0" collapsed="false">
      <c r="A5190" s="0" t="s">
        <v>312</v>
      </c>
      <c r="B5190" s="0" t="s">
        <v>678</v>
      </c>
      <c r="C5190" s="0" t="s">
        <v>6773</v>
      </c>
      <c r="D5190" s="0" t="s">
        <v>93</v>
      </c>
      <c r="E5190" s="0" t="s">
        <v>6793</v>
      </c>
    </row>
    <row r="5191" customFormat="false" ht="15" hidden="false" customHeight="false" outlineLevel="0" collapsed="false">
      <c r="A5191" s="0" t="s">
        <v>312</v>
      </c>
      <c r="B5191" s="0" t="s">
        <v>684</v>
      </c>
      <c r="C5191" s="0" t="s">
        <v>48</v>
      </c>
      <c r="D5191" s="0" t="s">
        <v>86</v>
      </c>
      <c r="E5191" s="0" t="s">
        <v>290</v>
      </c>
    </row>
    <row r="5192" customFormat="false" ht="15" hidden="false" customHeight="false" outlineLevel="0" collapsed="false">
      <c r="A5192" s="0" t="s">
        <v>312</v>
      </c>
      <c r="B5192" s="0" t="s">
        <v>685</v>
      </c>
      <c r="C5192" s="0" t="s">
        <v>6766</v>
      </c>
      <c r="D5192" s="0" t="s">
        <v>86</v>
      </c>
      <c r="E5192" s="0" t="s">
        <v>290</v>
      </c>
    </row>
    <row r="5193" customFormat="false" ht="15" hidden="false" customHeight="false" outlineLevel="0" collapsed="false">
      <c r="A5193" s="0" t="s">
        <v>312</v>
      </c>
      <c r="B5193" s="0" t="s">
        <v>686</v>
      </c>
      <c r="C5193" s="0" t="s">
        <v>345</v>
      </c>
      <c r="D5193" s="0" t="s">
        <v>93</v>
      </c>
      <c r="E5193" s="0" t="s">
        <v>6762</v>
      </c>
    </row>
    <row r="5194" customFormat="false" ht="15" hidden="false" customHeight="false" outlineLevel="0" collapsed="false">
      <c r="A5194" s="0" t="s">
        <v>312</v>
      </c>
      <c r="B5194" s="0" t="s">
        <v>688</v>
      </c>
      <c r="C5194" s="0" t="s">
        <v>6773</v>
      </c>
      <c r="D5194" s="0" t="s">
        <v>93</v>
      </c>
      <c r="E5194" s="0" t="s">
        <v>6794</v>
      </c>
    </row>
    <row r="5195" customFormat="false" ht="15" hidden="false" customHeight="false" outlineLevel="0" collapsed="false">
      <c r="A5195" s="0" t="s">
        <v>312</v>
      </c>
      <c r="B5195" s="0" t="s">
        <v>694</v>
      </c>
      <c r="C5195" s="0" t="s">
        <v>48</v>
      </c>
      <c r="D5195" s="0" t="s">
        <v>86</v>
      </c>
      <c r="E5195" s="0" t="s">
        <v>294</v>
      </c>
    </row>
    <row r="5196" customFormat="false" ht="15" hidden="false" customHeight="false" outlineLevel="0" collapsed="false">
      <c r="A5196" s="0" t="s">
        <v>312</v>
      </c>
      <c r="B5196" s="0" t="s">
        <v>695</v>
      </c>
      <c r="C5196" s="0" t="s">
        <v>6766</v>
      </c>
      <c r="D5196" s="0" t="s">
        <v>86</v>
      </c>
      <c r="E5196" s="0" t="s">
        <v>294</v>
      </c>
    </row>
    <row r="5197" customFormat="false" ht="15" hidden="false" customHeight="false" outlineLevel="0" collapsed="false">
      <c r="A5197" s="0" t="s">
        <v>312</v>
      </c>
      <c r="B5197" s="0" t="s">
        <v>696</v>
      </c>
      <c r="C5197" s="0" t="s">
        <v>345</v>
      </c>
      <c r="D5197" s="0" t="s">
        <v>93</v>
      </c>
      <c r="E5197" s="0" t="s">
        <v>6762</v>
      </c>
    </row>
    <row r="5198" customFormat="false" ht="15" hidden="false" customHeight="false" outlineLevel="0" collapsed="false">
      <c r="A5198" s="0" t="s">
        <v>312</v>
      </c>
      <c r="B5198" s="0" t="s">
        <v>697</v>
      </c>
      <c r="C5198" s="0" t="s">
        <v>6677</v>
      </c>
      <c r="D5198" s="0" t="s">
        <v>93</v>
      </c>
      <c r="E5198" s="0" t="s">
        <v>6795</v>
      </c>
    </row>
    <row r="5199" customFormat="false" ht="15" hidden="false" customHeight="false" outlineLevel="0" collapsed="false">
      <c r="A5199" s="0" t="s">
        <v>312</v>
      </c>
      <c r="B5199" s="0" t="s">
        <v>703</v>
      </c>
      <c r="C5199" s="0" t="s">
        <v>48</v>
      </c>
      <c r="D5199" s="0" t="s">
        <v>86</v>
      </c>
      <c r="E5199" s="0" t="s">
        <v>6796</v>
      </c>
    </row>
    <row r="5200" customFormat="false" ht="15" hidden="false" customHeight="false" outlineLevel="0" collapsed="false">
      <c r="A5200" s="0" t="s">
        <v>312</v>
      </c>
      <c r="B5200" s="0" t="s">
        <v>704</v>
      </c>
      <c r="C5200" s="0" t="s">
        <v>6766</v>
      </c>
      <c r="D5200" s="0" t="s">
        <v>86</v>
      </c>
      <c r="E5200" s="0" t="s">
        <v>6796</v>
      </c>
    </row>
    <row r="5201" customFormat="false" ht="15" hidden="false" customHeight="false" outlineLevel="0" collapsed="false">
      <c r="A5201" s="0" t="s">
        <v>312</v>
      </c>
      <c r="B5201" s="0" t="s">
        <v>705</v>
      </c>
      <c r="C5201" s="0" t="s">
        <v>345</v>
      </c>
      <c r="D5201" s="0" t="s">
        <v>93</v>
      </c>
      <c r="E5201" s="0" t="s">
        <v>6762</v>
      </c>
    </row>
    <row r="5202" customFormat="false" ht="15" hidden="false" customHeight="false" outlineLevel="0" collapsed="false">
      <c r="A5202" s="0" t="s">
        <v>312</v>
      </c>
      <c r="B5202" s="0" t="s">
        <v>706</v>
      </c>
      <c r="C5202" s="0" t="s">
        <v>6773</v>
      </c>
      <c r="D5202" s="0" t="s">
        <v>93</v>
      </c>
      <c r="E5202" s="0" t="s">
        <v>6797</v>
      </c>
    </row>
    <row r="5203" customFormat="false" ht="15" hidden="false" customHeight="false" outlineLevel="0" collapsed="false">
      <c r="A5203" s="0" t="s">
        <v>312</v>
      </c>
      <c r="B5203" s="0" t="s">
        <v>712</v>
      </c>
      <c r="C5203" s="0" t="s">
        <v>48</v>
      </c>
      <c r="D5203" s="0" t="s">
        <v>86</v>
      </c>
      <c r="E5203" s="0" t="s">
        <v>301</v>
      </c>
    </row>
    <row r="5204" customFormat="false" ht="15" hidden="false" customHeight="false" outlineLevel="0" collapsed="false">
      <c r="A5204" s="0" t="s">
        <v>312</v>
      </c>
      <c r="B5204" s="0" t="s">
        <v>713</v>
      </c>
      <c r="C5204" s="0" t="s">
        <v>6766</v>
      </c>
      <c r="D5204" s="0" t="s">
        <v>86</v>
      </c>
      <c r="E5204" s="0" t="s">
        <v>301</v>
      </c>
    </row>
    <row r="5205" customFormat="false" ht="15" hidden="false" customHeight="false" outlineLevel="0" collapsed="false">
      <c r="A5205" s="0" t="s">
        <v>312</v>
      </c>
      <c r="B5205" s="0" t="s">
        <v>714</v>
      </c>
      <c r="C5205" s="0" t="s">
        <v>345</v>
      </c>
      <c r="D5205" s="0" t="s">
        <v>93</v>
      </c>
      <c r="E5205" s="0" t="s">
        <v>6762</v>
      </c>
    </row>
    <row r="5206" customFormat="false" ht="15" hidden="false" customHeight="false" outlineLevel="0" collapsed="false">
      <c r="A5206" s="0" t="s">
        <v>312</v>
      </c>
      <c r="B5206" s="0" t="s">
        <v>715</v>
      </c>
      <c r="C5206" s="0" t="s">
        <v>6773</v>
      </c>
      <c r="D5206" s="0" t="s">
        <v>93</v>
      </c>
      <c r="E5206" s="0" t="s">
        <v>6798</v>
      </c>
    </row>
    <row r="5207" customFormat="false" ht="15" hidden="false" customHeight="false" outlineLevel="0" collapsed="false">
      <c r="A5207" s="0" t="s">
        <v>312</v>
      </c>
      <c r="B5207" s="0" t="s">
        <v>721</v>
      </c>
      <c r="C5207" s="0" t="s">
        <v>48</v>
      </c>
      <c r="D5207" s="0" t="s">
        <v>86</v>
      </c>
      <c r="E5207" s="0" t="s">
        <v>304</v>
      </c>
    </row>
    <row r="5208" customFormat="false" ht="15" hidden="false" customHeight="false" outlineLevel="0" collapsed="false">
      <c r="A5208" s="0" t="s">
        <v>312</v>
      </c>
      <c r="B5208" s="0" t="s">
        <v>722</v>
      </c>
      <c r="C5208" s="0" t="s">
        <v>6766</v>
      </c>
      <c r="D5208" s="0" t="s">
        <v>86</v>
      </c>
      <c r="E5208" s="0" t="s">
        <v>304</v>
      </c>
    </row>
    <row r="5209" customFormat="false" ht="15" hidden="false" customHeight="false" outlineLevel="0" collapsed="false">
      <c r="A5209" s="0" t="s">
        <v>312</v>
      </c>
      <c r="B5209" s="0" t="s">
        <v>723</v>
      </c>
      <c r="C5209" s="0" t="s">
        <v>345</v>
      </c>
      <c r="D5209" s="0" t="s">
        <v>93</v>
      </c>
      <c r="E5209" s="0" t="s">
        <v>6762</v>
      </c>
    </row>
    <row r="5210" customFormat="false" ht="15" hidden="false" customHeight="false" outlineLevel="0" collapsed="false">
      <c r="A5210" s="0" t="s">
        <v>312</v>
      </c>
      <c r="B5210" s="0" t="s">
        <v>724</v>
      </c>
      <c r="C5210" s="0" t="s">
        <v>6773</v>
      </c>
      <c r="D5210" s="0" t="s">
        <v>93</v>
      </c>
      <c r="E5210" s="0" t="s">
        <v>6799</v>
      </c>
    </row>
    <row r="5211" customFormat="false" ht="15" hidden="false" customHeight="false" outlineLevel="0" collapsed="false">
      <c r="A5211" s="0" t="s">
        <v>312</v>
      </c>
      <c r="B5211" s="0" t="s">
        <v>730</v>
      </c>
      <c r="C5211" s="0" t="s">
        <v>48</v>
      </c>
      <c r="D5211" s="0" t="s">
        <v>86</v>
      </c>
      <c r="E5211" s="0" t="s">
        <v>6800</v>
      </c>
    </row>
    <row r="5212" customFormat="false" ht="15" hidden="false" customHeight="false" outlineLevel="0" collapsed="false">
      <c r="A5212" s="0" t="s">
        <v>312</v>
      </c>
      <c r="B5212" s="0" t="s">
        <v>731</v>
      </c>
      <c r="C5212" s="0" t="s">
        <v>6801</v>
      </c>
      <c r="D5212" s="0" t="s">
        <v>86</v>
      </c>
      <c r="E5212" s="0" t="s">
        <v>6800</v>
      </c>
    </row>
    <row r="5213" customFormat="false" ht="15" hidden="false" customHeight="false" outlineLevel="0" collapsed="false">
      <c r="A5213" s="0" t="s">
        <v>312</v>
      </c>
      <c r="B5213" s="0" t="s">
        <v>732</v>
      </c>
      <c r="C5213" s="0" t="s">
        <v>345</v>
      </c>
      <c r="D5213" s="0" t="s">
        <v>93</v>
      </c>
      <c r="E5213" s="0" t="s">
        <v>6762</v>
      </c>
    </row>
    <row r="5214" customFormat="false" ht="15" hidden="false" customHeight="false" outlineLevel="0" collapsed="false">
      <c r="A5214" s="0" t="s">
        <v>312</v>
      </c>
      <c r="B5214" s="0" t="s">
        <v>734</v>
      </c>
      <c r="C5214" s="0" t="s">
        <v>6773</v>
      </c>
      <c r="D5214" s="0" t="s">
        <v>98</v>
      </c>
      <c r="E5214" s="0" t="s">
        <v>6802</v>
      </c>
    </row>
    <row r="5215" customFormat="false" ht="15" hidden="false" customHeight="false" outlineLevel="0" collapsed="false">
      <c r="A5215" s="0" t="s">
        <v>740</v>
      </c>
      <c r="B5215" s="0" t="s">
        <v>6803</v>
      </c>
      <c r="C5215" s="0" t="s">
        <v>6804</v>
      </c>
      <c r="D5215" s="0" t="s">
        <v>98</v>
      </c>
      <c r="E5215" s="0" t="s">
        <v>6805</v>
      </c>
    </row>
    <row r="5216" customFormat="false" ht="15" hidden="false" customHeight="false" outlineLevel="0" collapsed="false">
      <c r="A5216" s="0" t="s">
        <v>740</v>
      </c>
      <c r="B5216" s="0" t="s">
        <v>6806</v>
      </c>
      <c r="C5216" s="0" t="s">
        <v>6807</v>
      </c>
      <c r="D5216" s="0" t="s">
        <v>98</v>
      </c>
      <c r="E5216" s="0" t="s">
        <v>6805</v>
      </c>
    </row>
    <row r="5217" customFormat="false" ht="15" hidden="false" customHeight="false" outlineLevel="0" collapsed="false">
      <c r="A5217" s="0" t="s">
        <v>740</v>
      </c>
      <c r="B5217" s="0" t="s">
        <v>6808</v>
      </c>
      <c r="C5217" s="0" t="s">
        <v>6809</v>
      </c>
      <c r="D5217" s="0" t="s">
        <v>98</v>
      </c>
      <c r="E5217" s="0" t="s">
        <v>6805</v>
      </c>
    </row>
    <row r="5218" customFormat="false" ht="15" hidden="false" customHeight="false" outlineLevel="0" collapsed="false">
      <c r="A5218" s="0" t="s">
        <v>740</v>
      </c>
      <c r="B5218" s="0" t="s">
        <v>6810</v>
      </c>
      <c r="C5218" s="0" t="s">
        <v>6811</v>
      </c>
      <c r="D5218" s="0" t="s">
        <v>98</v>
      </c>
      <c r="E5218" s="0" t="s">
        <v>6805</v>
      </c>
    </row>
    <row r="5219" customFormat="false" ht="15" hidden="false" customHeight="false" outlineLevel="0" collapsed="false">
      <c r="A5219" s="0" t="s">
        <v>740</v>
      </c>
      <c r="B5219" s="0" t="s">
        <v>6812</v>
      </c>
      <c r="C5219" s="0" t="s">
        <v>6813</v>
      </c>
      <c r="D5219" s="0" t="s">
        <v>98</v>
      </c>
      <c r="E5219" s="0" t="s">
        <v>6805</v>
      </c>
    </row>
    <row r="5220" customFormat="false" ht="15" hidden="false" customHeight="false" outlineLevel="0" collapsed="false">
      <c r="A5220" s="0" t="s">
        <v>740</v>
      </c>
      <c r="B5220" s="0" t="s">
        <v>6814</v>
      </c>
      <c r="C5220" s="0" t="s">
        <v>6815</v>
      </c>
      <c r="D5220" s="0" t="s">
        <v>98</v>
      </c>
      <c r="E5220" s="0" t="s">
        <v>6805</v>
      </c>
    </row>
    <row r="5221" customFormat="false" ht="15" hidden="false" customHeight="false" outlineLevel="0" collapsed="false">
      <c r="A5221" s="0" t="s">
        <v>740</v>
      </c>
      <c r="B5221" s="0" t="s">
        <v>6816</v>
      </c>
      <c r="C5221" s="0" t="s">
        <v>6817</v>
      </c>
      <c r="D5221" s="0" t="s">
        <v>98</v>
      </c>
      <c r="E5221" s="0" t="s">
        <v>6805</v>
      </c>
    </row>
    <row r="5222" customFormat="false" ht="15" hidden="false" customHeight="false" outlineLevel="0" collapsed="false">
      <c r="A5222" s="0" t="s">
        <v>740</v>
      </c>
      <c r="B5222" s="0" t="s">
        <v>6818</v>
      </c>
      <c r="C5222" s="0" t="s">
        <v>6819</v>
      </c>
      <c r="D5222" s="0" t="s">
        <v>98</v>
      </c>
      <c r="E5222" s="0" t="s">
        <v>6805</v>
      </c>
    </row>
    <row r="5223" customFormat="false" ht="15" hidden="false" customHeight="false" outlineLevel="0" collapsed="false">
      <c r="A5223" s="0" t="s">
        <v>740</v>
      </c>
      <c r="B5223" s="0" t="s">
        <v>6820</v>
      </c>
      <c r="C5223" s="0" t="s">
        <v>6821</v>
      </c>
      <c r="D5223" s="0" t="s">
        <v>98</v>
      </c>
      <c r="E5223" s="0" t="s">
        <v>6805</v>
      </c>
    </row>
    <row r="5224" customFormat="false" ht="15" hidden="false" customHeight="false" outlineLevel="0" collapsed="false">
      <c r="A5224" s="0" t="s">
        <v>740</v>
      </c>
      <c r="B5224" s="0" t="s">
        <v>6822</v>
      </c>
      <c r="C5224" s="0" t="s">
        <v>6823</v>
      </c>
      <c r="D5224" s="0" t="s">
        <v>98</v>
      </c>
      <c r="E5224" s="0" t="s">
        <v>6805</v>
      </c>
    </row>
    <row r="5225" customFormat="false" ht="15" hidden="false" customHeight="false" outlineLevel="0" collapsed="false">
      <c r="A5225" s="0" t="s">
        <v>740</v>
      </c>
      <c r="B5225" s="0" t="s">
        <v>6824</v>
      </c>
      <c r="C5225" s="0" t="s">
        <v>6825</v>
      </c>
      <c r="D5225" s="0" t="s">
        <v>98</v>
      </c>
      <c r="E5225" s="0" t="s">
        <v>6805</v>
      </c>
    </row>
    <row r="5226" customFormat="false" ht="15" hidden="false" customHeight="false" outlineLevel="0" collapsed="false">
      <c r="A5226" s="0" t="s">
        <v>740</v>
      </c>
      <c r="B5226" s="0" t="s">
        <v>6826</v>
      </c>
      <c r="C5226" s="0" t="s">
        <v>6827</v>
      </c>
      <c r="D5226" s="0" t="s">
        <v>98</v>
      </c>
      <c r="E5226" s="0" t="s">
        <v>6805</v>
      </c>
    </row>
    <row r="5227" customFormat="false" ht="15" hidden="false" customHeight="false" outlineLevel="0" collapsed="false">
      <c r="A5227" s="0" t="s">
        <v>740</v>
      </c>
      <c r="B5227" s="0" t="s">
        <v>6828</v>
      </c>
      <c r="C5227" s="0" t="s">
        <v>6829</v>
      </c>
      <c r="D5227" s="0" t="s">
        <v>98</v>
      </c>
      <c r="E5227" s="0" t="s">
        <v>6805</v>
      </c>
    </row>
    <row r="5228" customFormat="false" ht="15" hidden="false" customHeight="false" outlineLevel="0" collapsed="false">
      <c r="A5228" s="0" t="s">
        <v>740</v>
      </c>
      <c r="B5228" s="0" t="s">
        <v>6830</v>
      </c>
      <c r="C5228" s="0" t="s">
        <v>6831</v>
      </c>
      <c r="D5228" s="0" t="s">
        <v>98</v>
      </c>
      <c r="E5228" s="0" t="s">
        <v>6805</v>
      </c>
    </row>
    <row r="5229" customFormat="false" ht="15" hidden="false" customHeight="false" outlineLevel="0" collapsed="false">
      <c r="A5229" s="0" t="s">
        <v>740</v>
      </c>
      <c r="B5229" s="0" t="s">
        <v>6832</v>
      </c>
      <c r="C5229" s="0" t="s">
        <v>6833</v>
      </c>
      <c r="D5229" s="0" t="s">
        <v>98</v>
      </c>
      <c r="E5229" s="0" t="s">
        <v>6805</v>
      </c>
    </row>
    <row r="5230" customFormat="false" ht="15" hidden="false" customHeight="false" outlineLevel="0" collapsed="false">
      <c r="A5230" s="0" t="s">
        <v>740</v>
      </c>
      <c r="B5230" s="0" t="s">
        <v>6834</v>
      </c>
      <c r="C5230" s="0" t="s">
        <v>6835</v>
      </c>
      <c r="D5230" s="0" t="s">
        <v>98</v>
      </c>
      <c r="E5230" s="0" t="s">
        <v>6805</v>
      </c>
    </row>
    <row r="5231" customFormat="false" ht="15" hidden="false" customHeight="false" outlineLevel="0" collapsed="false">
      <c r="A5231" s="0" t="s">
        <v>740</v>
      </c>
      <c r="B5231" s="0" t="s">
        <v>6836</v>
      </c>
      <c r="C5231" s="0" t="s">
        <v>6837</v>
      </c>
      <c r="D5231" s="0" t="s">
        <v>98</v>
      </c>
      <c r="E5231" s="0" t="s">
        <v>6805</v>
      </c>
    </row>
    <row r="5232" customFormat="false" ht="15" hidden="false" customHeight="false" outlineLevel="0" collapsed="false">
      <c r="A5232" s="0" t="s">
        <v>740</v>
      </c>
      <c r="B5232" s="0" t="s">
        <v>6838</v>
      </c>
      <c r="C5232" s="0" t="s">
        <v>6839</v>
      </c>
      <c r="D5232" s="0" t="s">
        <v>98</v>
      </c>
      <c r="E5232" s="0" t="s">
        <v>6805</v>
      </c>
    </row>
    <row r="5233" customFormat="false" ht="15" hidden="false" customHeight="false" outlineLevel="0" collapsed="false">
      <c r="A5233" s="0" t="s">
        <v>740</v>
      </c>
      <c r="B5233" s="0" t="s">
        <v>6840</v>
      </c>
      <c r="C5233" s="0" t="s">
        <v>6841</v>
      </c>
      <c r="D5233" s="0" t="s">
        <v>98</v>
      </c>
      <c r="E5233" s="0" t="s">
        <v>6805</v>
      </c>
    </row>
    <row r="5234" customFormat="false" ht="15" hidden="false" customHeight="false" outlineLevel="0" collapsed="false">
      <c r="A5234" s="0" t="s">
        <v>740</v>
      </c>
      <c r="B5234" s="0" t="s">
        <v>6842</v>
      </c>
      <c r="C5234" s="0" t="s">
        <v>6843</v>
      </c>
      <c r="D5234" s="0" t="s">
        <v>98</v>
      </c>
      <c r="E5234" s="0" t="s">
        <v>6805</v>
      </c>
    </row>
    <row r="5235" customFormat="false" ht="15" hidden="false" customHeight="false" outlineLevel="0" collapsed="false">
      <c r="A5235" s="0" t="s">
        <v>740</v>
      </c>
      <c r="B5235" s="0" t="s">
        <v>6844</v>
      </c>
      <c r="C5235" s="0" t="s">
        <v>6845</v>
      </c>
      <c r="D5235" s="0" t="s">
        <v>98</v>
      </c>
      <c r="E5235" s="0" t="s">
        <v>6805</v>
      </c>
    </row>
    <row r="5236" customFormat="false" ht="15" hidden="false" customHeight="false" outlineLevel="0" collapsed="false">
      <c r="A5236" s="0" t="s">
        <v>740</v>
      </c>
      <c r="B5236" s="0" t="s">
        <v>6846</v>
      </c>
      <c r="C5236" s="0" t="s">
        <v>6847</v>
      </c>
      <c r="D5236" s="0" t="s">
        <v>98</v>
      </c>
      <c r="E5236" s="0" t="s">
        <v>6805</v>
      </c>
    </row>
    <row r="5237" customFormat="false" ht="15" hidden="false" customHeight="false" outlineLevel="0" collapsed="false">
      <c r="A5237" s="0" t="s">
        <v>740</v>
      </c>
      <c r="B5237" s="0" t="s">
        <v>6848</v>
      </c>
      <c r="C5237" s="0" t="s">
        <v>6849</v>
      </c>
      <c r="D5237" s="0" t="s">
        <v>98</v>
      </c>
      <c r="E5237" s="0" t="s">
        <v>6805</v>
      </c>
    </row>
    <row r="5238" customFormat="false" ht="15" hidden="false" customHeight="false" outlineLevel="0" collapsed="false">
      <c r="A5238" s="0" t="s">
        <v>740</v>
      </c>
      <c r="B5238" s="0" t="s">
        <v>6850</v>
      </c>
      <c r="C5238" s="0" t="s">
        <v>6851</v>
      </c>
      <c r="D5238" s="0" t="s">
        <v>98</v>
      </c>
      <c r="E5238" s="0" t="s">
        <v>6805</v>
      </c>
    </row>
    <row r="5239" customFormat="false" ht="15" hidden="false" customHeight="false" outlineLevel="0" collapsed="false">
      <c r="A5239" s="0" t="s">
        <v>740</v>
      </c>
      <c r="B5239" s="0" t="s">
        <v>6852</v>
      </c>
      <c r="C5239" s="0" t="s">
        <v>6853</v>
      </c>
      <c r="D5239" s="0" t="s">
        <v>98</v>
      </c>
      <c r="E5239" s="0" t="s">
        <v>6805</v>
      </c>
    </row>
    <row r="5240" customFormat="false" ht="15" hidden="false" customHeight="false" outlineLevel="0" collapsed="false">
      <c r="A5240" s="0" t="s">
        <v>740</v>
      </c>
      <c r="B5240" s="0" t="s">
        <v>6854</v>
      </c>
      <c r="C5240" s="0" t="s">
        <v>6855</v>
      </c>
      <c r="D5240" s="0" t="s">
        <v>98</v>
      </c>
      <c r="E5240" s="0" t="s">
        <v>6805</v>
      </c>
    </row>
    <row r="5241" customFormat="false" ht="15" hidden="false" customHeight="false" outlineLevel="0" collapsed="false">
      <c r="A5241" s="0" t="s">
        <v>740</v>
      </c>
      <c r="B5241" s="0" t="s">
        <v>6856</v>
      </c>
      <c r="C5241" s="0" t="s">
        <v>6857</v>
      </c>
      <c r="D5241" s="0" t="s">
        <v>98</v>
      </c>
      <c r="E5241" s="0" t="s">
        <v>6805</v>
      </c>
    </row>
    <row r="5242" customFormat="false" ht="15" hidden="false" customHeight="false" outlineLevel="0" collapsed="false">
      <c r="A5242" s="0" t="s">
        <v>740</v>
      </c>
      <c r="B5242" s="0" t="s">
        <v>6858</v>
      </c>
      <c r="C5242" s="0" t="s">
        <v>6859</v>
      </c>
      <c r="D5242" s="0" t="s">
        <v>98</v>
      </c>
      <c r="E5242" s="0" t="s">
        <v>6805</v>
      </c>
    </row>
    <row r="5243" customFormat="false" ht="15" hidden="false" customHeight="false" outlineLevel="0" collapsed="false">
      <c r="A5243" s="0" t="s">
        <v>740</v>
      </c>
      <c r="B5243" s="0" t="s">
        <v>6860</v>
      </c>
      <c r="C5243" s="0" t="s">
        <v>6861</v>
      </c>
      <c r="D5243" s="0" t="s">
        <v>98</v>
      </c>
      <c r="E5243" s="0" t="s">
        <v>6862</v>
      </c>
    </row>
    <row r="5244" customFormat="false" ht="15" hidden="false" customHeight="false" outlineLevel="0" collapsed="false">
      <c r="A5244" s="0" t="s">
        <v>740</v>
      </c>
      <c r="B5244" s="0" t="s">
        <v>6863</v>
      </c>
      <c r="C5244" s="0" t="s">
        <v>6864</v>
      </c>
      <c r="D5244" s="0" t="s">
        <v>98</v>
      </c>
      <c r="E5244" s="0" t="s">
        <v>6862</v>
      </c>
    </row>
    <row r="5245" customFormat="false" ht="15" hidden="false" customHeight="false" outlineLevel="0" collapsed="false">
      <c r="A5245" s="0" t="s">
        <v>740</v>
      </c>
      <c r="B5245" s="0" t="s">
        <v>6865</v>
      </c>
      <c r="C5245" s="0" t="s">
        <v>6866</v>
      </c>
      <c r="D5245" s="0" t="s">
        <v>98</v>
      </c>
      <c r="E5245" s="0" t="s">
        <v>6862</v>
      </c>
    </row>
    <row r="5246" customFormat="false" ht="15" hidden="false" customHeight="false" outlineLevel="0" collapsed="false">
      <c r="A5246" s="0" t="s">
        <v>740</v>
      </c>
      <c r="B5246" s="0" t="s">
        <v>6867</v>
      </c>
      <c r="C5246" s="0" t="s">
        <v>6868</v>
      </c>
      <c r="D5246" s="0" t="s">
        <v>98</v>
      </c>
      <c r="E5246" s="0" t="s">
        <v>6862</v>
      </c>
    </row>
    <row r="5247" customFormat="false" ht="15" hidden="false" customHeight="false" outlineLevel="0" collapsed="false">
      <c r="A5247" s="0" t="s">
        <v>740</v>
      </c>
      <c r="B5247" s="0" t="s">
        <v>6869</v>
      </c>
      <c r="C5247" s="0" t="s">
        <v>6870</v>
      </c>
      <c r="D5247" s="0" t="s">
        <v>98</v>
      </c>
      <c r="E5247" s="0" t="s">
        <v>6862</v>
      </c>
    </row>
    <row r="5248" customFormat="false" ht="15" hidden="false" customHeight="false" outlineLevel="0" collapsed="false">
      <c r="A5248" s="0" t="s">
        <v>740</v>
      </c>
      <c r="B5248" s="0" t="s">
        <v>6871</v>
      </c>
      <c r="C5248" s="0" t="s">
        <v>6872</v>
      </c>
      <c r="D5248" s="0" t="s">
        <v>98</v>
      </c>
      <c r="E5248" s="0" t="s">
        <v>6862</v>
      </c>
    </row>
    <row r="5249" customFormat="false" ht="15" hidden="false" customHeight="false" outlineLevel="0" collapsed="false">
      <c r="A5249" s="0" t="s">
        <v>740</v>
      </c>
      <c r="B5249" s="0" t="s">
        <v>6873</v>
      </c>
      <c r="C5249" s="0" t="s">
        <v>6874</v>
      </c>
      <c r="D5249" s="0" t="s">
        <v>98</v>
      </c>
      <c r="E5249" s="0" t="s">
        <v>6862</v>
      </c>
    </row>
    <row r="5250" customFormat="false" ht="15" hidden="false" customHeight="false" outlineLevel="0" collapsed="false">
      <c r="A5250" s="0" t="s">
        <v>740</v>
      </c>
      <c r="B5250" s="0" t="s">
        <v>6875</v>
      </c>
      <c r="C5250" s="0" t="s">
        <v>6876</v>
      </c>
      <c r="D5250" s="0" t="s">
        <v>98</v>
      </c>
      <c r="E5250" s="0" t="s">
        <v>6862</v>
      </c>
    </row>
    <row r="5251" customFormat="false" ht="15" hidden="false" customHeight="false" outlineLevel="0" collapsed="false">
      <c r="A5251" s="0" t="s">
        <v>740</v>
      </c>
      <c r="B5251" s="0" t="s">
        <v>6877</v>
      </c>
      <c r="C5251" s="0" t="s">
        <v>6878</v>
      </c>
      <c r="D5251" s="0" t="s">
        <v>98</v>
      </c>
      <c r="E5251" s="0" t="s">
        <v>6862</v>
      </c>
    </row>
    <row r="5252" customFormat="false" ht="15" hidden="false" customHeight="false" outlineLevel="0" collapsed="false">
      <c r="A5252" s="0" t="s">
        <v>740</v>
      </c>
      <c r="B5252" s="0" t="s">
        <v>6879</v>
      </c>
      <c r="C5252" s="0" t="s">
        <v>6880</v>
      </c>
      <c r="D5252" s="0" t="s">
        <v>98</v>
      </c>
      <c r="E5252" s="0" t="s">
        <v>6862</v>
      </c>
    </row>
    <row r="5253" customFormat="false" ht="15" hidden="false" customHeight="false" outlineLevel="0" collapsed="false">
      <c r="A5253" s="0" t="s">
        <v>740</v>
      </c>
      <c r="B5253" s="0" t="s">
        <v>6881</v>
      </c>
      <c r="C5253" s="0" t="s">
        <v>6882</v>
      </c>
      <c r="D5253" s="0" t="s">
        <v>98</v>
      </c>
      <c r="E5253" s="0" t="s">
        <v>6862</v>
      </c>
    </row>
    <row r="5254" customFormat="false" ht="15" hidden="false" customHeight="false" outlineLevel="0" collapsed="false">
      <c r="A5254" s="0" t="s">
        <v>740</v>
      </c>
      <c r="B5254" s="0" t="s">
        <v>6883</v>
      </c>
      <c r="C5254" s="0" t="s">
        <v>6884</v>
      </c>
      <c r="D5254" s="0" t="s">
        <v>98</v>
      </c>
      <c r="E5254" s="0" t="s">
        <v>6862</v>
      </c>
    </row>
    <row r="5255" customFormat="false" ht="15" hidden="false" customHeight="false" outlineLevel="0" collapsed="false">
      <c r="A5255" s="0" t="s">
        <v>740</v>
      </c>
      <c r="B5255" s="0" t="s">
        <v>6885</v>
      </c>
      <c r="C5255" s="0" t="s">
        <v>6886</v>
      </c>
      <c r="D5255" s="0" t="s">
        <v>98</v>
      </c>
      <c r="E5255" s="0" t="s">
        <v>6862</v>
      </c>
    </row>
    <row r="5256" customFormat="false" ht="15" hidden="false" customHeight="false" outlineLevel="0" collapsed="false">
      <c r="A5256" s="0" t="s">
        <v>740</v>
      </c>
      <c r="B5256" s="0" t="s">
        <v>6887</v>
      </c>
      <c r="C5256" s="0" t="s">
        <v>6888</v>
      </c>
      <c r="D5256" s="0" t="s">
        <v>98</v>
      </c>
      <c r="E5256" s="0" t="s">
        <v>6862</v>
      </c>
    </row>
    <row r="5257" customFormat="false" ht="15" hidden="false" customHeight="false" outlineLevel="0" collapsed="false">
      <c r="A5257" s="0" t="s">
        <v>740</v>
      </c>
      <c r="B5257" s="0" t="s">
        <v>6889</v>
      </c>
      <c r="C5257" s="0" t="s">
        <v>6890</v>
      </c>
      <c r="D5257" s="0" t="s">
        <v>98</v>
      </c>
      <c r="E5257" s="0" t="s">
        <v>6862</v>
      </c>
    </row>
    <row r="5258" customFormat="false" ht="15" hidden="false" customHeight="false" outlineLevel="0" collapsed="false">
      <c r="A5258" s="0" t="s">
        <v>740</v>
      </c>
      <c r="B5258" s="0" t="s">
        <v>6891</v>
      </c>
      <c r="C5258" s="0" t="s">
        <v>6892</v>
      </c>
      <c r="D5258" s="0" t="s">
        <v>98</v>
      </c>
      <c r="E5258" s="0" t="s">
        <v>6862</v>
      </c>
    </row>
    <row r="5259" customFormat="false" ht="15" hidden="false" customHeight="false" outlineLevel="0" collapsed="false">
      <c r="A5259" s="0" t="s">
        <v>740</v>
      </c>
      <c r="B5259" s="0" t="s">
        <v>6893</v>
      </c>
      <c r="C5259" s="0" t="s">
        <v>6894</v>
      </c>
      <c r="D5259" s="0" t="s">
        <v>98</v>
      </c>
      <c r="E5259" s="0" t="s">
        <v>6862</v>
      </c>
    </row>
    <row r="5260" customFormat="false" ht="15" hidden="false" customHeight="false" outlineLevel="0" collapsed="false">
      <c r="A5260" s="0" t="s">
        <v>740</v>
      </c>
      <c r="B5260" s="0" t="s">
        <v>6895</v>
      </c>
      <c r="C5260" s="0" t="s">
        <v>6896</v>
      </c>
      <c r="D5260" s="0" t="s">
        <v>98</v>
      </c>
      <c r="E5260" s="0" t="s">
        <v>6862</v>
      </c>
    </row>
    <row r="5261" customFormat="false" ht="15" hidden="false" customHeight="false" outlineLevel="0" collapsed="false">
      <c r="A5261" s="0" t="s">
        <v>740</v>
      </c>
      <c r="B5261" s="0" t="s">
        <v>6897</v>
      </c>
      <c r="C5261" s="0" t="s">
        <v>6898</v>
      </c>
      <c r="D5261" s="0" t="s">
        <v>98</v>
      </c>
      <c r="E5261" s="0" t="s">
        <v>6862</v>
      </c>
    </row>
    <row r="5262" customFormat="false" ht="15" hidden="false" customHeight="false" outlineLevel="0" collapsed="false">
      <c r="A5262" s="0" t="s">
        <v>740</v>
      </c>
      <c r="B5262" s="0" t="s">
        <v>6899</v>
      </c>
      <c r="C5262" s="0" t="s">
        <v>6900</v>
      </c>
      <c r="D5262" s="0" t="s">
        <v>98</v>
      </c>
      <c r="E5262" s="0" t="s">
        <v>6862</v>
      </c>
    </row>
    <row r="5263" customFormat="false" ht="15" hidden="false" customHeight="false" outlineLevel="0" collapsed="false">
      <c r="A5263" s="0" t="s">
        <v>740</v>
      </c>
      <c r="B5263" s="0" t="s">
        <v>6901</v>
      </c>
      <c r="C5263" s="0" t="s">
        <v>6902</v>
      </c>
      <c r="D5263" s="0" t="s">
        <v>98</v>
      </c>
      <c r="E5263" s="0" t="s">
        <v>6862</v>
      </c>
    </row>
    <row r="5264" customFormat="false" ht="15" hidden="false" customHeight="false" outlineLevel="0" collapsed="false">
      <c r="A5264" s="0" t="s">
        <v>740</v>
      </c>
      <c r="B5264" s="0" t="s">
        <v>6903</v>
      </c>
      <c r="C5264" s="0" t="s">
        <v>6904</v>
      </c>
      <c r="D5264" s="0" t="s">
        <v>98</v>
      </c>
      <c r="E5264" s="0" t="s">
        <v>6862</v>
      </c>
    </row>
    <row r="5265" customFormat="false" ht="15" hidden="false" customHeight="false" outlineLevel="0" collapsed="false">
      <c r="A5265" s="0" t="s">
        <v>740</v>
      </c>
      <c r="B5265" s="0" t="s">
        <v>6905</v>
      </c>
      <c r="C5265" s="0" t="s">
        <v>6906</v>
      </c>
      <c r="D5265" s="0" t="s">
        <v>98</v>
      </c>
      <c r="E5265" s="0" t="s">
        <v>6862</v>
      </c>
    </row>
    <row r="5266" customFormat="false" ht="15" hidden="false" customHeight="false" outlineLevel="0" collapsed="false">
      <c r="A5266" s="0" t="s">
        <v>740</v>
      </c>
      <c r="B5266" s="0" t="s">
        <v>6907</v>
      </c>
      <c r="C5266" s="0" t="s">
        <v>6908</v>
      </c>
      <c r="D5266" s="0" t="s">
        <v>98</v>
      </c>
      <c r="E5266" s="0" t="s">
        <v>6862</v>
      </c>
    </row>
    <row r="5267" customFormat="false" ht="15" hidden="false" customHeight="false" outlineLevel="0" collapsed="false">
      <c r="A5267" s="0" t="s">
        <v>740</v>
      </c>
      <c r="B5267" s="0" t="s">
        <v>6909</v>
      </c>
      <c r="C5267" s="0" t="s">
        <v>6910</v>
      </c>
      <c r="D5267" s="0" t="s">
        <v>98</v>
      </c>
      <c r="E5267" s="0" t="s">
        <v>6862</v>
      </c>
    </row>
    <row r="5268" customFormat="false" ht="15" hidden="false" customHeight="false" outlineLevel="0" collapsed="false">
      <c r="A5268" s="0" t="s">
        <v>740</v>
      </c>
      <c r="B5268" s="0" t="s">
        <v>6911</v>
      </c>
      <c r="C5268" s="0" t="s">
        <v>6912</v>
      </c>
      <c r="D5268" s="0" t="s">
        <v>98</v>
      </c>
      <c r="E5268" s="0" t="s">
        <v>6862</v>
      </c>
    </row>
    <row r="5269" customFormat="false" ht="15" hidden="false" customHeight="false" outlineLevel="0" collapsed="false">
      <c r="A5269" s="0" t="s">
        <v>740</v>
      </c>
      <c r="B5269" s="0" t="s">
        <v>6913</v>
      </c>
      <c r="C5269" s="0" t="s">
        <v>6914</v>
      </c>
      <c r="D5269" s="0" t="s">
        <v>98</v>
      </c>
      <c r="E5269" s="0" t="s">
        <v>6862</v>
      </c>
    </row>
    <row r="5270" customFormat="false" ht="15" hidden="false" customHeight="false" outlineLevel="0" collapsed="false">
      <c r="A5270" s="0" t="s">
        <v>740</v>
      </c>
      <c r="B5270" s="0" t="s">
        <v>6915</v>
      </c>
      <c r="C5270" s="0" t="s">
        <v>6916</v>
      </c>
      <c r="D5270" s="0" t="s">
        <v>98</v>
      </c>
      <c r="E5270" s="0" t="s">
        <v>6862</v>
      </c>
    </row>
    <row r="5271" customFormat="false" ht="15" hidden="false" customHeight="false" outlineLevel="0" collapsed="false">
      <c r="A5271" s="0" t="s">
        <v>740</v>
      </c>
      <c r="B5271" s="0" t="s">
        <v>6917</v>
      </c>
      <c r="C5271" s="0" t="s">
        <v>6918</v>
      </c>
      <c r="D5271" s="0" t="s">
        <v>98</v>
      </c>
      <c r="E5271" s="0" t="s">
        <v>6919</v>
      </c>
    </row>
    <row r="5272" customFormat="false" ht="15" hidden="false" customHeight="false" outlineLevel="0" collapsed="false">
      <c r="A5272" s="0" t="s">
        <v>740</v>
      </c>
      <c r="B5272" s="0" t="s">
        <v>6920</v>
      </c>
      <c r="C5272" s="0" t="s">
        <v>6921</v>
      </c>
      <c r="D5272" s="0" t="s">
        <v>98</v>
      </c>
      <c r="E5272" s="0" t="s">
        <v>6919</v>
      </c>
    </row>
    <row r="5273" customFormat="false" ht="15" hidden="false" customHeight="false" outlineLevel="0" collapsed="false">
      <c r="A5273" s="0" t="s">
        <v>740</v>
      </c>
      <c r="B5273" s="0" t="s">
        <v>6922</v>
      </c>
      <c r="C5273" s="0" t="s">
        <v>6923</v>
      </c>
      <c r="D5273" s="0" t="s">
        <v>98</v>
      </c>
      <c r="E5273" s="0" t="s">
        <v>6919</v>
      </c>
    </row>
    <row r="5274" customFormat="false" ht="15" hidden="false" customHeight="false" outlineLevel="0" collapsed="false">
      <c r="A5274" s="0" t="s">
        <v>740</v>
      </c>
      <c r="B5274" s="0" t="s">
        <v>6924</v>
      </c>
      <c r="C5274" s="0" t="s">
        <v>6925</v>
      </c>
      <c r="D5274" s="0" t="s">
        <v>98</v>
      </c>
      <c r="E5274" s="0" t="s">
        <v>6919</v>
      </c>
    </row>
    <row r="5275" customFormat="false" ht="15" hidden="false" customHeight="false" outlineLevel="0" collapsed="false">
      <c r="A5275" s="0" t="s">
        <v>740</v>
      </c>
      <c r="B5275" s="0" t="s">
        <v>6926</v>
      </c>
      <c r="C5275" s="0" t="s">
        <v>6927</v>
      </c>
      <c r="D5275" s="0" t="s">
        <v>98</v>
      </c>
      <c r="E5275" s="0" t="s">
        <v>6919</v>
      </c>
    </row>
    <row r="5276" customFormat="false" ht="15" hidden="false" customHeight="false" outlineLevel="0" collapsed="false">
      <c r="A5276" s="0" t="s">
        <v>740</v>
      </c>
      <c r="B5276" s="0" t="s">
        <v>6928</v>
      </c>
      <c r="C5276" s="0" t="s">
        <v>6929</v>
      </c>
      <c r="D5276" s="0" t="s">
        <v>98</v>
      </c>
      <c r="E5276" s="0" t="s">
        <v>6919</v>
      </c>
    </row>
    <row r="5277" customFormat="false" ht="15" hidden="false" customHeight="false" outlineLevel="0" collapsed="false">
      <c r="A5277" s="0" t="s">
        <v>740</v>
      </c>
      <c r="B5277" s="0" t="s">
        <v>6930</v>
      </c>
      <c r="C5277" s="0" t="s">
        <v>6931</v>
      </c>
      <c r="D5277" s="0" t="s">
        <v>98</v>
      </c>
      <c r="E5277" s="0" t="s">
        <v>6919</v>
      </c>
    </row>
    <row r="5278" customFormat="false" ht="15" hidden="false" customHeight="false" outlineLevel="0" collapsed="false">
      <c r="A5278" s="0" t="s">
        <v>740</v>
      </c>
      <c r="B5278" s="0" t="s">
        <v>6932</v>
      </c>
      <c r="C5278" s="0" t="s">
        <v>6933</v>
      </c>
      <c r="D5278" s="0" t="s">
        <v>98</v>
      </c>
      <c r="E5278" s="0" t="s">
        <v>6919</v>
      </c>
    </row>
    <row r="5279" customFormat="false" ht="15" hidden="false" customHeight="false" outlineLevel="0" collapsed="false">
      <c r="A5279" s="0" t="s">
        <v>740</v>
      </c>
      <c r="B5279" s="0" t="s">
        <v>6934</v>
      </c>
      <c r="C5279" s="0" t="s">
        <v>6935</v>
      </c>
      <c r="D5279" s="0" t="s">
        <v>98</v>
      </c>
      <c r="E5279" s="0" t="s">
        <v>6919</v>
      </c>
    </row>
    <row r="5280" customFormat="false" ht="15" hidden="false" customHeight="false" outlineLevel="0" collapsed="false">
      <c r="A5280" s="0" t="s">
        <v>740</v>
      </c>
      <c r="B5280" s="0" t="s">
        <v>6936</v>
      </c>
      <c r="C5280" s="0" t="s">
        <v>6937</v>
      </c>
      <c r="D5280" s="0" t="s">
        <v>98</v>
      </c>
      <c r="E5280" s="0" t="s">
        <v>6919</v>
      </c>
    </row>
    <row r="5281" customFormat="false" ht="15" hidden="false" customHeight="false" outlineLevel="0" collapsed="false">
      <c r="A5281" s="0" t="s">
        <v>740</v>
      </c>
      <c r="B5281" s="0" t="s">
        <v>6938</v>
      </c>
      <c r="C5281" s="0" t="s">
        <v>6939</v>
      </c>
      <c r="D5281" s="0" t="s">
        <v>98</v>
      </c>
      <c r="E5281" s="0" t="s">
        <v>6919</v>
      </c>
    </row>
    <row r="5282" customFormat="false" ht="15" hidden="false" customHeight="false" outlineLevel="0" collapsed="false">
      <c r="A5282" s="0" t="s">
        <v>740</v>
      </c>
      <c r="B5282" s="0" t="s">
        <v>6940</v>
      </c>
      <c r="C5282" s="0" t="s">
        <v>6941</v>
      </c>
      <c r="D5282" s="0" t="s">
        <v>98</v>
      </c>
      <c r="E5282" s="0" t="s">
        <v>6919</v>
      </c>
    </row>
    <row r="5283" customFormat="false" ht="15" hidden="false" customHeight="false" outlineLevel="0" collapsed="false">
      <c r="A5283" s="0" t="s">
        <v>740</v>
      </c>
      <c r="B5283" s="0" t="s">
        <v>6942</v>
      </c>
      <c r="C5283" s="0" t="s">
        <v>6943</v>
      </c>
      <c r="D5283" s="0" t="s">
        <v>98</v>
      </c>
      <c r="E5283" s="0" t="s">
        <v>6919</v>
      </c>
    </row>
    <row r="5284" customFormat="false" ht="15" hidden="false" customHeight="false" outlineLevel="0" collapsed="false">
      <c r="A5284" s="0" t="s">
        <v>740</v>
      </c>
      <c r="B5284" s="0" t="s">
        <v>6944</v>
      </c>
      <c r="C5284" s="0" t="s">
        <v>6945</v>
      </c>
      <c r="D5284" s="0" t="s">
        <v>98</v>
      </c>
      <c r="E5284" s="0" t="s">
        <v>6919</v>
      </c>
    </row>
    <row r="5285" customFormat="false" ht="15" hidden="false" customHeight="false" outlineLevel="0" collapsed="false">
      <c r="A5285" s="0" t="s">
        <v>740</v>
      </c>
      <c r="B5285" s="0" t="s">
        <v>6946</v>
      </c>
      <c r="C5285" s="0" t="s">
        <v>6947</v>
      </c>
      <c r="D5285" s="0" t="s">
        <v>98</v>
      </c>
      <c r="E5285" s="0" t="s">
        <v>6919</v>
      </c>
    </row>
    <row r="5286" customFormat="false" ht="15" hidden="false" customHeight="false" outlineLevel="0" collapsed="false">
      <c r="A5286" s="0" t="s">
        <v>740</v>
      </c>
      <c r="B5286" s="0" t="s">
        <v>6948</v>
      </c>
      <c r="C5286" s="0" t="s">
        <v>6949</v>
      </c>
      <c r="D5286" s="0" t="s">
        <v>98</v>
      </c>
      <c r="E5286" s="0" t="s">
        <v>6919</v>
      </c>
    </row>
    <row r="5287" customFormat="false" ht="15" hidden="false" customHeight="false" outlineLevel="0" collapsed="false">
      <c r="A5287" s="0" t="s">
        <v>740</v>
      </c>
      <c r="B5287" s="0" t="s">
        <v>6950</v>
      </c>
      <c r="C5287" s="0" t="s">
        <v>6951</v>
      </c>
      <c r="D5287" s="0" t="s">
        <v>98</v>
      </c>
      <c r="E5287" s="0" t="s">
        <v>6919</v>
      </c>
    </row>
    <row r="5288" customFormat="false" ht="15" hidden="false" customHeight="false" outlineLevel="0" collapsed="false">
      <c r="A5288" s="0" t="s">
        <v>740</v>
      </c>
      <c r="B5288" s="0" t="s">
        <v>6952</v>
      </c>
      <c r="C5288" s="0" t="s">
        <v>6953</v>
      </c>
      <c r="D5288" s="0" t="s">
        <v>98</v>
      </c>
      <c r="E5288" s="0" t="s">
        <v>6919</v>
      </c>
    </row>
    <row r="5289" customFormat="false" ht="15" hidden="false" customHeight="false" outlineLevel="0" collapsed="false">
      <c r="A5289" s="0" t="s">
        <v>740</v>
      </c>
      <c r="B5289" s="0" t="s">
        <v>6954</v>
      </c>
      <c r="C5289" s="0" t="s">
        <v>6955</v>
      </c>
      <c r="D5289" s="0" t="s">
        <v>98</v>
      </c>
      <c r="E5289" s="0" t="s">
        <v>6919</v>
      </c>
    </row>
    <row r="5290" customFormat="false" ht="15" hidden="false" customHeight="false" outlineLevel="0" collapsed="false">
      <c r="A5290" s="0" t="s">
        <v>740</v>
      </c>
      <c r="B5290" s="0" t="s">
        <v>6956</v>
      </c>
      <c r="C5290" s="0" t="s">
        <v>6957</v>
      </c>
      <c r="D5290" s="0" t="s">
        <v>98</v>
      </c>
      <c r="E5290" s="0" t="s">
        <v>6919</v>
      </c>
    </row>
    <row r="5291" customFormat="false" ht="15" hidden="false" customHeight="false" outlineLevel="0" collapsed="false">
      <c r="A5291" s="0" t="s">
        <v>740</v>
      </c>
      <c r="B5291" s="0" t="s">
        <v>6958</v>
      </c>
      <c r="C5291" s="0" t="s">
        <v>6959</v>
      </c>
      <c r="D5291" s="0" t="s">
        <v>98</v>
      </c>
      <c r="E5291" s="0" t="s">
        <v>6919</v>
      </c>
    </row>
    <row r="5292" customFormat="false" ht="15" hidden="false" customHeight="false" outlineLevel="0" collapsed="false">
      <c r="A5292" s="0" t="s">
        <v>740</v>
      </c>
      <c r="B5292" s="0" t="s">
        <v>6960</v>
      </c>
      <c r="C5292" s="0" t="s">
        <v>6961</v>
      </c>
      <c r="D5292" s="0" t="s">
        <v>98</v>
      </c>
      <c r="E5292" s="0" t="s">
        <v>6919</v>
      </c>
    </row>
    <row r="5293" customFormat="false" ht="15" hidden="false" customHeight="false" outlineLevel="0" collapsed="false">
      <c r="A5293" s="0" t="s">
        <v>740</v>
      </c>
      <c r="B5293" s="0" t="s">
        <v>6962</v>
      </c>
      <c r="C5293" s="0" t="s">
        <v>6963</v>
      </c>
      <c r="D5293" s="0" t="s">
        <v>98</v>
      </c>
      <c r="E5293" s="0" t="s">
        <v>6919</v>
      </c>
    </row>
    <row r="5294" customFormat="false" ht="15" hidden="false" customHeight="false" outlineLevel="0" collapsed="false">
      <c r="A5294" s="0" t="s">
        <v>740</v>
      </c>
      <c r="B5294" s="0" t="s">
        <v>6964</v>
      </c>
      <c r="C5294" s="0" t="s">
        <v>6965</v>
      </c>
      <c r="D5294" s="0" t="s">
        <v>98</v>
      </c>
      <c r="E5294" s="0" t="s">
        <v>6919</v>
      </c>
    </row>
    <row r="5295" customFormat="false" ht="15" hidden="false" customHeight="false" outlineLevel="0" collapsed="false">
      <c r="A5295" s="0" t="s">
        <v>740</v>
      </c>
      <c r="B5295" s="0" t="s">
        <v>6966</v>
      </c>
      <c r="C5295" s="0" t="s">
        <v>6967</v>
      </c>
      <c r="D5295" s="0" t="s">
        <v>98</v>
      </c>
      <c r="E5295" s="0" t="s">
        <v>6919</v>
      </c>
    </row>
    <row r="5296" customFormat="false" ht="15" hidden="false" customHeight="false" outlineLevel="0" collapsed="false">
      <c r="A5296" s="0" t="s">
        <v>740</v>
      </c>
      <c r="B5296" s="0" t="s">
        <v>6968</v>
      </c>
      <c r="C5296" s="0" t="s">
        <v>6969</v>
      </c>
      <c r="D5296" s="0" t="s">
        <v>98</v>
      </c>
      <c r="E5296" s="0" t="s">
        <v>6919</v>
      </c>
    </row>
    <row r="5297" customFormat="false" ht="15" hidden="false" customHeight="false" outlineLevel="0" collapsed="false">
      <c r="A5297" s="0" t="s">
        <v>740</v>
      </c>
      <c r="B5297" s="0" t="s">
        <v>6970</v>
      </c>
      <c r="C5297" s="0" t="s">
        <v>6971</v>
      </c>
      <c r="D5297" s="0" t="s">
        <v>98</v>
      </c>
      <c r="E5297" s="0" t="s">
        <v>6919</v>
      </c>
    </row>
    <row r="5298" customFormat="false" ht="15" hidden="false" customHeight="false" outlineLevel="0" collapsed="false">
      <c r="A5298" s="0" t="s">
        <v>740</v>
      </c>
      <c r="B5298" s="0" t="s">
        <v>6972</v>
      </c>
      <c r="C5298" s="0" t="s">
        <v>6973</v>
      </c>
      <c r="D5298" s="0" t="s">
        <v>98</v>
      </c>
      <c r="E5298" s="0" t="s">
        <v>6919</v>
      </c>
    </row>
    <row r="5299" customFormat="false" ht="15" hidden="false" customHeight="false" outlineLevel="0" collapsed="false">
      <c r="A5299" s="0" t="s">
        <v>740</v>
      </c>
      <c r="B5299" s="0" t="s">
        <v>6974</v>
      </c>
      <c r="C5299" s="0" t="s">
        <v>6975</v>
      </c>
      <c r="D5299" s="0" t="s">
        <v>98</v>
      </c>
      <c r="E5299" s="0" t="s">
        <v>6976</v>
      </c>
    </row>
    <row r="5300" customFormat="false" ht="15" hidden="false" customHeight="false" outlineLevel="0" collapsed="false">
      <c r="A5300" s="0" t="s">
        <v>740</v>
      </c>
      <c r="B5300" s="0" t="s">
        <v>6977</v>
      </c>
      <c r="C5300" s="0" t="s">
        <v>6978</v>
      </c>
      <c r="D5300" s="0" t="s">
        <v>98</v>
      </c>
      <c r="E5300" s="0" t="s">
        <v>6976</v>
      </c>
    </row>
    <row r="5301" customFormat="false" ht="15" hidden="false" customHeight="false" outlineLevel="0" collapsed="false">
      <c r="A5301" s="0" t="s">
        <v>740</v>
      </c>
      <c r="B5301" s="0" t="s">
        <v>6979</v>
      </c>
      <c r="C5301" s="0" t="s">
        <v>6980</v>
      </c>
      <c r="D5301" s="0" t="s">
        <v>98</v>
      </c>
      <c r="E5301" s="0" t="s">
        <v>6976</v>
      </c>
    </row>
    <row r="5302" customFormat="false" ht="15" hidden="false" customHeight="false" outlineLevel="0" collapsed="false">
      <c r="A5302" s="0" t="s">
        <v>740</v>
      </c>
      <c r="B5302" s="0" t="s">
        <v>6981</v>
      </c>
      <c r="C5302" s="0" t="s">
        <v>6982</v>
      </c>
      <c r="D5302" s="0" t="s">
        <v>98</v>
      </c>
      <c r="E5302" s="0" t="s">
        <v>6976</v>
      </c>
    </row>
    <row r="5303" customFormat="false" ht="15" hidden="false" customHeight="false" outlineLevel="0" collapsed="false">
      <c r="A5303" s="0" t="s">
        <v>740</v>
      </c>
      <c r="B5303" s="0" t="s">
        <v>6983</v>
      </c>
      <c r="C5303" s="0" t="s">
        <v>6984</v>
      </c>
      <c r="D5303" s="0" t="s">
        <v>98</v>
      </c>
      <c r="E5303" s="0" t="s">
        <v>6976</v>
      </c>
    </row>
    <row r="5304" customFormat="false" ht="15" hidden="false" customHeight="false" outlineLevel="0" collapsed="false">
      <c r="A5304" s="0" t="s">
        <v>740</v>
      </c>
      <c r="B5304" s="0" t="s">
        <v>6985</v>
      </c>
      <c r="C5304" s="0" t="s">
        <v>6986</v>
      </c>
      <c r="D5304" s="0" t="s">
        <v>98</v>
      </c>
      <c r="E5304" s="0" t="s">
        <v>6976</v>
      </c>
    </row>
    <row r="5305" customFormat="false" ht="15" hidden="false" customHeight="false" outlineLevel="0" collapsed="false">
      <c r="A5305" s="0" t="s">
        <v>740</v>
      </c>
      <c r="B5305" s="0" t="s">
        <v>6987</v>
      </c>
      <c r="C5305" s="0" t="s">
        <v>6988</v>
      </c>
      <c r="D5305" s="0" t="s">
        <v>98</v>
      </c>
      <c r="E5305" s="0" t="s">
        <v>6976</v>
      </c>
    </row>
    <row r="5306" customFormat="false" ht="15" hidden="false" customHeight="false" outlineLevel="0" collapsed="false">
      <c r="A5306" s="0" t="s">
        <v>740</v>
      </c>
      <c r="B5306" s="0" t="s">
        <v>6989</v>
      </c>
      <c r="C5306" s="0" t="s">
        <v>6990</v>
      </c>
      <c r="D5306" s="0" t="s">
        <v>98</v>
      </c>
      <c r="E5306" s="0" t="s">
        <v>6976</v>
      </c>
    </row>
    <row r="5307" customFormat="false" ht="15" hidden="false" customHeight="false" outlineLevel="0" collapsed="false">
      <c r="A5307" s="0" t="s">
        <v>740</v>
      </c>
      <c r="B5307" s="0" t="s">
        <v>6991</v>
      </c>
      <c r="C5307" s="0" t="s">
        <v>6992</v>
      </c>
      <c r="D5307" s="0" t="s">
        <v>98</v>
      </c>
      <c r="E5307" s="0" t="s">
        <v>6976</v>
      </c>
    </row>
    <row r="5308" customFormat="false" ht="15" hidden="false" customHeight="false" outlineLevel="0" collapsed="false">
      <c r="A5308" s="0" t="s">
        <v>740</v>
      </c>
      <c r="B5308" s="0" t="s">
        <v>6993</v>
      </c>
      <c r="C5308" s="0" t="s">
        <v>6994</v>
      </c>
      <c r="D5308" s="0" t="s">
        <v>98</v>
      </c>
      <c r="E5308" s="0" t="s">
        <v>6976</v>
      </c>
    </row>
    <row r="5309" customFormat="false" ht="15" hidden="false" customHeight="false" outlineLevel="0" collapsed="false">
      <c r="A5309" s="0" t="s">
        <v>740</v>
      </c>
      <c r="B5309" s="0" t="s">
        <v>6995</v>
      </c>
      <c r="C5309" s="0" t="s">
        <v>6996</v>
      </c>
      <c r="D5309" s="0" t="s">
        <v>98</v>
      </c>
      <c r="E5309" s="0" t="s">
        <v>6976</v>
      </c>
    </row>
    <row r="5310" customFormat="false" ht="15" hidden="false" customHeight="false" outlineLevel="0" collapsed="false">
      <c r="A5310" s="0" t="s">
        <v>740</v>
      </c>
      <c r="B5310" s="0" t="s">
        <v>6997</v>
      </c>
      <c r="C5310" s="0" t="s">
        <v>6998</v>
      </c>
      <c r="D5310" s="0" t="s">
        <v>98</v>
      </c>
      <c r="E5310" s="0" t="s">
        <v>6976</v>
      </c>
    </row>
    <row r="5311" customFormat="false" ht="15" hidden="false" customHeight="false" outlineLevel="0" collapsed="false">
      <c r="A5311" s="0" t="s">
        <v>740</v>
      </c>
      <c r="B5311" s="0" t="s">
        <v>6999</v>
      </c>
      <c r="C5311" s="0" t="s">
        <v>7000</v>
      </c>
      <c r="D5311" s="0" t="s">
        <v>98</v>
      </c>
      <c r="E5311" s="0" t="s">
        <v>6976</v>
      </c>
    </row>
    <row r="5312" customFormat="false" ht="15" hidden="false" customHeight="false" outlineLevel="0" collapsed="false">
      <c r="A5312" s="0" t="s">
        <v>740</v>
      </c>
      <c r="B5312" s="0" t="s">
        <v>7001</v>
      </c>
      <c r="C5312" s="0" t="s">
        <v>7002</v>
      </c>
      <c r="D5312" s="0" t="s">
        <v>98</v>
      </c>
      <c r="E5312" s="0" t="s">
        <v>6976</v>
      </c>
    </row>
    <row r="5313" customFormat="false" ht="15" hidden="false" customHeight="false" outlineLevel="0" collapsed="false">
      <c r="A5313" s="0" t="s">
        <v>740</v>
      </c>
      <c r="B5313" s="0" t="s">
        <v>7003</v>
      </c>
      <c r="C5313" s="0" t="s">
        <v>7004</v>
      </c>
      <c r="D5313" s="0" t="s">
        <v>98</v>
      </c>
      <c r="E5313" s="0" t="s">
        <v>6976</v>
      </c>
    </row>
    <row r="5314" customFormat="false" ht="15" hidden="false" customHeight="false" outlineLevel="0" collapsed="false">
      <c r="A5314" s="0" t="s">
        <v>740</v>
      </c>
      <c r="B5314" s="0" t="s">
        <v>7005</v>
      </c>
      <c r="C5314" s="0" t="s">
        <v>7006</v>
      </c>
      <c r="D5314" s="0" t="s">
        <v>98</v>
      </c>
      <c r="E5314" s="0" t="s">
        <v>6976</v>
      </c>
    </row>
    <row r="5315" customFormat="false" ht="15" hidden="false" customHeight="false" outlineLevel="0" collapsed="false">
      <c r="A5315" s="0" t="s">
        <v>740</v>
      </c>
      <c r="B5315" s="0" t="s">
        <v>7007</v>
      </c>
      <c r="C5315" s="0" t="s">
        <v>7008</v>
      </c>
      <c r="D5315" s="0" t="s">
        <v>98</v>
      </c>
      <c r="E5315" s="0" t="s">
        <v>6976</v>
      </c>
    </row>
    <row r="5316" customFormat="false" ht="15" hidden="false" customHeight="false" outlineLevel="0" collapsed="false">
      <c r="A5316" s="0" t="s">
        <v>740</v>
      </c>
      <c r="B5316" s="0" t="s">
        <v>7009</v>
      </c>
      <c r="C5316" s="0" t="s">
        <v>7010</v>
      </c>
      <c r="D5316" s="0" t="s">
        <v>98</v>
      </c>
      <c r="E5316" s="0" t="s">
        <v>6976</v>
      </c>
    </row>
    <row r="5317" customFormat="false" ht="15" hidden="false" customHeight="false" outlineLevel="0" collapsed="false">
      <c r="A5317" s="0" t="s">
        <v>740</v>
      </c>
      <c r="B5317" s="0" t="s">
        <v>7011</v>
      </c>
      <c r="C5317" s="0" t="s">
        <v>7012</v>
      </c>
      <c r="D5317" s="0" t="s">
        <v>98</v>
      </c>
      <c r="E5317" s="0" t="s">
        <v>6976</v>
      </c>
    </row>
    <row r="5318" customFormat="false" ht="15" hidden="false" customHeight="false" outlineLevel="0" collapsed="false">
      <c r="A5318" s="0" t="s">
        <v>740</v>
      </c>
      <c r="B5318" s="0" t="s">
        <v>7013</v>
      </c>
      <c r="C5318" s="0" t="s">
        <v>7014</v>
      </c>
      <c r="D5318" s="0" t="s">
        <v>98</v>
      </c>
      <c r="E5318" s="0" t="s">
        <v>6976</v>
      </c>
    </row>
    <row r="5319" customFormat="false" ht="15" hidden="false" customHeight="false" outlineLevel="0" collapsed="false">
      <c r="A5319" s="0" t="s">
        <v>740</v>
      </c>
      <c r="B5319" s="0" t="s">
        <v>7015</v>
      </c>
      <c r="C5319" s="0" t="s">
        <v>7016</v>
      </c>
      <c r="D5319" s="0" t="s">
        <v>98</v>
      </c>
      <c r="E5319" s="0" t="s">
        <v>6976</v>
      </c>
    </row>
    <row r="5320" customFormat="false" ht="15" hidden="false" customHeight="false" outlineLevel="0" collapsed="false">
      <c r="A5320" s="0" t="s">
        <v>740</v>
      </c>
      <c r="B5320" s="0" t="s">
        <v>7017</v>
      </c>
      <c r="C5320" s="0" t="s">
        <v>7018</v>
      </c>
      <c r="D5320" s="0" t="s">
        <v>98</v>
      </c>
      <c r="E5320" s="0" t="s">
        <v>6976</v>
      </c>
    </row>
    <row r="5321" customFormat="false" ht="15" hidden="false" customHeight="false" outlineLevel="0" collapsed="false">
      <c r="A5321" s="0" t="s">
        <v>740</v>
      </c>
      <c r="B5321" s="0" t="s">
        <v>7019</v>
      </c>
      <c r="C5321" s="0" t="s">
        <v>7020</v>
      </c>
      <c r="D5321" s="0" t="s">
        <v>98</v>
      </c>
      <c r="E5321" s="0" t="s">
        <v>6976</v>
      </c>
    </row>
    <row r="5322" customFormat="false" ht="15" hidden="false" customHeight="false" outlineLevel="0" collapsed="false">
      <c r="A5322" s="0" t="s">
        <v>740</v>
      </c>
      <c r="B5322" s="0" t="s">
        <v>7021</v>
      </c>
      <c r="C5322" s="0" t="s">
        <v>7022</v>
      </c>
      <c r="D5322" s="0" t="s">
        <v>98</v>
      </c>
      <c r="E5322" s="0" t="s">
        <v>6976</v>
      </c>
    </row>
    <row r="5323" customFormat="false" ht="15" hidden="false" customHeight="false" outlineLevel="0" collapsed="false">
      <c r="A5323" s="0" t="s">
        <v>740</v>
      </c>
      <c r="B5323" s="0" t="s">
        <v>7023</v>
      </c>
      <c r="C5323" s="0" t="s">
        <v>7024</v>
      </c>
      <c r="D5323" s="0" t="s">
        <v>98</v>
      </c>
      <c r="E5323" s="0" t="s">
        <v>6976</v>
      </c>
    </row>
    <row r="5324" customFormat="false" ht="15" hidden="false" customHeight="false" outlineLevel="0" collapsed="false">
      <c r="A5324" s="0" t="s">
        <v>740</v>
      </c>
      <c r="B5324" s="0" t="s">
        <v>7025</v>
      </c>
      <c r="C5324" s="0" t="s">
        <v>7026</v>
      </c>
      <c r="D5324" s="0" t="s">
        <v>98</v>
      </c>
      <c r="E5324" s="0" t="s">
        <v>6976</v>
      </c>
    </row>
    <row r="5325" customFormat="false" ht="15" hidden="false" customHeight="false" outlineLevel="0" collapsed="false">
      <c r="A5325" s="0" t="s">
        <v>740</v>
      </c>
      <c r="B5325" s="0" t="s">
        <v>7027</v>
      </c>
      <c r="C5325" s="0" t="s">
        <v>7028</v>
      </c>
      <c r="D5325" s="0" t="s">
        <v>98</v>
      </c>
      <c r="E5325" s="0" t="s">
        <v>6976</v>
      </c>
    </row>
    <row r="5326" customFormat="false" ht="15" hidden="false" customHeight="false" outlineLevel="0" collapsed="false">
      <c r="A5326" s="0" t="s">
        <v>740</v>
      </c>
      <c r="B5326" s="0" t="s">
        <v>7029</v>
      </c>
      <c r="C5326" s="0" t="s">
        <v>7030</v>
      </c>
      <c r="D5326" s="0" t="s">
        <v>98</v>
      </c>
      <c r="E5326" s="0" t="s">
        <v>6976</v>
      </c>
    </row>
    <row r="5327" customFormat="false" ht="15" hidden="false" customHeight="false" outlineLevel="0" collapsed="false">
      <c r="A5327" s="0" t="s">
        <v>740</v>
      </c>
      <c r="B5327" s="0" t="s">
        <v>7031</v>
      </c>
      <c r="C5327" s="0" t="s">
        <v>7032</v>
      </c>
      <c r="D5327" s="0" t="s">
        <v>98</v>
      </c>
      <c r="E5327" s="0" t="s">
        <v>7033</v>
      </c>
    </row>
    <row r="5328" customFormat="false" ht="15" hidden="false" customHeight="false" outlineLevel="0" collapsed="false">
      <c r="A5328" s="0" t="s">
        <v>740</v>
      </c>
      <c r="B5328" s="0" t="s">
        <v>7034</v>
      </c>
      <c r="C5328" s="0" t="s">
        <v>7035</v>
      </c>
      <c r="D5328" s="0" t="s">
        <v>98</v>
      </c>
      <c r="E5328" s="0" t="s">
        <v>7033</v>
      </c>
    </row>
    <row r="5329" customFormat="false" ht="15" hidden="false" customHeight="false" outlineLevel="0" collapsed="false">
      <c r="A5329" s="0" t="s">
        <v>740</v>
      </c>
      <c r="B5329" s="0" t="s">
        <v>7036</v>
      </c>
      <c r="C5329" s="0" t="s">
        <v>7037</v>
      </c>
      <c r="D5329" s="0" t="s">
        <v>98</v>
      </c>
      <c r="E5329" s="0" t="s">
        <v>7033</v>
      </c>
    </row>
    <row r="5330" customFormat="false" ht="15" hidden="false" customHeight="false" outlineLevel="0" collapsed="false">
      <c r="A5330" s="0" t="s">
        <v>740</v>
      </c>
      <c r="B5330" s="0" t="s">
        <v>7038</v>
      </c>
      <c r="C5330" s="0" t="s">
        <v>7039</v>
      </c>
      <c r="D5330" s="0" t="s">
        <v>98</v>
      </c>
      <c r="E5330" s="0" t="s">
        <v>7033</v>
      </c>
    </row>
    <row r="5331" customFormat="false" ht="15" hidden="false" customHeight="false" outlineLevel="0" collapsed="false">
      <c r="A5331" s="0" t="s">
        <v>740</v>
      </c>
      <c r="B5331" s="0" t="s">
        <v>7040</v>
      </c>
      <c r="C5331" s="0" t="s">
        <v>7041</v>
      </c>
      <c r="D5331" s="0" t="s">
        <v>98</v>
      </c>
      <c r="E5331" s="0" t="s">
        <v>7033</v>
      </c>
    </row>
    <row r="5332" customFormat="false" ht="15" hidden="false" customHeight="false" outlineLevel="0" collapsed="false">
      <c r="A5332" s="0" t="s">
        <v>740</v>
      </c>
      <c r="B5332" s="0" t="s">
        <v>7042</v>
      </c>
      <c r="C5332" s="0" t="s">
        <v>7043</v>
      </c>
      <c r="D5332" s="0" t="s">
        <v>98</v>
      </c>
      <c r="E5332" s="0" t="s">
        <v>7033</v>
      </c>
    </row>
    <row r="5333" customFormat="false" ht="15" hidden="false" customHeight="false" outlineLevel="0" collapsed="false">
      <c r="A5333" s="0" t="s">
        <v>740</v>
      </c>
      <c r="B5333" s="0" t="s">
        <v>7044</v>
      </c>
      <c r="C5333" s="0" t="s">
        <v>7045</v>
      </c>
      <c r="D5333" s="0" t="s">
        <v>98</v>
      </c>
      <c r="E5333" s="0" t="s">
        <v>7033</v>
      </c>
    </row>
    <row r="5334" customFormat="false" ht="15" hidden="false" customHeight="false" outlineLevel="0" collapsed="false">
      <c r="A5334" s="0" t="s">
        <v>740</v>
      </c>
      <c r="B5334" s="0" t="s">
        <v>7046</v>
      </c>
      <c r="C5334" s="0" t="s">
        <v>7047</v>
      </c>
      <c r="D5334" s="0" t="s">
        <v>98</v>
      </c>
      <c r="E5334" s="0" t="s">
        <v>7033</v>
      </c>
    </row>
    <row r="5335" customFormat="false" ht="15" hidden="false" customHeight="false" outlineLevel="0" collapsed="false">
      <c r="A5335" s="0" t="s">
        <v>740</v>
      </c>
      <c r="B5335" s="0" t="s">
        <v>7048</v>
      </c>
      <c r="C5335" s="0" t="s">
        <v>7049</v>
      </c>
      <c r="D5335" s="0" t="s">
        <v>98</v>
      </c>
      <c r="E5335" s="0" t="s">
        <v>7033</v>
      </c>
    </row>
    <row r="5336" customFormat="false" ht="15" hidden="false" customHeight="false" outlineLevel="0" collapsed="false">
      <c r="A5336" s="0" t="s">
        <v>740</v>
      </c>
      <c r="B5336" s="0" t="s">
        <v>7050</v>
      </c>
      <c r="C5336" s="0" t="s">
        <v>7051</v>
      </c>
      <c r="D5336" s="0" t="s">
        <v>98</v>
      </c>
      <c r="E5336" s="0" t="s">
        <v>7033</v>
      </c>
    </row>
    <row r="5337" customFormat="false" ht="15" hidden="false" customHeight="false" outlineLevel="0" collapsed="false">
      <c r="A5337" s="0" t="s">
        <v>740</v>
      </c>
      <c r="B5337" s="0" t="s">
        <v>7052</v>
      </c>
      <c r="C5337" s="0" t="s">
        <v>7053</v>
      </c>
      <c r="D5337" s="0" t="s">
        <v>98</v>
      </c>
      <c r="E5337" s="0" t="s">
        <v>7033</v>
      </c>
    </row>
    <row r="5338" customFormat="false" ht="15" hidden="false" customHeight="false" outlineLevel="0" collapsed="false">
      <c r="A5338" s="0" t="s">
        <v>740</v>
      </c>
      <c r="B5338" s="0" t="s">
        <v>7054</v>
      </c>
      <c r="C5338" s="0" t="s">
        <v>7055</v>
      </c>
      <c r="D5338" s="0" t="s">
        <v>98</v>
      </c>
      <c r="E5338" s="0" t="s">
        <v>7033</v>
      </c>
    </row>
    <row r="5339" customFormat="false" ht="15" hidden="false" customHeight="false" outlineLevel="0" collapsed="false">
      <c r="A5339" s="0" t="s">
        <v>740</v>
      </c>
      <c r="B5339" s="0" t="s">
        <v>7056</v>
      </c>
      <c r="C5339" s="0" t="s">
        <v>7057</v>
      </c>
      <c r="D5339" s="0" t="s">
        <v>98</v>
      </c>
      <c r="E5339" s="0" t="s">
        <v>7033</v>
      </c>
    </row>
    <row r="5340" customFormat="false" ht="15" hidden="false" customHeight="false" outlineLevel="0" collapsed="false">
      <c r="A5340" s="0" t="s">
        <v>740</v>
      </c>
      <c r="B5340" s="0" t="s">
        <v>7058</v>
      </c>
      <c r="C5340" s="0" t="s">
        <v>7059</v>
      </c>
      <c r="D5340" s="0" t="s">
        <v>98</v>
      </c>
      <c r="E5340" s="0" t="s">
        <v>7033</v>
      </c>
    </row>
    <row r="5341" customFormat="false" ht="15" hidden="false" customHeight="false" outlineLevel="0" collapsed="false">
      <c r="A5341" s="0" t="s">
        <v>740</v>
      </c>
      <c r="B5341" s="0" t="s">
        <v>7060</v>
      </c>
      <c r="C5341" s="0" t="s">
        <v>7061</v>
      </c>
      <c r="D5341" s="0" t="s">
        <v>98</v>
      </c>
      <c r="E5341" s="0" t="s">
        <v>7033</v>
      </c>
    </row>
    <row r="5342" customFormat="false" ht="15" hidden="false" customHeight="false" outlineLevel="0" collapsed="false">
      <c r="A5342" s="0" t="s">
        <v>740</v>
      </c>
      <c r="B5342" s="0" t="s">
        <v>7062</v>
      </c>
      <c r="C5342" s="0" t="s">
        <v>7063</v>
      </c>
      <c r="D5342" s="0" t="s">
        <v>98</v>
      </c>
      <c r="E5342" s="0" t="s">
        <v>7033</v>
      </c>
    </row>
    <row r="5343" customFormat="false" ht="15" hidden="false" customHeight="false" outlineLevel="0" collapsed="false">
      <c r="A5343" s="0" t="s">
        <v>740</v>
      </c>
      <c r="B5343" s="0" t="s">
        <v>7064</v>
      </c>
      <c r="C5343" s="0" t="s">
        <v>7065</v>
      </c>
      <c r="D5343" s="0" t="s">
        <v>98</v>
      </c>
      <c r="E5343" s="0" t="s">
        <v>7033</v>
      </c>
    </row>
    <row r="5344" customFormat="false" ht="15" hidden="false" customHeight="false" outlineLevel="0" collapsed="false">
      <c r="A5344" s="0" t="s">
        <v>740</v>
      </c>
      <c r="B5344" s="0" t="s">
        <v>7066</v>
      </c>
      <c r="C5344" s="0" t="s">
        <v>7067</v>
      </c>
      <c r="D5344" s="0" t="s">
        <v>98</v>
      </c>
      <c r="E5344" s="0" t="s">
        <v>7033</v>
      </c>
    </row>
    <row r="5345" customFormat="false" ht="15" hidden="false" customHeight="false" outlineLevel="0" collapsed="false">
      <c r="A5345" s="0" t="s">
        <v>740</v>
      </c>
      <c r="B5345" s="0" t="s">
        <v>7068</v>
      </c>
      <c r="C5345" s="0" t="s">
        <v>7069</v>
      </c>
      <c r="D5345" s="0" t="s">
        <v>98</v>
      </c>
      <c r="E5345" s="0" t="s">
        <v>7033</v>
      </c>
    </row>
    <row r="5346" customFormat="false" ht="15" hidden="false" customHeight="false" outlineLevel="0" collapsed="false">
      <c r="A5346" s="0" t="s">
        <v>740</v>
      </c>
      <c r="B5346" s="0" t="s">
        <v>7070</v>
      </c>
      <c r="C5346" s="0" t="s">
        <v>7071</v>
      </c>
      <c r="D5346" s="0" t="s">
        <v>98</v>
      </c>
      <c r="E5346" s="0" t="s">
        <v>7033</v>
      </c>
    </row>
    <row r="5347" customFormat="false" ht="15" hidden="false" customHeight="false" outlineLevel="0" collapsed="false">
      <c r="A5347" s="0" t="s">
        <v>740</v>
      </c>
      <c r="B5347" s="0" t="s">
        <v>7072</v>
      </c>
      <c r="C5347" s="0" t="s">
        <v>7073</v>
      </c>
      <c r="D5347" s="0" t="s">
        <v>98</v>
      </c>
      <c r="E5347" s="0" t="s">
        <v>7033</v>
      </c>
    </row>
    <row r="5348" customFormat="false" ht="15" hidden="false" customHeight="false" outlineLevel="0" collapsed="false">
      <c r="A5348" s="0" t="s">
        <v>740</v>
      </c>
      <c r="B5348" s="0" t="s">
        <v>7074</v>
      </c>
      <c r="C5348" s="0" t="s">
        <v>7075</v>
      </c>
      <c r="D5348" s="0" t="s">
        <v>98</v>
      </c>
      <c r="E5348" s="0" t="s">
        <v>7033</v>
      </c>
    </row>
    <row r="5349" customFormat="false" ht="15" hidden="false" customHeight="false" outlineLevel="0" collapsed="false">
      <c r="A5349" s="0" t="s">
        <v>740</v>
      </c>
      <c r="B5349" s="0" t="s">
        <v>7076</v>
      </c>
      <c r="C5349" s="0" t="s">
        <v>7077</v>
      </c>
      <c r="D5349" s="0" t="s">
        <v>98</v>
      </c>
      <c r="E5349" s="0" t="s">
        <v>7033</v>
      </c>
    </row>
    <row r="5350" customFormat="false" ht="15" hidden="false" customHeight="false" outlineLevel="0" collapsed="false">
      <c r="A5350" s="0" t="s">
        <v>740</v>
      </c>
      <c r="B5350" s="0" t="s">
        <v>7078</v>
      </c>
      <c r="C5350" s="0" t="s">
        <v>7079</v>
      </c>
      <c r="D5350" s="0" t="s">
        <v>98</v>
      </c>
      <c r="E5350" s="0" t="s">
        <v>7033</v>
      </c>
    </row>
    <row r="5351" customFormat="false" ht="15" hidden="false" customHeight="false" outlineLevel="0" collapsed="false">
      <c r="A5351" s="0" t="s">
        <v>740</v>
      </c>
      <c r="B5351" s="0" t="s">
        <v>7080</v>
      </c>
      <c r="C5351" s="0" t="s">
        <v>7081</v>
      </c>
      <c r="D5351" s="0" t="s">
        <v>98</v>
      </c>
      <c r="E5351" s="0" t="s">
        <v>7033</v>
      </c>
    </row>
    <row r="5352" customFormat="false" ht="15" hidden="false" customHeight="false" outlineLevel="0" collapsed="false">
      <c r="A5352" s="0" t="s">
        <v>740</v>
      </c>
      <c r="B5352" s="0" t="s">
        <v>7082</v>
      </c>
      <c r="C5352" s="0" t="s">
        <v>7083</v>
      </c>
      <c r="D5352" s="0" t="s">
        <v>98</v>
      </c>
      <c r="E5352" s="0" t="s">
        <v>7033</v>
      </c>
    </row>
    <row r="5353" customFormat="false" ht="15" hidden="false" customHeight="false" outlineLevel="0" collapsed="false">
      <c r="A5353" s="0" t="s">
        <v>740</v>
      </c>
      <c r="B5353" s="0" t="s">
        <v>7084</v>
      </c>
      <c r="C5353" s="0" t="s">
        <v>7085</v>
      </c>
      <c r="D5353" s="0" t="s">
        <v>98</v>
      </c>
      <c r="E5353" s="0" t="s">
        <v>7033</v>
      </c>
    </row>
    <row r="5354" customFormat="false" ht="15" hidden="false" customHeight="false" outlineLevel="0" collapsed="false">
      <c r="A5354" s="0" t="s">
        <v>740</v>
      </c>
      <c r="B5354" s="0" t="s">
        <v>7086</v>
      </c>
      <c r="C5354" s="0" t="s">
        <v>7087</v>
      </c>
      <c r="D5354" s="0" t="s">
        <v>98</v>
      </c>
      <c r="E5354" s="0" t="s">
        <v>7033</v>
      </c>
    </row>
    <row r="5355" customFormat="false" ht="15" hidden="false" customHeight="false" outlineLevel="0" collapsed="false">
      <c r="A5355" s="0" t="s">
        <v>740</v>
      </c>
      <c r="B5355" s="0" t="s">
        <v>7088</v>
      </c>
      <c r="C5355" s="0" t="s">
        <v>7089</v>
      </c>
      <c r="D5355" s="0" t="s">
        <v>98</v>
      </c>
      <c r="E5355" s="0" t="s">
        <v>7090</v>
      </c>
    </row>
    <row r="5356" customFormat="false" ht="15" hidden="false" customHeight="false" outlineLevel="0" collapsed="false">
      <c r="A5356" s="0" t="s">
        <v>740</v>
      </c>
      <c r="B5356" s="0" t="s">
        <v>7091</v>
      </c>
      <c r="C5356" s="0" t="s">
        <v>7092</v>
      </c>
      <c r="D5356" s="0" t="s">
        <v>98</v>
      </c>
      <c r="E5356" s="0" t="s">
        <v>7090</v>
      </c>
    </row>
    <row r="5357" customFormat="false" ht="15" hidden="false" customHeight="false" outlineLevel="0" collapsed="false">
      <c r="A5357" s="0" t="s">
        <v>740</v>
      </c>
      <c r="B5357" s="0" t="s">
        <v>7093</v>
      </c>
      <c r="C5357" s="0" t="s">
        <v>7094</v>
      </c>
      <c r="D5357" s="0" t="s">
        <v>98</v>
      </c>
      <c r="E5357" s="0" t="s">
        <v>7090</v>
      </c>
    </row>
    <row r="5358" customFormat="false" ht="15" hidden="false" customHeight="false" outlineLevel="0" collapsed="false">
      <c r="A5358" s="0" t="s">
        <v>740</v>
      </c>
      <c r="B5358" s="0" t="s">
        <v>7095</v>
      </c>
      <c r="C5358" s="0" t="s">
        <v>7096</v>
      </c>
      <c r="D5358" s="0" t="s">
        <v>98</v>
      </c>
      <c r="E5358" s="0" t="s">
        <v>7090</v>
      </c>
    </row>
    <row r="5359" customFormat="false" ht="15" hidden="false" customHeight="false" outlineLevel="0" collapsed="false">
      <c r="A5359" s="0" t="s">
        <v>740</v>
      </c>
      <c r="B5359" s="0" t="s">
        <v>7097</v>
      </c>
      <c r="C5359" s="0" t="s">
        <v>7098</v>
      </c>
      <c r="D5359" s="0" t="s">
        <v>98</v>
      </c>
      <c r="E5359" s="0" t="s">
        <v>7090</v>
      </c>
    </row>
    <row r="5360" customFormat="false" ht="15" hidden="false" customHeight="false" outlineLevel="0" collapsed="false">
      <c r="A5360" s="0" t="s">
        <v>740</v>
      </c>
      <c r="B5360" s="0" t="s">
        <v>7099</v>
      </c>
      <c r="C5360" s="0" t="s">
        <v>7100</v>
      </c>
      <c r="D5360" s="0" t="s">
        <v>98</v>
      </c>
      <c r="E5360" s="0" t="s">
        <v>7090</v>
      </c>
    </row>
    <row r="5361" customFormat="false" ht="15" hidden="false" customHeight="false" outlineLevel="0" collapsed="false">
      <c r="A5361" s="0" t="s">
        <v>740</v>
      </c>
      <c r="B5361" s="0" t="s">
        <v>7101</v>
      </c>
      <c r="C5361" s="0" t="s">
        <v>7102</v>
      </c>
      <c r="D5361" s="0" t="s">
        <v>98</v>
      </c>
      <c r="E5361" s="0" t="s">
        <v>7090</v>
      </c>
    </row>
    <row r="5362" customFormat="false" ht="15" hidden="false" customHeight="false" outlineLevel="0" collapsed="false">
      <c r="A5362" s="0" t="s">
        <v>740</v>
      </c>
      <c r="B5362" s="0" t="s">
        <v>7103</v>
      </c>
      <c r="C5362" s="0" t="s">
        <v>7104</v>
      </c>
      <c r="D5362" s="0" t="s">
        <v>98</v>
      </c>
      <c r="E5362" s="0" t="s">
        <v>7090</v>
      </c>
    </row>
    <row r="5363" customFormat="false" ht="15" hidden="false" customHeight="false" outlineLevel="0" collapsed="false">
      <c r="A5363" s="0" t="s">
        <v>740</v>
      </c>
      <c r="B5363" s="0" t="s">
        <v>7105</v>
      </c>
      <c r="C5363" s="0" t="s">
        <v>7106</v>
      </c>
      <c r="D5363" s="0" t="s">
        <v>98</v>
      </c>
      <c r="E5363" s="0" t="s">
        <v>7090</v>
      </c>
    </row>
    <row r="5364" customFormat="false" ht="15" hidden="false" customHeight="false" outlineLevel="0" collapsed="false">
      <c r="A5364" s="0" t="s">
        <v>740</v>
      </c>
      <c r="B5364" s="0" t="s">
        <v>7107</v>
      </c>
      <c r="C5364" s="0" t="s">
        <v>7108</v>
      </c>
      <c r="D5364" s="0" t="s">
        <v>98</v>
      </c>
      <c r="E5364" s="0" t="s">
        <v>7090</v>
      </c>
    </row>
    <row r="5365" customFormat="false" ht="15" hidden="false" customHeight="false" outlineLevel="0" collapsed="false">
      <c r="A5365" s="0" t="s">
        <v>740</v>
      </c>
      <c r="B5365" s="0" t="s">
        <v>7109</v>
      </c>
      <c r="C5365" s="0" t="s">
        <v>7110</v>
      </c>
      <c r="D5365" s="0" t="s">
        <v>98</v>
      </c>
      <c r="E5365" s="0" t="s">
        <v>7090</v>
      </c>
    </row>
    <row r="5366" customFormat="false" ht="15" hidden="false" customHeight="false" outlineLevel="0" collapsed="false">
      <c r="A5366" s="0" t="s">
        <v>740</v>
      </c>
      <c r="B5366" s="0" t="s">
        <v>7111</v>
      </c>
      <c r="C5366" s="0" t="s">
        <v>7112</v>
      </c>
      <c r="D5366" s="0" t="s">
        <v>98</v>
      </c>
      <c r="E5366" s="0" t="s">
        <v>7090</v>
      </c>
    </row>
    <row r="5367" customFormat="false" ht="15" hidden="false" customHeight="false" outlineLevel="0" collapsed="false">
      <c r="A5367" s="0" t="s">
        <v>740</v>
      </c>
      <c r="B5367" s="0" t="s">
        <v>7113</v>
      </c>
      <c r="C5367" s="0" t="s">
        <v>7114</v>
      </c>
      <c r="D5367" s="0" t="s">
        <v>98</v>
      </c>
      <c r="E5367" s="0" t="s">
        <v>7090</v>
      </c>
    </row>
    <row r="5368" customFormat="false" ht="15" hidden="false" customHeight="false" outlineLevel="0" collapsed="false">
      <c r="A5368" s="0" t="s">
        <v>740</v>
      </c>
      <c r="B5368" s="0" t="s">
        <v>7115</v>
      </c>
      <c r="C5368" s="0" t="s">
        <v>7116</v>
      </c>
      <c r="D5368" s="0" t="s">
        <v>98</v>
      </c>
      <c r="E5368" s="0" t="s">
        <v>7090</v>
      </c>
    </row>
    <row r="5369" customFormat="false" ht="15" hidden="false" customHeight="false" outlineLevel="0" collapsed="false">
      <c r="A5369" s="0" t="s">
        <v>740</v>
      </c>
      <c r="B5369" s="0" t="s">
        <v>7117</v>
      </c>
      <c r="C5369" s="0" t="s">
        <v>7118</v>
      </c>
      <c r="D5369" s="0" t="s">
        <v>98</v>
      </c>
      <c r="E5369" s="0" t="s">
        <v>7090</v>
      </c>
    </row>
    <row r="5370" customFormat="false" ht="15" hidden="false" customHeight="false" outlineLevel="0" collapsed="false">
      <c r="A5370" s="0" t="s">
        <v>740</v>
      </c>
      <c r="B5370" s="0" t="s">
        <v>7119</v>
      </c>
      <c r="C5370" s="0" t="s">
        <v>7120</v>
      </c>
      <c r="D5370" s="0" t="s">
        <v>98</v>
      </c>
      <c r="E5370" s="0" t="s">
        <v>7090</v>
      </c>
    </row>
    <row r="5371" customFormat="false" ht="15" hidden="false" customHeight="false" outlineLevel="0" collapsed="false">
      <c r="A5371" s="0" t="s">
        <v>740</v>
      </c>
      <c r="B5371" s="0" t="s">
        <v>7121</v>
      </c>
      <c r="C5371" s="0" t="s">
        <v>7122</v>
      </c>
      <c r="D5371" s="0" t="s">
        <v>98</v>
      </c>
      <c r="E5371" s="0" t="s">
        <v>7090</v>
      </c>
    </row>
    <row r="5372" customFormat="false" ht="15" hidden="false" customHeight="false" outlineLevel="0" collapsed="false">
      <c r="A5372" s="0" t="s">
        <v>740</v>
      </c>
      <c r="B5372" s="0" t="s">
        <v>7123</v>
      </c>
      <c r="C5372" s="0" t="s">
        <v>7124</v>
      </c>
      <c r="D5372" s="0" t="s">
        <v>98</v>
      </c>
      <c r="E5372" s="0" t="s">
        <v>7090</v>
      </c>
    </row>
    <row r="5373" customFormat="false" ht="15" hidden="false" customHeight="false" outlineLevel="0" collapsed="false">
      <c r="A5373" s="0" t="s">
        <v>740</v>
      </c>
      <c r="B5373" s="0" t="s">
        <v>7125</v>
      </c>
      <c r="C5373" s="0" t="s">
        <v>7126</v>
      </c>
      <c r="D5373" s="0" t="s">
        <v>98</v>
      </c>
      <c r="E5373" s="0" t="s">
        <v>7090</v>
      </c>
    </row>
    <row r="5374" customFormat="false" ht="15" hidden="false" customHeight="false" outlineLevel="0" collapsed="false">
      <c r="A5374" s="0" t="s">
        <v>740</v>
      </c>
      <c r="B5374" s="0" t="s">
        <v>7127</v>
      </c>
      <c r="C5374" s="0" t="s">
        <v>7128</v>
      </c>
      <c r="D5374" s="0" t="s">
        <v>98</v>
      </c>
      <c r="E5374" s="0" t="s">
        <v>7090</v>
      </c>
    </row>
    <row r="5375" customFormat="false" ht="15" hidden="false" customHeight="false" outlineLevel="0" collapsed="false">
      <c r="A5375" s="0" t="s">
        <v>740</v>
      </c>
      <c r="B5375" s="0" t="s">
        <v>7129</v>
      </c>
      <c r="C5375" s="0" t="s">
        <v>7130</v>
      </c>
      <c r="D5375" s="0" t="s">
        <v>98</v>
      </c>
      <c r="E5375" s="0" t="s">
        <v>7090</v>
      </c>
    </row>
    <row r="5376" customFormat="false" ht="15" hidden="false" customHeight="false" outlineLevel="0" collapsed="false">
      <c r="A5376" s="0" t="s">
        <v>740</v>
      </c>
      <c r="B5376" s="0" t="s">
        <v>7131</v>
      </c>
      <c r="C5376" s="0" t="s">
        <v>7132</v>
      </c>
      <c r="D5376" s="0" t="s">
        <v>98</v>
      </c>
      <c r="E5376" s="0" t="s">
        <v>7090</v>
      </c>
    </row>
    <row r="5377" customFormat="false" ht="15" hidden="false" customHeight="false" outlineLevel="0" collapsed="false">
      <c r="A5377" s="0" t="s">
        <v>740</v>
      </c>
      <c r="B5377" s="0" t="s">
        <v>7133</v>
      </c>
      <c r="C5377" s="0" t="s">
        <v>7134</v>
      </c>
      <c r="D5377" s="0" t="s">
        <v>98</v>
      </c>
      <c r="E5377" s="0" t="s">
        <v>7090</v>
      </c>
    </row>
    <row r="5378" customFormat="false" ht="15" hidden="false" customHeight="false" outlineLevel="0" collapsed="false">
      <c r="A5378" s="0" t="s">
        <v>740</v>
      </c>
      <c r="B5378" s="0" t="s">
        <v>7135</v>
      </c>
      <c r="C5378" s="0" t="s">
        <v>7136</v>
      </c>
      <c r="D5378" s="0" t="s">
        <v>98</v>
      </c>
      <c r="E5378" s="0" t="s">
        <v>7090</v>
      </c>
    </row>
    <row r="5379" customFormat="false" ht="15" hidden="false" customHeight="false" outlineLevel="0" collapsed="false">
      <c r="A5379" s="0" t="s">
        <v>740</v>
      </c>
      <c r="B5379" s="0" t="s">
        <v>7137</v>
      </c>
      <c r="C5379" s="0" t="s">
        <v>7138</v>
      </c>
      <c r="D5379" s="0" t="s">
        <v>98</v>
      </c>
      <c r="E5379" s="0" t="s">
        <v>7090</v>
      </c>
    </row>
    <row r="5380" customFormat="false" ht="15" hidden="false" customHeight="false" outlineLevel="0" collapsed="false">
      <c r="A5380" s="0" t="s">
        <v>740</v>
      </c>
      <c r="B5380" s="0" t="s">
        <v>7139</v>
      </c>
      <c r="C5380" s="0" t="s">
        <v>7140</v>
      </c>
      <c r="D5380" s="0" t="s">
        <v>98</v>
      </c>
      <c r="E5380" s="0" t="s">
        <v>7090</v>
      </c>
    </row>
    <row r="5381" customFormat="false" ht="15" hidden="false" customHeight="false" outlineLevel="0" collapsed="false">
      <c r="A5381" s="0" t="s">
        <v>740</v>
      </c>
      <c r="B5381" s="0" t="s">
        <v>7141</v>
      </c>
      <c r="C5381" s="0" t="s">
        <v>7142</v>
      </c>
      <c r="D5381" s="0" t="s">
        <v>98</v>
      </c>
      <c r="E5381" s="0" t="s">
        <v>7090</v>
      </c>
    </row>
    <row r="5382" customFormat="false" ht="15" hidden="false" customHeight="false" outlineLevel="0" collapsed="false">
      <c r="A5382" s="0" t="s">
        <v>740</v>
      </c>
      <c r="B5382" s="0" t="s">
        <v>7143</v>
      </c>
      <c r="C5382" s="0" t="s">
        <v>7144</v>
      </c>
      <c r="D5382" s="0" t="s">
        <v>98</v>
      </c>
      <c r="E5382" s="0" t="s">
        <v>7090</v>
      </c>
    </row>
    <row r="5383" customFormat="false" ht="15" hidden="false" customHeight="false" outlineLevel="0" collapsed="false">
      <c r="A5383" s="0" t="s">
        <v>740</v>
      </c>
      <c r="B5383" s="0" t="s">
        <v>7145</v>
      </c>
      <c r="C5383" s="0" t="s">
        <v>1159</v>
      </c>
      <c r="D5383" s="0" t="s">
        <v>86</v>
      </c>
      <c r="E5383" s="0" t="s">
        <v>7146</v>
      </c>
    </row>
    <row r="5384" customFormat="false" ht="15" hidden="false" customHeight="false" outlineLevel="0" collapsed="false">
      <c r="A5384" s="0" t="s">
        <v>740</v>
      </c>
      <c r="B5384" s="0" t="s">
        <v>7147</v>
      </c>
      <c r="C5384" s="0" t="s">
        <v>1424</v>
      </c>
      <c r="D5384" s="0" t="s">
        <v>4321</v>
      </c>
      <c r="E5384" s="0" t="s">
        <v>7148</v>
      </c>
    </row>
    <row r="5385" customFormat="false" ht="15" hidden="false" customHeight="false" outlineLevel="0" collapsed="false">
      <c r="A5385" s="0" t="s">
        <v>740</v>
      </c>
      <c r="B5385" s="0" t="s">
        <v>7149</v>
      </c>
      <c r="C5385" s="0" t="s">
        <v>7150</v>
      </c>
      <c r="D5385" s="0" t="s">
        <v>93</v>
      </c>
      <c r="E5385" s="0" t="s">
        <v>7151</v>
      </c>
    </row>
    <row r="5386" customFormat="false" ht="15" hidden="false" customHeight="false" outlineLevel="0" collapsed="false">
      <c r="A5386" s="0" t="s">
        <v>740</v>
      </c>
      <c r="B5386" s="0" t="s">
        <v>7152</v>
      </c>
      <c r="C5386" s="0" t="s">
        <v>7153</v>
      </c>
      <c r="D5386" s="0" t="s">
        <v>93</v>
      </c>
      <c r="E5386" s="0" t="s">
        <v>7151</v>
      </c>
    </row>
    <row r="5387" customFormat="false" ht="15" hidden="false" customHeight="false" outlineLevel="0" collapsed="false">
      <c r="A5387" s="0" t="s">
        <v>740</v>
      </c>
      <c r="B5387" s="0" t="s">
        <v>7154</v>
      </c>
      <c r="C5387" s="0" t="s">
        <v>7155</v>
      </c>
      <c r="D5387" s="0" t="s">
        <v>93</v>
      </c>
      <c r="E5387" s="0" t="s">
        <v>7151</v>
      </c>
    </row>
    <row r="5388" customFormat="false" ht="15" hidden="false" customHeight="false" outlineLevel="0" collapsed="false">
      <c r="A5388" s="0" t="s">
        <v>740</v>
      </c>
      <c r="B5388" s="0" t="s">
        <v>7156</v>
      </c>
      <c r="C5388" s="0" t="s">
        <v>7157</v>
      </c>
      <c r="D5388" s="0" t="s">
        <v>93</v>
      </c>
      <c r="E5388" s="0" t="s">
        <v>7151</v>
      </c>
    </row>
    <row r="5389" customFormat="false" ht="15" hidden="false" customHeight="false" outlineLevel="0" collapsed="false">
      <c r="A5389" s="0" t="s">
        <v>740</v>
      </c>
      <c r="B5389" s="0" t="s">
        <v>7158</v>
      </c>
      <c r="C5389" s="0" t="s">
        <v>7159</v>
      </c>
      <c r="D5389" s="0" t="s">
        <v>93</v>
      </c>
      <c r="E5389" s="0" t="s">
        <v>7151</v>
      </c>
    </row>
    <row r="5390" customFormat="false" ht="15" hidden="false" customHeight="false" outlineLevel="0" collapsed="false">
      <c r="A5390" s="0" t="s">
        <v>740</v>
      </c>
      <c r="B5390" s="0" t="s">
        <v>7160</v>
      </c>
      <c r="C5390" s="0" t="s">
        <v>7161</v>
      </c>
      <c r="D5390" s="0" t="s">
        <v>93</v>
      </c>
      <c r="E5390" s="0" t="s">
        <v>7151</v>
      </c>
    </row>
    <row r="5391" customFormat="false" ht="15" hidden="false" customHeight="false" outlineLevel="0" collapsed="false">
      <c r="A5391" s="0" t="s">
        <v>740</v>
      </c>
      <c r="B5391" s="0" t="s">
        <v>7162</v>
      </c>
      <c r="C5391" s="0" t="s">
        <v>65</v>
      </c>
      <c r="D5391" s="0" t="s">
        <v>86</v>
      </c>
      <c r="E5391" s="0" t="s">
        <v>7163</v>
      </c>
    </row>
    <row r="5392" customFormat="false" ht="15" hidden="false" customHeight="false" outlineLevel="0" collapsed="false">
      <c r="A5392" s="0" t="s">
        <v>740</v>
      </c>
      <c r="B5392" s="0" t="s">
        <v>7164</v>
      </c>
      <c r="C5392" s="0" t="s">
        <v>65</v>
      </c>
      <c r="D5392" s="0" t="s">
        <v>86</v>
      </c>
      <c r="E5392" s="0" t="s">
        <v>7163</v>
      </c>
    </row>
    <row r="5393" customFormat="false" ht="15" hidden="false" customHeight="false" outlineLevel="0" collapsed="false">
      <c r="A5393" s="0" t="s">
        <v>740</v>
      </c>
      <c r="B5393" s="0" t="s">
        <v>7165</v>
      </c>
      <c r="C5393" s="0" t="s">
        <v>65</v>
      </c>
      <c r="D5393" s="0" t="s">
        <v>86</v>
      </c>
      <c r="E5393" s="0" t="s">
        <v>7163</v>
      </c>
    </row>
    <row r="5394" customFormat="false" ht="15" hidden="false" customHeight="false" outlineLevel="0" collapsed="false">
      <c r="A5394" s="0" t="s">
        <v>740</v>
      </c>
      <c r="B5394" s="0" t="s">
        <v>7166</v>
      </c>
      <c r="C5394" s="0" t="s">
        <v>65</v>
      </c>
      <c r="D5394" s="0" t="s">
        <v>86</v>
      </c>
      <c r="E5394" s="0" t="s">
        <v>7163</v>
      </c>
    </row>
    <row r="5395" customFormat="false" ht="15" hidden="false" customHeight="false" outlineLevel="0" collapsed="false">
      <c r="A5395" s="0" t="s">
        <v>740</v>
      </c>
      <c r="B5395" s="0" t="s">
        <v>7167</v>
      </c>
      <c r="C5395" s="0" t="s">
        <v>65</v>
      </c>
      <c r="D5395" s="0" t="s">
        <v>86</v>
      </c>
      <c r="E5395" s="0" t="s">
        <v>7163</v>
      </c>
    </row>
    <row r="5396" customFormat="false" ht="15" hidden="false" customHeight="false" outlineLevel="0" collapsed="false">
      <c r="A5396" s="0" t="s">
        <v>740</v>
      </c>
      <c r="B5396" s="0" t="s">
        <v>7168</v>
      </c>
      <c r="C5396" s="0" t="s">
        <v>65</v>
      </c>
      <c r="D5396" s="0" t="s">
        <v>86</v>
      </c>
      <c r="E5396" s="0" t="s">
        <v>7163</v>
      </c>
    </row>
    <row r="5397" customFormat="false" ht="15" hidden="false" customHeight="false" outlineLevel="0" collapsed="false">
      <c r="A5397" s="0" t="s">
        <v>740</v>
      </c>
      <c r="B5397" s="0" t="s">
        <v>7169</v>
      </c>
      <c r="C5397" s="0" t="s">
        <v>65</v>
      </c>
      <c r="D5397" s="0" t="s">
        <v>86</v>
      </c>
      <c r="E5397" s="0" t="s">
        <v>7163</v>
      </c>
    </row>
    <row r="5398" customFormat="false" ht="15" hidden="false" customHeight="false" outlineLevel="0" collapsed="false">
      <c r="A5398" s="0" t="s">
        <v>740</v>
      </c>
      <c r="B5398" s="0" t="s">
        <v>7170</v>
      </c>
      <c r="C5398" s="0" t="s">
        <v>65</v>
      </c>
      <c r="D5398" s="0" t="s">
        <v>86</v>
      </c>
      <c r="E5398" s="0" t="s">
        <v>7163</v>
      </c>
    </row>
    <row r="5399" customFormat="false" ht="15" hidden="false" customHeight="false" outlineLevel="0" collapsed="false">
      <c r="A5399" s="0" t="s">
        <v>740</v>
      </c>
      <c r="B5399" s="0" t="s">
        <v>7171</v>
      </c>
      <c r="C5399" s="0" t="s">
        <v>65</v>
      </c>
      <c r="D5399" s="0" t="s">
        <v>86</v>
      </c>
      <c r="E5399" s="0" t="s">
        <v>7163</v>
      </c>
    </row>
    <row r="5400" customFormat="false" ht="15" hidden="false" customHeight="false" outlineLevel="0" collapsed="false">
      <c r="A5400" s="0" t="s">
        <v>740</v>
      </c>
      <c r="B5400" s="0" t="s">
        <v>7172</v>
      </c>
      <c r="C5400" s="0" t="s">
        <v>65</v>
      </c>
      <c r="D5400" s="0" t="s">
        <v>86</v>
      </c>
      <c r="E5400" s="0" t="s">
        <v>7163</v>
      </c>
    </row>
    <row r="5401" customFormat="false" ht="15" hidden="false" customHeight="false" outlineLevel="0" collapsed="false">
      <c r="A5401" s="0" t="s">
        <v>740</v>
      </c>
      <c r="B5401" s="0" t="s">
        <v>7173</v>
      </c>
      <c r="C5401" s="0" t="s">
        <v>65</v>
      </c>
      <c r="D5401" s="0" t="s">
        <v>86</v>
      </c>
      <c r="E5401" s="0" t="s">
        <v>7163</v>
      </c>
    </row>
    <row r="5402" customFormat="false" ht="15" hidden="false" customHeight="false" outlineLevel="0" collapsed="false">
      <c r="A5402" s="0" t="s">
        <v>740</v>
      </c>
      <c r="B5402" s="0" t="s">
        <v>7174</v>
      </c>
      <c r="C5402" s="0" t="s">
        <v>65</v>
      </c>
      <c r="D5402" s="0" t="s">
        <v>86</v>
      </c>
      <c r="E5402" s="0" t="s">
        <v>7163</v>
      </c>
    </row>
    <row r="5403" customFormat="false" ht="15" hidden="false" customHeight="false" outlineLevel="0" collapsed="false">
      <c r="A5403" s="0" t="s">
        <v>740</v>
      </c>
      <c r="B5403" s="0" t="s">
        <v>7175</v>
      </c>
      <c r="C5403" s="0" t="s">
        <v>1159</v>
      </c>
      <c r="D5403" s="0" t="s">
        <v>86</v>
      </c>
      <c r="E5403" s="0" t="s">
        <v>7146</v>
      </c>
    </row>
    <row r="5404" customFormat="false" ht="15" hidden="false" customHeight="false" outlineLevel="0" collapsed="false">
      <c r="A5404" s="0" t="s">
        <v>740</v>
      </c>
      <c r="B5404" s="0" t="s">
        <v>7176</v>
      </c>
      <c r="C5404" s="0" t="s">
        <v>1424</v>
      </c>
      <c r="D5404" s="0" t="s">
        <v>4321</v>
      </c>
      <c r="E5404" s="0" t="s">
        <v>7148</v>
      </c>
    </row>
    <row r="5405" customFormat="false" ht="15" hidden="false" customHeight="false" outlineLevel="0" collapsed="false">
      <c r="A5405" s="0" t="s">
        <v>740</v>
      </c>
      <c r="B5405" s="0" t="s">
        <v>7177</v>
      </c>
      <c r="C5405" s="0" t="s">
        <v>7178</v>
      </c>
      <c r="D5405" s="0" t="s">
        <v>93</v>
      </c>
      <c r="E5405" s="0" t="s">
        <v>7151</v>
      </c>
    </row>
    <row r="5406" customFormat="false" ht="15" hidden="false" customHeight="false" outlineLevel="0" collapsed="false">
      <c r="A5406" s="0" t="s">
        <v>740</v>
      </c>
      <c r="B5406" s="0" t="s">
        <v>7179</v>
      </c>
      <c r="C5406" s="0" t="s">
        <v>7180</v>
      </c>
      <c r="D5406" s="0" t="s">
        <v>93</v>
      </c>
      <c r="E5406" s="0" t="s">
        <v>7151</v>
      </c>
    </row>
    <row r="5407" customFormat="false" ht="15" hidden="false" customHeight="false" outlineLevel="0" collapsed="false">
      <c r="A5407" s="0" t="s">
        <v>740</v>
      </c>
      <c r="B5407" s="0" t="s">
        <v>7181</v>
      </c>
      <c r="C5407" s="0" t="s">
        <v>7182</v>
      </c>
      <c r="D5407" s="0" t="s">
        <v>93</v>
      </c>
      <c r="E5407" s="0" t="s">
        <v>7151</v>
      </c>
    </row>
    <row r="5408" customFormat="false" ht="15" hidden="false" customHeight="false" outlineLevel="0" collapsed="false">
      <c r="A5408" s="0" t="s">
        <v>740</v>
      </c>
      <c r="B5408" s="0" t="s">
        <v>7183</v>
      </c>
      <c r="C5408" s="0" t="s">
        <v>7184</v>
      </c>
      <c r="D5408" s="0" t="s">
        <v>93</v>
      </c>
      <c r="E5408" s="0" t="s">
        <v>7151</v>
      </c>
    </row>
    <row r="5409" customFormat="false" ht="15" hidden="false" customHeight="false" outlineLevel="0" collapsed="false">
      <c r="A5409" s="0" t="s">
        <v>740</v>
      </c>
      <c r="B5409" s="0" t="s">
        <v>7185</v>
      </c>
      <c r="C5409" s="0" t="s">
        <v>7186</v>
      </c>
      <c r="D5409" s="0" t="s">
        <v>93</v>
      </c>
      <c r="E5409" s="0" t="s">
        <v>7151</v>
      </c>
    </row>
    <row r="5410" customFormat="false" ht="15" hidden="false" customHeight="false" outlineLevel="0" collapsed="false">
      <c r="A5410" s="0" t="s">
        <v>740</v>
      </c>
      <c r="B5410" s="0" t="s">
        <v>7187</v>
      </c>
      <c r="C5410" s="0" t="s">
        <v>7188</v>
      </c>
      <c r="D5410" s="0" t="s">
        <v>93</v>
      </c>
      <c r="E5410" s="0" t="s">
        <v>7151</v>
      </c>
    </row>
    <row r="5411" customFormat="false" ht="15" hidden="false" customHeight="false" outlineLevel="0" collapsed="false">
      <c r="A5411" s="0" t="s">
        <v>740</v>
      </c>
      <c r="B5411" s="0" t="s">
        <v>7189</v>
      </c>
      <c r="C5411" s="0" t="s">
        <v>65</v>
      </c>
      <c r="D5411" s="0" t="s">
        <v>86</v>
      </c>
      <c r="E5411" s="0" t="s">
        <v>7163</v>
      </c>
    </row>
    <row r="5412" customFormat="false" ht="15" hidden="false" customHeight="false" outlineLevel="0" collapsed="false">
      <c r="A5412" s="0" t="s">
        <v>740</v>
      </c>
      <c r="B5412" s="0" t="s">
        <v>7190</v>
      </c>
      <c r="C5412" s="0" t="s">
        <v>65</v>
      </c>
      <c r="D5412" s="0" t="s">
        <v>86</v>
      </c>
      <c r="E5412" s="0" t="s">
        <v>7163</v>
      </c>
    </row>
    <row r="5413" customFormat="false" ht="15" hidden="false" customHeight="false" outlineLevel="0" collapsed="false">
      <c r="A5413" s="0" t="s">
        <v>740</v>
      </c>
      <c r="B5413" s="0" t="s">
        <v>7191</v>
      </c>
      <c r="C5413" s="0" t="s">
        <v>65</v>
      </c>
      <c r="D5413" s="0" t="s">
        <v>86</v>
      </c>
      <c r="E5413" s="0" t="s">
        <v>7163</v>
      </c>
    </row>
    <row r="5414" customFormat="false" ht="15" hidden="false" customHeight="false" outlineLevel="0" collapsed="false">
      <c r="A5414" s="0" t="s">
        <v>740</v>
      </c>
      <c r="B5414" s="0" t="s">
        <v>7192</v>
      </c>
      <c r="C5414" s="0" t="s">
        <v>65</v>
      </c>
      <c r="D5414" s="0" t="s">
        <v>86</v>
      </c>
      <c r="E5414" s="0" t="s">
        <v>7163</v>
      </c>
    </row>
    <row r="5415" customFormat="false" ht="15" hidden="false" customHeight="false" outlineLevel="0" collapsed="false">
      <c r="A5415" s="0" t="s">
        <v>740</v>
      </c>
      <c r="B5415" s="0" t="s">
        <v>7193</v>
      </c>
      <c r="C5415" s="0" t="s">
        <v>65</v>
      </c>
      <c r="D5415" s="0" t="s">
        <v>86</v>
      </c>
      <c r="E5415" s="0" t="s">
        <v>7163</v>
      </c>
    </row>
    <row r="5416" customFormat="false" ht="15" hidden="false" customHeight="false" outlineLevel="0" collapsed="false">
      <c r="A5416" s="0" t="s">
        <v>740</v>
      </c>
      <c r="B5416" s="0" t="s">
        <v>7194</v>
      </c>
      <c r="C5416" s="0" t="s">
        <v>65</v>
      </c>
      <c r="D5416" s="0" t="s">
        <v>86</v>
      </c>
      <c r="E5416" s="0" t="s">
        <v>7163</v>
      </c>
    </row>
    <row r="5417" customFormat="false" ht="15" hidden="false" customHeight="false" outlineLevel="0" collapsed="false">
      <c r="A5417" s="0" t="s">
        <v>740</v>
      </c>
      <c r="B5417" s="0" t="s">
        <v>7195</v>
      </c>
      <c r="C5417" s="0" t="s">
        <v>65</v>
      </c>
      <c r="D5417" s="0" t="s">
        <v>86</v>
      </c>
      <c r="E5417" s="0" t="s">
        <v>7163</v>
      </c>
    </row>
    <row r="5418" customFormat="false" ht="15" hidden="false" customHeight="false" outlineLevel="0" collapsed="false">
      <c r="A5418" s="0" t="s">
        <v>740</v>
      </c>
      <c r="B5418" s="0" t="s">
        <v>7196</v>
      </c>
      <c r="C5418" s="0" t="s">
        <v>65</v>
      </c>
      <c r="D5418" s="0" t="s">
        <v>86</v>
      </c>
      <c r="E5418" s="0" t="s">
        <v>7163</v>
      </c>
    </row>
    <row r="5419" customFormat="false" ht="15" hidden="false" customHeight="false" outlineLevel="0" collapsed="false">
      <c r="A5419" s="0" t="s">
        <v>740</v>
      </c>
      <c r="B5419" s="0" t="s">
        <v>7197</v>
      </c>
      <c r="C5419" s="0" t="s">
        <v>65</v>
      </c>
      <c r="D5419" s="0" t="s">
        <v>86</v>
      </c>
      <c r="E5419" s="0" t="s">
        <v>7163</v>
      </c>
    </row>
    <row r="5420" customFormat="false" ht="15" hidden="false" customHeight="false" outlineLevel="0" collapsed="false">
      <c r="A5420" s="0" t="s">
        <v>740</v>
      </c>
      <c r="B5420" s="0" t="s">
        <v>7198</v>
      </c>
      <c r="C5420" s="0" t="s">
        <v>65</v>
      </c>
      <c r="D5420" s="0" t="s">
        <v>86</v>
      </c>
      <c r="E5420" s="0" t="s">
        <v>7163</v>
      </c>
    </row>
    <row r="5421" customFormat="false" ht="15" hidden="false" customHeight="false" outlineLevel="0" collapsed="false">
      <c r="A5421" s="0" t="s">
        <v>740</v>
      </c>
      <c r="B5421" s="0" t="s">
        <v>7199</v>
      </c>
      <c r="C5421" s="0" t="s">
        <v>65</v>
      </c>
      <c r="D5421" s="0" t="s">
        <v>86</v>
      </c>
      <c r="E5421" s="0" t="s">
        <v>7163</v>
      </c>
    </row>
    <row r="5422" customFormat="false" ht="15" hidden="false" customHeight="false" outlineLevel="0" collapsed="false">
      <c r="A5422" s="0" t="s">
        <v>740</v>
      </c>
      <c r="B5422" s="0" t="s">
        <v>7200</v>
      </c>
      <c r="C5422" s="0" t="s">
        <v>65</v>
      </c>
      <c r="D5422" s="0" t="s">
        <v>86</v>
      </c>
      <c r="E5422" s="0" t="s">
        <v>7163</v>
      </c>
    </row>
    <row r="5423" customFormat="false" ht="15" hidden="false" customHeight="false" outlineLevel="0" collapsed="false">
      <c r="A5423" s="0" t="s">
        <v>740</v>
      </c>
      <c r="B5423" s="0" t="s">
        <v>7201</v>
      </c>
      <c r="C5423" s="0" t="s">
        <v>1159</v>
      </c>
      <c r="D5423" s="0" t="s">
        <v>86</v>
      </c>
      <c r="E5423" s="0" t="s">
        <v>7146</v>
      </c>
    </row>
    <row r="5424" customFormat="false" ht="15" hidden="false" customHeight="false" outlineLevel="0" collapsed="false">
      <c r="A5424" s="0" t="s">
        <v>740</v>
      </c>
      <c r="B5424" s="0" t="s">
        <v>7202</v>
      </c>
      <c r="C5424" s="0" t="s">
        <v>1424</v>
      </c>
      <c r="D5424" s="0" t="s">
        <v>4321</v>
      </c>
      <c r="E5424" s="0" t="s">
        <v>7148</v>
      </c>
    </row>
    <row r="5425" customFormat="false" ht="15" hidden="false" customHeight="false" outlineLevel="0" collapsed="false">
      <c r="A5425" s="0" t="s">
        <v>740</v>
      </c>
      <c r="B5425" s="0" t="s">
        <v>7203</v>
      </c>
      <c r="C5425" s="0" t="s">
        <v>7204</v>
      </c>
      <c r="D5425" s="0" t="s">
        <v>93</v>
      </c>
      <c r="E5425" s="0" t="s">
        <v>7151</v>
      </c>
    </row>
    <row r="5426" customFormat="false" ht="15" hidden="false" customHeight="false" outlineLevel="0" collapsed="false">
      <c r="A5426" s="0" t="s">
        <v>740</v>
      </c>
      <c r="B5426" s="0" t="s">
        <v>7205</v>
      </c>
      <c r="C5426" s="0" t="s">
        <v>7206</v>
      </c>
      <c r="D5426" s="0" t="s">
        <v>93</v>
      </c>
      <c r="E5426" s="0" t="s">
        <v>7151</v>
      </c>
    </row>
    <row r="5427" customFormat="false" ht="15" hidden="false" customHeight="false" outlineLevel="0" collapsed="false">
      <c r="A5427" s="0" t="s">
        <v>740</v>
      </c>
      <c r="B5427" s="0" t="s">
        <v>7207</v>
      </c>
      <c r="C5427" s="0" t="s">
        <v>7208</v>
      </c>
      <c r="D5427" s="0" t="s">
        <v>93</v>
      </c>
      <c r="E5427" s="0" t="s">
        <v>7151</v>
      </c>
    </row>
    <row r="5428" customFormat="false" ht="15" hidden="false" customHeight="false" outlineLevel="0" collapsed="false">
      <c r="A5428" s="0" t="s">
        <v>740</v>
      </c>
      <c r="B5428" s="0" t="s">
        <v>7209</v>
      </c>
      <c r="C5428" s="0" t="s">
        <v>7210</v>
      </c>
      <c r="D5428" s="0" t="s">
        <v>93</v>
      </c>
      <c r="E5428" s="0" t="s">
        <v>7151</v>
      </c>
    </row>
    <row r="5429" customFormat="false" ht="15" hidden="false" customHeight="false" outlineLevel="0" collapsed="false">
      <c r="A5429" s="0" t="s">
        <v>740</v>
      </c>
      <c r="B5429" s="0" t="s">
        <v>7211</v>
      </c>
      <c r="C5429" s="0" t="s">
        <v>7212</v>
      </c>
      <c r="D5429" s="0" t="s">
        <v>93</v>
      </c>
      <c r="E5429" s="0" t="s">
        <v>7151</v>
      </c>
    </row>
    <row r="5430" customFormat="false" ht="15" hidden="false" customHeight="false" outlineLevel="0" collapsed="false">
      <c r="A5430" s="0" t="s">
        <v>740</v>
      </c>
      <c r="B5430" s="0" t="s">
        <v>7213</v>
      </c>
      <c r="C5430" s="0" t="s">
        <v>7214</v>
      </c>
      <c r="D5430" s="0" t="s">
        <v>93</v>
      </c>
      <c r="E5430" s="0" t="s">
        <v>7151</v>
      </c>
    </row>
    <row r="5431" customFormat="false" ht="15" hidden="false" customHeight="false" outlineLevel="0" collapsed="false">
      <c r="A5431" s="0" t="s">
        <v>740</v>
      </c>
      <c r="B5431" s="0" t="s">
        <v>7215</v>
      </c>
      <c r="C5431" s="0" t="s">
        <v>65</v>
      </c>
      <c r="D5431" s="0" t="s">
        <v>86</v>
      </c>
      <c r="E5431" s="0" t="s">
        <v>7163</v>
      </c>
    </row>
    <row r="5432" customFormat="false" ht="15" hidden="false" customHeight="false" outlineLevel="0" collapsed="false">
      <c r="A5432" s="0" t="s">
        <v>740</v>
      </c>
      <c r="B5432" s="0" t="s">
        <v>7216</v>
      </c>
      <c r="C5432" s="0" t="s">
        <v>65</v>
      </c>
      <c r="D5432" s="0" t="s">
        <v>86</v>
      </c>
      <c r="E5432" s="0" t="s">
        <v>7163</v>
      </c>
    </row>
    <row r="5433" customFormat="false" ht="15" hidden="false" customHeight="false" outlineLevel="0" collapsed="false">
      <c r="A5433" s="0" t="s">
        <v>740</v>
      </c>
      <c r="B5433" s="0" t="s">
        <v>7217</v>
      </c>
      <c r="C5433" s="0" t="s">
        <v>65</v>
      </c>
      <c r="D5433" s="0" t="s">
        <v>86</v>
      </c>
      <c r="E5433" s="0" t="s">
        <v>7163</v>
      </c>
    </row>
    <row r="5434" customFormat="false" ht="15" hidden="false" customHeight="false" outlineLevel="0" collapsed="false">
      <c r="A5434" s="0" t="s">
        <v>740</v>
      </c>
      <c r="B5434" s="0" t="s">
        <v>7218</v>
      </c>
      <c r="C5434" s="0" t="s">
        <v>65</v>
      </c>
      <c r="D5434" s="0" t="s">
        <v>86</v>
      </c>
      <c r="E5434" s="0" t="s">
        <v>7163</v>
      </c>
    </row>
    <row r="5435" customFormat="false" ht="15" hidden="false" customHeight="false" outlineLevel="0" collapsed="false">
      <c r="A5435" s="0" t="s">
        <v>740</v>
      </c>
      <c r="B5435" s="0" t="s">
        <v>7219</v>
      </c>
      <c r="C5435" s="0" t="s">
        <v>65</v>
      </c>
      <c r="D5435" s="0" t="s">
        <v>86</v>
      </c>
      <c r="E5435" s="0" t="s">
        <v>7163</v>
      </c>
    </row>
    <row r="5436" customFormat="false" ht="15" hidden="false" customHeight="false" outlineLevel="0" collapsed="false">
      <c r="A5436" s="0" t="s">
        <v>740</v>
      </c>
      <c r="B5436" s="0" t="s">
        <v>7220</v>
      </c>
      <c r="C5436" s="0" t="s">
        <v>65</v>
      </c>
      <c r="D5436" s="0" t="s">
        <v>86</v>
      </c>
      <c r="E5436" s="0" t="s">
        <v>7163</v>
      </c>
    </row>
    <row r="5437" customFormat="false" ht="15" hidden="false" customHeight="false" outlineLevel="0" collapsed="false">
      <c r="A5437" s="0" t="s">
        <v>740</v>
      </c>
      <c r="B5437" s="0" t="s">
        <v>7221</v>
      </c>
      <c r="C5437" s="0" t="s">
        <v>65</v>
      </c>
      <c r="D5437" s="0" t="s">
        <v>86</v>
      </c>
      <c r="E5437" s="0" t="s">
        <v>7163</v>
      </c>
    </row>
    <row r="5438" customFormat="false" ht="15" hidden="false" customHeight="false" outlineLevel="0" collapsed="false">
      <c r="A5438" s="0" t="s">
        <v>740</v>
      </c>
      <c r="B5438" s="0" t="s">
        <v>7222</v>
      </c>
      <c r="C5438" s="0" t="s">
        <v>65</v>
      </c>
      <c r="D5438" s="0" t="s">
        <v>86</v>
      </c>
      <c r="E5438" s="0" t="s">
        <v>7163</v>
      </c>
    </row>
    <row r="5439" customFormat="false" ht="15" hidden="false" customHeight="false" outlineLevel="0" collapsed="false">
      <c r="A5439" s="0" t="s">
        <v>740</v>
      </c>
      <c r="B5439" s="0" t="s">
        <v>7223</v>
      </c>
      <c r="C5439" s="0" t="s">
        <v>65</v>
      </c>
      <c r="D5439" s="0" t="s">
        <v>86</v>
      </c>
      <c r="E5439" s="0" t="s">
        <v>7163</v>
      </c>
    </row>
    <row r="5440" customFormat="false" ht="15" hidden="false" customHeight="false" outlineLevel="0" collapsed="false">
      <c r="A5440" s="0" t="s">
        <v>740</v>
      </c>
      <c r="B5440" s="0" t="s">
        <v>7224</v>
      </c>
      <c r="C5440" s="0" t="s">
        <v>65</v>
      </c>
      <c r="D5440" s="0" t="s">
        <v>86</v>
      </c>
      <c r="E5440" s="0" t="s">
        <v>7163</v>
      </c>
    </row>
    <row r="5441" customFormat="false" ht="15" hidden="false" customHeight="false" outlineLevel="0" collapsed="false">
      <c r="A5441" s="0" t="s">
        <v>740</v>
      </c>
      <c r="B5441" s="0" t="s">
        <v>7225</v>
      </c>
      <c r="C5441" s="0" t="s">
        <v>65</v>
      </c>
      <c r="D5441" s="0" t="s">
        <v>86</v>
      </c>
      <c r="E5441" s="0" t="s">
        <v>7163</v>
      </c>
    </row>
    <row r="5442" customFormat="false" ht="15" hidden="false" customHeight="false" outlineLevel="0" collapsed="false">
      <c r="A5442" s="0" t="s">
        <v>740</v>
      </c>
      <c r="B5442" s="0" t="s">
        <v>7226</v>
      </c>
      <c r="C5442" s="0" t="s">
        <v>65</v>
      </c>
      <c r="D5442" s="0" t="s">
        <v>86</v>
      </c>
      <c r="E5442" s="0" t="s">
        <v>7163</v>
      </c>
    </row>
    <row r="5443" customFormat="false" ht="15" hidden="false" customHeight="false" outlineLevel="0" collapsed="false">
      <c r="A5443" s="0" t="s">
        <v>740</v>
      </c>
      <c r="B5443" s="0" t="s">
        <v>7227</v>
      </c>
      <c r="C5443" s="0" t="s">
        <v>33</v>
      </c>
      <c r="D5443" s="0" t="s">
        <v>86</v>
      </c>
      <c r="E5443" s="0" t="s">
        <v>7228</v>
      </c>
    </row>
    <row r="5444" customFormat="false" ht="15" hidden="false" customHeight="false" outlineLevel="0" collapsed="false">
      <c r="A5444" s="0" t="s">
        <v>740</v>
      </c>
      <c r="B5444" s="0" t="s">
        <v>7229</v>
      </c>
      <c r="C5444" s="0" t="s">
        <v>7230</v>
      </c>
      <c r="D5444" s="0" t="s">
        <v>98</v>
      </c>
      <c r="E5444" s="0" t="s">
        <v>7231</v>
      </c>
    </row>
    <row r="5445" customFormat="false" ht="15" hidden="false" customHeight="false" outlineLevel="0" collapsed="false">
      <c r="A5445" s="0" t="s">
        <v>740</v>
      </c>
      <c r="B5445" s="0" t="s">
        <v>7232</v>
      </c>
      <c r="C5445" s="0" t="s">
        <v>7233</v>
      </c>
      <c r="D5445" s="0" t="s">
        <v>98</v>
      </c>
      <c r="E5445" s="0" t="s">
        <v>7231</v>
      </c>
    </row>
    <row r="5446" customFormat="false" ht="15" hidden="false" customHeight="false" outlineLevel="0" collapsed="false">
      <c r="A5446" s="0" t="s">
        <v>740</v>
      </c>
      <c r="B5446" s="0" t="s">
        <v>7234</v>
      </c>
      <c r="C5446" s="0" t="s">
        <v>7235</v>
      </c>
      <c r="D5446" s="0" t="s">
        <v>98</v>
      </c>
      <c r="E5446" s="0" t="s">
        <v>7231</v>
      </c>
    </row>
    <row r="5447" customFormat="false" ht="15" hidden="false" customHeight="false" outlineLevel="0" collapsed="false">
      <c r="A5447" s="0" t="s">
        <v>740</v>
      </c>
      <c r="B5447" s="0" t="s">
        <v>7236</v>
      </c>
      <c r="C5447" s="0" t="s">
        <v>7237</v>
      </c>
      <c r="D5447" s="0" t="s">
        <v>98</v>
      </c>
      <c r="E5447" s="0" t="s">
        <v>7231</v>
      </c>
    </row>
    <row r="5448" customFormat="false" ht="15" hidden="false" customHeight="false" outlineLevel="0" collapsed="false">
      <c r="A5448" s="0" t="s">
        <v>740</v>
      </c>
      <c r="B5448" s="0" t="s">
        <v>7238</v>
      </c>
      <c r="C5448" s="0" t="s">
        <v>7239</v>
      </c>
      <c r="D5448" s="0" t="s">
        <v>98</v>
      </c>
      <c r="E5448" s="0" t="s">
        <v>7231</v>
      </c>
    </row>
    <row r="5449" customFormat="false" ht="15" hidden="false" customHeight="false" outlineLevel="0" collapsed="false">
      <c r="A5449" s="0" t="s">
        <v>740</v>
      </c>
      <c r="B5449" s="0" t="s">
        <v>7240</v>
      </c>
      <c r="C5449" s="0" t="s">
        <v>7241</v>
      </c>
      <c r="D5449" s="0" t="s">
        <v>98</v>
      </c>
      <c r="E5449" s="0" t="s">
        <v>7231</v>
      </c>
    </row>
    <row r="5450" customFormat="false" ht="15" hidden="false" customHeight="false" outlineLevel="0" collapsed="false">
      <c r="A5450" s="0" t="s">
        <v>740</v>
      </c>
      <c r="B5450" s="0" t="s">
        <v>7242</v>
      </c>
      <c r="C5450" s="0" t="s">
        <v>7243</v>
      </c>
      <c r="D5450" s="0" t="s">
        <v>98</v>
      </c>
      <c r="E5450" s="0" t="s">
        <v>7231</v>
      </c>
    </row>
    <row r="5451" customFormat="false" ht="15" hidden="false" customHeight="false" outlineLevel="0" collapsed="false">
      <c r="A5451" s="0" t="s">
        <v>740</v>
      </c>
      <c r="B5451" s="0" t="s">
        <v>7244</v>
      </c>
      <c r="C5451" s="0" t="s">
        <v>7245</v>
      </c>
      <c r="D5451" s="0" t="s">
        <v>98</v>
      </c>
      <c r="E5451" s="0" t="s">
        <v>7231</v>
      </c>
    </row>
    <row r="5452" customFormat="false" ht="15" hidden="false" customHeight="false" outlineLevel="0" collapsed="false">
      <c r="A5452" s="0" t="s">
        <v>740</v>
      </c>
      <c r="B5452" s="0" t="s">
        <v>7246</v>
      </c>
      <c r="C5452" s="0" t="s">
        <v>7247</v>
      </c>
      <c r="D5452" s="0" t="s">
        <v>98</v>
      </c>
      <c r="E5452" s="0" t="s">
        <v>7231</v>
      </c>
    </row>
    <row r="5453" customFormat="false" ht="15" hidden="false" customHeight="false" outlineLevel="0" collapsed="false">
      <c r="A5453" s="0" t="s">
        <v>740</v>
      </c>
      <c r="B5453" s="0" t="s">
        <v>7248</v>
      </c>
      <c r="C5453" s="0" t="s">
        <v>7249</v>
      </c>
      <c r="D5453" s="0" t="s">
        <v>98</v>
      </c>
      <c r="E5453" s="0" t="s">
        <v>7231</v>
      </c>
    </row>
    <row r="5454" customFormat="false" ht="15" hidden="false" customHeight="false" outlineLevel="0" collapsed="false">
      <c r="A5454" s="0" t="s">
        <v>740</v>
      </c>
      <c r="B5454" s="0" t="s">
        <v>7250</v>
      </c>
      <c r="C5454" s="0" t="s">
        <v>7251</v>
      </c>
      <c r="D5454" s="0" t="s">
        <v>98</v>
      </c>
      <c r="E5454" s="0" t="s">
        <v>7231</v>
      </c>
    </row>
    <row r="5455" customFormat="false" ht="15" hidden="false" customHeight="false" outlineLevel="0" collapsed="false">
      <c r="A5455" s="0" t="s">
        <v>740</v>
      </c>
      <c r="B5455" s="0" t="s">
        <v>7252</v>
      </c>
      <c r="C5455" s="0" t="s">
        <v>7253</v>
      </c>
      <c r="D5455" s="0" t="s">
        <v>98</v>
      </c>
      <c r="E5455" s="0" t="s">
        <v>7231</v>
      </c>
    </row>
    <row r="5456" customFormat="false" ht="15" hidden="false" customHeight="false" outlineLevel="0" collapsed="false">
      <c r="A5456" s="0" t="s">
        <v>740</v>
      </c>
      <c r="B5456" s="0" t="s">
        <v>7254</v>
      </c>
      <c r="C5456" s="0" t="s">
        <v>7255</v>
      </c>
      <c r="D5456" s="0" t="s">
        <v>98</v>
      </c>
      <c r="E5456" s="0" t="s">
        <v>7231</v>
      </c>
    </row>
    <row r="5457" customFormat="false" ht="15" hidden="false" customHeight="false" outlineLevel="0" collapsed="false">
      <c r="A5457" s="0" t="s">
        <v>740</v>
      </c>
      <c r="B5457" s="0" t="s">
        <v>7256</v>
      </c>
      <c r="C5457" s="0" t="s">
        <v>7257</v>
      </c>
      <c r="D5457" s="0" t="s">
        <v>98</v>
      </c>
      <c r="E5457" s="0" t="s">
        <v>7231</v>
      </c>
    </row>
    <row r="5458" customFormat="false" ht="15" hidden="false" customHeight="false" outlineLevel="0" collapsed="false">
      <c r="A5458" s="0" t="s">
        <v>740</v>
      </c>
      <c r="B5458" s="0" t="s">
        <v>7258</v>
      </c>
      <c r="C5458" s="0" t="s">
        <v>7259</v>
      </c>
      <c r="D5458" s="0" t="s">
        <v>98</v>
      </c>
      <c r="E5458" s="0" t="s">
        <v>7231</v>
      </c>
    </row>
    <row r="5459" customFormat="false" ht="15" hidden="false" customHeight="false" outlineLevel="0" collapsed="false">
      <c r="A5459" s="0" t="s">
        <v>740</v>
      </c>
      <c r="B5459" s="0" t="s">
        <v>7260</v>
      </c>
      <c r="C5459" s="0" t="s">
        <v>7261</v>
      </c>
      <c r="D5459" s="0" t="s">
        <v>98</v>
      </c>
      <c r="E5459" s="0" t="s">
        <v>7231</v>
      </c>
    </row>
    <row r="5460" customFormat="false" ht="15" hidden="false" customHeight="false" outlineLevel="0" collapsed="false">
      <c r="A5460" s="0" t="s">
        <v>740</v>
      </c>
      <c r="B5460" s="0" t="s">
        <v>7262</v>
      </c>
      <c r="C5460" s="0" t="s">
        <v>7263</v>
      </c>
      <c r="D5460" s="0" t="s">
        <v>98</v>
      </c>
      <c r="E5460" s="0" t="s">
        <v>7231</v>
      </c>
    </row>
    <row r="5461" customFormat="false" ht="15" hidden="false" customHeight="false" outlineLevel="0" collapsed="false">
      <c r="A5461" s="0" t="s">
        <v>740</v>
      </c>
      <c r="B5461" s="0" t="s">
        <v>7264</v>
      </c>
      <c r="C5461" s="0" t="s">
        <v>7265</v>
      </c>
      <c r="D5461" s="0" t="s">
        <v>98</v>
      </c>
      <c r="E5461" s="0" t="s">
        <v>7231</v>
      </c>
    </row>
    <row r="5462" customFormat="false" ht="15" hidden="false" customHeight="false" outlineLevel="0" collapsed="false">
      <c r="A5462" s="0" t="s">
        <v>740</v>
      </c>
      <c r="B5462" s="0" t="s">
        <v>7266</v>
      </c>
      <c r="C5462" s="0" t="s">
        <v>7267</v>
      </c>
      <c r="D5462" s="0" t="s">
        <v>98</v>
      </c>
      <c r="E5462" s="0" t="s">
        <v>7231</v>
      </c>
    </row>
    <row r="5463" customFormat="false" ht="15" hidden="false" customHeight="false" outlineLevel="0" collapsed="false">
      <c r="A5463" s="0" t="s">
        <v>740</v>
      </c>
      <c r="B5463" s="0" t="s">
        <v>7268</v>
      </c>
      <c r="C5463" s="0" t="s">
        <v>7269</v>
      </c>
      <c r="D5463" s="0" t="s">
        <v>98</v>
      </c>
      <c r="E5463" s="0" t="s">
        <v>7231</v>
      </c>
    </row>
    <row r="5464" customFormat="false" ht="15" hidden="false" customHeight="false" outlineLevel="0" collapsed="false">
      <c r="A5464" s="0" t="s">
        <v>740</v>
      </c>
      <c r="B5464" s="0" t="s">
        <v>7270</v>
      </c>
      <c r="C5464" s="0" t="s">
        <v>7271</v>
      </c>
      <c r="D5464" s="0" t="s">
        <v>98</v>
      </c>
      <c r="E5464" s="0" t="s">
        <v>7231</v>
      </c>
    </row>
    <row r="5465" customFormat="false" ht="15" hidden="false" customHeight="false" outlineLevel="0" collapsed="false">
      <c r="A5465" s="0" t="s">
        <v>740</v>
      </c>
      <c r="B5465" s="0" t="s">
        <v>7272</v>
      </c>
      <c r="C5465" s="0" t="s">
        <v>7273</v>
      </c>
      <c r="D5465" s="0" t="s">
        <v>98</v>
      </c>
      <c r="E5465" s="0" t="s">
        <v>7231</v>
      </c>
    </row>
    <row r="5466" customFormat="false" ht="15" hidden="false" customHeight="false" outlineLevel="0" collapsed="false">
      <c r="A5466" s="0" t="s">
        <v>740</v>
      </c>
      <c r="B5466" s="0" t="s">
        <v>7274</v>
      </c>
      <c r="C5466" s="0" t="s">
        <v>7275</v>
      </c>
      <c r="D5466" s="0" t="s">
        <v>98</v>
      </c>
      <c r="E5466" s="0" t="s">
        <v>7231</v>
      </c>
    </row>
    <row r="5467" customFormat="false" ht="15" hidden="false" customHeight="false" outlineLevel="0" collapsed="false">
      <c r="A5467" s="0" t="s">
        <v>740</v>
      </c>
      <c r="B5467" s="0" t="s">
        <v>7276</v>
      </c>
      <c r="C5467" s="0" t="s">
        <v>7277</v>
      </c>
      <c r="D5467" s="0" t="s">
        <v>98</v>
      </c>
      <c r="E5467" s="0" t="s">
        <v>7231</v>
      </c>
    </row>
    <row r="5468" customFormat="false" ht="15" hidden="false" customHeight="false" outlineLevel="0" collapsed="false">
      <c r="A5468" s="0" t="s">
        <v>740</v>
      </c>
      <c r="B5468" s="0" t="s">
        <v>7278</v>
      </c>
      <c r="C5468" s="0" t="s">
        <v>7279</v>
      </c>
      <c r="D5468" s="0" t="s">
        <v>98</v>
      </c>
      <c r="E5468" s="0" t="s">
        <v>7231</v>
      </c>
    </row>
    <row r="5469" customFormat="false" ht="15" hidden="false" customHeight="false" outlineLevel="0" collapsed="false">
      <c r="A5469" s="0" t="s">
        <v>740</v>
      </c>
      <c r="B5469" s="0" t="s">
        <v>7280</v>
      </c>
      <c r="C5469" s="0" t="s">
        <v>7281</v>
      </c>
      <c r="D5469" s="0" t="s">
        <v>98</v>
      </c>
      <c r="E5469" s="0" t="s">
        <v>7231</v>
      </c>
    </row>
    <row r="5470" customFormat="false" ht="15" hidden="false" customHeight="false" outlineLevel="0" collapsed="false">
      <c r="A5470" s="0" t="s">
        <v>740</v>
      </c>
      <c r="B5470" s="0" t="s">
        <v>7282</v>
      </c>
      <c r="C5470" s="0" t="s">
        <v>7283</v>
      </c>
      <c r="D5470" s="0" t="s">
        <v>98</v>
      </c>
      <c r="E5470" s="0" t="s">
        <v>7231</v>
      </c>
    </row>
    <row r="5471" customFormat="false" ht="15" hidden="false" customHeight="false" outlineLevel="0" collapsed="false">
      <c r="A5471" s="0" t="s">
        <v>740</v>
      </c>
      <c r="B5471" s="0" t="s">
        <v>7284</v>
      </c>
      <c r="C5471" s="0" t="s">
        <v>7285</v>
      </c>
      <c r="D5471" s="0" t="s">
        <v>98</v>
      </c>
      <c r="E5471" s="0" t="s">
        <v>7231</v>
      </c>
    </row>
    <row r="5472" customFormat="false" ht="15" hidden="false" customHeight="false" outlineLevel="0" collapsed="false">
      <c r="A5472" s="0" t="s">
        <v>740</v>
      </c>
      <c r="B5472" s="0" t="s">
        <v>7286</v>
      </c>
      <c r="C5472" s="0" t="s">
        <v>7287</v>
      </c>
      <c r="D5472" s="0" t="s">
        <v>98</v>
      </c>
      <c r="E5472" s="0" t="s">
        <v>7288</v>
      </c>
    </row>
    <row r="5473" customFormat="false" ht="15" hidden="false" customHeight="false" outlineLevel="0" collapsed="false">
      <c r="A5473" s="0" t="s">
        <v>740</v>
      </c>
      <c r="B5473" s="0" t="s">
        <v>7289</v>
      </c>
      <c r="C5473" s="0" t="s">
        <v>7290</v>
      </c>
      <c r="D5473" s="0" t="s">
        <v>98</v>
      </c>
      <c r="E5473" s="0" t="s">
        <v>7288</v>
      </c>
    </row>
    <row r="5474" customFormat="false" ht="15" hidden="false" customHeight="false" outlineLevel="0" collapsed="false">
      <c r="A5474" s="0" t="s">
        <v>740</v>
      </c>
      <c r="B5474" s="0" t="s">
        <v>7291</v>
      </c>
      <c r="C5474" s="0" t="s">
        <v>7292</v>
      </c>
      <c r="D5474" s="0" t="s">
        <v>98</v>
      </c>
      <c r="E5474" s="0" t="s">
        <v>7288</v>
      </c>
    </row>
    <row r="5475" customFormat="false" ht="15" hidden="false" customHeight="false" outlineLevel="0" collapsed="false">
      <c r="A5475" s="0" t="s">
        <v>740</v>
      </c>
      <c r="B5475" s="0" t="s">
        <v>7293</v>
      </c>
      <c r="C5475" s="0" t="s">
        <v>7294</v>
      </c>
      <c r="D5475" s="0" t="s">
        <v>98</v>
      </c>
      <c r="E5475" s="0" t="s">
        <v>7288</v>
      </c>
    </row>
    <row r="5476" customFormat="false" ht="15" hidden="false" customHeight="false" outlineLevel="0" collapsed="false">
      <c r="A5476" s="0" t="s">
        <v>740</v>
      </c>
      <c r="B5476" s="0" t="s">
        <v>7295</v>
      </c>
      <c r="C5476" s="0" t="s">
        <v>7296</v>
      </c>
      <c r="D5476" s="0" t="s">
        <v>98</v>
      </c>
      <c r="E5476" s="0" t="s">
        <v>7288</v>
      </c>
    </row>
    <row r="5477" customFormat="false" ht="15" hidden="false" customHeight="false" outlineLevel="0" collapsed="false">
      <c r="A5477" s="0" t="s">
        <v>740</v>
      </c>
      <c r="B5477" s="0" t="s">
        <v>7297</v>
      </c>
      <c r="C5477" s="0" t="s">
        <v>7298</v>
      </c>
      <c r="D5477" s="0" t="s">
        <v>98</v>
      </c>
      <c r="E5477" s="0" t="s">
        <v>7288</v>
      </c>
    </row>
    <row r="5478" customFormat="false" ht="15" hidden="false" customHeight="false" outlineLevel="0" collapsed="false">
      <c r="A5478" s="0" t="s">
        <v>740</v>
      </c>
      <c r="B5478" s="0" t="s">
        <v>7299</v>
      </c>
      <c r="C5478" s="0" t="s">
        <v>7300</v>
      </c>
      <c r="D5478" s="0" t="s">
        <v>98</v>
      </c>
      <c r="E5478" s="0" t="s">
        <v>7288</v>
      </c>
    </row>
    <row r="5479" customFormat="false" ht="15" hidden="false" customHeight="false" outlineLevel="0" collapsed="false">
      <c r="A5479" s="0" t="s">
        <v>740</v>
      </c>
      <c r="B5479" s="0" t="s">
        <v>7301</v>
      </c>
      <c r="C5479" s="0" t="s">
        <v>7302</v>
      </c>
      <c r="D5479" s="0" t="s">
        <v>98</v>
      </c>
      <c r="E5479" s="0" t="s">
        <v>7288</v>
      </c>
    </row>
    <row r="5480" customFormat="false" ht="15" hidden="false" customHeight="false" outlineLevel="0" collapsed="false">
      <c r="A5480" s="0" t="s">
        <v>740</v>
      </c>
      <c r="B5480" s="0" t="s">
        <v>7303</v>
      </c>
      <c r="C5480" s="0" t="s">
        <v>7304</v>
      </c>
      <c r="D5480" s="0" t="s">
        <v>98</v>
      </c>
      <c r="E5480" s="0" t="s">
        <v>7288</v>
      </c>
    </row>
    <row r="5481" customFormat="false" ht="15" hidden="false" customHeight="false" outlineLevel="0" collapsed="false">
      <c r="A5481" s="0" t="s">
        <v>740</v>
      </c>
      <c r="B5481" s="0" t="s">
        <v>7305</v>
      </c>
      <c r="C5481" s="0" t="s">
        <v>7306</v>
      </c>
      <c r="D5481" s="0" t="s">
        <v>98</v>
      </c>
      <c r="E5481" s="0" t="s">
        <v>7288</v>
      </c>
    </row>
    <row r="5482" customFormat="false" ht="15" hidden="false" customHeight="false" outlineLevel="0" collapsed="false">
      <c r="A5482" s="0" t="s">
        <v>740</v>
      </c>
      <c r="B5482" s="0" t="s">
        <v>7307</v>
      </c>
      <c r="C5482" s="0" t="s">
        <v>7308</v>
      </c>
      <c r="D5482" s="0" t="s">
        <v>98</v>
      </c>
      <c r="E5482" s="0" t="s">
        <v>7288</v>
      </c>
    </row>
    <row r="5483" customFormat="false" ht="15" hidden="false" customHeight="false" outlineLevel="0" collapsed="false">
      <c r="A5483" s="0" t="s">
        <v>740</v>
      </c>
      <c r="B5483" s="0" t="s">
        <v>7309</v>
      </c>
      <c r="C5483" s="0" t="s">
        <v>7310</v>
      </c>
      <c r="D5483" s="0" t="s">
        <v>98</v>
      </c>
      <c r="E5483" s="0" t="s">
        <v>7288</v>
      </c>
    </row>
    <row r="5484" customFormat="false" ht="15" hidden="false" customHeight="false" outlineLevel="0" collapsed="false">
      <c r="A5484" s="0" t="s">
        <v>740</v>
      </c>
      <c r="B5484" s="0" t="s">
        <v>7311</v>
      </c>
      <c r="C5484" s="0" t="s">
        <v>7312</v>
      </c>
      <c r="D5484" s="0" t="s">
        <v>98</v>
      </c>
      <c r="E5484" s="0" t="s">
        <v>7288</v>
      </c>
    </row>
    <row r="5485" customFormat="false" ht="15" hidden="false" customHeight="false" outlineLevel="0" collapsed="false">
      <c r="A5485" s="0" t="s">
        <v>740</v>
      </c>
      <c r="B5485" s="0" t="s">
        <v>7313</v>
      </c>
      <c r="C5485" s="0" t="s">
        <v>7314</v>
      </c>
      <c r="D5485" s="0" t="s">
        <v>98</v>
      </c>
      <c r="E5485" s="0" t="s">
        <v>7288</v>
      </c>
    </row>
    <row r="5486" customFormat="false" ht="15" hidden="false" customHeight="false" outlineLevel="0" collapsed="false">
      <c r="A5486" s="0" t="s">
        <v>740</v>
      </c>
      <c r="B5486" s="0" t="s">
        <v>7315</v>
      </c>
      <c r="C5486" s="0" t="s">
        <v>7316</v>
      </c>
      <c r="D5486" s="0" t="s">
        <v>98</v>
      </c>
      <c r="E5486" s="0" t="s">
        <v>7288</v>
      </c>
    </row>
    <row r="5487" customFormat="false" ht="15" hidden="false" customHeight="false" outlineLevel="0" collapsed="false">
      <c r="A5487" s="0" t="s">
        <v>740</v>
      </c>
      <c r="B5487" s="0" t="s">
        <v>7317</v>
      </c>
      <c r="C5487" s="0" t="s">
        <v>7318</v>
      </c>
      <c r="D5487" s="0" t="s">
        <v>98</v>
      </c>
      <c r="E5487" s="0" t="s">
        <v>7288</v>
      </c>
    </row>
    <row r="5488" customFormat="false" ht="15" hidden="false" customHeight="false" outlineLevel="0" collapsed="false">
      <c r="A5488" s="0" t="s">
        <v>740</v>
      </c>
      <c r="B5488" s="0" t="s">
        <v>7319</v>
      </c>
      <c r="C5488" s="0" t="s">
        <v>7320</v>
      </c>
      <c r="D5488" s="0" t="s">
        <v>98</v>
      </c>
      <c r="E5488" s="0" t="s">
        <v>7288</v>
      </c>
    </row>
    <row r="5489" customFormat="false" ht="15" hidden="false" customHeight="false" outlineLevel="0" collapsed="false">
      <c r="A5489" s="0" t="s">
        <v>740</v>
      </c>
      <c r="B5489" s="0" t="s">
        <v>7321</v>
      </c>
      <c r="C5489" s="0" t="s">
        <v>7322</v>
      </c>
      <c r="D5489" s="0" t="s">
        <v>98</v>
      </c>
      <c r="E5489" s="0" t="s">
        <v>7288</v>
      </c>
    </row>
    <row r="5490" customFormat="false" ht="15" hidden="false" customHeight="false" outlineLevel="0" collapsed="false">
      <c r="A5490" s="0" t="s">
        <v>740</v>
      </c>
      <c r="B5490" s="0" t="s">
        <v>7323</v>
      </c>
      <c r="C5490" s="0" t="s">
        <v>7324</v>
      </c>
      <c r="D5490" s="0" t="s">
        <v>98</v>
      </c>
      <c r="E5490" s="0" t="s">
        <v>7288</v>
      </c>
    </row>
    <row r="5491" customFormat="false" ht="15" hidden="false" customHeight="false" outlineLevel="0" collapsed="false">
      <c r="A5491" s="0" t="s">
        <v>740</v>
      </c>
      <c r="B5491" s="0" t="s">
        <v>7325</v>
      </c>
      <c r="C5491" s="0" t="s">
        <v>7326</v>
      </c>
      <c r="D5491" s="0" t="s">
        <v>98</v>
      </c>
      <c r="E5491" s="0" t="s">
        <v>7288</v>
      </c>
    </row>
    <row r="5492" customFormat="false" ht="15" hidden="false" customHeight="false" outlineLevel="0" collapsed="false">
      <c r="A5492" s="0" t="s">
        <v>740</v>
      </c>
      <c r="B5492" s="0" t="s">
        <v>7327</v>
      </c>
      <c r="C5492" s="0" t="s">
        <v>7328</v>
      </c>
      <c r="D5492" s="0" t="s">
        <v>98</v>
      </c>
      <c r="E5492" s="0" t="s">
        <v>7288</v>
      </c>
    </row>
    <row r="5493" customFormat="false" ht="15" hidden="false" customHeight="false" outlineLevel="0" collapsed="false">
      <c r="A5493" s="0" t="s">
        <v>740</v>
      </c>
      <c r="B5493" s="0" t="s">
        <v>7329</v>
      </c>
      <c r="C5493" s="0" t="s">
        <v>7330</v>
      </c>
      <c r="D5493" s="0" t="s">
        <v>98</v>
      </c>
      <c r="E5493" s="0" t="s">
        <v>7288</v>
      </c>
    </row>
    <row r="5494" customFormat="false" ht="15" hidden="false" customHeight="false" outlineLevel="0" collapsed="false">
      <c r="A5494" s="0" t="s">
        <v>740</v>
      </c>
      <c r="B5494" s="0" t="s">
        <v>7331</v>
      </c>
      <c r="C5494" s="0" t="s">
        <v>7332</v>
      </c>
      <c r="D5494" s="0" t="s">
        <v>98</v>
      </c>
      <c r="E5494" s="0" t="s">
        <v>7288</v>
      </c>
    </row>
    <row r="5495" customFormat="false" ht="15" hidden="false" customHeight="false" outlineLevel="0" collapsed="false">
      <c r="A5495" s="0" t="s">
        <v>740</v>
      </c>
      <c r="B5495" s="0" t="s">
        <v>7333</v>
      </c>
      <c r="C5495" s="0" t="s">
        <v>7334</v>
      </c>
      <c r="D5495" s="0" t="s">
        <v>98</v>
      </c>
      <c r="E5495" s="0" t="s">
        <v>7288</v>
      </c>
    </row>
    <row r="5496" customFormat="false" ht="15" hidden="false" customHeight="false" outlineLevel="0" collapsed="false">
      <c r="A5496" s="0" t="s">
        <v>740</v>
      </c>
      <c r="B5496" s="0" t="s">
        <v>7335</v>
      </c>
      <c r="C5496" s="0" t="s">
        <v>7336</v>
      </c>
      <c r="D5496" s="0" t="s">
        <v>98</v>
      </c>
      <c r="E5496" s="0" t="s">
        <v>7288</v>
      </c>
    </row>
    <row r="5497" customFormat="false" ht="15" hidden="false" customHeight="false" outlineLevel="0" collapsed="false">
      <c r="A5497" s="0" t="s">
        <v>740</v>
      </c>
      <c r="B5497" s="0" t="s">
        <v>7337</v>
      </c>
      <c r="C5497" s="0" t="s">
        <v>7338</v>
      </c>
      <c r="D5497" s="0" t="s">
        <v>98</v>
      </c>
      <c r="E5497" s="0" t="s">
        <v>7288</v>
      </c>
    </row>
    <row r="5498" customFormat="false" ht="15" hidden="false" customHeight="false" outlineLevel="0" collapsed="false">
      <c r="A5498" s="0" t="s">
        <v>740</v>
      </c>
      <c r="B5498" s="0" t="s">
        <v>7339</v>
      </c>
      <c r="C5498" s="0" t="s">
        <v>7340</v>
      </c>
      <c r="D5498" s="0" t="s">
        <v>98</v>
      </c>
      <c r="E5498" s="0" t="s">
        <v>7288</v>
      </c>
    </row>
    <row r="5499" customFormat="false" ht="15" hidden="false" customHeight="false" outlineLevel="0" collapsed="false">
      <c r="A5499" s="0" t="s">
        <v>740</v>
      </c>
      <c r="B5499" s="0" t="s">
        <v>7341</v>
      </c>
      <c r="C5499" s="0" t="s">
        <v>7342</v>
      </c>
      <c r="D5499" s="0" t="s">
        <v>98</v>
      </c>
      <c r="E5499" s="0" t="s">
        <v>7288</v>
      </c>
    </row>
    <row r="5500" customFormat="false" ht="15" hidden="false" customHeight="false" outlineLevel="0" collapsed="false">
      <c r="A5500" s="0" t="s">
        <v>740</v>
      </c>
      <c r="B5500" s="0" t="s">
        <v>7343</v>
      </c>
      <c r="C5500" s="0" t="s">
        <v>7344</v>
      </c>
      <c r="D5500" s="0" t="s">
        <v>98</v>
      </c>
      <c r="E5500" s="0" t="s">
        <v>7345</v>
      </c>
    </row>
    <row r="5501" customFormat="false" ht="15" hidden="false" customHeight="false" outlineLevel="0" collapsed="false">
      <c r="A5501" s="0" t="s">
        <v>740</v>
      </c>
      <c r="B5501" s="0" t="s">
        <v>7346</v>
      </c>
      <c r="C5501" s="0" t="s">
        <v>7347</v>
      </c>
      <c r="D5501" s="0" t="s">
        <v>98</v>
      </c>
      <c r="E5501" s="0" t="s">
        <v>7345</v>
      </c>
    </row>
    <row r="5502" customFormat="false" ht="15" hidden="false" customHeight="false" outlineLevel="0" collapsed="false">
      <c r="A5502" s="0" t="s">
        <v>740</v>
      </c>
      <c r="B5502" s="0" t="s">
        <v>7348</v>
      </c>
      <c r="C5502" s="0" t="s">
        <v>7349</v>
      </c>
      <c r="D5502" s="0" t="s">
        <v>98</v>
      </c>
      <c r="E5502" s="0" t="s">
        <v>7345</v>
      </c>
    </row>
    <row r="5503" customFormat="false" ht="15" hidden="false" customHeight="false" outlineLevel="0" collapsed="false">
      <c r="A5503" s="0" t="s">
        <v>740</v>
      </c>
      <c r="B5503" s="0" t="s">
        <v>7350</v>
      </c>
      <c r="C5503" s="0" t="s">
        <v>7351</v>
      </c>
      <c r="D5503" s="0" t="s">
        <v>98</v>
      </c>
      <c r="E5503" s="0" t="s">
        <v>7345</v>
      </c>
    </row>
    <row r="5504" customFormat="false" ht="15" hidden="false" customHeight="false" outlineLevel="0" collapsed="false">
      <c r="A5504" s="0" t="s">
        <v>740</v>
      </c>
      <c r="B5504" s="0" t="s">
        <v>7352</v>
      </c>
      <c r="C5504" s="0" t="s">
        <v>7353</v>
      </c>
      <c r="D5504" s="0" t="s">
        <v>98</v>
      </c>
      <c r="E5504" s="0" t="s">
        <v>7345</v>
      </c>
    </row>
    <row r="5505" customFormat="false" ht="15" hidden="false" customHeight="false" outlineLevel="0" collapsed="false">
      <c r="A5505" s="0" t="s">
        <v>740</v>
      </c>
      <c r="B5505" s="0" t="s">
        <v>7354</v>
      </c>
      <c r="C5505" s="0" t="s">
        <v>7355</v>
      </c>
      <c r="D5505" s="0" t="s">
        <v>98</v>
      </c>
      <c r="E5505" s="0" t="s">
        <v>7345</v>
      </c>
    </row>
    <row r="5506" customFormat="false" ht="15" hidden="false" customHeight="false" outlineLevel="0" collapsed="false">
      <c r="A5506" s="0" t="s">
        <v>740</v>
      </c>
      <c r="B5506" s="0" t="s">
        <v>7356</v>
      </c>
      <c r="C5506" s="0" t="s">
        <v>7357</v>
      </c>
      <c r="D5506" s="0" t="s">
        <v>98</v>
      </c>
      <c r="E5506" s="0" t="s">
        <v>7345</v>
      </c>
    </row>
    <row r="5507" customFormat="false" ht="15" hidden="false" customHeight="false" outlineLevel="0" collapsed="false">
      <c r="A5507" s="0" t="s">
        <v>740</v>
      </c>
      <c r="B5507" s="0" t="s">
        <v>7358</v>
      </c>
      <c r="C5507" s="0" t="s">
        <v>7359</v>
      </c>
      <c r="D5507" s="0" t="s">
        <v>98</v>
      </c>
      <c r="E5507" s="0" t="s">
        <v>7345</v>
      </c>
    </row>
    <row r="5508" customFormat="false" ht="15" hidden="false" customHeight="false" outlineLevel="0" collapsed="false">
      <c r="A5508" s="0" t="s">
        <v>740</v>
      </c>
      <c r="B5508" s="0" t="s">
        <v>7360</v>
      </c>
      <c r="C5508" s="0" t="s">
        <v>7361</v>
      </c>
      <c r="D5508" s="0" t="s">
        <v>98</v>
      </c>
      <c r="E5508" s="0" t="s">
        <v>7345</v>
      </c>
    </row>
    <row r="5509" customFormat="false" ht="15" hidden="false" customHeight="false" outlineLevel="0" collapsed="false">
      <c r="A5509" s="0" t="s">
        <v>740</v>
      </c>
      <c r="B5509" s="0" t="s">
        <v>7362</v>
      </c>
      <c r="C5509" s="0" t="s">
        <v>7363</v>
      </c>
      <c r="D5509" s="0" t="s">
        <v>98</v>
      </c>
      <c r="E5509" s="0" t="s">
        <v>7345</v>
      </c>
    </row>
    <row r="5510" customFormat="false" ht="15" hidden="false" customHeight="false" outlineLevel="0" collapsed="false">
      <c r="A5510" s="0" t="s">
        <v>740</v>
      </c>
      <c r="B5510" s="0" t="s">
        <v>7364</v>
      </c>
      <c r="C5510" s="0" t="s">
        <v>7365</v>
      </c>
      <c r="D5510" s="0" t="s">
        <v>98</v>
      </c>
      <c r="E5510" s="0" t="s">
        <v>7345</v>
      </c>
    </row>
    <row r="5511" customFormat="false" ht="15" hidden="false" customHeight="false" outlineLevel="0" collapsed="false">
      <c r="A5511" s="0" t="s">
        <v>740</v>
      </c>
      <c r="B5511" s="0" t="s">
        <v>7366</v>
      </c>
      <c r="C5511" s="0" t="s">
        <v>7367</v>
      </c>
      <c r="D5511" s="0" t="s">
        <v>98</v>
      </c>
      <c r="E5511" s="0" t="s">
        <v>7345</v>
      </c>
    </row>
    <row r="5512" customFormat="false" ht="15" hidden="false" customHeight="false" outlineLevel="0" collapsed="false">
      <c r="A5512" s="0" t="s">
        <v>740</v>
      </c>
      <c r="B5512" s="0" t="s">
        <v>7368</v>
      </c>
      <c r="C5512" s="0" t="s">
        <v>7369</v>
      </c>
      <c r="D5512" s="0" t="s">
        <v>98</v>
      </c>
      <c r="E5512" s="0" t="s">
        <v>7345</v>
      </c>
    </row>
    <row r="5513" customFormat="false" ht="15" hidden="false" customHeight="false" outlineLevel="0" collapsed="false">
      <c r="A5513" s="0" t="s">
        <v>740</v>
      </c>
      <c r="B5513" s="0" t="s">
        <v>7370</v>
      </c>
      <c r="C5513" s="0" t="s">
        <v>7371</v>
      </c>
      <c r="D5513" s="0" t="s">
        <v>98</v>
      </c>
      <c r="E5513" s="0" t="s">
        <v>7345</v>
      </c>
    </row>
    <row r="5514" customFormat="false" ht="15" hidden="false" customHeight="false" outlineLevel="0" collapsed="false">
      <c r="A5514" s="0" t="s">
        <v>740</v>
      </c>
      <c r="B5514" s="0" t="s">
        <v>7372</v>
      </c>
      <c r="C5514" s="0" t="s">
        <v>7373</v>
      </c>
      <c r="D5514" s="0" t="s">
        <v>98</v>
      </c>
      <c r="E5514" s="0" t="s">
        <v>7345</v>
      </c>
    </row>
    <row r="5515" customFormat="false" ht="15" hidden="false" customHeight="false" outlineLevel="0" collapsed="false">
      <c r="A5515" s="0" t="s">
        <v>740</v>
      </c>
      <c r="B5515" s="0" t="s">
        <v>7374</v>
      </c>
      <c r="C5515" s="0" t="s">
        <v>7375</v>
      </c>
      <c r="D5515" s="0" t="s">
        <v>98</v>
      </c>
      <c r="E5515" s="0" t="s">
        <v>7345</v>
      </c>
    </row>
    <row r="5516" customFormat="false" ht="15" hidden="false" customHeight="false" outlineLevel="0" collapsed="false">
      <c r="A5516" s="0" t="s">
        <v>740</v>
      </c>
      <c r="B5516" s="0" t="s">
        <v>7376</v>
      </c>
      <c r="C5516" s="0" t="s">
        <v>7377</v>
      </c>
      <c r="D5516" s="0" t="s">
        <v>98</v>
      </c>
      <c r="E5516" s="0" t="s">
        <v>7345</v>
      </c>
    </row>
    <row r="5517" customFormat="false" ht="15" hidden="false" customHeight="false" outlineLevel="0" collapsed="false">
      <c r="A5517" s="0" t="s">
        <v>740</v>
      </c>
      <c r="B5517" s="0" t="s">
        <v>7378</v>
      </c>
      <c r="C5517" s="0" t="s">
        <v>7379</v>
      </c>
      <c r="D5517" s="0" t="s">
        <v>98</v>
      </c>
      <c r="E5517" s="0" t="s">
        <v>7345</v>
      </c>
    </row>
    <row r="5518" customFormat="false" ht="15" hidden="false" customHeight="false" outlineLevel="0" collapsed="false">
      <c r="A5518" s="0" t="s">
        <v>740</v>
      </c>
      <c r="B5518" s="0" t="s">
        <v>7380</v>
      </c>
      <c r="C5518" s="0" t="s">
        <v>7381</v>
      </c>
      <c r="D5518" s="0" t="s">
        <v>98</v>
      </c>
      <c r="E5518" s="0" t="s">
        <v>7345</v>
      </c>
    </row>
    <row r="5519" customFormat="false" ht="15" hidden="false" customHeight="false" outlineLevel="0" collapsed="false">
      <c r="A5519" s="0" t="s">
        <v>740</v>
      </c>
      <c r="B5519" s="0" t="s">
        <v>7382</v>
      </c>
      <c r="C5519" s="0" t="s">
        <v>7383</v>
      </c>
      <c r="D5519" s="0" t="s">
        <v>98</v>
      </c>
      <c r="E5519" s="0" t="s">
        <v>7345</v>
      </c>
    </row>
    <row r="5520" customFormat="false" ht="15" hidden="false" customHeight="false" outlineLevel="0" collapsed="false">
      <c r="A5520" s="0" t="s">
        <v>740</v>
      </c>
      <c r="B5520" s="0" t="s">
        <v>7384</v>
      </c>
      <c r="C5520" s="0" t="s">
        <v>7385</v>
      </c>
      <c r="D5520" s="0" t="s">
        <v>98</v>
      </c>
      <c r="E5520" s="0" t="s">
        <v>7345</v>
      </c>
    </row>
    <row r="5521" customFormat="false" ht="15" hidden="false" customHeight="false" outlineLevel="0" collapsed="false">
      <c r="A5521" s="0" t="s">
        <v>740</v>
      </c>
      <c r="B5521" s="0" t="s">
        <v>7386</v>
      </c>
      <c r="C5521" s="0" t="s">
        <v>7387</v>
      </c>
      <c r="D5521" s="0" t="s">
        <v>98</v>
      </c>
      <c r="E5521" s="0" t="s">
        <v>7345</v>
      </c>
    </row>
    <row r="5522" customFormat="false" ht="15" hidden="false" customHeight="false" outlineLevel="0" collapsed="false">
      <c r="A5522" s="0" t="s">
        <v>740</v>
      </c>
      <c r="B5522" s="0" t="s">
        <v>7388</v>
      </c>
      <c r="C5522" s="0" t="s">
        <v>7389</v>
      </c>
      <c r="D5522" s="0" t="s">
        <v>98</v>
      </c>
      <c r="E5522" s="0" t="s">
        <v>7345</v>
      </c>
    </row>
    <row r="5523" customFormat="false" ht="15" hidden="false" customHeight="false" outlineLevel="0" collapsed="false">
      <c r="A5523" s="0" t="s">
        <v>740</v>
      </c>
      <c r="B5523" s="0" t="s">
        <v>7390</v>
      </c>
      <c r="C5523" s="0" t="s">
        <v>7391</v>
      </c>
      <c r="D5523" s="0" t="s">
        <v>98</v>
      </c>
      <c r="E5523" s="0" t="s">
        <v>7345</v>
      </c>
    </row>
    <row r="5524" customFormat="false" ht="15" hidden="false" customHeight="false" outlineLevel="0" collapsed="false">
      <c r="A5524" s="0" t="s">
        <v>740</v>
      </c>
      <c r="B5524" s="0" t="s">
        <v>7392</v>
      </c>
      <c r="C5524" s="0" t="s">
        <v>7393</v>
      </c>
      <c r="D5524" s="0" t="s">
        <v>98</v>
      </c>
      <c r="E5524" s="0" t="s">
        <v>7345</v>
      </c>
    </row>
    <row r="5525" customFormat="false" ht="15" hidden="false" customHeight="false" outlineLevel="0" collapsed="false">
      <c r="A5525" s="0" t="s">
        <v>740</v>
      </c>
      <c r="B5525" s="0" t="s">
        <v>7394</v>
      </c>
      <c r="C5525" s="0" t="s">
        <v>7395</v>
      </c>
      <c r="D5525" s="0" t="s">
        <v>98</v>
      </c>
      <c r="E5525" s="0" t="s">
        <v>7345</v>
      </c>
    </row>
    <row r="5526" customFormat="false" ht="15" hidden="false" customHeight="false" outlineLevel="0" collapsed="false">
      <c r="A5526" s="0" t="s">
        <v>740</v>
      </c>
      <c r="B5526" s="0" t="s">
        <v>7396</v>
      </c>
      <c r="C5526" s="0" t="s">
        <v>7397</v>
      </c>
      <c r="D5526" s="0" t="s">
        <v>98</v>
      </c>
      <c r="E5526" s="0" t="s">
        <v>7345</v>
      </c>
    </row>
    <row r="5527" customFormat="false" ht="15" hidden="false" customHeight="false" outlineLevel="0" collapsed="false">
      <c r="A5527" s="0" t="s">
        <v>740</v>
      </c>
      <c r="B5527" s="0" t="s">
        <v>7398</v>
      </c>
      <c r="C5527" s="0" t="s">
        <v>7399</v>
      </c>
      <c r="D5527" s="0" t="s">
        <v>98</v>
      </c>
      <c r="E5527" s="0" t="s">
        <v>7345</v>
      </c>
    </row>
    <row r="5528" customFormat="false" ht="15" hidden="false" customHeight="false" outlineLevel="0" collapsed="false">
      <c r="A5528" s="0" t="s">
        <v>740</v>
      </c>
      <c r="B5528" s="0" t="s">
        <v>7400</v>
      </c>
      <c r="C5528" s="0" t="s">
        <v>7344</v>
      </c>
      <c r="D5528" s="0" t="s">
        <v>98</v>
      </c>
      <c r="E5528" s="0" t="s">
        <v>7345</v>
      </c>
    </row>
    <row r="5529" customFormat="false" ht="15" hidden="false" customHeight="false" outlineLevel="0" collapsed="false">
      <c r="A5529" s="0" t="s">
        <v>740</v>
      </c>
      <c r="B5529" s="0" t="s">
        <v>7401</v>
      </c>
      <c r="C5529" s="0" t="s">
        <v>7347</v>
      </c>
      <c r="D5529" s="0" t="s">
        <v>98</v>
      </c>
      <c r="E5529" s="0" t="s">
        <v>7345</v>
      </c>
    </row>
    <row r="5530" customFormat="false" ht="15" hidden="false" customHeight="false" outlineLevel="0" collapsed="false">
      <c r="A5530" s="0" t="s">
        <v>740</v>
      </c>
      <c r="B5530" s="0" t="s">
        <v>7402</v>
      </c>
      <c r="C5530" s="0" t="s">
        <v>7349</v>
      </c>
      <c r="D5530" s="0" t="s">
        <v>98</v>
      </c>
      <c r="E5530" s="0" t="s">
        <v>7345</v>
      </c>
    </row>
    <row r="5531" customFormat="false" ht="15" hidden="false" customHeight="false" outlineLevel="0" collapsed="false">
      <c r="A5531" s="0" t="s">
        <v>740</v>
      </c>
      <c r="B5531" s="0" t="s">
        <v>7403</v>
      </c>
      <c r="C5531" s="0" t="s">
        <v>7351</v>
      </c>
      <c r="D5531" s="0" t="s">
        <v>98</v>
      </c>
      <c r="E5531" s="0" t="s">
        <v>7345</v>
      </c>
    </row>
    <row r="5532" customFormat="false" ht="15" hidden="false" customHeight="false" outlineLevel="0" collapsed="false">
      <c r="A5532" s="0" t="s">
        <v>740</v>
      </c>
      <c r="B5532" s="0" t="s">
        <v>7404</v>
      </c>
      <c r="C5532" s="0" t="s">
        <v>7353</v>
      </c>
      <c r="D5532" s="0" t="s">
        <v>98</v>
      </c>
      <c r="E5532" s="0" t="s">
        <v>7345</v>
      </c>
    </row>
    <row r="5533" customFormat="false" ht="15" hidden="false" customHeight="false" outlineLevel="0" collapsed="false">
      <c r="A5533" s="0" t="s">
        <v>740</v>
      </c>
      <c r="B5533" s="0" t="s">
        <v>7405</v>
      </c>
      <c r="C5533" s="0" t="s">
        <v>7355</v>
      </c>
      <c r="D5533" s="0" t="s">
        <v>98</v>
      </c>
      <c r="E5533" s="0" t="s">
        <v>7345</v>
      </c>
    </row>
    <row r="5534" customFormat="false" ht="15" hidden="false" customHeight="false" outlineLevel="0" collapsed="false">
      <c r="A5534" s="0" t="s">
        <v>740</v>
      </c>
      <c r="B5534" s="0" t="s">
        <v>7406</v>
      </c>
      <c r="C5534" s="0" t="s">
        <v>7357</v>
      </c>
      <c r="D5534" s="0" t="s">
        <v>98</v>
      </c>
      <c r="E5534" s="0" t="s">
        <v>7345</v>
      </c>
    </row>
    <row r="5535" customFormat="false" ht="15" hidden="false" customHeight="false" outlineLevel="0" collapsed="false">
      <c r="A5535" s="0" t="s">
        <v>740</v>
      </c>
      <c r="B5535" s="0" t="s">
        <v>7407</v>
      </c>
      <c r="C5535" s="0" t="s">
        <v>7359</v>
      </c>
      <c r="D5535" s="0" t="s">
        <v>98</v>
      </c>
      <c r="E5535" s="0" t="s">
        <v>7345</v>
      </c>
    </row>
    <row r="5536" customFormat="false" ht="15" hidden="false" customHeight="false" outlineLevel="0" collapsed="false">
      <c r="A5536" s="0" t="s">
        <v>740</v>
      </c>
      <c r="B5536" s="0" t="s">
        <v>7408</v>
      </c>
      <c r="C5536" s="0" t="s">
        <v>7361</v>
      </c>
      <c r="D5536" s="0" t="s">
        <v>98</v>
      </c>
      <c r="E5536" s="0" t="s">
        <v>7345</v>
      </c>
    </row>
    <row r="5537" customFormat="false" ht="15" hidden="false" customHeight="false" outlineLevel="0" collapsed="false">
      <c r="A5537" s="0" t="s">
        <v>740</v>
      </c>
      <c r="B5537" s="0" t="s">
        <v>7409</v>
      </c>
      <c r="C5537" s="0" t="s">
        <v>7363</v>
      </c>
      <c r="D5537" s="0" t="s">
        <v>98</v>
      </c>
      <c r="E5537" s="0" t="s">
        <v>7345</v>
      </c>
    </row>
    <row r="5538" customFormat="false" ht="15" hidden="false" customHeight="false" outlineLevel="0" collapsed="false">
      <c r="A5538" s="0" t="s">
        <v>740</v>
      </c>
      <c r="B5538" s="0" t="s">
        <v>7410</v>
      </c>
      <c r="C5538" s="0" t="s">
        <v>7365</v>
      </c>
      <c r="D5538" s="0" t="s">
        <v>98</v>
      </c>
      <c r="E5538" s="0" t="s">
        <v>7345</v>
      </c>
    </row>
    <row r="5539" customFormat="false" ht="15" hidden="false" customHeight="false" outlineLevel="0" collapsed="false">
      <c r="A5539" s="0" t="s">
        <v>740</v>
      </c>
      <c r="B5539" s="0" t="s">
        <v>7411</v>
      </c>
      <c r="C5539" s="0" t="s">
        <v>7367</v>
      </c>
      <c r="D5539" s="0" t="s">
        <v>98</v>
      </c>
      <c r="E5539" s="0" t="s">
        <v>7345</v>
      </c>
    </row>
    <row r="5540" customFormat="false" ht="15" hidden="false" customHeight="false" outlineLevel="0" collapsed="false">
      <c r="A5540" s="0" t="s">
        <v>740</v>
      </c>
      <c r="B5540" s="0" t="s">
        <v>7412</v>
      </c>
      <c r="C5540" s="0" t="s">
        <v>7369</v>
      </c>
      <c r="D5540" s="0" t="s">
        <v>98</v>
      </c>
      <c r="E5540" s="0" t="s">
        <v>7345</v>
      </c>
    </row>
    <row r="5541" customFormat="false" ht="15" hidden="false" customHeight="false" outlineLevel="0" collapsed="false">
      <c r="A5541" s="0" t="s">
        <v>740</v>
      </c>
      <c r="B5541" s="0" t="s">
        <v>7413</v>
      </c>
      <c r="C5541" s="0" t="s">
        <v>7414</v>
      </c>
      <c r="D5541" s="0" t="s">
        <v>98</v>
      </c>
      <c r="E5541" s="0" t="s">
        <v>7345</v>
      </c>
    </row>
    <row r="5542" customFormat="false" ht="15" hidden="false" customHeight="false" outlineLevel="0" collapsed="false">
      <c r="A5542" s="0" t="s">
        <v>740</v>
      </c>
      <c r="B5542" s="0" t="s">
        <v>7415</v>
      </c>
      <c r="C5542" s="0" t="s">
        <v>7416</v>
      </c>
      <c r="D5542" s="0" t="s">
        <v>98</v>
      </c>
      <c r="E5542" s="0" t="s">
        <v>7345</v>
      </c>
    </row>
    <row r="5543" customFormat="false" ht="15" hidden="false" customHeight="false" outlineLevel="0" collapsed="false">
      <c r="A5543" s="0" t="s">
        <v>740</v>
      </c>
      <c r="B5543" s="0" t="s">
        <v>7417</v>
      </c>
      <c r="C5543" s="0" t="s">
        <v>7418</v>
      </c>
      <c r="D5543" s="0" t="s">
        <v>98</v>
      </c>
      <c r="E5543" s="0" t="s">
        <v>7345</v>
      </c>
    </row>
    <row r="5544" customFormat="false" ht="15" hidden="false" customHeight="false" outlineLevel="0" collapsed="false">
      <c r="A5544" s="0" t="s">
        <v>740</v>
      </c>
      <c r="B5544" s="0" t="s">
        <v>7419</v>
      </c>
      <c r="C5544" s="0" t="s">
        <v>7377</v>
      </c>
      <c r="D5544" s="0" t="s">
        <v>98</v>
      </c>
      <c r="E5544" s="0" t="s">
        <v>7345</v>
      </c>
    </row>
    <row r="5545" customFormat="false" ht="15" hidden="false" customHeight="false" outlineLevel="0" collapsed="false">
      <c r="A5545" s="0" t="s">
        <v>740</v>
      </c>
      <c r="B5545" s="0" t="s">
        <v>7420</v>
      </c>
      <c r="C5545" s="0" t="s">
        <v>7379</v>
      </c>
      <c r="D5545" s="0" t="s">
        <v>98</v>
      </c>
      <c r="E5545" s="0" t="s">
        <v>7345</v>
      </c>
    </row>
    <row r="5546" customFormat="false" ht="15" hidden="false" customHeight="false" outlineLevel="0" collapsed="false">
      <c r="A5546" s="0" t="s">
        <v>740</v>
      </c>
      <c r="B5546" s="0" t="s">
        <v>7421</v>
      </c>
      <c r="C5546" s="0" t="s">
        <v>7381</v>
      </c>
      <c r="D5546" s="0" t="s">
        <v>98</v>
      </c>
      <c r="E5546" s="0" t="s">
        <v>7345</v>
      </c>
    </row>
    <row r="5547" customFormat="false" ht="15" hidden="false" customHeight="false" outlineLevel="0" collapsed="false">
      <c r="A5547" s="0" t="s">
        <v>740</v>
      </c>
      <c r="B5547" s="0" t="s">
        <v>7422</v>
      </c>
      <c r="C5547" s="0" t="s">
        <v>7383</v>
      </c>
      <c r="D5547" s="0" t="s">
        <v>98</v>
      </c>
      <c r="E5547" s="0" t="s">
        <v>7345</v>
      </c>
    </row>
    <row r="5548" customFormat="false" ht="15" hidden="false" customHeight="false" outlineLevel="0" collapsed="false">
      <c r="A5548" s="0" t="s">
        <v>740</v>
      </c>
      <c r="B5548" s="0" t="s">
        <v>7423</v>
      </c>
      <c r="C5548" s="0" t="s">
        <v>7385</v>
      </c>
      <c r="D5548" s="0" t="s">
        <v>98</v>
      </c>
      <c r="E5548" s="0" t="s">
        <v>7345</v>
      </c>
    </row>
    <row r="5549" customFormat="false" ht="15" hidden="false" customHeight="false" outlineLevel="0" collapsed="false">
      <c r="A5549" s="0" t="s">
        <v>740</v>
      </c>
      <c r="B5549" s="0" t="s">
        <v>7424</v>
      </c>
      <c r="C5549" s="0" t="s">
        <v>7387</v>
      </c>
      <c r="D5549" s="0" t="s">
        <v>98</v>
      </c>
      <c r="E5549" s="0" t="s">
        <v>7345</v>
      </c>
    </row>
    <row r="5550" customFormat="false" ht="15" hidden="false" customHeight="false" outlineLevel="0" collapsed="false">
      <c r="A5550" s="0" t="s">
        <v>740</v>
      </c>
      <c r="B5550" s="0" t="s">
        <v>7425</v>
      </c>
      <c r="C5550" s="0" t="s">
        <v>7389</v>
      </c>
      <c r="D5550" s="0" t="s">
        <v>98</v>
      </c>
      <c r="E5550" s="0" t="s">
        <v>7345</v>
      </c>
    </row>
    <row r="5551" customFormat="false" ht="15" hidden="false" customHeight="false" outlineLevel="0" collapsed="false">
      <c r="A5551" s="0" t="s">
        <v>740</v>
      </c>
      <c r="B5551" s="0" t="s">
        <v>7426</v>
      </c>
      <c r="C5551" s="0" t="s">
        <v>7391</v>
      </c>
      <c r="D5551" s="0" t="s">
        <v>98</v>
      </c>
      <c r="E5551" s="0" t="s">
        <v>7345</v>
      </c>
    </row>
    <row r="5552" customFormat="false" ht="15" hidden="false" customHeight="false" outlineLevel="0" collapsed="false">
      <c r="A5552" s="0" t="s">
        <v>740</v>
      </c>
      <c r="B5552" s="0" t="s">
        <v>7427</v>
      </c>
      <c r="C5552" s="0" t="s">
        <v>7393</v>
      </c>
      <c r="D5552" s="0" t="s">
        <v>98</v>
      </c>
      <c r="E5552" s="0" t="s">
        <v>7345</v>
      </c>
    </row>
    <row r="5553" customFormat="false" ht="15" hidden="false" customHeight="false" outlineLevel="0" collapsed="false">
      <c r="A5553" s="0" t="s">
        <v>740</v>
      </c>
      <c r="B5553" s="0" t="s">
        <v>7428</v>
      </c>
      <c r="C5553" s="0" t="s">
        <v>7395</v>
      </c>
      <c r="D5553" s="0" t="s">
        <v>98</v>
      </c>
      <c r="E5553" s="0" t="s">
        <v>7345</v>
      </c>
    </row>
    <row r="5554" customFormat="false" ht="15" hidden="false" customHeight="false" outlineLevel="0" collapsed="false">
      <c r="A5554" s="0" t="s">
        <v>740</v>
      </c>
      <c r="B5554" s="0" t="s">
        <v>7429</v>
      </c>
      <c r="C5554" s="0" t="s">
        <v>7397</v>
      </c>
      <c r="D5554" s="0" t="s">
        <v>98</v>
      </c>
      <c r="E5554" s="0" t="s">
        <v>7345</v>
      </c>
    </row>
    <row r="5555" customFormat="false" ht="15" hidden="false" customHeight="false" outlineLevel="0" collapsed="false">
      <c r="A5555" s="0" t="s">
        <v>740</v>
      </c>
      <c r="B5555" s="0" t="s">
        <v>7430</v>
      </c>
      <c r="C5555" s="0" t="s">
        <v>7399</v>
      </c>
      <c r="D5555" s="0" t="s">
        <v>98</v>
      </c>
      <c r="E5555" s="0" t="s">
        <v>7345</v>
      </c>
    </row>
    <row r="5556" customFormat="false" ht="15" hidden="false" customHeight="false" outlineLevel="0" collapsed="false">
      <c r="A5556" s="0" t="s">
        <v>6660</v>
      </c>
      <c r="B5556" s="0" t="s">
        <v>1407</v>
      </c>
      <c r="C5556" s="0" t="s">
        <v>463</v>
      </c>
      <c r="D5556" s="0" t="s">
        <v>86</v>
      </c>
      <c r="E5556" s="0" t="s">
        <v>6663</v>
      </c>
    </row>
    <row r="5557" customFormat="false" ht="15" hidden="false" customHeight="false" outlineLevel="0" collapsed="false">
      <c r="A5557" s="0" t="s">
        <v>6660</v>
      </c>
      <c r="B5557" s="0" t="s">
        <v>1408</v>
      </c>
      <c r="C5557" s="0" t="s">
        <v>464</v>
      </c>
      <c r="D5557" s="0" t="s">
        <v>93</v>
      </c>
      <c r="E5557" s="0" t="s">
        <v>7431</v>
      </c>
    </row>
    <row r="5558" customFormat="false" ht="15" hidden="false" customHeight="false" outlineLevel="0" collapsed="false">
      <c r="A5558" s="0" t="s">
        <v>6660</v>
      </c>
      <c r="B5558" s="0" t="s">
        <v>1409</v>
      </c>
      <c r="C5558" s="0" t="s">
        <v>170</v>
      </c>
      <c r="D5558" s="0" t="s">
        <v>86</v>
      </c>
      <c r="E5558" s="0" t="s">
        <v>7432</v>
      </c>
    </row>
    <row r="5559" customFormat="false" ht="15" hidden="false" customHeight="false" outlineLevel="0" collapsed="false">
      <c r="A5559" s="0" t="s">
        <v>6660</v>
      </c>
      <c r="B5559" s="0" t="s">
        <v>1410</v>
      </c>
      <c r="C5559" s="0" t="s">
        <v>465</v>
      </c>
      <c r="D5559" s="0" t="s">
        <v>86</v>
      </c>
      <c r="E5559" s="0" t="s">
        <v>6663</v>
      </c>
    </row>
    <row r="5560" customFormat="false" ht="15" hidden="false" customHeight="false" outlineLevel="0" collapsed="false">
      <c r="A5560" s="0" t="s">
        <v>6660</v>
      </c>
      <c r="B5560" s="0" t="s">
        <v>1412</v>
      </c>
      <c r="C5560" s="0" t="s">
        <v>321</v>
      </c>
      <c r="D5560" s="0" t="s">
        <v>86</v>
      </c>
      <c r="E5560" s="0" t="s">
        <v>7433</v>
      </c>
    </row>
    <row r="5561" customFormat="false" ht="15" hidden="false" customHeight="false" outlineLevel="0" collapsed="false">
      <c r="A5561" s="0" t="s">
        <v>6660</v>
      </c>
      <c r="B5561" s="0" t="s">
        <v>1413</v>
      </c>
      <c r="C5561" s="0" t="s">
        <v>321</v>
      </c>
      <c r="D5561" s="0" t="s">
        <v>86</v>
      </c>
    </row>
    <row r="5562" customFormat="false" ht="15" hidden="false" customHeight="false" outlineLevel="0" collapsed="false">
      <c r="A5562" s="0" t="s">
        <v>6660</v>
      </c>
      <c r="B5562" s="0" t="s">
        <v>1415</v>
      </c>
      <c r="C5562" s="0" t="s">
        <v>321</v>
      </c>
      <c r="D5562" s="0" t="s">
        <v>86</v>
      </c>
    </row>
    <row r="5563" customFormat="false" ht="15" hidden="false" customHeight="false" outlineLevel="0" collapsed="false">
      <c r="A5563" s="0" t="s">
        <v>6660</v>
      </c>
      <c r="B5563" s="0" t="s">
        <v>1417</v>
      </c>
      <c r="C5563" s="0" t="s">
        <v>321</v>
      </c>
      <c r="D5563" s="0" t="s">
        <v>93</v>
      </c>
      <c r="E5563" s="0" t="s">
        <v>7434</v>
      </c>
    </row>
    <row r="5564" customFormat="false" ht="15" hidden="false" customHeight="false" outlineLevel="0" collapsed="false">
      <c r="A5564" s="0" t="s">
        <v>6660</v>
      </c>
      <c r="B5564" s="0" t="s">
        <v>1418</v>
      </c>
      <c r="C5564" s="0" t="s">
        <v>7435</v>
      </c>
      <c r="D5564" s="0" t="s">
        <v>98</v>
      </c>
      <c r="E5564" s="0" t="s">
        <v>7436</v>
      </c>
    </row>
    <row r="5565" customFormat="false" ht="15" hidden="false" customHeight="false" outlineLevel="0" collapsed="false">
      <c r="A5565" s="0" t="s">
        <v>6660</v>
      </c>
      <c r="B5565" s="0" t="s">
        <v>1439</v>
      </c>
      <c r="C5565" s="0" t="s">
        <v>463</v>
      </c>
      <c r="D5565" s="0" t="s">
        <v>86</v>
      </c>
      <c r="E5565" s="0" t="s">
        <v>6663</v>
      </c>
    </row>
    <row r="5566" customFormat="false" ht="15" hidden="false" customHeight="false" outlineLevel="0" collapsed="false">
      <c r="A5566" s="0" t="s">
        <v>6660</v>
      </c>
      <c r="B5566" s="0" t="s">
        <v>1440</v>
      </c>
      <c r="C5566" s="0" t="s">
        <v>464</v>
      </c>
      <c r="D5566" s="0" t="s">
        <v>93</v>
      </c>
      <c r="E5566" s="0" t="s">
        <v>7431</v>
      </c>
    </row>
    <row r="5567" customFormat="false" ht="15" hidden="false" customHeight="false" outlineLevel="0" collapsed="false">
      <c r="A5567" s="0" t="s">
        <v>6660</v>
      </c>
      <c r="B5567" s="0" t="s">
        <v>1441</v>
      </c>
      <c r="C5567" s="0" t="s">
        <v>170</v>
      </c>
      <c r="D5567" s="0" t="s">
        <v>86</v>
      </c>
      <c r="E5567" s="0" t="s">
        <v>7432</v>
      </c>
    </row>
    <row r="5568" customFormat="false" ht="15" hidden="false" customHeight="false" outlineLevel="0" collapsed="false">
      <c r="A5568" s="0" t="s">
        <v>6660</v>
      </c>
      <c r="B5568" s="0" t="s">
        <v>1442</v>
      </c>
      <c r="C5568" s="0" t="s">
        <v>465</v>
      </c>
      <c r="D5568" s="0" t="s">
        <v>86</v>
      </c>
      <c r="E5568" s="0" t="s">
        <v>6663</v>
      </c>
    </row>
    <row r="5569" customFormat="false" ht="15" hidden="false" customHeight="false" outlineLevel="0" collapsed="false">
      <c r="A5569" s="0" t="s">
        <v>6660</v>
      </c>
      <c r="B5569" s="0" t="s">
        <v>1443</v>
      </c>
      <c r="C5569" s="0" t="s">
        <v>322</v>
      </c>
      <c r="D5569" s="0" t="s">
        <v>86</v>
      </c>
      <c r="E5569" s="0" t="s">
        <v>7433</v>
      </c>
    </row>
    <row r="5570" customFormat="false" ht="15" hidden="false" customHeight="false" outlineLevel="0" collapsed="false">
      <c r="A5570" s="0" t="s">
        <v>6660</v>
      </c>
      <c r="B5570" s="0" t="s">
        <v>1444</v>
      </c>
      <c r="C5570" s="0" t="s">
        <v>322</v>
      </c>
      <c r="D5570" s="0" t="s">
        <v>86</v>
      </c>
    </row>
    <row r="5571" customFormat="false" ht="15" hidden="false" customHeight="false" outlineLevel="0" collapsed="false">
      <c r="A5571" s="0" t="s">
        <v>6660</v>
      </c>
      <c r="B5571" s="0" t="s">
        <v>1445</v>
      </c>
      <c r="C5571" s="0" t="s">
        <v>322</v>
      </c>
      <c r="D5571" s="0" t="s">
        <v>86</v>
      </c>
    </row>
    <row r="5572" customFormat="false" ht="15" hidden="false" customHeight="false" outlineLevel="0" collapsed="false">
      <c r="A5572" s="0" t="s">
        <v>6660</v>
      </c>
      <c r="B5572" s="0" t="s">
        <v>1447</v>
      </c>
      <c r="C5572" s="0" t="s">
        <v>322</v>
      </c>
      <c r="D5572" s="0" t="s">
        <v>93</v>
      </c>
      <c r="E5572" s="0" t="s">
        <v>7434</v>
      </c>
    </row>
    <row r="5573" customFormat="false" ht="15" hidden="false" customHeight="false" outlineLevel="0" collapsed="false">
      <c r="A5573" s="0" t="s">
        <v>6660</v>
      </c>
      <c r="B5573" s="0" t="s">
        <v>1448</v>
      </c>
      <c r="C5573" s="0" t="s">
        <v>7437</v>
      </c>
      <c r="D5573" s="0" t="s">
        <v>98</v>
      </c>
      <c r="E5573" s="0" t="s">
        <v>7436</v>
      </c>
    </row>
    <row r="5574" customFormat="false" ht="15" hidden="false" customHeight="false" outlineLevel="0" collapsed="false">
      <c r="A5574" s="0" t="s">
        <v>6660</v>
      </c>
      <c r="B5574" s="0" t="s">
        <v>1477</v>
      </c>
      <c r="C5574" s="0" t="s">
        <v>463</v>
      </c>
      <c r="D5574" s="0" t="s">
        <v>86</v>
      </c>
      <c r="E5574" s="0" t="s">
        <v>6663</v>
      </c>
    </row>
    <row r="5575" customFormat="false" ht="15" hidden="false" customHeight="false" outlineLevel="0" collapsed="false">
      <c r="A5575" s="0" t="s">
        <v>6660</v>
      </c>
      <c r="B5575" s="0" t="s">
        <v>1479</v>
      </c>
      <c r="C5575" s="0" t="s">
        <v>464</v>
      </c>
      <c r="D5575" s="0" t="s">
        <v>93</v>
      </c>
      <c r="E5575" s="0" t="s">
        <v>7431</v>
      </c>
    </row>
    <row r="5576" customFormat="false" ht="15" hidden="false" customHeight="false" outlineLevel="0" collapsed="false">
      <c r="A5576" s="0" t="s">
        <v>6660</v>
      </c>
      <c r="B5576" s="0" t="s">
        <v>1481</v>
      </c>
      <c r="C5576" s="0" t="s">
        <v>170</v>
      </c>
      <c r="D5576" s="0" t="s">
        <v>86</v>
      </c>
      <c r="E5576" s="0" t="s">
        <v>7432</v>
      </c>
    </row>
    <row r="5577" customFormat="false" ht="15" hidden="false" customHeight="false" outlineLevel="0" collapsed="false">
      <c r="A5577" s="0" t="s">
        <v>6660</v>
      </c>
      <c r="B5577" s="0" t="s">
        <v>1483</v>
      </c>
      <c r="C5577" s="0" t="s">
        <v>465</v>
      </c>
      <c r="D5577" s="0" t="s">
        <v>86</v>
      </c>
      <c r="E5577" s="0" t="s">
        <v>6663</v>
      </c>
    </row>
    <row r="5578" customFormat="false" ht="15" hidden="false" customHeight="false" outlineLevel="0" collapsed="false">
      <c r="A5578" s="0" t="s">
        <v>6660</v>
      </c>
      <c r="B5578" s="0" t="s">
        <v>1485</v>
      </c>
      <c r="C5578" s="0" t="s">
        <v>324</v>
      </c>
      <c r="D5578" s="0" t="s">
        <v>86</v>
      </c>
      <c r="E5578" s="0" t="s">
        <v>7433</v>
      </c>
    </row>
    <row r="5579" customFormat="false" ht="15" hidden="false" customHeight="false" outlineLevel="0" collapsed="false">
      <c r="A5579" s="0" t="s">
        <v>6660</v>
      </c>
      <c r="B5579" s="0" t="s">
        <v>1487</v>
      </c>
      <c r="C5579" s="0" t="s">
        <v>324</v>
      </c>
      <c r="D5579" s="0" t="s">
        <v>86</v>
      </c>
    </row>
    <row r="5580" customFormat="false" ht="15" hidden="false" customHeight="false" outlineLevel="0" collapsed="false">
      <c r="A5580" s="0" t="s">
        <v>6660</v>
      </c>
      <c r="B5580" s="0" t="s">
        <v>1489</v>
      </c>
      <c r="C5580" s="0" t="s">
        <v>324</v>
      </c>
      <c r="D5580" s="0" t="s">
        <v>86</v>
      </c>
    </row>
    <row r="5581" customFormat="false" ht="15" hidden="false" customHeight="false" outlineLevel="0" collapsed="false">
      <c r="A5581" s="0" t="s">
        <v>6660</v>
      </c>
      <c r="B5581" s="0" t="s">
        <v>1493</v>
      </c>
      <c r="C5581" s="0" t="s">
        <v>324</v>
      </c>
      <c r="D5581" s="0" t="s">
        <v>93</v>
      </c>
      <c r="E5581" s="0" t="s">
        <v>7434</v>
      </c>
    </row>
    <row r="5582" customFormat="false" ht="15" hidden="false" customHeight="false" outlineLevel="0" collapsed="false">
      <c r="A5582" s="0" t="s">
        <v>6660</v>
      </c>
      <c r="B5582" s="0" t="s">
        <v>1495</v>
      </c>
      <c r="C5582" s="0" t="s">
        <v>7438</v>
      </c>
      <c r="D5582" s="0" t="s">
        <v>98</v>
      </c>
      <c r="E5582" s="0" t="s">
        <v>7436</v>
      </c>
    </row>
    <row r="5583" customFormat="false" ht="15" hidden="false" customHeight="false" outlineLevel="0" collapsed="false">
      <c r="A5583" s="0" t="s">
        <v>6660</v>
      </c>
      <c r="B5583" s="0" t="s">
        <v>5138</v>
      </c>
      <c r="C5583" s="0" t="s">
        <v>463</v>
      </c>
      <c r="D5583" s="0" t="s">
        <v>86</v>
      </c>
      <c r="E5583" s="0" t="s">
        <v>6663</v>
      </c>
    </row>
    <row r="5584" customFormat="false" ht="15" hidden="false" customHeight="false" outlineLevel="0" collapsed="false">
      <c r="A5584" s="0" t="s">
        <v>6660</v>
      </c>
      <c r="B5584" s="0" t="s">
        <v>5140</v>
      </c>
      <c r="C5584" s="0" t="s">
        <v>464</v>
      </c>
      <c r="D5584" s="0" t="s">
        <v>93</v>
      </c>
      <c r="E5584" s="0" t="s">
        <v>7431</v>
      </c>
    </row>
    <row r="5585" customFormat="false" ht="15" hidden="false" customHeight="false" outlineLevel="0" collapsed="false">
      <c r="A5585" s="0" t="s">
        <v>6660</v>
      </c>
      <c r="B5585" s="0" t="s">
        <v>5142</v>
      </c>
      <c r="C5585" s="0" t="s">
        <v>170</v>
      </c>
      <c r="D5585" s="0" t="s">
        <v>86</v>
      </c>
      <c r="E5585" s="0" t="s">
        <v>7432</v>
      </c>
    </row>
    <row r="5586" customFormat="false" ht="15" hidden="false" customHeight="false" outlineLevel="0" collapsed="false">
      <c r="A5586" s="0" t="s">
        <v>6660</v>
      </c>
      <c r="B5586" s="0" t="s">
        <v>5144</v>
      </c>
      <c r="C5586" s="0" t="s">
        <v>465</v>
      </c>
      <c r="D5586" s="0" t="s">
        <v>86</v>
      </c>
      <c r="E5586" s="0" t="s">
        <v>6663</v>
      </c>
    </row>
    <row r="5587" customFormat="false" ht="15" hidden="false" customHeight="false" outlineLevel="0" collapsed="false">
      <c r="A5587" s="0" t="s">
        <v>6660</v>
      </c>
      <c r="B5587" s="0" t="s">
        <v>5146</v>
      </c>
      <c r="C5587" s="0" t="s">
        <v>324</v>
      </c>
      <c r="D5587" s="0" t="s">
        <v>86</v>
      </c>
      <c r="E5587" s="0" t="s">
        <v>7433</v>
      </c>
    </row>
    <row r="5588" customFormat="false" ht="15" hidden="false" customHeight="false" outlineLevel="0" collapsed="false">
      <c r="A5588" s="0" t="s">
        <v>6660</v>
      </c>
      <c r="B5588" s="0" t="s">
        <v>1513</v>
      </c>
      <c r="C5588" s="0" t="s">
        <v>324</v>
      </c>
      <c r="D5588" s="0" t="s">
        <v>86</v>
      </c>
    </row>
    <row r="5589" customFormat="false" ht="15" hidden="false" customHeight="false" outlineLevel="0" collapsed="false">
      <c r="A5589" s="0" t="s">
        <v>6660</v>
      </c>
      <c r="B5589" s="0" t="s">
        <v>5149</v>
      </c>
      <c r="C5589" s="0" t="s">
        <v>324</v>
      </c>
      <c r="D5589" s="0" t="s">
        <v>86</v>
      </c>
    </row>
    <row r="5590" customFormat="false" ht="15" hidden="false" customHeight="false" outlineLevel="0" collapsed="false">
      <c r="A5590" s="0" t="s">
        <v>6660</v>
      </c>
      <c r="B5590" s="0" t="s">
        <v>5153</v>
      </c>
      <c r="C5590" s="0" t="s">
        <v>324</v>
      </c>
      <c r="D5590" s="0" t="s">
        <v>93</v>
      </c>
      <c r="E5590" s="0" t="s">
        <v>7434</v>
      </c>
    </row>
    <row r="5591" customFormat="false" ht="15" hidden="false" customHeight="false" outlineLevel="0" collapsed="false">
      <c r="A5591" s="0" t="s">
        <v>6660</v>
      </c>
      <c r="B5591" s="0" t="s">
        <v>5155</v>
      </c>
      <c r="C5591" s="0" t="s">
        <v>7439</v>
      </c>
      <c r="D5591" s="0" t="s">
        <v>98</v>
      </c>
      <c r="E5591" s="0" t="s">
        <v>7436</v>
      </c>
    </row>
    <row r="5592" customFormat="false" ht="15" hidden="false" customHeight="false" outlineLevel="0" collapsed="false">
      <c r="A5592" s="0" t="s">
        <v>6660</v>
      </c>
      <c r="B5592" s="0" t="s">
        <v>1522</v>
      </c>
      <c r="C5592" s="0" t="s">
        <v>463</v>
      </c>
      <c r="D5592" s="0" t="s">
        <v>86</v>
      </c>
      <c r="E5592" s="0" t="s">
        <v>6663</v>
      </c>
    </row>
    <row r="5593" customFormat="false" ht="15" hidden="false" customHeight="false" outlineLevel="0" collapsed="false">
      <c r="A5593" s="0" t="s">
        <v>6660</v>
      </c>
      <c r="B5593" s="0" t="s">
        <v>1523</v>
      </c>
      <c r="C5593" s="0" t="s">
        <v>464</v>
      </c>
      <c r="D5593" s="0" t="s">
        <v>93</v>
      </c>
      <c r="E5593" s="0" t="s">
        <v>7431</v>
      </c>
    </row>
    <row r="5594" customFormat="false" ht="15" hidden="false" customHeight="false" outlineLevel="0" collapsed="false">
      <c r="A5594" s="0" t="s">
        <v>6660</v>
      </c>
      <c r="B5594" s="0" t="s">
        <v>1524</v>
      </c>
      <c r="C5594" s="0" t="s">
        <v>170</v>
      </c>
      <c r="D5594" s="0" t="s">
        <v>86</v>
      </c>
      <c r="E5594" s="0" t="s">
        <v>7432</v>
      </c>
    </row>
    <row r="5595" customFormat="false" ht="15" hidden="false" customHeight="false" outlineLevel="0" collapsed="false">
      <c r="A5595" s="0" t="s">
        <v>6660</v>
      </c>
      <c r="B5595" s="0" t="s">
        <v>1525</v>
      </c>
      <c r="C5595" s="0" t="s">
        <v>465</v>
      </c>
      <c r="D5595" s="0" t="s">
        <v>86</v>
      </c>
      <c r="E5595" s="0" t="s">
        <v>6663</v>
      </c>
    </row>
    <row r="5596" customFormat="false" ht="15" hidden="false" customHeight="false" outlineLevel="0" collapsed="false">
      <c r="A5596" s="0" t="s">
        <v>6660</v>
      </c>
      <c r="B5596" s="0" t="s">
        <v>1526</v>
      </c>
      <c r="C5596" s="0" t="s">
        <v>327</v>
      </c>
      <c r="D5596" s="0" t="s">
        <v>93</v>
      </c>
      <c r="E5596" s="0" t="s">
        <v>7433</v>
      </c>
    </row>
    <row r="5597" customFormat="false" ht="15" hidden="false" customHeight="false" outlineLevel="0" collapsed="false">
      <c r="A5597" s="0" t="s">
        <v>6660</v>
      </c>
      <c r="B5597" s="0" t="s">
        <v>1527</v>
      </c>
      <c r="C5597" s="0" t="s">
        <v>326</v>
      </c>
      <c r="D5597" s="0" t="s">
        <v>93</v>
      </c>
    </row>
    <row r="5598" customFormat="false" ht="15" hidden="false" customHeight="false" outlineLevel="0" collapsed="false">
      <c r="A5598" s="0" t="s">
        <v>6660</v>
      </c>
      <c r="B5598" s="0" t="s">
        <v>1528</v>
      </c>
      <c r="C5598" s="0" t="s">
        <v>325</v>
      </c>
      <c r="D5598" s="0" t="s">
        <v>93</v>
      </c>
    </row>
    <row r="5599" customFormat="false" ht="15" hidden="false" customHeight="false" outlineLevel="0" collapsed="false">
      <c r="A5599" s="0" t="s">
        <v>6660</v>
      </c>
      <c r="B5599" s="0" t="s">
        <v>1530</v>
      </c>
      <c r="C5599" s="0" t="s">
        <v>329</v>
      </c>
      <c r="D5599" s="0" t="s">
        <v>93</v>
      </c>
      <c r="E5599" s="0" t="s">
        <v>7434</v>
      </c>
    </row>
    <row r="5600" customFormat="false" ht="15" hidden="false" customHeight="false" outlineLevel="0" collapsed="false">
      <c r="A5600" s="0" t="s">
        <v>6660</v>
      </c>
      <c r="B5600" s="0" t="s">
        <v>1531</v>
      </c>
      <c r="C5600" s="0" t="s">
        <v>7440</v>
      </c>
      <c r="D5600" s="0" t="s">
        <v>98</v>
      </c>
      <c r="E5600" s="0" t="s">
        <v>7436</v>
      </c>
    </row>
    <row r="5601" customFormat="false" ht="15" hidden="false" customHeight="false" outlineLevel="0" collapsed="false">
      <c r="A5601" s="0" t="s">
        <v>6660</v>
      </c>
      <c r="B5601" s="0" t="s">
        <v>1556</v>
      </c>
      <c r="C5601" s="0" t="s">
        <v>463</v>
      </c>
      <c r="D5601" s="0" t="s">
        <v>86</v>
      </c>
      <c r="E5601" s="0" t="s">
        <v>6663</v>
      </c>
    </row>
    <row r="5602" customFormat="false" ht="15" hidden="false" customHeight="false" outlineLevel="0" collapsed="false">
      <c r="A5602" s="0" t="s">
        <v>6660</v>
      </c>
      <c r="B5602" s="0" t="s">
        <v>1557</v>
      </c>
      <c r="C5602" s="0" t="s">
        <v>464</v>
      </c>
      <c r="D5602" s="0" t="s">
        <v>93</v>
      </c>
      <c r="E5602" s="0" t="s">
        <v>7431</v>
      </c>
    </row>
    <row r="5603" customFormat="false" ht="15" hidden="false" customHeight="false" outlineLevel="0" collapsed="false">
      <c r="A5603" s="0" t="s">
        <v>6660</v>
      </c>
      <c r="B5603" s="0" t="s">
        <v>1558</v>
      </c>
      <c r="C5603" s="0" t="s">
        <v>170</v>
      </c>
      <c r="D5603" s="0" t="s">
        <v>86</v>
      </c>
      <c r="E5603" s="0" t="s">
        <v>7432</v>
      </c>
    </row>
    <row r="5604" customFormat="false" ht="15" hidden="false" customHeight="false" outlineLevel="0" collapsed="false">
      <c r="A5604" s="0" t="s">
        <v>6660</v>
      </c>
      <c r="B5604" s="0" t="s">
        <v>1559</v>
      </c>
      <c r="C5604" s="0" t="s">
        <v>465</v>
      </c>
      <c r="D5604" s="0" t="s">
        <v>86</v>
      </c>
      <c r="E5604" s="0" t="s">
        <v>6663</v>
      </c>
    </row>
    <row r="5605" customFormat="false" ht="15" hidden="false" customHeight="false" outlineLevel="0" collapsed="false">
      <c r="A5605" s="0" t="s">
        <v>6660</v>
      </c>
      <c r="B5605" s="0" t="s">
        <v>1560</v>
      </c>
      <c r="C5605" s="0" t="s">
        <v>327</v>
      </c>
      <c r="D5605" s="0" t="s">
        <v>93</v>
      </c>
      <c r="E5605" s="0" t="s">
        <v>7433</v>
      </c>
    </row>
    <row r="5606" customFormat="false" ht="15" hidden="false" customHeight="false" outlineLevel="0" collapsed="false">
      <c r="A5606" s="0" t="s">
        <v>6660</v>
      </c>
      <c r="B5606" s="0" t="s">
        <v>1561</v>
      </c>
      <c r="C5606" s="0" t="s">
        <v>326</v>
      </c>
      <c r="D5606" s="0" t="s">
        <v>93</v>
      </c>
    </row>
    <row r="5607" customFormat="false" ht="15" hidden="false" customHeight="false" outlineLevel="0" collapsed="false">
      <c r="A5607" s="0" t="s">
        <v>6660</v>
      </c>
      <c r="B5607" s="0" t="s">
        <v>1562</v>
      </c>
      <c r="C5607" s="0" t="s">
        <v>325</v>
      </c>
      <c r="D5607" s="0" t="s">
        <v>93</v>
      </c>
    </row>
    <row r="5608" customFormat="false" ht="15" hidden="false" customHeight="false" outlineLevel="0" collapsed="false">
      <c r="A5608" s="0" t="s">
        <v>6660</v>
      </c>
      <c r="B5608" s="0" t="s">
        <v>1564</v>
      </c>
      <c r="C5608" s="0" t="s">
        <v>329</v>
      </c>
      <c r="D5608" s="0" t="s">
        <v>93</v>
      </c>
      <c r="E5608" s="0" t="s">
        <v>7434</v>
      </c>
    </row>
    <row r="5609" customFormat="false" ht="15" hidden="false" customHeight="false" outlineLevel="0" collapsed="false">
      <c r="A5609" s="0" t="s">
        <v>6660</v>
      </c>
      <c r="B5609" s="0" t="s">
        <v>1565</v>
      </c>
      <c r="C5609" s="0" t="s">
        <v>7441</v>
      </c>
      <c r="D5609" s="0" t="s">
        <v>98</v>
      </c>
      <c r="E5609" s="0" t="s">
        <v>7436</v>
      </c>
    </row>
    <row r="5610" customFormat="false" ht="15" hidden="false" customHeight="false" outlineLevel="0" collapsed="false">
      <c r="A5610" s="0" t="s">
        <v>6660</v>
      </c>
      <c r="B5610" s="0" t="s">
        <v>1584</v>
      </c>
      <c r="C5610" s="0" t="s">
        <v>463</v>
      </c>
      <c r="D5610" s="0" t="s">
        <v>86</v>
      </c>
      <c r="E5610" s="0" t="s">
        <v>6663</v>
      </c>
    </row>
    <row r="5611" customFormat="false" ht="15" hidden="false" customHeight="false" outlineLevel="0" collapsed="false">
      <c r="A5611" s="0" t="s">
        <v>6660</v>
      </c>
      <c r="B5611" s="0" t="s">
        <v>1585</v>
      </c>
      <c r="C5611" s="0" t="s">
        <v>464</v>
      </c>
      <c r="D5611" s="0" t="s">
        <v>93</v>
      </c>
      <c r="E5611" s="0" t="s">
        <v>7431</v>
      </c>
    </row>
    <row r="5612" customFormat="false" ht="15" hidden="false" customHeight="false" outlineLevel="0" collapsed="false">
      <c r="A5612" s="0" t="s">
        <v>6660</v>
      </c>
      <c r="B5612" s="0" t="s">
        <v>1586</v>
      </c>
      <c r="C5612" s="0" t="s">
        <v>170</v>
      </c>
      <c r="D5612" s="0" t="s">
        <v>86</v>
      </c>
      <c r="E5612" s="0" t="s">
        <v>7432</v>
      </c>
    </row>
    <row r="5613" customFormat="false" ht="15" hidden="false" customHeight="false" outlineLevel="0" collapsed="false">
      <c r="A5613" s="0" t="s">
        <v>6660</v>
      </c>
      <c r="B5613" s="0" t="s">
        <v>1587</v>
      </c>
      <c r="C5613" s="0" t="s">
        <v>465</v>
      </c>
      <c r="D5613" s="0" t="s">
        <v>86</v>
      </c>
      <c r="E5613" s="0" t="s">
        <v>6663</v>
      </c>
    </row>
    <row r="5614" customFormat="false" ht="15" hidden="false" customHeight="false" outlineLevel="0" collapsed="false">
      <c r="A5614" s="0" t="s">
        <v>6660</v>
      </c>
      <c r="B5614" s="0" t="s">
        <v>1588</v>
      </c>
      <c r="C5614" s="0" t="s">
        <v>328</v>
      </c>
      <c r="D5614" s="0" t="s">
        <v>93</v>
      </c>
      <c r="E5614" s="0" t="s">
        <v>7433</v>
      </c>
    </row>
    <row r="5615" customFormat="false" ht="15" hidden="false" customHeight="false" outlineLevel="0" collapsed="false">
      <c r="A5615" s="0" t="s">
        <v>6660</v>
      </c>
      <c r="B5615" s="0" t="s">
        <v>1589</v>
      </c>
      <c r="C5615" s="0" t="s">
        <v>327</v>
      </c>
      <c r="D5615" s="0" t="s">
        <v>93</v>
      </c>
    </row>
    <row r="5616" customFormat="false" ht="15" hidden="false" customHeight="false" outlineLevel="0" collapsed="false">
      <c r="A5616" s="0" t="s">
        <v>6660</v>
      </c>
      <c r="B5616" s="0" t="s">
        <v>1590</v>
      </c>
      <c r="C5616" s="0" t="s">
        <v>326</v>
      </c>
      <c r="D5616" s="0" t="s">
        <v>93</v>
      </c>
    </row>
    <row r="5617" customFormat="false" ht="15" hidden="false" customHeight="false" outlineLevel="0" collapsed="false">
      <c r="A5617" s="0" t="s">
        <v>6660</v>
      </c>
      <c r="B5617" s="0" t="s">
        <v>1592</v>
      </c>
      <c r="C5617" s="0" t="s">
        <v>330</v>
      </c>
      <c r="D5617" s="0" t="s">
        <v>93</v>
      </c>
      <c r="E5617" s="0" t="s">
        <v>7434</v>
      </c>
    </row>
    <row r="5618" customFormat="false" ht="15" hidden="false" customHeight="false" outlineLevel="0" collapsed="false">
      <c r="A5618" s="0" t="s">
        <v>6660</v>
      </c>
      <c r="B5618" s="0" t="s">
        <v>1593</v>
      </c>
      <c r="C5618" s="0" t="s">
        <v>7442</v>
      </c>
      <c r="D5618" s="0" t="s">
        <v>98</v>
      </c>
      <c r="E5618" s="0" t="s">
        <v>7436</v>
      </c>
    </row>
    <row r="5619" customFormat="false" ht="15" hidden="false" customHeight="false" outlineLevel="0" collapsed="false">
      <c r="A5619" s="0" t="s">
        <v>6660</v>
      </c>
      <c r="B5619" s="0" t="s">
        <v>1622</v>
      </c>
      <c r="C5619" s="0" t="s">
        <v>463</v>
      </c>
      <c r="D5619" s="0" t="s">
        <v>86</v>
      </c>
      <c r="E5619" s="0" t="s">
        <v>6663</v>
      </c>
    </row>
    <row r="5620" customFormat="false" ht="15" hidden="false" customHeight="false" outlineLevel="0" collapsed="false">
      <c r="A5620" s="0" t="s">
        <v>6660</v>
      </c>
      <c r="B5620" s="0" t="s">
        <v>1624</v>
      </c>
      <c r="C5620" s="0" t="s">
        <v>464</v>
      </c>
      <c r="D5620" s="0" t="s">
        <v>93</v>
      </c>
      <c r="E5620" s="0" t="s">
        <v>7431</v>
      </c>
    </row>
    <row r="5621" customFormat="false" ht="15" hidden="false" customHeight="false" outlineLevel="0" collapsed="false">
      <c r="A5621" s="0" t="s">
        <v>6660</v>
      </c>
      <c r="B5621" s="0" t="s">
        <v>1626</v>
      </c>
      <c r="C5621" s="0" t="s">
        <v>170</v>
      </c>
      <c r="D5621" s="0" t="s">
        <v>86</v>
      </c>
      <c r="E5621" s="0" t="s">
        <v>7432</v>
      </c>
    </row>
    <row r="5622" customFormat="false" ht="15" hidden="false" customHeight="false" outlineLevel="0" collapsed="false">
      <c r="A5622" s="0" t="s">
        <v>6660</v>
      </c>
      <c r="B5622" s="0" t="s">
        <v>1628</v>
      </c>
      <c r="C5622" s="0" t="s">
        <v>465</v>
      </c>
      <c r="D5622" s="0" t="s">
        <v>86</v>
      </c>
      <c r="E5622" s="0" t="s">
        <v>6663</v>
      </c>
    </row>
    <row r="5623" customFormat="false" ht="15" hidden="false" customHeight="false" outlineLevel="0" collapsed="false">
      <c r="A5623" s="0" t="s">
        <v>6660</v>
      </c>
      <c r="B5623" s="0" t="s">
        <v>1630</v>
      </c>
      <c r="C5623" s="0" t="s">
        <v>328</v>
      </c>
      <c r="D5623" s="0" t="s">
        <v>93</v>
      </c>
      <c r="E5623" s="0" t="s">
        <v>7433</v>
      </c>
    </row>
    <row r="5624" customFormat="false" ht="15" hidden="false" customHeight="false" outlineLevel="0" collapsed="false">
      <c r="A5624" s="0" t="s">
        <v>6660</v>
      </c>
      <c r="B5624" s="0" t="s">
        <v>1632</v>
      </c>
      <c r="C5624" s="0" t="s">
        <v>327</v>
      </c>
      <c r="D5624" s="0" t="s">
        <v>93</v>
      </c>
    </row>
    <row r="5625" customFormat="false" ht="15" hidden="false" customHeight="false" outlineLevel="0" collapsed="false">
      <c r="A5625" s="0" t="s">
        <v>6660</v>
      </c>
      <c r="B5625" s="0" t="s">
        <v>1634</v>
      </c>
      <c r="C5625" s="0" t="s">
        <v>326</v>
      </c>
      <c r="D5625" s="0" t="s">
        <v>93</v>
      </c>
    </row>
    <row r="5626" customFormat="false" ht="15" hidden="false" customHeight="false" outlineLevel="0" collapsed="false">
      <c r="A5626" s="0" t="s">
        <v>6660</v>
      </c>
      <c r="B5626" s="0" t="s">
        <v>1638</v>
      </c>
      <c r="C5626" s="0" t="s">
        <v>330</v>
      </c>
      <c r="D5626" s="0" t="s">
        <v>93</v>
      </c>
      <c r="E5626" s="0" t="s">
        <v>7434</v>
      </c>
    </row>
    <row r="5627" customFormat="false" ht="15" hidden="false" customHeight="false" outlineLevel="0" collapsed="false">
      <c r="A5627" s="0" t="s">
        <v>6660</v>
      </c>
      <c r="B5627" s="0" t="s">
        <v>1640</v>
      </c>
      <c r="C5627" s="0" t="s">
        <v>7443</v>
      </c>
      <c r="D5627" s="0" t="s">
        <v>98</v>
      </c>
      <c r="E5627" s="0" t="s">
        <v>7436</v>
      </c>
    </row>
    <row r="5628" customFormat="false" ht="15" hidden="false" customHeight="false" outlineLevel="0" collapsed="false">
      <c r="A5628" s="0" t="s">
        <v>6660</v>
      </c>
      <c r="B5628" s="0" t="s">
        <v>6278</v>
      </c>
      <c r="C5628" s="0" t="s">
        <v>463</v>
      </c>
      <c r="D5628" s="0" t="s">
        <v>86</v>
      </c>
      <c r="E5628" s="0" t="s">
        <v>6663</v>
      </c>
    </row>
    <row r="5629" customFormat="false" ht="15" hidden="false" customHeight="false" outlineLevel="0" collapsed="false">
      <c r="A5629" s="0" t="s">
        <v>6660</v>
      </c>
      <c r="B5629" s="0" t="s">
        <v>6280</v>
      </c>
      <c r="C5629" s="0" t="s">
        <v>464</v>
      </c>
      <c r="D5629" s="0" t="s">
        <v>93</v>
      </c>
      <c r="E5629" s="0" t="s">
        <v>7431</v>
      </c>
    </row>
    <row r="5630" customFormat="false" ht="15" hidden="false" customHeight="false" outlineLevel="0" collapsed="false">
      <c r="A5630" s="0" t="s">
        <v>6660</v>
      </c>
      <c r="B5630" s="0" t="s">
        <v>6282</v>
      </c>
      <c r="C5630" s="0" t="s">
        <v>170</v>
      </c>
      <c r="D5630" s="0" t="s">
        <v>86</v>
      </c>
      <c r="E5630" s="0" t="s">
        <v>7432</v>
      </c>
    </row>
    <row r="5631" customFormat="false" ht="15" hidden="false" customHeight="false" outlineLevel="0" collapsed="false">
      <c r="A5631" s="0" t="s">
        <v>6660</v>
      </c>
      <c r="B5631" s="0" t="s">
        <v>6284</v>
      </c>
      <c r="C5631" s="0" t="s">
        <v>465</v>
      </c>
      <c r="D5631" s="0" t="s">
        <v>86</v>
      </c>
      <c r="E5631" s="0" t="s">
        <v>6663</v>
      </c>
    </row>
    <row r="5632" customFormat="false" ht="15" hidden="false" customHeight="false" outlineLevel="0" collapsed="false">
      <c r="A5632" s="0" t="s">
        <v>6660</v>
      </c>
      <c r="B5632" s="0" t="s">
        <v>6286</v>
      </c>
      <c r="C5632" s="0" t="s">
        <v>329</v>
      </c>
      <c r="D5632" s="0" t="s">
        <v>93</v>
      </c>
      <c r="E5632" s="0" t="s">
        <v>7433</v>
      </c>
    </row>
    <row r="5633" customFormat="false" ht="15" hidden="false" customHeight="false" outlineLevel="0" collapsed="false">
      <c r="A5633" s="0" t="s">
        <v>6660</v>
      </c>
      <c r="B5633" s="0" t="s">
        <v>6288</v>
      </c>
      <c r="C5633" s="0" t="s">
        <v>327</v>
      </c>
      <c r="D5633" s="0" t="s">
        <v>93</v>
      </c>
    </row>
    <row r="5634" customFormat="false" ht="15" hidden="false" customHeight="false" outlineLevel="0" collapsed="false">
      <c r="A5634" s="0" t="s">
        <v>6660</v>
      </c>
      <c r="B5634" s="0" t="s">
        <v>6290</v>
      </c>
      <c r="C5634" s="0" t="s">
        <v>326</v>
      </c>
      <c r="D5634" s="0" t="s">
        <v>93</v>
      </c>
    </row>
    <row r="5635" customFormat="false" ht="15" hidden="false" customHeight="false" outlineLevel="0" collapsed="false">
      <c r="A5635" s="0" t="s">
        <v>6660</v>
      </c>
      <c r="B5635" s="0" t="s">
        <v>6294</v>
      </c>
      <c r="C5635" s="0" t="s">
        <v>330</v>
      </c>
      <c r="D5635" s="0" t="s">
        <v>93</v>
      </c>
      <c r="E5635" s="0" t="s">
        <v>7434</v>
      </c>
    </row>
    <row r="5636" customFormat="false" ht="15" hidden="false" customHeight="false" outlineLevel="0" collapsed="false">
      <c r="A5636" s="0" t="s">
        <v>6660</v>
      </c>
      <c r="B5636" s="0" t="s">
        <v>6296</v>
      </c>
      <c r="C5636" s="0" t="s">
        <v>7444</v>
      </c>
      <c r="D5636" s="0" t="s">
        <v>98</v>
      </c>
      <c r="E5636" s="0" t="s">
        <v>7436</v>
      </c>
    </row>
    <row r="5637" customFormat="false" ht="15" hidden="false" customHeight="false" outlineLevel="0" collapsed="false">
      <c r="A5637" s="0" t="s">
        <v>7445</v>
      </c>
      <c r="B5637" s="0" t="s">
        <v>5242</v>
      </c>
      <c r="C5637" s="0" t="s">
        <v>170</v>
      </c>
      <c r="D5637" s="0" t="s">
        <v>86</v>
      </c>
      <c r="E5637" s="0" t="s">
        <v>6663</v>
      </c>
    </row>
    <row r="5638" customFormat="false" ht="15" hidden="false" customHeight="false" outlineLevel="0" collapsed="false">
      <c r="A5638" s="0" t="s">
        <v>7445</v>
      </c>
      <c r="B5638" s="0" t="s">
        <v>508</v>
      </c>
      <c r="C5638" s="0" t="s">
        <v>7446</v>
      </c>
      <c r="D5638" s="0" t="s">
        <v>86</v>
      </c>
      <c r="E5638" s="0" t="s">
        <v>6663</v>
      </c>
    </row>
    <row r="5639" customFormat="false" ht="15" hidden="false" customHeight="false" outlineLevel="0" collapsed="false">
      <c r="A5639" s="0" t="s">
        <v>7445</v>
      </c>
      <c r="B5639" s="0" t="s">
        <v>510</v>
      </c>
      <c r="C5639" s="0" t="s">
        <v>509</v>
      </c>
      <c r="D5639" s="0" t="s">
        <v>86</v>
      </c>
      <c r="E5639" s="0" t="s">
        <v>6665</v>
      </c>
    </row>
    <row r="5640" customFormat="false" ht="15" hidden="false" customHeight="false" outlineLevel="0" collapsed="false">
      <c r="A5640" s="0" t="s">
        <v>7445</v>
      </c>
      <c r="B5640" s="0" t="s">
        <v>512</v>
      </c>
      <c r="C5640" s="0" t="s">
        <v>550</v>
      </c>
      <c r="D5640" s="0" t="s">
        <v>93</v>
      </c>
      <c r="E5640" s="0" t="s">
        <v>7447</v>
      </c>
    </row>
    <row r="5641" customFormat="false" ht="15" hidden="false" customHeight="false" outlineLevel="0" collapsed="false">
      <c r="A5641" s="0" t="s">
        <v>7445</v>
      </c>
      <c r="B5641" s="0" t="s">
        <v>5288</v>
      </c>
      <c r="C5641" s="0" t="s">
        <v>7448</v>
      </c>
      <c r="D5641" s="0" t="s">
        <v>86</v>
      </c>
      <c r="E5641" s="0" t="s">
        <v>6663</v>
      </c>
    </row>
    <row r="5642" customFormat="false" ht="15" hidden="false" customHeight="false" outlineLevel="0" collapsed="false">
      <c r="A5642" s="0" t="s">
        <v>7445</v>
      </c>
      <c r="B5642" s="0" t="s">
        <v>520</v>
      </c>
      <c r="C5642" s="0" t="s">
        <v>7449</v>
      </c>
      <c r="D5642" s="0" t="s">
        <v>86</v>
      </c>
      <c r="E5642" s="0" t="s">
        <v>6663</v>
      </c>
    </row>
    <row r="5643" customFormat="false" ht="15" hidden="false" customHeight="false" outlineLevel="0" collapsed="false">
      <c r="A5643" s="0" t="s">
        <v>7445</v>
      </c>
      <c r="B5643" s="0" t="s">
        <v>761</v>
      </c>
      <c r="C5643" s="0" t="s">
        <v>7448</v>
      </c>
      <c r="D5643" s="0" t="s">
        <v>86</v>
      </c>
      <c r="E5643" s="0" t="s">
        <v>6663</v>
      </c>
    </row>
    <row r="5644" customFormat="false" ht="15" hidden="false" customHeight="false" outlineLevel="0" collapsed="false">
      <c r="A5644" s="0" t="s">
        <v>7445</v>
      </c>
      <c r="B5644" s="0" t="s">
        <v>530</v>
      </c>
      <c r="C5644" s="0" t="s">
        <v>7450</v>
      </c>
      <c r="D5644" s="0" t="s">
        <v>86</v>
      </c>
      <c r="E5644" s="0" t="s">
        <v>6663</v>
      </c>
    </row>
    <row r="5645" customFormat="false" ht="15" hidden="false" customHeight="false" outlineLevel="0" collapsed="false">
      <c r="A5645" s="0" t="s">
        <v>7445</v>
      </c>
      <c r="B5645" s="0" t="s">
        <v>800</v>
      </c>
      <c r="C5645" s="0" t="s">
        <v>7451</v>
      </c>
      <c r="D5645" s="0" t="s">
        <v>86</v>
      </c>
      <c r="E5645" s="0" t="s">
        <v>7452</v>
      </c>
    </row>
    <row r="5646" customFormat="false" ht="15" hidden="false" customHeight="false" outlineLevel="0" collapsed="false">
      <c r="A5646" s="0" t="s">
        <v>7445</v>
      </c>
      <c r="B5646" s="0" t="s">
        <v>539</v>
      </c>
      <c r="C5646" s="0" t="s">
        <v>7450</v>
      </c>
      <c r="D5646" s="0" t="s">
        <v>86</v>
      </c>
      <c r="E5646" s="0" t="s">
        <v>7452</v>
      </c>
    </row>
    <row r="5647" customFormat="false" ht="15" hidden="false" customHeight="false" outlineLevel="0" collapsed="false">
      <c r="A5647" s="0" t="s">
        <v>7445</v>
      </c>
      <c r="B5647" s="0" t="s">
        <v>547</v>
      </c>
      <c r="C5647" s="0" t="s">
        <v>6764</v>
      </c>
      <c r="D5647" s="0" t="s">
        <v>86</v>
      </c>
      <c r="E5647" s="0" t="s">
        <v>7453</v>
      </c>
    </row>
    <row r="5648" customFormat="false" ht="15" hidden="false" customHeight="false" outlineLevel="0" collapsed="false">
      <c r="A5648" s="0" t="s">
        <v>7445</v>
      </c>
      <c r="B5648" s="0" t="s">
        <v>548</v>
      </c>
      <c r="C5648" s="0" t="s">
        <v>397</v>
      </c>
      <c r="D5648" s="0" t="s">
        <v>93</v>
      </c>
      <c r="E5648" s="0" t="s">
        <v>7454</v>
      </c>
    </row>
    <row r="5649" customFormat="false" ht="15" hidden="false" customHeight="false" outlineLevel="0" collapsed="false">
      <c r="A5649" s="0" t="s">
        <v>7445</v>
      </c>
      <c r="B5649" s="0" t="s">
        <v>824</v>
      </c>
      <c r="C5649" s="0" t="s">
        <v>181</v>
      </c>
      <c r="D5649" s="0" t="s">
        <v>93</v>
      </c>
      <c r="E5649" s="0" t="s">
        <v>182</v>
      </c>
    </row>
    <row r="5650" customFormat="false" ht="15" hidden="false" customHeight="false" outlineLevel="0" collapsed="false">
      <c r="A5650" s="0" t="s">
        <v>7445</v>
      </c>
      <c r="B5650" s="0" t="s">
        <v>549</v>
      </c>
      <c r="C5650" s="0" t="s">
        <v>7450</v>
      </c>
      <c r="D5650" s="0" t="s">
        <v>93</v>
      </c>
      <c r="E5650" s="0" t="s">
        <v>182</v>
      </c>
    </row>
    <row r="5651" customFormat="false" ht="15" hidden="false" customHeight="false" outlineLevel="0" collapsed="false">
      <c r="A5651" s="0" t="s">
        <v>7445</v>
      </c>
      <c r="B5651" s="0" t="s">
        <v>551</v>
      </c>
      <c r="C5651" s="0" t="s">
        <v>521</v>
      </c>
      <c r="D5651" s="0" t="s">
        <v>86</v>
      </c>
      <c r="E5651" s="0" t="s">
        <v>7453</v>
      </c>
    </row>
    <row r="5652" customFormat="false" ht="15" hidden="false" customHeight="false" outlineLevel="0" collapsed="false">
      <c r="A5652" s="0" t="s">
        <v>7445</v>
      </c>
      <c r="B5652" s="0" t="s">
        <v>552</v>
      </c>
      <c r="C5652" s="0" t="s">
        <v>7455</v>
      </c>
      <c r="D5652" s="0" t="s">
        <v>98</v>
      </c>
      <c r="E5652" s="0" t="s">
        <v>7456</v>
      </c>
    </row>
    <row r="5653" customFormat="false" ht="15" hidden="false" customHeight="false" outlineLevel="0" collapsed="false">
      <c r="A5653" s="0" t="s">
        <v>7445</v>
      </c>
      <c r="B5653" s="0" t="s">
        <v>557</v>
      </c>
      <c r="C5653" s="0" t="s">
        <v>6764</v>
      </c>
      <c r="D5653" s="0" t="s">
        <v>86</v>
      </c>
      <c r="E5653" s="0" t="s">
        <v>7457</v>
      </c>
    </row>
    <row r="5654" customFormat="false" ht="15" hidden="false" customHeight="false" outlineLevel="0" collapsed="false">
      <c r="A5654" s="0" t="s">
        <v>7445</v>
      </c>
      <c r="B5654" s="0" t="s">
        <v>558</v>
      </c>
      <c r="C5654" s="0" t="s">
        <v>397</v>
      </c>
      <c r="D5654" s="0" t="s">
        <v>93</v>
      </c>
      <c r="E5654" s="0" t="s">
        <v>7454</v>
      </c>
    </row>
    <row r="5655" customFormat="false" ht="15" hidden="false" customHeight="false" outlineLevel="0" collapsed="false">
      <c r="A5655" s="0" t="s">
        <v>7445</v>
      </c>
      <c r="B5655" s="0" t="s">
        <v>5402</v>
      </c>
      <c r="C5655" s="0" t="s">
        <v>191</v>
      </c>
      <c r="D5655" s="0" t="s">
        <v>93</v>
      </c>
      <c r="E5655" s="0" t="s">
        <v>184</v>
      </c>
    </row>
    <row r="5656" customFormat="false" ht="15" hidden="false" customHeight="false" outlineLevel="0" collapsed="false">
      <c r="A5656" s="0" t="s">
        <v>7445</v>
      </c>
      <c r="B5656" s="0" t="s">
        <v>559</v>
      </c>
      <c r="C5656" s="0" t="s">
        <v>7458</v>
      </c>
      <c r="D5656" s="0" t="s">
        <v>93</v>
      </c>
      <c r="E5656" s="0" t="s">
        <v>184</v>
      </c>
    </row>
    <row r="5657" customFormat="false" ht="15" hidden="false" customHeight="false" outlineLevel="0" collapsed="false">
      <c r="A5657" s="0" t="s">
        <v>7445</v>
      </c>
      <c r="B5657" s="0" t="s">
        <v>561</v>
      </c>
      <c r="C5657" s="0" t="s">
        <v>521</v>
      </c>
      <c r="D5657" s="0" t="s">
        <v>86</v>
      </c>
      <c r="E5657" s="0" t="s">
        <v>7457</v>
      </c>
    </row>
    <row r="5658" customFormat="false" ht="15" hidden="false" customHeight="false" outlineLevel="0" collapsed="false">
      <c r="A5658" s="0" t="s">
        <v>7445</v>
      </c>
      <c r="B5658" s="0" t="s">
        <v>562</v>
      </c>
      <c r="C5658" s="0" t="s">
        <v>7459</v>
      </c>
      <c r="D5658" s="0" t="s">
        <v>98</v>
      </c>
      <c r="E5658" s="0" t="s">
        <v>7456</v>
      </c>
    </row>
    <row r="5659" customFormat="false" ht="15" hidden="false" customHeight="false" outlineLevel="0" collapsed="false">
      <c r="A5659" s="0" t="s">
        <v>7445</v>
      </c>
      <c r="B5659" s="0" t="s">
        <v>567</v>
      </c>
      <c r="C5659" s="0" t="s">
        <v>6764</v>
      </c>
      <c r="D5659" s="0" t="s">
        <v>86</v>
      </c>
      <c r="E5659" s="0" t="s">
        <v>7460</v>
      </c>
    </row>
    <row r="5660" customFormat="false" ht="15" hidden="false" customHeight="false" outlineLevel="0" collapsed="false">
      <c r="A5660" s="0" t="s">
        <v>7445</v>
      </c>
      <c r="B5660" s="0" t="s">
        <v>568</v>
      </c>
      <c r="C5660" s="0" t="s">
        <v>397</v>
      </c>
      <c r="D5660" s="0" t="s">
        <v>93</v>
      </c>
      <c r="E5660" s="0" t="s">
        <v>7454</v>
      </c>
    </row>
    <row r="5661" customFormat="false" ht="15" hidden="false" customHeight="false" outlineLevel="0" collapsed="false">
      <c r="A5661" s="0" t="s">
        <v>7445</v>
      </c>
      <c r="B5661" s="0" t="s">
        <v>5446</v>
      </c>
      <c r="C5661" s="0" t="s">
        <v>191</v>
      </c>
      <c r="D5661" s="0" t="s">
        <v>93</v>
      </c>
      <c r="E5661" s="0" t="s">
        <v>184</v>
      </c>
    </row>
    <row r="5662" customFormat="false" ht="15" hidden="false" customHeight="false" outlineLevel="0" collapsed="false">
      <c r="A5662" s="0" t="s">
        <v>7445</v>
      </c>
      <c r="B5662" s="0" t="s">
        <v>569</v>
      </c>
      <c r="C5662" s="0" t="s">
        <v>7458</v>
      </c>
      <c r="D5662" s="0" t="s">
        <v>93</v>
      </c>
      <c r="E5662" s="0" t="s">
        <v>184</v>
      </c>
    </row>
    <row r="5663" customFormat="false" ht="15" hidden="false" customHeight="false" outlineLevel="0" collapsed="false">
      <c r="A5663" s="0" t="s">
        <v>7445</v>
      </c>
      <c r="B5663" s="0" t="s">
        <v>571</v>
      </c>
      <c r="C5663" s="0" t="s">
        <v>509</v>
      </c>
      <c r="D5663" s="0" t="s">
        <v>86</v>
      </c>
      <c r="E5663" s="0" t="s">
        <v>7460</v>
      </c>
    </row>
    <row r="5664" customFormat="false" ht="15" hidden="false" customHeight="false" outlineLevel="0" collapsed="false">
      <c r="A5664" s="0" t="s">
        <v>7445</v>
      </c>
      <c r="B5664" s="0" t="s">
        <v>572</v>
      </c>
      <c r="C5664" s="0" t="s">
        <v>7461</v>
      </c>
      <c r="D5664" s="0" t="s">
        <v>98</v>
      </c>
      <c r="E5664" s="0" t="s">
        <v>7456</v>
      </c>
    </row>
    <row r="5665" customFormat="false" ht="15" hidden="false" customHeight="false" outlineLevel="0" collapsed="false">
      <c r="A5665" s="0" t="s">
        <v>7445</v>
      </c>
      <c r="B5665" s="0" t="s">
        <v>577</v>
      </c>
      <c r="C5665" s="0" t="s">
        <v>48</v>
      </c>
      <c r="D5665" s="0" t="s">
        <v>86</v>
      </c>
      <c r="E5665" s="0" t="s">
        <v>7462</v>
      </c>
    </row>
    <row r="5666" customFormat="false" ht="15" hidden="false" customHeight="false" outlineLevel="0" collapsed="false">
      <c r="A5666" s="0" t="s">
        <v>7445</v>
      </c>
      <c r="B5666" s="0" t="s">
        <v>578</v>
      </c>
      <c r="C5666" s="0" t="s">
        <v>395</v>
      </c>
      <c r="D5666" s="0" t="s">
        <v>93</v>
      </c>
      <c r="E5666" s="0" t="s">
        <v>7454</v>
      </c>
    </row>
    <row r="5667" customFormat="false" ht="15" hidden="false" customHeight="false" outlineLevel="0" collapsed="false">
      <c r="A5667" s="0" t="s">
        <v>7445</v>
      </c>
      <c r="B5667" s="0" t="s">
        <v>896</v>
      </c>
      <c r="C5667" s="0" t="s">
        <v>207</v>
      </c>
      <c r="D5667" s="0" t="s">
        <v>93</v>
      </c>
      <c r="E5667" s="0" t="s">
        <v>208</v>
      </c>
    </row>
    <row r="5668" customFormat="false" ht="15" hidden="false" customHeight="false" outlineLevel="0" collapsed="false">
      <c r="A5668" s="0" t="s">
        <v>7445</v>
      </c>
      <c r="B5668" s="0" t="s">
        <v>579</v>
      </c>
      <c r="C5668" s="0" t="s">
        <v>7450</v>
      </c>
      <c r="D5668" s="0" t="s">
        <v>93</v>
      </c>
      <c r="E5668" s="0" t="s">
        <v>208</v>
      </c>
    </row>
    <row r="5669" customFormat="false" ht="15" hidden="false" customHeight="false" outlineLevel="0" collapsed="false">
      <c r="A5669" s="0" t="s">
        <v>7445</v>
      </c>
      <c r="B5669" s="0" t="s">
        <v>581</v>
      </c>
      <c r="C5669" s="0" t="s">
        <v>550</v>
      </c>
      <c r="D5669" s="0" t="s">
        <v>86</v>
      </c>
      <c r="E5669" s="0" t="s">
        <v>7462</v>
      </c>
    </row>
    <row r="5670" customFormat="false" ht="15" hidden="false" customHeight="false" outlineLevel="0" collapsed="false">
      <c r="A5670" s="0" t="s">
        <v>7445</v>
      </c>
      <c r="B5670" s="0" t="s">
        <v>582</v>
      </c>
      <c r="C5670" s="0" t="s">
        <v>7463</v>
      </c>
      <c r="D5670" s="0" t="s">
        <v>98</v>
      </c>
      <c r="E5670" s="0" t="s">
        <v>7456</v>
      </c>
    </row>
    <row r="5671" customFormat="false" ht="15" hidden="false" customHeight="false" outlineLevel="0" collapsed="false">
      <c r="A5671" s="0" t="s">
        <v>7445</v>
      </c>
      <c r="B5671" s="0" t="s">
        <v>587</v>
      </c>
      <c r="C5671" s="0" t="s">
        <v>6764</v>
      </c>
      <c r="D5671" s="0" t="s">
        <v>86</v>
      </c>
      <c r="E5671" s="0" t="s">
        <v>7464</v>
      </c>
    </row>
    <row r="5672" customFormat="false" ht="15" hidden="false" customHeight="false" outlineLevel="0" collapsed="false">
      <c r="A5672" s="0" t="s">
        <v>7445</v>
      </c>
      <c r="B5672" s="0" t="s">
        <v>588</v>
      </c>
      <c r="C5672" s="0" t="s">
        <v>397</v>
      </c>
      <c r="D5672" s="0" t="s">
        <v>93</v>
      </c>
      <c r="E5672" s="0" t="s">
        <v>7454</v>
      </c>
    </row>
    <row r="5673" customFormat="false" ht="15" hidden="false" customHeight="false" outlineLevel="0" collapsed="false">
      <c r="A5673" s="0" t="s">
        <v>7445</v>
      </c>
      <c r="B5673" s="0" t="s">
        <v>928</v>
      </c>
      <c r="C5673" s="0" t="s">
        <v>191</v>
      </c>
      <c r="D5673" s="0" t="s">
        <v>93</v>
      </c>
      <c r="E5673" s="0" t="s">
        <v>184</v>
      </c>
    </row>
    <row r="5674" customFormat="false" ht="15" hidden="false" customHeight="false" outlineLevel="0" collapsed="false">
      <c r="A5674" s="0" t="s">
        <v>7445</v>
      </c>
      <c r="B5674" s="0" t="s">
        <v>589</v>
      </c>
      <c r="C5674" s="0" t="s">
        <v>7458</v>
      </c>
      <c r="D5674" s="0" t="s">
        <v>93</v>
      </c>
      <c r="E5674" s="0" t="s">
        <v>184</v>
      </c>
    </row>
    <row r="5675" customFormat="false" ht="15" hidden="false" customHeight="false" outlineLevel="0" collapsed="false">
      <c r="A5675" s="0" t="s">
        <v>7445</v>
      </c>
      <c r="B5675" s="0" t="s">
        <v>591</v>
      </c>
      <c r="C5675" s="0" t="s">
        <v>560</v>
      </c>
      <c r="D5675" s="0" t="s">
        <v>86</v>
      </c>
      <c r="E5675" s="0" t="s">
        <v>7464</v>
      </c>
    </row>
    <row r="5676" customFormat="false" ht="15" hidden="false" customHeight="false" outlineLevel="0" collapsed="false">
      <c r="A5676" s="0" t="s">
        <v>7445</v>
      </c>
      <c r="B5676" s="0" t="s">
        <v>592</v>
      </c>
      <c r="C5676" s="0" t="s">
        <v>7465</v>
      </c>
      <c r="D5676" s="0" t="s">
        <v>98</v>
      </c>
      <c r="E5676" s="0" t="s">
        <v>7456</v>
      </c>
    </row>
    <row r="5677" customFormat="false" ht="15" hidden="false" customHeight="false" outlineLevel="0" collapsed="false">
      <c r="A5677" s="0" t="s">
        <v>7445</v>
      </c>
      <c r="B5677" s="0" t="s">
        <v>597</v>
      </c>
      <c r="C5677" s="0" t="s">
        <v>6764</v>
      </c>
      <c r="D5677" s="0" t="s">
        <v>86</v>
      </c>
      <c r="E5677" s="0" t="s">
        <v>7466</v>
      </c>
    </row>
    <row r="5678" customFormat="false" ht="15" hidden="false" customHeight="false" outlineLevel="0" collapsed="false">
      <c r="A5678" s="0" t="s">
        <v>7445</v>
      </c>
      <c r="B5678" s="0" t="s">
        <v>598</v>
      </c>
      <c r="C5678" s="0" t="s">
        <v>229</v>
      </c>
      <c r="D5678" s="0" t="s">
        <v>93</v>
      </c>
      <c r="E5678" s="0" t="s">
        <v>7454</v>
      </c>
    </row>
    <row r="5679" customFormat="false" ht="15" hidden="false" customHeight="false" outlineLevel="0" collapsed="false">
      <c r="A5679" s="0" t="s">
        <v>7445</v>
      </c>
      <c r="B5679" s="0" t="s">
        <v>952</v>
      </c>
      <c r="C5679" s="0" t="s">
        <v>223</v>
      </c>
      <c r="D5679" s="0" t="s">
        <v>93</v>
      </c>
      <c r="E5679" s="0" t="s">
        <v>224</v>
      </c>
    </row>
    <row r="5680" customFormat="false" ht="15" hidden="false" customHeight="false" outlineLevel="0" collapsed="false">
      <c r="A5680" s="0" t="s">
        <v>7445</v>
      </c>
      <c r="B5680" s="0" t="s">
        <v>599</v>
      </c>
      <c r="C5680" s="0" t="s">
        <v>7450</v>
      </c>
      <c r="D5680" s="0" t="s">
        <v>93</v>
      </c>
      <c r="E5680" s="0" t="s">
        <v>224</v>
      </c>
    </row>
    <row r="5681" customFormat="false" ht="15" hidden="false" customHeight="false" outlineLevel="0" collapsed="false">
      <c r="A5681" s="0" t="s">
        <v>7445</v>
      </c>
      <c r="B5681" s="0" t="s">
        <v>601</v>
      </c>
      <c r="C5681" s="0" t="s">
        <v>570</v>
      </c>
      <c r="D5681" s="0" t="s">
        <v>86</v>
      </c>
      <c r="E5681" s="0" t="s">
        <v>7466</v>
      </c>
    </row>
    <row r="5682" customFormat="false" ht="15" hidden="false" customHeight="false" outlineLevel="0" collapsed="false">
      <c r="A5682" s="0" t="s">
        <v>7445</v>
      </c>
      <c r="B5682" s="0" t="s">
        <v>602</v>
      </c>
      <c r="C5682" s="0" t="s">
        <v>7467</v>
      </c>
      <c r="D5682" s="0" t="s">
        <v>98</v>
      </c>
      <c r="E5682" s="0" t="s">
        <v>7456</v>
      </c>
    </row>
    <row r="5683" customFormat="false" ht="15" hidden="false" customHeight="false" outlineLevel="0" collapsed="false">
      <c r="A5683" s="0" t="s">
        <v>7445</v>
      </c>
      <c r="B5683" s="0" t="s">
        <v>607</v>
      </c>
      <c r="C5683" s="0" t="s">
        <v>6764</v>
      </c>
      <c r="D5683" s="0" t="s">
        <v>86</v>
      </c>
      <c r="E5683" s="0" t="s">
        <v>7468</v>
      </c>
    </row>
    <row r="5684" customFormat="false" ht="15" hidden="false" customHeight="false" outlineLevel="0" collapsed="false">
      <c r="A5684" s="0" t="s">
        <v>7445</v>
      </c>
      <c r="B5684" s="0" t="s">
        <v>608</v>
      </c>
      <c r="C5684" s="0" t="s">
        <v>397</v>
      </c>
      <c r="D5684" s="0" t="s">
        <v>93</v>
      </c>
      <c r="E5684" s="0" t="s">
        <v>7454</v>
      </c>
    </row>
    <row r="5685" customFormat="false" ht="15" hidden="false" customHeight="false" outlineLevel="0" collapsed="false">
      <c r="A5685" s="0" t="s">
        <v>7445</v>
      </c>
      <c r="B5685" s="0" t="s">
        <v>4473</v>
      </c>
      <c r="C5685" s="0" t="s">
        <v>191</v>
      </c>
      <c r="D5685" s="0" t="s">
        <v>93</v>
      </c>
      <c r="E5685" s="0" t="s">
        <v>184</v>
      </c>
    </row>
    <row r="5686" customFormat="false" ht="15" hidden="false" customHeight="false" outlineLevel="0" collapsed="false">
      <c r="A5686" s="0" t="s">
        <v>7445</v>
      </c>
      <c r="B5686" s="0" t="s">
        <v>609</v>
      </c>
      <c r="C5686" s="0" t="s">
        <v>7458</v>
      </c>
      <c r="D5686" s="0" t="s">
        <v>93</v>
      </c>
      <c r="E5686" s="0" t="s">
        <v>184</v>
      </c>
    </row>
    <row r="5687" customFormat="false" ht="15" hidden="false" customHeight="false" outlineLevel="0" collapsed="false">
      <c r="A5687" s="0" t="s">
        <v>7445</v>
      </c>
      <c r="B5687" s="0" t="s">
        <v>611</v>
      </c>
      <c r="C5687" s="0" t="s">
        <v>580</v>
      </c>
      <c r="D5687" s="0" t="s">
        <v>86</v>
      </c>
      <c r="E5687" s="0" t="s">
        <v>7468</v>
      </c>
    </row>
    <row r="5688" customFormat="false" ht="15" hidden="false" customHeight="false" outlineLevel="0" collapsed="false">
      <c r="A5688" s="0" t="s">
        <v>7445</v>
      </c>
      <c r="B5688" s="0" t="s">
        <v>612</v>
      </c>
      <c r="C5688" s="0" t="s">
        <v>7469</v>
      </c>
      <c r="D5688" s="0" t="s">
        <v>98</v>
      </c>
      <c r="E5688" s="0" t="s">
        <v>7456</v>
      </c>
    </row>
    <row r="5689" customFormat="false" ht="15" hidden="false" customHeight="false" outlineLevel="0" collapsed="false">
      <c r="A5689" s="0" t="s">
        <v>7445</v>
      </c>
      <c r="B5689" s="0" t="s">
        <v>617</v>
      </c>
      <c r="C5689" s="0" t="s">
        <v>48</v>
      </c>
      <c r="D5689" s="0" t="s">
        <v>86</v>
      </c>
      <c r="E5689" s="0" t="s">
        <v>7470</v>
      </c>
    </row>
    <row r="5690" customFormat="false" ht="15" hidden="false" customHeight="false" outlineLevel="0" collapsed="false">
      <c r="A5690" s="0" t="s">
        <v>7445</v>
      </c>
      <c r="B5690" s="0" t="s">
        <v>618</v>
      </c>
      <c r="C5690" s="0" t="s">
        <v>241</v>
      </c>
      <c r="D5690" s="0" t="s">
        <v>93</v>
      </c>
      <c r="E5690" s="0" t="s">
        <v>7454</v>
      </c>
    </row>
    <row r="5691" customFormat="false" ht="15" hidden="false" customHeight="false" outlineLevel="0" collapsed="false">
      <c r="A5691" s="0" t="s">
        <v>7445</v>
      </c>
      <c r="B5691" s="0" t="s">
        <v>4518</v>
      </c>
      <c r="C5691" s="0" t="s">
        <v>238</v>
      </c>
      <c r="D5691" s="0" t="s">
        <v>93</v>
      </c>
      <c r="E5691" s="0" t="s">
        <v>224</v>
      </c>
    </row>
    <row r="5692" customFormat="false" ht="15" hidden="false" customHeight="false" outlineLevel="0" collapsed="false">
      <c r="A5692" s="0" t="s">
        <v>7445</v>
      </c>
      <c r="B5692" s="0" t="s">
        <v>619</v>
      </c>
      <c r="C5692" s="0" t="s">
        <v>7458</v>
      </c>
      <c r="D5692" s="0" t="s">
        <v>93</v>
      </c>
      <c r="E5692" s="0" t="s">
        <v>224</v>
      </c>
    </row>
    <row r="5693" customFormat="false" ht="15" hidden="false" customHeight="false" outlineLevel="0" collapsed="false">
      <c r="A5693" s="0" t="s">
        <v>7445</v>
      </c>
      <c r="B5693" s="0" t="s">
        <v>621</v>
      </c>
      <c r="C5693" s="0" t="s">
        <v>590</v>
      </c>
      <c r="D5693" s="0" t="s">
        <v>86</v>
      </c>
      <c r="E5693" s="0" t="s">
        <v>7470</v>
      </c>
    </row>
    <row r="5694" customFormat="false" ht="15" hidden="false" customHeight="false" outlineLevel="0" collapsed="false">
      <c r="A5694" s="0" t="s">
        <v>7445</v>
      </c>
      <c r="B5694" s="0" t="s">
        <v>622</v>
      </c>
      <c r="C5694" s="0" t="s">
        <v>7471</v>
      </c>
      <c r="D5694" s="0" t="s">
        <v>98</v>
      </c>
      <c r="E5694" s="0" t="s">
        <v>7456</v>
      </c>
    </row>
    <row r="5695" customFormat="false" ht="15" hidden="false" customHeight="false" outlineLevel="0" collapsed="false">
      <c r="A5695" s="0" t="s">
        <v>7445</v>
      </c>
      <c r="B5695" s="0" t="s">
        <v>627</v>
      </c>
      <c r="C5695" s="0" t="s">
        <v>48</v>
      </c>
      <c r="D5695" s="0" t="s">
        <v>86</v>
      </c>
      <c r="E5695" s="0" t="s">
        <v>247</v>
      </c>
    </row>
    <row r="5696" customFormat="false" ht="15" hidden="false" customHeight="false" outlineLevel="0" collapsed="false">
      <c r="A5696" s="0" t="s">
        <v>7445</v>
      </c>
      <c r="B5696" s="0" t="s">
        <v>628</v>
      </c>
      <c r="C5696" s="0" t="s">
        <v>246</v>
      </c>
      <c r="D5696" s="0" t="s">
        <v>93</v>
      </c>
      <c r="E5696" s="0" t="s">
        <v>7454</v>
      </c>
    </row>
    <row r="5697" customFormat="false" ht="15" hidden="false" customHeight="false" outlineLevel="0" collapsed="false">
      <c r="A5697" s="0" t="s">
        <v>7445</v>
      </c>
      <c r="B5697" s="0" t="s">
        <v>1024</v>
      </c>
      <c r="C5697" s="0" t="s">
        <v>238</v>
      </c>
      <c r="D5697" s="0" t="s">
        <v>93</v>
      </c>
      <c r="E5697" s="0" t="s">
        <v>224</v>
      </c>
    </row>
    <row r="5698" customFormat="false" ht="15" hidden="false" customHeight="false" outlineLevel="0" collapsed="false">
      <c r="A5698" s="0" t="s">
        <v>7445</v>
      </c>
      <c r="B5698" s="0" t="s">
        <v>629</v>
      </c>
      <c r="C5698" s="0" t="s">
        <v>7458</v>
      </c>
      <c r="D5698" s="0" t="s">
        <v>93</v>
      </c>
      <c r="E5698" s="0" t="s">
        <v>224</v>
      </c>
    </row>
    <row r="5699" customFormat="false" ht="15" hidden="false" customHeight="false" outlineLevel="0" collapsed="false">
      <c r="A5699" s="0" t="s">
        <v>7445</v>
      </c>
      <c r="B5699" s="0" t="s">
        <v>631</v>
      </c>
      <c r="C5699" s="0" t="s">
        <v>600</v>
      </c>
      <c r="D5699" s="0" t="s">
        <v>86</v>
      </c>
      <c r="E5699" s="0" t="s">
        <v>247</v>
      </c>
    </row>
    <row r="5700" customFormat="false" ht="15" hidden="false" customHeight="false" outlineLevel="0" collapsed="false">
      <c r="A5700" s="0" t="s">
        <v>7445</v>
      </c>
      <c r="B5700" s="0" t="s">
        <v>632</v>
      </c>
      <c r="C5700" s="0" t="s">
        <v>7472</v>
      </c>
      <c r="D5700" s="0" t="s">
        <v>98</v>
      </c>
      <c r="E5700" s="0" t="s">
        <v>7456</v>
      </c>
    </row>
    <row r="5701" customFormat="false" ht="15" hidden="false" customHeight="false" outlineLevel="0" collapsed="false">
      <c r="A5701" s="0" t="s">
        <v>7445</v>
      </c>
      <c r="B5701" s="0" t="s">
        <v>637</v>
      </c>
      <c r="C5701" s="0" t="s">
        <v>48</v>
      </c>
      <c r="D5701" s="0" t="s">
        <v>86</v>
      </c>
      <c r="E5701" s="0" t="s">
        <v>251</v>
      </c>
    </row>
    <row r="5702" customFormat="false" ht="15" hidden="false" customHeight="false" outlineLevel="0" collapsed="false">
      <c r="A5702" s="0" t="s">
        <v>7445</v>
      </c>
      <c r="B5702" s="0" t="s">
        <v>638</v>
      </c>
      <c r="C5702" s="0" t="s">
        <v>246</v>
      </c>
      <c r="D5702" s="0" t="s">
        <v>93</v>
      </c>
      <c r="E5702" s="0" t="s">
        <v>7454</v>
      </c>
    </row>
    <row r="5703" customFormat="false" ht="15" hidden="false" customHeight="false" outlineLevel="0" collapsed="false">
      <c r="A5703" s="0" t="s">
        <v>7445</v>
      </c>
      <c r="B5703" s="0" t="s">
        <v>1053</v>
      </c>
      <c r="C5703" s="0" t="s">
        <v>238</v>
      </c>
      <c r="D5703" s="0" t="s">
        <v>93</v>
      </c>
      <c r="E5703" s="0" t="s">
        <v>224</v>
      </c>
    </row>
    <row r="5704" customFormat="false" ht="15" hidden="false" customHeight="false" outlineLevel="0" collapsed="false">
      <c r="A5704" s="0" t="s">
        <v>7445</v>
      </c>
      <c r="B5704" s="0" t="s">
        <v>639</v>
      </c>
      <c r="C5704" s="0" t="s">
        <v>7458</v>
      </c>
      <c r="D5704" s="0" t="s">
        <v>93</v>
      </c>
      <c r="E5704" s="0" t="s">
        <v>224</v>
      </c>
    </row>
    <row r="5705" customFormat="false" ht="15" hidden="false" customHeight="false" outlineLevel="0" collapsed="false">
      <c r="A5705" s="0" t="s">
        <v>7445</v>
      </c>
      <c r="B5705" s="0" t="s">
        <v>640</v>
      </c>
      <c r="C5705" s="0" t="s">
        <v>610</v>
      </c>
      <c r="D5705" s="0" t="s">
        <v>86</v>
      </c>
      <c r="E5705" s="0" t="s">
        <v>251</v>
      </c>
    </row>
    <row r="5706" customFormat="false" ht="15" hidden="false" customHeight="false" outlineLevel="0" collapsed="false">
      <c r="A5706" s="0" t="s">
        <v>7445</v>
      </c>
      <c r="B5706" s="0" t="s">
        <v>641</v>
      </c>
      <c r="C5706" s="0" t="s">
        <v>7473</v>
      </c>
      <c r="D5706" s="0" t="s">
        <v>98</v>
      </c>
      <c r="E5706" s="0" t="s">
        <v>7456</v>
      </c>
    </row>
    <row r="5707" customFormat="false" ht="15" hidden="false" customHeight="false" outlineLevel="0" collapsed="false">
      <c r="A5707" s="0" t="s">
        <v>7445</v>
      </c>
      <c r="B5707" s="0" t="s">
        <v>646</v>
      </c>
      <c r="C5707" s="0" t="s">
        <v>48</v>
      </c>
      <c r="D5707" s="0" t="s">
        <v>86</v>
      </c>
      <c r="E5707" s="0" t="s">
        <v>7474</v>
      </c>
    </row>
    <row r="5708" customFormat="false" ht="15" hidden="false" customHeight="false" outlineLevel="0" collapsed="false">
      <c r="A5708" s="0" t="s">
        <v>7445</v>
      </c>
      <c r="B5708" s="0" t="s">
        <v>647</v>
      </c>
      <c r="C5708" s="0" t="s">
        <v>256</v>
      </c>
      <c r="D5708" s="0" t="s">
        <v>93</v>
      </c>
      <c r="E5708" s="0" t="s">
        <v>7454</v>
      </c>
    </row>
    <row r="5709" customFormat="false" ht="15" hidden="false" customHeight="false" outlineLevel="0" collapsed="false">
      <c r="A5709" s="0" t="s">
        <v>7445</v>
      </c>
      <c r="B5709" s="0" t="s">
        <v>1075</v>
      </c>
      <c r="C5709" s="0" t="s">
        <v>238</v>
      </c>
      <c r="D5709" s="0" t="s">
        <v>93</v>
      </c>
      <c r="E5709" s="0" t="s">
        <v>224</v>
      </c>
    </row>
    <row r="5710" customFormat="false" ht="15" hidden="false" customHeight="false" outlineLevel="0" collapsed="false">
      <c r="A5710" s="0" t="s">
        <v>7445</v>
      </c>
      <c r="B5710" s="0" t="s">
        <v>648</v>
      </c>
      <c r="C5710" s="0" t="s">
        <v>7458</v>
      </c>
      <c r="D5710" s="0" t="s">
        <v>93</v>
      </c>
      <c r="E5710" s="0" t="s">
        <v>224</v>
      </c>
    </row>
    <row r="5711" customFormat="false" ht="15" hidden="false" customHeight="false" outlineLevel="0" collapsed="false">
      <c r="A5711" s="0" t="s">
        <v>7445</v>
      </c>
      <c r="B5711" s="0" t="s">
        <v>649</v>
      </c>
      <c r="C5711" s="0" t="s">
        <v>620</v>
      </c>
      <c r="D5711" s="0" t="s">
        <v>86</v>
      </c>
      <c r="E5711" s="0" t="s">
        <v>7474</v>
      </c>
    </row>
    <row r="5712" customFormat="false" ht="15" hidden="false" customHeight="false" outlineLevel="0" collapsed="false">
      <c r="A5712" s="0" t="s">
        <v>7445</v>
      </c>
      <c r="B5712" s="0" t="s">
        <v>650</v>
      </c>
      <c r="C5712" s="0" t="s">
        <v>7475</v>
      </c>
      <c r="D5712" s="0" t="s">
        <v>98</v>
      </c>
      <c r="E5712" s="0" t="s">
        <v>7456</v>
      </c>
    </row>
    <row r="5713" customFormat="false" ht="15" hidden="false" customHeight="false" outlineLevel="0" collapsed="false">
      <c r="A5713" s="0" t="s">
        <v>7445</v>
      </c>
      <c r="B5713" s="0" t="s">
        <v>655</v>
      </c>
      <c r="C5713" s="0" t="s">
        <v>48</v>
      </c>
      <c r="D5713" s="0" t="s">
        <v>86</v>
      </c>
      <c r="E5713" s="0" t="s">
        <v>7476</v>
      </c>
    </row>
    <row r="5714" customFormat="false" ht="15" hidden="false" customHeight="false" outlineLevel="0" collapsed="false">
      <c r="A5714" s="0" t="s">
        <v>7445</v>
      </c>
      <c r="B5714" s="0" t="s">
        <v>656</v>
      </c>
      <c r="C5714" s="0" t="s">
        <v>256</v>
      </c>
      <c r="D5714" s="0" t="s">
        <v>93</v>
      </c>
      <c r="E5714" s="0" t="s">
        <v>7454</v>
      </c>
    </row>
    <row r="5715" customFormat="false" ht="15" hidden="false" customHeight="false" outlineLevel="0" collapsed="false">
      <c r="A5715" s="0" t="s">
        <v>7445</v>
      </c>
      <c r="B5715" s="0" t="s">
        <v>4631</v>
      </c>
      <c r="C5715" s="0" t="s">
        <v>238</v>
      </c>
      <c r="D5715" s="0" t="s">
        <v>93</v>
      </c>
      <c r="E5715" s="0" t="s">
        <v>224</v>
      </c>
    </row>
    <row r="5716" customFormat="false" ht="15" hidden="false" customHeight="false" outlineLevel="0" collapsed="false">
      <c r="A5716" s="0" t="s">
        <v>7445</v>
      </c>
      <c r="B5716" s="0" t="s">
        <v>657</v>
      </c>
      <c r="C5716" s="0" t="s">
        <v>7458</v>
      </c>
      <c r="D5716" s="0" t="s">
        <v>93</v>
      </c>
      <c r="E5716" s="0" t="s">
        <v>224</v>
      </c>
    </row>
    <row r="5717" customFormat="false" ht="15" hidden="false" customHeight="false" outlineLevel="0" collapsed="false">
      <c r="A5717" s="0" t="s">
        <v>7445</v>
      </c>
      <c r="B5717" s="0" t="s">
        <v>659</v>
      </c>
      <c r="C5717" s="0" t="s">
        <v>630</v>
      </c>
      <c r="D5717" s="0" t="s">
        <v>86</v>
      </c>
      <c r="E5717" s="0" t="s">
        <v>7476</v>
      </c>
    </row>
    <row r="5718" customFormat="false" ht="15" hidden="false" customHeight="false" outlineLevel="0" collapsed="false">
      <c r="A5718" s="0" t="s">
        <v>7445</v>
      </c>
      <c r="B5718" s="0" t="s">
        <v>660</v>
      </c>
      <c r="C5718" s="0" t="s">
        <v>7477</v>
      </c>
      <c r="D5718" s="0" t="s">
        <v>98</v>
      </c>
      <c r="E5718" s="0" t="s">
        <v>7456</v>
      </c>
    </row>
    <row r="5719" customFormat="false" ht="15" hidden="false" customHeight="false" outlineLevel="0" collapsed="false">
      <c r="A5719" s="0" t="s">
        <v>7445</v>
      </c>
      <c r="B5719" s="0" t="s">
        <v>665</v>
      </c>
      <c r="C5719" s="0" t="s">
        <v>48</v>
      </c>
      <c r="D5719" s="0" t="s">
        <v>86</v>
      </c>
      <c r="E5719" s="0" t="s">
        <v>7478</v>
      </c>
    </row>
    <row r="5720" customFormat="false" ht="15" hidden="false" customHeight="false" outlineLevel="0" collapsed="false">
      <c r="A5720" s="0" t="s">
        <v>7445</v>
      </c>
      <c r="B5720" s="0" t="s">
        <v>666</v>
      </c>
      <c r="C5720" s="0" t="s">
        <v>395</v>
      </c>
      <c r="D5720" s="0" t="s">
        <v>93</v>
      </c>
      <c r="E5720" s="0" t="s">
        <v>7454</v>
      </c>
    </row>
    <row r="5721" customFormat="false" ht="15" hidden="false" customHeight="false" outlineLevel="0" collapsed="false">
      <c r="A5721" s="0" t="s">
        <v>7445</v>
      </c>
      <c r="B5721" s="0" t="s">
        <v>4674</v>
      </c>
      <c r="C5721" s="0" t="s">
        <v>238</v>
      </c>
      <c r="D5721" s="0" t="s">
        <v>93</v>
      </c>
      <c r="E5721" s="0" t="s">
        <v>224</v>
      </c>
    </row>
    <row r="5722" customFormat="false" ht="15" hidden="false" customHeight="false" outlineLevel="0" collapsed="false">
      <c r="A5722" s="0" t="s">
        <v>7445</v>
      </c>
      <c r="B5722" s="0" t="s">
        <v>667</v>
      </c>
      <c r="C5722" s="0" t="s">
        <v>7458</v>
      </c>
      <c r="D5722" s="0" t="s">
        <v>93</v>
      </c>
      <c r="E5722" s="0" t="s">
        <v>224</v>
      </c>
    </row>
    <row r="5723" customFormat="false" ht="15" hidden="false" customHeight="false" outlineLevel="0" collapsed="false">
      <c r="A5723" s="0" t="s">
        <v>7445</v>
      </c>
      <c r="B5723" s="0" t="s">
        <v>668</v>
      </c>
      <c r="C5723" s="0" t="s">
        <v>65</v>
      </c>
      <c r="D5723" s="0" t="s">
        <v>86</v>
      </c>
      <c r="E5723" s="0" t="s">
        <v>7478</v>
      </c>
    </row>
    <row r="5724" customFormat="false" ht="15" hidden="false" customHeight="false" outlineLevel="0" collapsed="false">
      <c r="A5724" s="0" t="s">
        <v>7445</v>
      </c>
      <c r="B5724" s="0" t="s">
        <v>669</v>
      </c>
      <c r="C5724" s="0" t="s">
        <v>7479</v>
      </c>
      <c r="D5724" s="0" t="s">
        <v>98</v>
      </c>
      <c r="E5724" s="0" t="s">
        <v>7456</v>
      </c>
    </row>
    <row r="5725" customFormat="false" ht="15" hidden="false" customHeight="false" outlineLevel="0" collapsed="false">
      <c r="A5725" s="0" t="s">
        <v>7445</v>
      </c>
      <c r="B5725" s="0" t="s">
        <v>674</v>
      </c>
      <c r="C5725" s="0" t="s">
        <v>48</v>
      </c>
      <c r="D5725" s="0" t="s">
        <v>86</v>
      </c>
      <c r="E5725" s="0" t="s">
        <v>7480</v>
      </c>
    </row>
    <row r="5726" customFormat="false" ht="15" hidden="false" customHeight="false" outlineLevel="0" collapsed="false">
      <c r="A5726" s="0" t="s">
        <v>7445</v>
      </c>
      <c r="B5726" s="0" t="s">
        <v>675</v>
      </c>
      <c r="C5726" s="0" t="s">
        <v>395</v>
      </c>
      <c r="D5726" s="0" t="s">
        <v>93</v>
      </c>
      <c r="E5726" s="0" t="s">
        <v>7454</v>
      </c>
    </row>
    <row r="5727" customFormat="false" ht="15" hidden="false" customHeight="false" outlineLevel="0" collapsed="false">
      <c r="A5727" s="0" t="s">
        <v>7445</v>
      </c>
      <c r="B5727" s="0" t="s">
        <v>1150</v>
      </c>
      <c r="C5727" s="0" t="s">
        <v>191</v>
      </c>
      <c r="D5727" s="0" t="s">
        <v>93</v>
      </c>
      <c r="E5727" s="0" t="s">
        <v>184</v>
      </c>
    </row>
    <row r="5728" customFormat="false" ht="15" hidden="false" customHeight="false" outlineLevel="0" collapsed="false">
      <c r="A5728" s="0" t="s">
        <v>7445</v>
      </c>
      <c r="B5728" s="0" t="s">
        <v>676</v>
      </c>
      <c r="C5728" s="0" t="s">
        <v>7458</v>
      </c>
      <c r="D5728" s="0" t="s">
        <v>93</v>
      </c>
      <c r="E5728" s="0" t="s">
        <v>184</v>
      </c>
    </row>
    <row r="5729" customFormat="false" ht="15" hidden="false" customHeight="false" outlineLevel="0" collapsed="false">
      <c r="A5729" s="0" t="s">
        <v>7445</v>
      </c>
      <c r="B5729" s="0" t="s">
        <v>678</v>
      </c>
      <c r="C5729" s="0" t="s">
        <v>65</v>
      </c>
      <c r="D5729" s="0" t="s">
        <v>86</v>
      </c>
      <c r="E5729" s="0" t="s">
        <v>7480</v>
      </c>
    </row>
    <row r="5730" customFormat="false" ht="15" hidden="false" customHeight="false" outlineLevel="0" collapsed="false">
      <c r="A5730" s="0" t="s">
        <v>7445</v>
      </c>
      <c r="B5730" s="0" t="s">
        <v>679</v>
      </c>
      <c r="C5730" s="0" t="s">
        <v>7481</v>
      </c>
      <c r="D5730" s="0" t="s">
        <v>98</v>
      </c>
      <c r="E5730" s="0" t="s">
        <v>7456</v>
      </c>
    </row>
    <row r="5731" customFormat="false" ht="15" hidden="false" customHeight="false" outlineLevel="0" collapsed="false">
      <c r="A5731" s="0" t="s">
        <v>7445</v>
      </c>
      <c r="B5731" s="0" t="s">
        <v>684</v>
      </c>
      <c r="C5731" s="0" t="s">
        <v>48</v>
      </c>
      <c r="D5731" s="0" t="s">
        <v>86</v>
      </c>
      <c r="E5731" s="0" t="s">
        <v>7482</v>
      </c>
    </row>
    <row r="5732" customFormat="false" ht="15" hidden="false" customHeight="false" outlineLevel="0" collapsed="false">
      <c r="A5732" s="0" t="s">
        <v>7445</v>
      </c>
      <c r="B5732" s="0" t="s">
        <v>685</v>
      </c>
      <c r="C5732" s="0" t="s">
        <v>277</v>
      </c>
      <c r="D5732" s="0" t="s">
        <v>93</v>
      </c>
      <c r="E5732" s="0" t="s">
        <v>7454</v>
      </c>
    </row>
    <row r="5733" customFormat="false" ht="15" hidden="false" customHeight="false" outlineLevel="0" collapsed="false">
      <c r="A5733" s="0" t="s">
        <v>7445</v>
      </c>
      <c r="B5733" s="0" t="s">
        <v>1175</v>
      </c>
      <c r="C5733" s="0" t="s">
        <v>273</v>
      </c>
      <c r="D5733" s="0" t="s">
        <v>93</v>
      </c>
      <c r="E5733" s="0" t="s">
        <v>274</v>
      </c>
    </row>
    <row r="5734" customFormat="false" ht="15" hidden="false" customHeight="false" outlineLevel="0" collapsed="false">
      <c r="A5734" s="0" t="s">
        <v>7445</v>
      </c>
      <c r="B5734" s="0" t="s">
        <v>686</v>
      </c>
      <c r="C5734" s="0" t="s">
        <v>7458</v>
      </c>
      <c r="D5734" s="0" t="s">
        <v>93</v>
      </c>
      <c r="E5734" s="0" t="s">
        <v>274</v>
      </c>
    </row>
    <row r="5735" customFormat="false" ht="15" hidden="false" customHeight="false" outlineLevel="0" collapsed="false">
      <c r="A5735" s="0" t="s">
        <v>7445</v>
      </c>
      <c r="B5735" s="0" t="s">
        <v>688</v>
      </c>
      <c r="C5735" s="0" t="s">
        <v>658</v>
      </c>
      <c r="D5735" s="0" t="s">
        <v>86</v>
      </c>
      <c r="E5735" s="0" t="s">
        <v>7482</v>
      </c>
    </row>
    <row r="5736" customFormat="false" ht="15" hidden="false" customHeight="false" outlineLevel="0" collapsed="false">
      <c r="A5736" s="0" t="s">
        <v>7445</v>
      </c>
      <c r="B5736" s="0" t="s">
        <v>689</v>
      </c>
      <c r="C5736" s="0" t="s">
        <v>7483</v>
      </c>
      <c r="D5736" s="0" t="s">
        <v>98</v>
      </c>
      <c r="E5736" s="0" t="s">
        <v>7456</v>
      </c>
    </row>
    <row r="5737" customFormat="false" ht="15" hidden="false" customHeight="false" outlineLevel="0" collapsed="false">
      <c r="A5737" s="0" t="s">
        <v>7445</v>
      </c>
      <c r="B5737" s="0" t="s">
        <v>694</v>
      </c>
      <c r="C5737" s="0" t="s">
        <v>48</v>
      </c>
      <c r="D5737" s="0" t="s">
        <v>86</v>
      </c>
      <c r="E5737" s="0" t="s">
        <v>7484</v>
      </c>
    </row>
    <row r="5738" customFormat="false" ht="15" hidden="false" customHeight="false" outlineLevel="0" collapsed="false">
      <c r="A5738" s="0" t="s">
        <v>7445</v>
      </c>
      <c r="B5738" s="0" t="s">
        <v>695</v>
      </c>
      <c r="C5738" s="0" t="s">
        <v>395</v>
      </c>
      <c r="D5738" s="0" t="s">
        <v>93</v>
      </c>
      <c r="E5738" s="0" t="s">
        <v>7454</v>
      </c>
    </row>
    <row r="5739" customFormat="false" ht="15" hidden="false" customHeight="false" outlineLevel="0" collapsed="false">
      <c r="A5739" s="0" t="s">
        <v>7445</v>
      </c>
      <c r="B5739" s="0" t="s">
        <v>1196</v>
      </c>
      <c r="C5739" s="0" t="s">
        <v>191</v>
      </c>
      <c r="D5739" s="0" t="s">
        <v>93</v>
      </c>
      <c r="E5739" s="0" t="s">
        <v>184</v>
      </c>
    </row>
    <row r="5740" customFormat="false" ht="15" hidden="false" customHeight="false" outlineLevel="0" collapsed="false">
      <c r="A5740" s="0" t="s">
        <v>7445</v>
      </c>
      <c r="B5740" s="0" t="s">
        <v>696</v>
      </c>
      <c r="C5740" s="0" t="s">
        <v>7458</v>
      </c>
      <c r="D5740" s="0" t="s">
        <v>93</v>
      </c>
      <c r="E5740" s="0" t="s">
        <v>184</v>
      </c>
    </row>
    <row r="5741" customFormat="false" ht="15" hidden="false" customHeight="false" outlineLevel="0" collapsed="false">
      <c r="A5741" s="0" t="s">
        <v>7445</v>
      </c>
      <c r="B5741" s="0" t="s">
        <v>697</v>
      </c>
      <c r="C5741" s="0" t="s">
        <v>630</v>
      </c>
      <c r="D5741" s="0" t="s">
        <v>86</v>
      </c>
      <c r="E5741" s="0" t="s">
        <v>7484</v>
      </c>
    </row>
    <row r="5742" customFormat="false" ht="15" hidden="false" customHeight="false" outlineLevel="0" collapsed="false">
      <c r="A5742" s="0" t="s">
        <v>7445</v>
      </c>
      <c r="B5742" s="0" t="s">
        <v>698</v>
      </c>
      <c r="C5742" s="0" t="s">
        <v>7485</v>
      </c>
      <c r="D5742" s="0" t="s">
        <v>98</v>
      </c>
      <c r="E5742" s="0" t="s">
        <v>7456</v>
      </c>
    </row>
    <row r="5743" customFormat="false" ht="15" hidden="false" customHeight="false" outlineLevel="0" collapsed="false">
      <c r="A5743" s="0" t="s">
        <v>7445</v>
      </c>
      <c r="B5743" s="0" t="s">
        <v>703</v>
      </c>
      <c r="C5743" s="0" t="s">
        <v>48</v>
      </c>
      <c r="D5743" s="0" t="s">
        <v>86</v>
      </c>
      <c r="E5743" s="0" t="s">
        <v>7484</v>
      </c>
    </row>
    <row r="5744" customFormat="false" ht="15" hidden="false" customHeight="false" outlineLevel="0" collapsed="false">
      <c r="A5744" s="0" t="s">
        <v>7445</v>
      </c>
      <c r="B5744" s="0" t="s">
        <v>704</v>
      </c>
      <c r="C5744" s="0" t="s">
        <v>395</v>
      </c>
      <c r="D5744" s="0" t="s">
        <v>93</v>
      </c>
      <c r="E5744" s="0" t="s">
        <v>7454</v>
      </c>
    </row>
    <row r="5745" customFormat="false" ht="15" hidden="false" customHeight="false" outlineLevel="0" collapsed="false">
      <c r="A5745" s="0" t="s">
        <v>7445</v>
      </c>
      <c r="B5745" s="0" t="s">
        <v>4787</v>
      </c>
      <c r="C5745" s="0" t="s">
        <v>191</v>
      </c>
      <c r="D5745" s="0" t="s">
        <v>93</v>
      </c>
      <c r="E5745" s="0" t="s">
        <v>184</v>
      </c>
    </row>
    <row r="5746" customFormat="false" ht="15" hidden="false" customHeight="false" outlineLevel="0" collapsed="false">
      <c r="A5746" s="0" t="s">
        <v>7445</v>
      </c>
      <c r="B5746" s="0" t="s">
        <v>705</v>
      </c>
      <c r="C5746" s="0" t="s">
        <v>7458</v>
      </c>
      <c r="D5746" s="0" t="s">
        <v>93</v>
      </c>
      <c r="E5746" s="0" t="s">
        <v>184</v>
      </c>
    </row>
    <row r="5747" customFormat="false" ht="15" hidden="false" customHeight="false" outlineLevel="0" collapsed="false">
      <c r="A5747" s="0" t="s">
        <v>7445</v>
      </c>
      <c r="B5747" s="0" t="s">
        <v>706</v>
      </c>
      <c r="C5747" s="0" t="s">
        <v>677</v>
      </c>
      <c r="D5747" s="0" t="s">
        <v>86</v>
      </c>
      <c r="E5747" s="0" t="s">
        <v>7484</v>
      </c>
    </row>
    <row r="5748" customFormat="false" ht="15" hidden="false" customHeight="false" outlineLevel="0" collapsed="false">
      <c r="A5748" s="0" t="s">
        <v>7445</v>
      </c>
      <c r="B5748" s="0" t="s">
        <v>707</v>
      </c>
      <c r="C5748" s="0" t="s">
        <v>7486</v>
      </c>
      <c r="D5748" s="0" t="s">
        <v>98</v>
      </c>
      <c r="E5748" s="0" t="s">
        <v>7456</v>
      </c>
    </row>
    <row r="5749" customFormat="false" ht="15" hidden="false" customHeight="false" outlineLevel="0" collapsed="false">
      <c r="A5749" s="0" t="s">
        <v>7445</v>
      </c>
      <c r="B5749" s="0" t="s">
        <v>712</v>
      </c>
      <c r="C5749" s="0" t="s">
        <v>48</v>
      </c>
      <c r="D5749" s="0" t="s">
        <v>86</v>
      </c>
      <c r="E5749" s="0" t="s">
        <v>7487</v>
      </c>
    </row>
    <row r="5750" customFormat="false" ht="15" hidden="false" customHeight="false" outlineLevel="0" collapsed="false">
      <c r="A5750" s="0" t="s">
        <v>7445</v>
      </c>
      <c r="B5750" s="0" t="s">
        <v>713</v>
      </c>
      <c r="C5750" s="0" t="s">
        <v>256</v>
      </c>
      <c r="D5750" s="0" t="s">
        <v>93</v>
      </c>
      <c r="E5750" s="0" t="s">
        <v>7454</v>
      </c>
    </row>
    <row r="5751" customFormat="false" ht="15" hidden="false" customHeight="false" outlineLevel="0" collapsed="false">
      <c r="A5751" s="0" t="s">
        <v>7445</v>
      </c>
      <c r="B5751" s="0" t="s">
        <v>4832</v>
      </c>
      <c r="C5751" s="0" t="s">
        <v>238</v>
      </c>
      <c r="D5751" s="0" t="s">
        <v>93</v>
      </c>
      <c r="E5751" s="0" t="s">
        <v>224</v>
      </c>
    </row>
    <row r="5752" customFormat="false" ht="15" hidden="false" customHeight="false" outlineLevel="0" collapsed="false">
      <c r="A5752" s="0" t="s">
        <v>7445</v>
      </c>
      <c r="B5752" s="0" t="s">
        <v>714</v>
      </c>
      <c r="C5752" s="0" t="s">
        <v>7458</v>
      </c>
      <c r="D5752" s="0" t="s">
        <v>93</v>
      </c>
      <c r="E5752" s="0" t="s">
        <v>224</v>
      </c>
    </row>
    <row r="5753" customFormat="false" ht="15" hidden="false" customHeight="false" outlineLevel="0" collapsed="false">
      <c r="A5753" s="0" t="s">
        <v>7445</v>
      </c>
      <c r="B5753" s="0" t="s">
        <v>715</v>
      </c>
      <c r="C5753" s="0" t="s">
        <v>687</v>
      </c>
      <c r="D5753" s="0" t="s">
        <v>86</v>
      </c>
      <c r="E5753" s="0" t="s">
        <v>7487</v>
      </c>
    </row>
    <row r="5754" customFormat="false" ht="15" hidden="false" customHeight="false" outlineLevel="0" collapsed="false">
      <c r="A5754" s="0" t="s">
        <v>7445</v>
      </c>
      <c r="B5754" s="0" t="s">
        <v>716</v>
      </c>
      <c r="C5754" s="0" t="s">
        <v>7488</v>
      </c>
      <c r="D5754" s="0" t="s">
        <v>98</v>
      </c>
      <c r="E5754" s="0" t="s">
        <v>7456</v>
      </c>
    </row>
    <row r="5755" customFormat="false" ht="15" hidden="false" customHeight="false" outlineLevel="0" collapsed="false">
      <c r="A5755" s="0" t="s">
        <v>7445</v>
      </c>
      <c r="B5755" s="0" t="s">
        <v>721</v>
      </c>
      <c r="C5755" s="0" t="s">
        <v>48</v>
      </c>
      <c r="D5755" s="0" t="s">
        <v>86</v>
      </c>
      <c r="E5755" s="0" t="s">
        <v>7489</v>
      </c>
    </row>
    <row r="5756" customFormat="false" ht="15" hidden="false" customHeight="false" outlineLevel="0" collapsed="false">
      <c r="A5756" s="0" t="s">
        <v>7445</v>
      </c>
      <c r="B5756" s="0" t="s">
        <v>722</v>
      </c>
      <c r="C5756" s="0" t="s">
        <v>395</v>
      </c>
      <c r="D5756" s="0" t="s">
        <v>93</v>
      </c>
      <c r="E5756" s="0" t="s">
        <v>7454</v>
      </c>
    </row>
    <row r="5757" customFormat="false" ht="15" hidden="false" customHeight="false" outlineLevel="0" collapsed="false">
      <c r="A5757" s="0" t="s">
        <v>7445</v>
      </c>
      <c r="B5757" s="0" t="s">
        <v>1267</v>
      </c>
      <c r="C5757" s="0" t="s">
        <v>191</v>
      </c>
      <c r="D5757" s="0" t="s">
        <v>93</v>
      </c>
      <c r="E5757" s="0" t="s">
        <v>184</v>
      </c>
    </row>
    <row r="5758" customFormat="false" ht="15" hidden="false" customHeight="false" outlineLevel="0" collapsed="false">
      <c r="A5758" s="0" t="s">
        <v>7445</v>
      </c>
      <c r="B5758" s="0" t="s">
        <v>723</v>
      </c>
      <c r="C5758" s="0" t="s">
        <v>7458</v>
      </c>
      <c r="D5758" s="0" t="s">
        <v>93</v>
      </c>
      <c r="E5758" s="0" t="s">
        <v>184</v>
      </c>
    </row>
    <row r="5759" customFormat="false" ht="15" hidden="false" customHeight="false" outlineLevel="0" collapsed="false">
      <c r="A5759" s="0" t="s">
        <v>7445</v>
      </c>
      <c r="B5759" s="0" t="s">
        <v>724</v>
      </c>
      <c r="C5759" s="0" t="s">
        <v>630</v>
      </c>
      <c r="D5759" s="0" t="s">
        <v>86</v>
      </c>
      <c r="E5759" s="0" t="s">
        <v>7489</v>
      </c>
    </row>
    <row r="5760" customFormat="false" ht="15" hidden="false" customHeight="false" outlineLevel="0" collapsed="false">
      <c r="A5760" s="0" t="s">
        <v>7445</v>
      </c>
      <c r="B5760" s="0" t="s">
        <v>725</v>
      </c>
      <c r="C5760" s="0" t="s">
        <v>7490</v>
      </c>
      <c r="D5760" s="0" t="s">
        <v>98</v>
      </c>
      <c r="E5760" s="0" t="s">
        <v>7456</v>
      </c>
    </row>
    <row r="5761" customFormat="false" ht="15" hidden="false" customHeight="false" outlineLevel="0" collapsed="false">
      <c r="A5761" s="0" t="s">
        <v>7445</v>
      </c>
      <c r="B5761" s="0" t="s">
        <v>730</v>
      </c>
      <c r="C5761" s="0" t="s">
        <v>48</v>
      </c>
      <c r="D5761" s="0" t="s">
        <v>86</v>
      </c>
      <c r="E5761" s="0" t="s">
        <v>7491</v>
      </c>
    </row>
    <row r="5762" customFormat="false" ht="15" hidden="false" customHeight="false" outlineLevel="0" collapsed="false">
      <c r="A5762" s="0" t="s">
        <v>7445</v>
      </c>
      <c r="B5762" s="0" t="s">
        <v>731</v>
      </c>
      <c r="C5762" s="0" t="s">
        <v>256</v>
      </c>
      <c r="D5762" s="0" t="s">
        <v>93</v>
      </c>
      <c r="E5762" s="0" t="s">
        <v>7454</v>
      </c>
    </row>
    <row r="5763" customFormat="false" ht="15" hidden="false" customHeight="false" outlineLevel="0" collapsed="false">
      <c r="A5763" s="0" t="s">
        <v>7445</v>
      </c>
      <c r="B5763" s="0" t="s">
        <v>1294</v>
      </c>
      <c r="C5763" s="0" t="s">
        <v>238</v>
      </c>
      <c r="D5763" s="0" t="s">
        <v>93</v>
      </c>
      <c r="E5763" s="0" t="s">
        <v>224</v>
      </c>
    </row>
    <row r="5764" customFormat="false" ht="15" hidden="false" customHeight="false" outlineLevel="0" collapsed="false">
      <c r="A5764" s="0" t="s">
        <v>7445</v>
      </c>
      <c r="B5764" s="0" t="s">
        <v>732</v>
      </c>
      <c r="C5764" s="0" t="s">
        <v>7458</v>
      </c>
      <c r="D5764" s="0" t="s">
        <v>93</v>
      </c>
      <c r="E5764" s="0" t="s">
        <v>224</v>
      </c>
    </row>
    <row r="5765" customFormat="false" ht="15" hidden="false" customHeight="false" outlineLevel="0" collapsed="false">
      <c r="A5765" s="0" t="s">
        <v>7445</v>
      </c>
      <c r="B5765" s="0" t="s">
        <v>734</v>
      </c>
      <c r="C5765" s="0" t="s">
        <v>65</v>
      </c>
      <c r="D5765" s="0" t="s">
        <v>86</v>
      </c>
      <c r="E5765" s="0" t="s">
        <v>7491</v>
      </c>
    </row>
    <row r="5766" customFormat="false" ht="15" hidden="false" customHeight="false" outlineLevel="0" collapsed="false">
      <c r="A5766" s="0" t="s">
        <v>7445</v>
      </c>
      <c r="B5766" s="0" t="s">
        <v>735</v>
      </c>
      <c r="C5766" s="0" t="s">
        <v>7492</v>
      </c>
      <c r="D5766" s="0" t="s">
        <v>98</v>
      </c>
      <c r="E5766" s="0" t="s">
        <v>7456</v>
      </c>
    </row>
    <row r="5767" customFormat="false" ht="15" hidden="false" customHeight="false" outlineLevel="0" collapsed="false">
      <c r="A5767" s="0" t="s">
        <v>7445</v>
      </c>
      <c r="B5767" s="0" t="s">
        <v>7493</v>
      </c>
      <c r="C5767" s="0" t="s">
        <v>48</v>
      </c>
      <c r="D5767" s="0" t="s">
        <v>86</v>
      </c>
      <c r="E5767" s="0" t="s">
        <v>7494</v>
      </c>
    </row>
    <row r="5768" customFormat="false" ht="15" hidden="false" customHeight="false" outlineLevel="0" collapsed="false">
      <c r="A5768" s="0" t="s">
        <v>7445</v>
      </c>
      <c r="B5768" s="0" t="s">
        <v>7495</v>
      </c>
      <c r="C5768" s="0" t="s">
        <v>395</v>
      </c>
      <c r="D5768" s="0" t="s">
        <v>93</v>
      </c>
      <c r="E5768" s="0" t="s">
        <v>7454</v>
      </c>
    </row>
    <row r="5769" customFormat="false" ht="15" hidden="false" customHeight="false" outlineLevel="0" collapsed="false">
      <c r="A5769" s="0" t="s">
        <v>7445</v>
      </c>
      <c r="B5769" s="0" t="s">
        <v>1315</v>
      </c>
      <c r="C5769" s="0" t="s">
        <v>191</v>
      </c>
      <c r="D5769" s="0" t="s">
        <v>93</v>
      </c>
      <c r="E5769" s="0" t="s">
        <v>184</v>
      </c>
    </row>
    <row r="5770" customFormat="false" ht="15" hidden="false" customHeight="false" outlineLevel="0" collapsed="false">
      <c r="A5770" s="0" t="s">
        <v>7445</v>
      </c>
      <c r="B5770" s="0" t="s">
        <v>1317</v>
      </c>
      <c r="C5770" s="0" t="s">
        <v>7458</v>
      </c>
      <c r="D5770" s="0" t="s">
        <v>93</v>
      </c>
      <c r="E5770" s="0" t="s">
        <v>184</v>
      </c>
    </row>
    <row r="5771" customFormat="false" ht="15" hidden="false" customHeight="false" outlineLevel="0" collapsed="false">
      <c r="A5771" s="0" t="s">
        <v>7445</v>
      </c>
      <c r="B5771" s="0" t="s">
        <v>1319</v>
      </c>
      <c r="C5771" s="0" t="s">
        <v>299</v>
      </c>
      <c r="D5771" s="0" t="s">
        <v>86</v>
      </c>
      <c r="E5771" s="0" t="s">
        <v>7494</v>
      </c>
    </row>
    <row r="5772" customFormat="false" ht="15" hidden="false" customHeight="false" outlineLevel="0" collapsed="false">
      <c r="A5772" s="0" t="s">
        <v>7445</v>
      </c>
      <c r="B5772" s="0" t="s">
        <v>1321</v>
      </c>
      <c r="C5772" s="0" t="s">
        <v>7496</v>
      </c>
      <c r="D5772" s="0" t="s">
        <v>98</v>
      </c>
      <c r="E5772" s="0" t="s">
        <v>7456</v>
      </c>
    </row>
    <row r="5773" customFormat="false" ht="15" hidden="false" customHeight="false" outlineLevel="0" collapsed="false">
      <c r="A5773" s="0" t="s">
        <v>7445</v>
      </c>
      <c r="B5773" s="0" t="s">
        <v>7497</v>
      </c>
      <c r="C5773" s="0" t="s">
        <v>48</v>
      </c>
      <c r="D5773" s="0" t="s">
        <v>86</v>
      </c>
      <c r="E5773" s="0" t="s">
        <v>304</v>
      </c>
    </row>
    <row r="5774" customFormat="false" ht="15" hidden="false" customHeight="false" outlineLevel="0" collapsed="false">
      <c r="A5774" s="0" t="s">
        <v>7445</v>
      </c>
      <c r="B5774" s="0" t="s">
        <v>7498</v>
      </c>
      <c r="C5774" s="0" t="s">
        <v>303</v>
      </c>
      <c r="D5774" s="0" t="s">
        <v>93</v>
      </c>
      <c r="E5774" s="0" t="s">
        <v>7454</v>
      </c>
    </row>
    <row r="5775" customFormat="false" ht="15" hidden="false" customHeight="false" outlineLevel="0" collapsed="false">
      <c r="A5775" s="0" t="s">
        <v>7445</v>
      </c>
      <c r="B5775" s="0" t="s">
        <v>4945</v>
      </c>
      <c r="C5775" s="0" t="s">
        <v>191</v>
      </c>
      <c r="D5775" s="0" t="s">
        <v>93</v>
      </c>
      <c r="E5775" s="0" t="s">
        <v>184</v>
      </c>
    </row>
    <row r="5776" customFormat="false" ht="15" hidden="false" customHeight="false" outlineLevel="0" collapsed="false">
      <c r="A5776" s="0" t="s">
        <v>7445</v>
      </c>
      <c r="B5776" s="0" t="s">
        <v>4947</v>
      </c>
      <c r="C5776" s="0" t="s">
        <v>7458</v>
      </c>
      <c r="D5776" s="0" t="s">
        <v>93</v>
      </c>
      <c r="E5776" s="0" t="s">
        <v>184</v>
      </c>
    </row>
    <row r="5777" customFormat="false" ht="15" hidden="false" customHeight="false" outlineLevel="0" collapsed="false">
      <c r="A5777" s="0" t="s">
        <v>7445</v>
      </c>
      <c r="B5777" s="0" t="s">
        <v>4949</v>
      </c>
      <c r="C5777" s="0" t="s">
        <v>65</v>
      </c>
      <c r="D5777" s="0" t="s">
        <v>86</v>
      </c>
      <c r="E5777" s="0" t="s">
        <v>304</v>
      </c>
    </row>
    <row r="5778" customFormat="false" ht="15" hidden="false" customHeight="false" outlineLevel="0" collapsed="false">
      <c r="A5778" s="0" t="s">
        <v>7445</v>
      </c>
      <c r="B5778" s="0" t="s">
        <v>7499</v>
      </c>
      <c r="C5778" s="0" t="s">
        <v>48</v>
      </c>
      <c r="D5778" s="0" t="s">
        <v>86</v>
      </c>
      <c r="E5778" s="0" t="s">
        <v>7500</v>
      </c>
    </row>
    <row r="5779" customFormat="false" ht="15" hidden="false" customHeight="false" outlineLevel="0" collapsed="false">
      <c r="A5779" s="0" t="s">
        <v>7445</v>
      </c>
      <c r="B5779" s="0" t="s">
        <v>7501</v>
      </c>
      <c r="C5779" s="0" t="s">
        <v>397</v>
      </c>
      <c r="D5779" s="0" t="s">
        <v>93</v>
      </c>
      <c r="E5779" s="0" t="s">
        <v>7454</v>
      </c>
    </row>
    <row r="5780" customFormat="false" ht="15" hidden="false" customHeight="false" outlineLevel="0" collapsed="false">
      <c r="A5780" s="0" t="s">
        <v>7445</v>
      </c>
      <c r="B5780" s="0" t="s">
        <v>4998</v>
      </c>
      <c r="C5780" s="0" t="s">
        <v>191</v>
      </c>
      <c r="D5780" s="0" t="s">
        <v>93</v>
      </c>
      <c r="E5780" s="0" t="s">
        <v>184</v>
      </c>
    </row>
    <row r="5781" customFormat="false" ht="15" hidden="false" customHeight="false" outlineLevel="0" collapsed="false">
      <c r="A5781" s="0" t="s">
        <v>7445</v>
      </c>
      <c r="B5781" s="0" t="s">
        <v>5000</v>
      </c>
      <c r="C5781" s="0" t="s">
        <v>7458</v>
      </c>
      <c r="D5781" s="0" t="s">
        <v>93</v>
      </c>
      <c r="E5781" s="0" t="s">
        <v>184</v>
      </c>
    </row>
    <row r="5782" customFormat="false" ht="15" hidden="false" customHeight="false" outlineLevel="0" collapsed="false">
      <c r="A5782" s="0" t="s">
        <v>7445</v>
      </c>
      <c r="B5782" s="0" t="s">
        <v>5002</v>
      </c>
      <c r="C5782" s="0" t="s">
        <v>733</v>
      </c>
      <c r="D5782" s="0" t="s">
        <v>86</v>
      </c>
      <c r="E5782" s="0" t="s">
        <v>7500</v>
      </c>
    </row>
    <row r="5783" customFormat="false" ht="15" hidden="false" customHeight="false" outlineLevel="0" collapsed="false">
      <c r="A5783" s="0" t="s">
        <v>7445</v>
      </c>
      <c r="B5783" s="0" t="s">
        <v>5004</v>
      </c>
      <c r="C5783" s="0" t="s">
        <v>7502</v>
      </c>
      <c r="D5783" s="0" t="s">
        <v>98</v>
      </c>
      <c r="E5783" s="0" t="s">
        <v>7456</v>
      </c>
    </row>
    <row r="5784" customFormat="false" ht="15" hidden="false" customHeight="false" outlineLevel="0" collapsed="false">
      <c r="A5784" s="0" t="s">
        <v>7503</v>
      </c>
      <c r="B5784" s="0" t="s">
        <v>506</v>
      </c>
      <c r="C5784" s="0" t="s">
        <v>7504</v>
      </c>
      <c r="D5784" s="0" t="s">
        <v>93</v>
      </c>
      <c r="E5784" s="0" t="s">
        <v>7505</v>
      </c>
    </row>
    <row r="5785" customFormat="false" ht="15" hidden="false" customHeight="false" outlineLevel="0" collapsed="false">
      <c r="A5785" s="0" t="s">
        <v>7503</v>
      </c>
      <c r="B5785" s="0" t="s">
        <v>507</v>
      </c>
      <c r="C5785" s="0" t="s">
        <v>7506</v>
      </c>
      <c r="D5785" s="0" t="s">
        <v>93</v>
      </c>
      <c r="E5785" s="0" t="s">
        <v>7505</v>
      </c>
    </row>
    <row r="5786" customFormat="false" ht="15" hidden="false" customHeight="false" outlineLevel="0" collapsed="false">
      <c r="A5786" s="0" t="s">
        <v>7503</v>
      </c>
      <c r="B5786" s="0" t="s">
        <v>5242</v>
      </c>
      <c r="C5786" s="0" t="s">
        <v>7507</v>
      </c>
      <c r="D5786" s="0" t="s">
        <v>93</v>
      </c>
      <c r="E5786" s="0" t="s">
        <v>7505</v>
      </c>
    </row>
    <row r="5787" customFormat="false" ht="15" hidden="false" customHeight="false" outlineLevel="0" collapsed="false">
      <c r="A5787" s="0" t="s">
        <v>7503</v>
      </c>
      <c r="B5787" s="0" t="s">
        <v>518</v>
      </c>
      <c r="C5787" s="0" t="s">
        <v>7508</v>
      </c>
      <c r="D5787" s="0" t="s">
        <v>93</v>
      </c>
      <c r="E5787" s="0" t="s">
        <v>7505</v>
      </c>
    </row>
    <row r="5788" customFormat="false" ht="15" hidden="false" customHeight="false" outlineLevel="0" collapsed="false">
      <c r="A5788" s="0" t="s">
        <v>7503</v>
      </c>
      <c r="B5788" s="0" t="s">
        <v>519</v>
      </c>
      <c r="C5788" s="0" t="s">
        <v>7509</v>
      </c>
      <c r="D5788" s="0" t="s">
        <v>93</v>
      </c>
      <c r="E5788" s="0" t="s">
        <v>7505</v>
      </c>
    </row>
    <row r="5789" customFormat="false" ht="15" hidden="false" customHeight="false" outlineLevel="0" collapsed="false">
      <c r="A5789" s="0" t="s">
        <v>7503</v>
      </c>
      <c r="B5789" s="0" t="s">
        <v>5288</v>
      </c>
      <c r="C5789" s="0" t="s">
        <v>7510</v>
      </c>
      <c r="D5789" s="0" t="s">
        <v>93</v>
      </c>
      <c r="E5789" s="0" t="s">
        <v>7505</v>
      </c>
    </row>
    <row r="5790" customFormat="false" ht="15" hidden="false" customHeight="false" outlineLevel="0" collapsed="false">
      <c r="A5790" s="0" t="s">
        <v>7503</v>
      </c>
      <c r="B5790" s="0" t="s">
        <v>528</v>
      </c>
      <c r="C5790" s="0" t="s">
        <v>7511</v>
      </c>
      <c r="D5790" s="0" t="s">
        <v>93</v>
      </c>
      <c r="E5790" s="0" t="s">
        <v>7505</v>
      </c>
    </row>
    <row r="5791" customFormat="false" ht="15" hidden="false" customHeight="false" outlineLevel="0" collapsed="false">
      <c r="A5791" s="0" t="s">
        <v>7503</v>
      </c>
      <c r="B5791" s="0" t="s">
        <v>529</v>
      </c>
      <c r="C5791" s="0" t="s">
        <v>7512</v>
      </c>
      <c r="D5791" s="0" t="s">
        <v>93</v>
      </c>
      <c r="E5791" s="0" t="s">
        <v>7505</v>
      </c>
    </row>
    <row r="5792" customFormat="false" ht="15" hidden="false" customHeight="false" outlineLevel="0" collapsed="false">
      <c r="A5792" s="0" t="s">
        <v>7503</v>
      </c>
      <c r="B5792" s="0" t="s">
        <v>761</v>
      </c>
      <c r="C5792" s="0" t="s">
        <v>7513</v>
      </c>
      <c r="D5792" s="0" t="s">
        <v>93</v>
      </c>
      <c r="E5792" s="0" t="s">
        <v>7505</v>
      </c>
    </row>
    <row r="5793" customFormat="false" ht="15" hidden="false" customHeight="false" outlineLevel="0" collapsed="false">
      <c r="A5793" s="0" t="s">
        <v>7503</v>
      </c>
      <c r="B5793" s="0" t="s">
        <v>537</v>
      </c>
      <c r="C5793" s="0" t="s">
        <v>7514</v>
      </c>
      <c r="D5793" s="0" t="s">
        <v>93</v>
      </c>
      <c r="E5793" s="0" t="s">
        <v>7505</v>
      </c>
    </row>
    <row r="5794" customFormat="false" ht="15" hidden="false" customHeight="false" outlineLevel="0" collapsed="false">
      <c r="A5794" s="0" t="s">
        <v>7503</v>
      </c>
      <c r="B5794" s="0" t="s">
        <v>538</v>
      </c>
      <c r="C5794" s="0" t="s">
        <v>7515</v>
      </c>
      <c r="D5794" s="0" t="s">
        <v>93</v>
      </c>
      <c r="E5794" s="0" t="s">
        <v>7505</v>
      </c>
    </row>
    <row r="5795" customFormat="false" ht="15" hidden="false" customHeight="false" outlineLevel="0" collapsed="false">
      <c r="A5795" s="0" t="s">
        <v>7503</v>
      </c>
      <c r="B5795" s="0" t="s">
        <v>800</v>
      </c>
      <c r="C5795" s="0" t="s">
        <v>7516</v>
      </c>
      <c r="D5795" s="0" t="s">
        <v>93</v>
      </c>
      <c r="E5795" s="0" t="s">
        <v>7505</v>
      </c>
    </row>
    <row r="5796" customFormat="false" ht="15" hidden="false" customHeight="false" outlineLevel="0" collapsed="false">
      <c r="A5796" s="0" t="s">
        <v>7503</v>
      </c>
      <c r="B5796" s="0" t="s">
        <v>547</v>
      </c>
      <c r="C5796" s="0" t="s">
        <v>7517</v>
      </c>
      <c r="D5796" s="0" t="s">
        <v>93</v>
      </c>
      <c r="E5796" s="0" t="s">
        <v>7505</v>
      </c>
    </row>
    <row r="5797" customFormat="false" ht="15" hidden="false" customHeight="false" outlineLevel="0" collapsed="false">
      <c r="A5797" s="0" t="s">
        <v>7503</v>
      </c>
      <c r="B5797" s="0" t="s">
        <v>548</v>
      </c>
      <c r="C5797" s="0" t="s">
        <v>7518</v>
      </c>
      <c r="D5797" s="0" t="s">
        <v>93</v>
      </c>
      <c r="E5797" s="0" t="s">
        <v>7505</v>
      </c>
    </row>
    <row r="5798" customFormat="false" ht="15" hidden="false" customHeight="false" outlineLevel="0" collapsed="false">
      <c r="A5798" s="0" t="s">
        <v>7503</v>
      </c>
      <c r="B5798" s="0" t="s">
        <v>824</v>
      </c>
      <c r="C5798" s="0" t="s">
        <v>7519</v>
      </c>
      <c r="D5798" s="0" t="s">
        <v>93</v>
      </c>
      <c r="E5798" s="0" t="s">
        <v>7505</v>
      </c>
    </row>
    <row r="5799" customFormat="false" ht="15" hidden="false" customHeight="false" outlineLevel="0" collapsed="false">
      <c r="A5799" s="0" t="s">
        <v>7503</v>
      </c>
      <c r="B5799" s="0" t="s">
        <v>557</v>
      </c>
      <c r="C5799" s="0" t="s">
        <v>7155</v>
      </c>
      <c r="D5799" s="0" t="s">
        <v>93</v>
      </c>
      <c r="E5799" s="0" t="s">
        <v>7505</v>
      </c>
    </row>
    <row r="5800" customFormat="false" ht="15" hidden="false" customHeight="false" outlineLevel="0" collapsed="false">
      <c r="A5800" s="0" t="s">
        <v>7503</v>
      </c>
      <c r="B5800" s="0" t="s">
        <v>558</v>
      </c>
      <c r="C5800" s="0" t="s">
        <v>7520</v>
      </c>
      <c r="D5800" s="0" t="s">
        <v>93</v>
      </c>
      <c r="E5800" s="0" t="s">
        <v>7505</v>
      </c>
    </row>
    <row r="5801" customFormat="false" ht="15" hidden="false" customHeight="false" outlineLevel="0" collapsed="false">
      <c r="A5801" s="0" t="s">
        <v>7503</v>
      </c>
      <c r="B5801" s="0" t="s">
        <v>5402</v>
      </c>
      <c r="C5801" s="0" t="s">
        <v>7521</v>
      </c>
      <c r="D5801" s="0" t="s">
        <v>93</v>
      </c>
      <c r="E5801" s="0" t="s">
        <v>7505</v>
      </c>
    </row>
    <row r="5802" customFormat="false" ht="15" hidden="false" customHeight="false" outlineLevel="0" collapsed="false">
      <c r="A5802" s="0" t="s">
        <v>7503</v>
      </c>
      <c r="B5802" s="0" t="s">
        <v>567</v>
      </c>
      <c r="C5802" s="0" t="s">
        <v>7522</v>
      </c>
      <c r="D5802" s="0" t="s">
        <v>93</v>
      </c>
      <c r="E5802" s="0" t="s">
        <v>7505</v>
      </c>
    </row>
    <row r="5803" customFormat="false" ht="15" hidden="false" customHeight="false" outlineLevel="0" collapsed="false">
      <c r="A5803" s="0" t="s">
        <v>7503</v>
      </c>
      <c r="B5803" s="0" t="s">
        <v>568</v>
      </c>
      <c r="C5803" s="0" t="s">
        <v>7523</v>
      </c>
      <c r="D5803" s="0" t="s">
        <v>93</v>
      </c>
      <c r="E5803" s="0" t="s">
        <v>7505</v>
      </c>
    </row>
    <row r="5804" customFormat="false" ht="15" hidden="false" customHeight="false" outlineLevel="0" collapsed="false">
      <c r="A5804" s="0" t="s">
        <v>7503</v>
      </c>
      <c r="B5804" s="0" t="s">
        <v>5446</v>
      </c>
      <c r="C5804" s="0" t="s">
        <v>7524</v>
      </c>
      <c r="D5804" s="0" t="s">
        <v>93</v>
      </c>
      <c r="E5804" s="0" t="s">
        <v>7505</v>
      </c>
    </row>
    <row r="5805" customFormat="false" ht="15" hidden="false" customHeight="false" outlineLevel="0" collapsed="false">
      <c r="A5805" s="0" t="s">
        <v>7503</v>
      </c>
      <c r="B5805" s="0" t="s">
        <v>577</v>
      </c>
      <c r="C5805" s="0" t="s">
        <v>7157</v>
      </c>
      <c r="D5805" s="0" t="s">
        <v>93</v>
      </c>
      <c r="E5805" s="0" t="s">
        <v>7505</v>
      </c>
    </row>
    <row r="5806" customFormat="false" ht="15" hidden="false" customHeight="false" outlineLevel="0" collapsed="false">
      <c r="A5806" s="0" t="s">
        <v>7503</v>
      </c>
      <c r="B5806" s="0" t="s">
        <v>578</v>
      </c>
      <c r="C5806" s="0" t="s">
        <v>7525</v>
      </c>
      <c r="D5806" s="0" t="s">
        <v>93</v>
      </c>
      <c r="E5806" s="0" t="s">
        <v>7505</v>
      </c>
    </row>
    <row r="5807" customFormat="false" ht="15" hidden="false" customHeight="false" outlineLevel="0" collapsed="false">
      <c r="A5807" s="0" t="s">
        <v>7503</v>
      </c>
      <c r="B5807" s="0" t="s">
        <v>896</v>
      </c>
      <c r="C5807" s="0" t="s">
        <v>7526</v>
      </c>
      <c r="D5807" s="0" t="s">
        <v>93</v>
      </c>
      <c r="E5807" s="0" t="s">
        <v>7505</v>
      </c>
    </row>
    <row r="5808" customFormat="false" ht="15" hidden="false" customHeight="false" outlineLevel="0" collapsed="false">
      <c r="A5808" s="0" t="s">
        <v>7503</v>
      </c>
      <c r="B5808" s="0" t="s">
        <v>587</v>
      </c>
      <c r="C5808" s="0" t="s">
        <v>7527</v>
      </c>
      <c r="D5808" s="0" t="s">
        <v>93</v>
      </c>
      <c r="E5808" s="0" t="s">
        <v>7505</v>
      </c>
    </row>
    <row r="5809" customFormat="false" ht="15" hidden="false" customHeight="false" outlineLevel="0" collapsed="false">
      <c r="A5809" s="0" t="s">
        <v>7503</v>
      </c>
      <c r="B5809" s="0" t="s">
        <v>588</v>
      </c>
      <c r="C5809" s="0" t="s">
        <v>7528</v>
      </c>
      <c r="D5809" s="0" t="s">
        <v>93</v>
      </c>
      <c r="E5809" s="0" t="s">
        <v>7505</v>
      </c>
    </row>
    <row r="5810" customFormat="false" ht="15" hidden="false" customHeight="false" outlineLevel="0" collapsed="false">
      <c r="A5810" s="0" t="s">
        <v>7503</v>
      </c>
      <c r="B5810" s="0" t="s">
        <v>928</v>
      </c>
      <c r="C5810" s="0" t="s">
        <v>7529</v>
      </c>
      <c r="D5810" s="0" t="s">
        <v>93</v>
      </c>
      <c r="E5810" s="0" t="s">
        <v>7505</v>
      </c>
    </row>
    <row r="5811" customFormat="false" ht="15" hidden="false" customHeight="false" outlineLevel="0" collapsed="false">
      <c r="A5811" s="0" t="s">
        <v>7503</v>
      </c>
      <c r="B5811" s="0" t="s">
        <v>597</v>
      </c>
      <c r="C5811" s="0" t="s">
        <v>7530</v>
      </c>
      <c r="D5811" s="0" t="s">
        <v>93</v>
      </c>
      <c r="E5811" s="0" t="s">
        <v>7505</v>
      </c>
    </row>
    <row r="5812" customFormat="false" ht="15" hidden="false" customHeight="false" outlineLevel="0" collapsed="false">
      <c r="A5812" s="0" t="s">
        <v>7503</v>
      </c>
      <c r="B5812" s="0" t="s">
        <v>598</v>
      </c>
      <c r="C5812" s="0" t="s">
        <v>7531</v>
      </c>
      <c r="D5812" s="0" t="s">
        <v>93</v>
      </c>
      <c r="E5812" s="0" t="s">
        <v>7505</v>
      </c>
    </row>
    <row r="5813" customFormat="false" ht="15" hidden="false" customHeight="false" outlineLevel="0" collapsed="false">
      <c r="A5813" s="0" t="s">
        <v>7503</v>
      </c>
      <c r="B5813" s="0" t="s">
        <v>952</v>
      </c>
      <c r="C5813" s="0" t="s">
        <v>7532</v>
      </c>
      <c r="D5813" s="0" t="s">
        <v>93</v>
      </c>
      <c r="E5813" s="0" t="s">
        <v>7505</v>
      </c>
    </row>
    <row r="5814" customFormat="false" ht="15" hidden="false" customHeight="false" outlineLevel="0" collapsed="false">
      <c r="A5814" s="0" t="s">
        <v>7503</v>
      </c>
      <c r="B5814" s="0" t="s">
        <v>607</v>
      </c>
      <c r="C5814" s="0" t="s">
        <v>7533</v>
      </c>
      <c r="D5814" s="0" t="s">
        <v>93</v>
      </c>
      <c r="E5814" s="0" t="s">
        <v>7505</v>
      </c>
    </row>
    <row r="5815" customFormat="false" ht="15" hidden="false" customHeight="false" outlineLevel="0" collapsed="false">
      <c r="A5815" s="0" t="s">
        <v>7503</v>
      </c>
      <c r="B5815" s="0" t="s">
        <v>608</v>
      </c>
      <c r="C5815" s="0" t="s">
        <v>7534</v>
      </c>
      <c r="D5815" s="0" t="s">
        <v>93</v>
      </c>
      <c r="E5815" s="0" t="s">
        <v>7505</v>
      </c>
    </row>
    <row r="5816" customFormat="false" ht="15" hidden="false" customHeight="false" outlineLevel="0" collapsed="false">
      <c r="A5816" s="0" t="s">
        <v>7503</v>
      </c>
      <c r="B5816" s="0" t="s">
        <v>4473</v>
      </c>
      <c r="C5816" s="0" t="s">
        <v>7535</v>
      </c>
      <c r="D5816" s="0" t="s">
        <v>93</v>
      </c>
      <c r="E5816" s="0" t="s">
        <v>7505</v>
      </c>
    </row>
    <row r="5817" customFormat="false" ht="15" hidden="false" customHeight="false" outlineLevel="0" collapsed="false">
      <c r="A5817" s="0" t="s">
        <v>7503</v>
      </c>
      <c r="B5817" s="0" t="s">
        <v>617</v>
      </c>
      <c r="C5817" s="0" t="s">
        <v>7536</v>
      </c>
      <c r="D5817" s="0" t="s">
        <v>93</v>
      </c>
      <c r="E5817" s="0" t="s">
        <v>7505</v>
      </c>
    </row>
    <row r="5818" customFormat="false" ht="15" hidden="false" customHeight="false" outlineLevel="0" collapsed="false">
      <c r="A5818" s="0" t="s">
        <v>7503</v>
      </c>
      <c r="B5818" s="0" t="s">
        <v>618</v>
      </c>
      <c r="C5818" s="0" t="s">
        <v>7537</v>
      </c>
      <c r="D5818" s="0" t="s">
        <v>93</v>
      </c>
      <c r="E5818" s="0" t="s">
        <v>7505</v>
      </c>
    </row>
    <row r="5819" customFormat="false" ht="15" hidden="false" customHeight="false" outlineLevel="0" collapsed="false">
      <c r="A5819" s="0" t="s">
        <v>7503</v>
      </c>
      <c r="B5819" s="0" t="s">
        <v>4518</v>
      </c>
      <c r="C5819" s="0" t="s">
        <v>7538</v>
      </c>
      <c r="D5819" s="0" t="s">
        <v>93</v>
      </c>
      <c r="E5819" s="0" t="s">
        <v>7505</v>
      </c>
    </row>
    <row r="5820" customFormat="false" ht="15" hidden="false" customHeight="false" outlineLevel="0" collapsed="false">
      <c r="A5820" s="0" t="s">
        <v>7503</v>
      </c>
      <c r="B5820" s="0" t="s">
        <v>6690</v>
      </c>
      <c r="C5820" s="0" t="s">
        <v>7539</v>
      </c>
      <c r="D5820" s="0" t="s">
        <v>98</v>
      </c>
      <c r="E5820" s="0" t="s">
        <v>7540</v>
      </c>
    </row>
    <row r="5821" customFormat="false" ht="15" hidden="false" customHeight="false" outlineLevel="0" collapsed="false">
      <c r="A5821" s="0" t="s">
        <v>7503</v>
      </c>
      <c r="B5821" s="0" t="s">
        <v>665</v>
      </c>
      <c r="C5821" s="0" t="s">
        <v>7541</v>
      </c>
      <c r="D5821" s="0" t="s">
        <v>98</v>
      </c>
      <c r="E5821" s="0" t="s">
        <v>7542</v>
      </c>
    </row>
    <row r="5822" customFormat="false" ht="15" hidden="false" customHeight="false" outlineLevel="0" collapsed="false">
      <c r="A5822" s="0" t="s">
        <v>7503</v>
      </c>
      <c r="B5822" s="0" t="s">
        <v>6692</v>
      </c>
      <c r="C5822" s="0" t="s">
        <v>762</v>
      </c>
      <c r="D5822" s="0" t="s">
        <v>98</v>
      </c>
      <c r="E5822" s="0" t="s">
        <v>7540</v>
      </c>
    </row>
    <row r="5823" customFormat="false" ht="15" hidden="false" customHeight="false" outlineLevel="0" collapsed="false">
      <c r="A5823" s="0" t="s">
        <v>7503</v>
      </c>
      <c r="B5823" s="0" t="s">
        <v>674</v>
      </c>
      <c r="C5823" s="0" t="s">
        <v>7543</v>
      </c>
      <c r="D5823" s="0" t="s">
        <v>98</v>
      </c>
      <c r="E5823" s="0" t="s">
        <v>7542</v>
      </c>
    </row>
    <row r="5824" customFormat="false" ht="15" hidden="false" customHeight="false" outlineLevel="0" collapsed="false">
      <c r="A5824" s="0" t="s">
        <v>7503</v>
      </c>
      <c r="B5824" s="0" t="s">
        <v>6694</v>
      </c>
      <c r="C5824" s="0" t="s">
        <v>762</v>
      </c>
      <c r="D5824" s="0" t="s">
        <v>98</v>
      </c>
      <c r="E5824" s="0" t="s">
        <v>7540</v>
      </c>
    </row>
    <row r="5825" customFormat="false" ht="15" hidden="false" customHeight="false" outlineLevel="0" collapsed="false">
      <c r="A5825" s="0" t="s">
        <v>7503</v>
      </c>
      <c r="B5825" s="0" t="s">
        <v>684</v>
      </c>
      <c r="C5825" s="0" t="s">
        <v>7544</v>
      </c>
      <c r="D5825" s="0" t="s">
        <v>98</v>
      </c>
      <c r="E5825" s="0" t="s">
        <v>7542</v>
      </c>
    </row>
    <row r="5826" customFormat="false" ht="15" hidden="false" customHeight="false" outlineLevel="0" collapsed="false">
      <c r="A5826" s="0" t="s">
        <v>7503</v>
      </c>
      <c r="B5826" s="0" t="s">
        <v>6696</v>
      </c>
      <c r="C5826" s="0" t="s">
        <v>7545</v>
      </c>
      <c r="D5826" s="0" t="s">
        <v>98</v>
      </c>
      <c r="E5826" s="0" t="s">
        <v>5205</v>
      </c>
    </row>
    <row r="5827" customFormat="false" ht="15" hidden="false" customHeight="false" outlineLevel="0" collapsed="false">
      <c r="A5827" s="0" t="s">
        <v>7503</v>
      </c>
      <c r="B5827" s="0" t="s">
        <v>694</v>
      </c>
      <c r="C5827" s="0" t="s">
        <v>7546</v>
      </c>
      <c r="D5827" s="0" t="s">
        <v>98</v>
      </c>
      <c r="E5827" s="0" t="s">
        <v>5205</v>
      </c>
    </row>
    <row r="5828" customFormat="false" ht="15" hidden="false" customHeight="false" outlineLevel="0" collapsed="false">
      <c r="A5828" s="0" t="s">
        <v>7503</v>
      </c>
      <c r="B5828" s="0" t="s">
        <v>6698</v>
      </c>
      <c r="C5828" s="0" t="s">
        <v>7547</v>
      </c>
      <c r="D5828" s="0" t="s">
        <v>86</v>
      </c>
      <c r="E5828" s="0" t="s">
        <v>7548</v>
      </c>
    </row>
    <row r="5829" customFormat="false" ht="15" hidden="false" customHeight="false" outlineLevel="0" collapsed="false">
      <c r="A5829" s="0" t="s">
        <v>7503</v>
      </c>
      <c r="B5829" s="0" t="s">
        <v>703</v>
      </c>
      <c r="C5829" s="0" t="s">
        <v>7549</v>
      </c>
      <c r="D5829" s="0" t="s">
        <v>98</v>
      </c>
      <c r="E5829" s="0" t="s">
        <v>7550</v>
      </c>
    </row>
    <row r="5830" customFormat="false" ht="15" hidden="false" customHeight="false" outlineLevel="0" collapsed="false">
      <c r="A5830" s="0" t="s">
        <v>7503</v>
      </c>
      <c r="B5830" s="0" t="s">
        <v>712</v>
      </c>
      <c r="C5830" s="0" t="s">
        <v>7551</v>
      </c>
      <c r="D5830" s="0" t="s">
        <v>98</v>
      </c>
      <c r="E5830" s="0" t="s">
        <v>7552</v>
      </c>
    </row>
    <row r="5831" customFormat="false" ht="15" hidden="false" customHeight="false" outlineLevel="0" collapsed="false">
      <c r="A5831" s="0" t="s">
        <v>7553</v>
      </c>
      <c r="B5831" s="0" t="s">
        <v>4429</v>
      </c>
      <c r="C5831" s="0" t="s">
        <v>7554</v>
      </c>
      <c r="D5831" s="0" t="s">
        <v>98</v>
      </c>
      <c r="E5831" s="0" t="s">
        <v>7555</v>
      </c>
    </row>
    <row r="5832" customFormat="false" ht="15" hidden="false" customHeight="false" outlineLevel="0" collapsed="false">
      <c r="A5832" s="0" t="s">
        <v>7553</v>
      </c>
      <c r="B5832" s="0" t="s">
        <v>528</v>
      </c>
      <c r="C5832" s="0" t="s">
        <v>7556</v>
      </c>
      <c r="D5832" s="0" t="s">
        <v>98</v>
      </c>
      <c r="E5832" s="0" t="s">
        <v>7555</v>
      </c>
    </row>
    <row r="5833" customFormat="false" ht="15" hidden="false" customHeight="false" outlineLevel="0" collapsed="false">
      <c r="A5833" s="0" t="s">
        <v>7553</v>
      </c>
      <c r="B5833" s="0" t="s">
        <v>529</v>
      </c>
      <c r="C5833" s="0" t="s">
        <v>7557</v>
      </c>
      <c r="D5833" s="0" t="s">
        <v>98</v>
      </c>
      <c r="E5833" s="0" t="s">
        <v>7555</v>
      </c>
    </row>
    <row r="5834" customFormat="false" ht="15" hidden="false" customHeight="false" outlineLevel="0" collapsed="false">
      <c r="A5834" s="0" t="s">
        <v>7553</v>
      </c>
      <c r="B5834" s="0" t="s">
        <v>761</v>
      </c>
      <c r="C5834" s="0" t="s">
        <v>7558</v>
      </c>
      <c r="D5834" s="0" t="s">
        <v>98</v>
      </c>
      <c r="E5834" s="0" t="s">
        <v>7555</v>
      </c>
    </row>
    <row r="5835" customFormat="false" ht="15" hidden="false" customHeight="false" outlineLevel="0" collapsed="false">
      <c r="A5835" s="0" t="s">
        <v>7553</v>
      </c>
      <c r="B5835" s="0" t="s">
        <v>531</v>
      </c>
      <c r="C5835" s="0" t="s">
        <v>7549</v>
      </c>
      <c r="D5835" s="0" t="s">
        <v>98</v>
      </c>
      <c r="E5835" s="0" t="s">
        <v>7555</v>
      </c>
    </row>
    <row r="5836" customFormat="false" ht="15" hidden="false" customHeight="false" outlineLevel="0" collapsed="false">
      <c r="A5836" s="0" t="s">
        <v>7553</v>
      </c>
      <c r="B5836" s="0" t="s">
        <v>532</v>
      </c>
      <c r="C5836" s="0" t="s">
        <v>7559</v>
      </c>
      <c r="D5836" s="0" t="s">
        <v>98</v>
      </c>
      <c r="E5836" s="0" t="s">
        <v>7555</v>
      </c>
    </row>
    <row r="5837" customFormat="false" ht="15" hidden="false" customHeight="false" outlineLevel="0" collapsed="false">
      <c r="A5837" s="0" t="s">
        <v>7553</v>
      </c>
      <c r="B5837" s="0" t="s">
        <v>4434</v>
      </c>
      <c r="C5837" s="0" t="s">
        <v>7560</v>
      </c>
      <c r="D5837" s="0" t="s">
        <v>98</v>
      </c>
      <c r="E5837" s="0" t="s">
        <v>7555</v>
      </c>
    </row>
    <row r="5838" customFormat="false" ht="15" hidden="false" customHeight="false" outlineLevel="0" collapsed="false">
      <c r="A5838" s="0" t="s">
        <v>7553</v>
      </c>
      <c r="B5838" s="0" t="s">
        <v>537</v>
      </c>
      <c r="C5838" s="0" t="s">
        <v>7561</v>
      </c>
      <c r="D5838" s="0" t="s">
        <v>98</v>
      </c>
      <c r="E5838" s="0" t="s">
        <v>7555</v>
      </c>
    </row>
    <row r="5839" customFormat="false" ht="15" hidden="false" customHeight="false" outlineLevel="0" collapsed="false">
      <c r="A5839" s="0" t="s">
        <v>7553</v>
      </c>
      <c r="B5839" s="0" t="s">
        <v>538</v>
      </c>
      <c r="C5839" s="0" t="s">
        <v>7562</v>
      </c>
      <c r="D5839" s="0" t="s">
        <v>98</v>
      </c>
      <c r="E5839" s="0" t="s">
        <v>7555</v>
      </c>
    </row>
    <row r="5840" customFormat="false" ht="15" hidden="false" customHeight="false" outlineLevel="0" collapsed="false">
      <c r="A5840" s="0" t="s">
        <v>7553</v>
      </c>
      <c r="B5840" s="0" t="s">
        <v>800</v>
      </c>
      <c r="C5840" s="0" t="s">
        <v>7563</v>
      </c>
      <c r="D5840" s="0" t="s">
        <v>98</v>
      </c>
      <c r="E5840" s="0" t="s">
        <v>7555</v>
      </c>
    </row>
    <row r="5841" customFormat="false" ht="15" hidden="false" customHeight="false" outlineLevel="0" collapsed="false">
      <c r="A5841" s="0" t="s">
        <v>7553</v>
      </c>
      <c r="B5841" s="0" t="s">
        <v>541</v>
      </c>
      <c r="C5841" s="0" t="s">
        <v>7564</v>
      </c>
      <c r="D5841" s="0" t="s">
        <v>98</v>
      </c>
      <c r="E5841" s="0" t="s">
        <v>7555</v>
      </c>
    </row>
    <row r="5842" customFormat="false" ht="15" hidden="false" customHeight="false" outlineLevel="0" collapsed="false">
      <c r="A5842" s="0" t="s">
        <v>7553</v>
      </c>
      <c r="B5842" s="0" t="s">
        <v>542</v>
      </c>
      <c r="C5842" s="0" t="s">
        <v>7565</v>
      </c>
      <c r="D5842" s="0" t="s">
        <v>98</v>
      </c>
      <c r="E5842" s="0" t="s">
        <v>7555</v>
      </c>
    </row>
    <row r="5843" customFormat="false" ht="15" hidden="false" customHeight="false" outlineLevel="0" collapsed="false">
      <c r="A5843" s="0" t="s">
        <v>7553</v>
      </c>
      <c r="B5843" s="0" t="s">
        <v>4439</v>
      </c>
      <c r="C5843" s="0" t="s">
        <v>7566</v>
      </c>
      <c r="D5843" s="0" t="s">
        <v>98</v>
      </c>
      <c r="E5843" s="0" t="s">
        <v>7555</v>
      </c>
    </row>
    <row r="5844" customFormat="false" ht="15" hidden="false" customHeight="false" outlineLevel="0" collapsed="false">
      <c r="A5844" s="0" t="s">
        <v>7553</v>
      </c>
      <c r="B5844" s="0" t="s">
        <v>547</v>
      </c>
      <c r="C5844" s="0" t="s">
        <v>7567</v>
      </c>
      <c r="D5844" s="0" t="s">
        <v>98</v>
      </c>
      <c r="E5844" s="0" t="s">
        <v>7555</v>
      </c>
    </row>
    <row r="5845" customFormat="false" ht="15" hidden="false" customHeight="false" outlineLevel="0" collapsed="false">
      <c r="A5845" s="0" t="s">
        <v>7553</v>
      </c>
      <c r="B5845" s="0" t="s">
        <v>548</v>
      </c>
      <c r="C5845" s="0" t="s">
        <v>7568</v>
      </c>
      <c r="D5845" s="0" t="s">
        <v>98</v>
      </c>
      <c r="E5845" s="0" t="s">
        <v>7555</v>
      </c>
    </row>
    <row r="5846" customFormat="false" ht="15" hidden="false" customHeight="false" outlineLevel="0" collapsed="false">
      <c r="A5846" s="0" t="s">
        <v>7553</v>
      </c>
      <c r="B5846" s="0" t="s">
        <v>824</v>
      </c>
      <c r="C5846" s="0" t="s">
        <v>7569</v>
      </c>
      <c r="D5846" s="0" t="s">
        <v>98</v>
      </c>
      <c r="E5846" s="0" t="s">
        <v>7555</v>
      </c>
    </row>
    <row r="5847" customFormat="false" ht="15" hidden="false" customHeight="false" outlineLevel="0" collapsed="false">
      <c r="A5847" s="0" t="s">
        <v>7553</v>
      </c>
      <c r="B5847" s="0" t="s">
        <v>551</v>
      </c>
      <c r="C5847" s="0" t="s">
        <v>7570</v>
      </c>
      <c r="D5847" s="0" t="s">
        <v>98</v>
      </c>
      <c r="E5847" s="0" t="s">
        <v>7555</v>
      </c>
    </row>
    <row r="5848" customFormat="false" ht="15" hidden="false" customHeight="false" outlineLevel="0" collapsed="false">
      <c r="A5848" s="0" t="s">
        <v>7553</v>
      </c>
      <c r="B5848" s="0" t="s">
        <v>552</v>
      </c>
      <c r="C5848" s="0" t="s">
        <v>7571</v>
      </c>
      <c r="D5848" s="0" t="s">
        <v>98</v>
      </c>
      <c r="E5848" s="0" t="s">
        <v>7555</v>
      </c>
    </row>
    <row r="5849" customFormat="false" ht="15" hidden="false" customHeight="false" outlineLevel="0" collapsed="false">
      <c r="A5849" s="0" t="s">
        <v>7553</v>
      </c>
      <c r="B5849" s="0" t="s">
        <v>6666</v>
      </c>
      <c r="C5849" s="0" t="s">
        <v>7572</v>
      </c>
      <c r="D5849" s="0" t="s">
        <v>98</v>
      </c>
      <c r="E5849" s="0" t="s">
        <v>7555</v>
      </c>
    </row>
    <row r="5850" customFormat="false" ht="15" hidden="false" customHeight="false" outlineLevel="0" collapsed="false">
      <c r="A5850" s="0" t="s">
        <v>7553</v>
      </c>
      <c r="B5850" s="0" t="s">
        <v>557</v>
      </c>
      <c r="C5850" s="0" t="s">
        <v>7573</v>
      </c>
      <c r="D5850" s="0" t="s">
        <v>98</v>
      </c>
      <c r="E5850" s="0" t="s">
        <v>7555</v>
      </c>
    </row>
    <row r="5851" customFormat="false" ht="15" hidden="false" customHeight="false" outlineLevel="0" collapsed="false">
      <c r="A5851" s="0" t="s">
        <v>7553</v>
      </c>
      <c r="B5851" s="0" t="s">
        <v>558</v>
      </c>
      <c r="C5851" s="0" t="s">
        <v>7574</v>
      </c>
      <c r="D5851" s="0" t="s">
        <v>98</v>
      </c>
      <c r="E5851" s="0" t="s">
        <v>7555</v>
      </c>
    </row>
    <row r="5852" customFormat="false" ht="15" hidden="false" customHeight="false" outlineLevel="0" collapsed="false">
      <c r="A5852" s="0" t="s">
        <v>7553</v>
      </c>
      <c r="B5852" s="0" t="s">
        <v>5402</v>
      </c>
      <c r="C5852" s="0" t="s">
        <v>7575</v>
      </c>
      <c r="D5852" s="0" t="s">
        <v>98</v>
      </c>
      <c r="E5852" s="0" t="s">
        <v>7555</v>
      </c>
    </row>
    <row r="5853" customFormat="false" ht="15" hidden="false" customHeight="false" outlineLevel="0" collapsed="false">
      <c r="A5853" s="0" t="s">
        <v>7553</v>
      </c>
      <c r="B5853" s="0" t="s">
        <v>561</v>
      </c>
      <c r="C5853" s="0" t="s">
        <v>7576</v>
      </c>
      <c r="D5853" s="0" t="s">
        <v>98</v>
      </c>
      <c r="E5853" s="0" t="s">
        <v>7555</v>
      </c>
    </row>
    <row r="5854" customFormat="false" ht="15" hidden="false" customHeight="false" outlineLevel="0" collapsed="false">
      <c r="A5854" s="0" t="s">
        <v>7553</v>
      </c>
      <c r="B5854" s="0" t="s">
        <v>562</v>
      </c>
      <c r="C5854" s="0" t="s">
        <v>7577</v>
      </c>
      <c r="D5854" s="0" t="s">
        <v>98</v>
      </c>
      <c r="E5854" s="0" t="s">
        <v>7555</v>
      </c>
    </row>
    <row r="5855" customFormat="false" ht="15" hidden="false" customHeight="false" outlineLevel="0" collapsed="false">
      <c r="A5855" s="0" t="s">
        <v>7553</v>
      </c>
      <c r="B5855" s="0" t="s">
        <v>571</v>
      </c>
      <c r="C5855" s="0" t="s">
        <v>7578</v>
      </c>
      <c r="D5855" s="0" t="s">
        <v>86</v>
      </c>
      <c r="E5855" s="0" t="s">
        <v>7579</v>
      </c>
    </row>
    <row r="5856" customFormat="false" ht="15" hidden="false" customHeight="false" outlineLevel="0" collapsed="false">
      <c r="A5856" s="0" t="s">
        <v>7553</v>
      </c>
      <c r="B5856" s="0" t="s">
        <v>581</v>
      </c>
      <c r="C5856" s="0" t="s">
        <v>7580</v>
      </c>
      <c r="D5856" s="0" t="s">
        <v>98</v>
      </c>
      <c r="E5856" s="0" t="s">
        <v>7581</v>
      </c>
    </row>
    <row r="5857" customFormat="false" ht="15" hidden="false" customHeight="false" outlineLevel="0" collapsed="false">
      <c r="A5857" s="0" t="s">
        <v>7553</v>
      </c>
      <c r="B5857" s="0" t="s">
        <v>587</v>
      </c>
      <c r="C5857" s="0" t="s">
        <v>33</v>
      </c>
      <c r="D5857" s="0" t="s">
        <v>86</v>
      </c>
      <c r="E5857" s="0" t="s">
        <v>7582</v>
      </c>
    </row>
    <row r="5858" customFormat="false" ht="15" hidden="false" customHeight="false" outlineLevel="0" collapsed="false">
      <c r="A5858" s="0" t="s">
        <v>7553</v>
      </c>
      <c r="B5858" s="0" t="s">
        <v>591</v>
      </c>
      <c r="C5858" s="0" t="s">
        <v>34</v>
      </c>
      <c r="D5858" s="0" t="s">
        <v>98</v>
      </c>
      <c r="E5858" s="0" t="s">
        <v>132</v>
      </c>
    </row>
    <row r="5859" customFormat="false" ht="15" hidden="false" customHeight="false" outlineLevel="0" collapsed="false">
      <c r="A5859" s="0" t="s">
        <v>7553</v>
      </c>
      <c r="B5859" s="0" t="s">
        <v>601</v>
      </c>
      <c r="C5859" s="0" t="s">
        <v>7583</v>
      </c>
      <c r="D5859" s="0" t="s">
        <v>98</v>
      </c>
      <c r="E5859" s="0" t="s">
        <v>7584</v>
      </c>
    </row>
    <row r="5860" customFormat="false" ht="15" hidden="false" customHeight="false" outlineLevel="0" collapsed="false">
      <c r="A5860" s="0" t="s">
        <v>7553</v>
      </c>
      <c r="B5860" s="0" t="s">
        <v>607</v>
      </c>
      <c r="C5860" s="0" t="s">
        <v>7585</v>
      </c>
      <c r="D5860" s="0" t="s">
        <v>98</v>
      </c>
      <c r="E5860" s="0" t="s">
        <v>7555</v>
      </c>
    </row>
    <row r="5861" customFormat="false" ht="15" hidden="false" customHeight="false" outlineLevel="0" collapsed="false">
      <c r="A5861" s="0" t="s">
        <v>7553</v>
      </c>
      <c r="B5861" s="0" t="s">
        <v>611</v>
      </c>
      <c r="C5861" s="0" t="s">
        <v>7586</v>
      </c>
      <c r="D5861" s="0" t="s">
        <v>98</v>
      </c>
      <c r="E5861" s="0" t="s">
        <v>7555</v>
      </c>
    </row>
    <row r="5862" customFormat="false" ht="15" hidden="false" customHeight="false" outlineLevel="0" collapsed="false">
      <c r="A5862" s="0" t="s">
        <v>7553</v>
      </c>
      <c r="B5862" s="0" t="s">
        <v>612</v>
      </c>
      <c r="C5862" s="0" t="s">
        <v>7587</v>
      </c>
      <c r="D5862" s="0" t="s">
        <v>98</v>
      </c>
      <c r="E5862" s="0" t="s">
        <v>7588</v>
      </c>
    </row>
    <row r="5863" customFormat="false" ht="15" hidden="false" customHeight="false" outlineLevel="0" collapsed="false">
      <c r="A5863" s="0" t="s">
        <v>7553</v>
      </c>
      <c r="B5863" s="0" t="s">
        <v>646</v>
      </c>
      <c r="C5863" s="0" t="s">
        <v>7589</v>
      </c>
      <c r="D5863" s="0" t="s">
        <v>86</v>
      </c>
      <c r="E5863" s="0" t="s">
        <v>7590</v>
      </c>
    </row>
    <row r="5864" customFormat="false" ht="15" hidden="false" customHeight="false" outlineLevel="0" collapsed="false">
      <c r="A5864" s="0" t="s">
        <v>7553</v>
      </c>
      <c r="B5864" s="0" t="s">
        <v>647</v>
      </c>
      <c r="C5864" s="0" t="s">
        <v>550</v>
      </c>
      <c r="D5864" s="0" t="s">
        <v>93</v>
      </c>
      <c r="E5864" s="0" t="s">
        <v>7591</v>
      </c>
    </row>
    <row r="5865" customFormat="false" ht="15" hidden="false" customHeight="false" outlineLevel="0" collapsed="false">
      <c r="A5865" s="0" t="s">
        <v>7553</v>
      </c>
      <c r="B5865" s="0" t="s">
        <v>1075</v>
      </c>
      <c r="C5865" s="0" t="s">
        <v>7592</v>
      </c>
      <c r="D5865" s="0" t="s">
        <v>98</v>
      </c>
      <c r="E5865" s="0" t="s">
        <v>7593</v>
      </c>
    </row>
    <row r="5866" customFormat="false" ht="15" hidden="false" customHeight="false" outlineLevel="0" collapsed="false">
      <c r="A5866" s="0" t="s">
        <v>7553</v>
      </c>
      <c r="B5866" s="0" t="s">
        <v>648</v>
      </c>
      <c r="C5866" s="0" t="s">
        <v>7594</v>
      </c>
      <c r="D5866" s="0" t="s">
        <v>98</v>
      </c>
      <c r="E5866" s="0" t="s">
        <v>7593</v>
      </c>
    </row>
    <row r="5867" customFormat="false" ht="15" hidden="false" customHeight="false" outlineLevel="0" collapsed="false">
      <c r="A5867" s="0" t="s">
        <v>7553</v>
      </c>
      <c r="B5867" s="0" t="s">
        <v>649</v>
      </c>
      <c r="C5867" s="0" t="s">
        <v>7595</v>
      </c>
      <c r="D5867" s="0" t="s">
        <v>98</v>
      </c>
      <c r="E5867" s="0" t="s">
        <v>7593</v>
      </c>
    </row>
    <row r="5868" customFormat="false" ht="15" hidden="false" customHeight="false" outlineLevel="0" collapsed="false">
      <c r="A5868" s="0" t="s">
        <v>7553</v>
      </c>
      <c r="B5868" s="0" t="s">
        <v>650</v>
      </c>
      <c r="C5868" s="0" t="s">
        <v>7596</v>
      </c>
      <c r="D5868" s="0" t="s">
        <v>98</v>
      </c>
      <c r="E5868" s="0" t="s">
        <v>7597</v>
      </c>
    </row>
    <row r="5869" customFormat="false" ht="15" hidden="false" customHeight="false" outlineLevel="0" collapsed="false">
      <c r="A5869" s="0" t="s">
        <v>7553</v>
      </c>
      <c r="B5869" s="0" t="s">
        <v>655</v>
      </c>
      <c r="C5869" s="0" t="s">
        <v>7598</v>
      </c>
      <c r="D5869" s="0" t="s">
        <v>86</v>
      </c>
      <c r="E5869" s="0" t="s">
        <v>7590</v>
      </c>
    </row>
    <row r="5870" customFormat="false" ht="15" hidden="false" customHeight="false" outlineLevel="0" collapsed="false">
      <c r="A5870" s="0" t="s">
        <v>7553</v>
      </c>
      <c r="B5870" s="0" t="s">
        <v>656</v>
      </c>
      <c r="C5870" s="0" t="s">
        <v>7599</v>
      </c>
      <c r="D5870" s="0" t="s">
        <v>98</v>
      </c>
      <c r="E5870" s="0" t="s">
        <v>7600</v>
      </c>
    </row>
    <row r="5871" customFormat="false" ht="15" hidden="false" customHeight="false" outlineLevel="0" collapsed="false">
      <c r="A5871" s="0" t="s">
        <v>7553</v>
      </c>
      <c r="B5871" s="0" t="s">
        <v>4631</v>
      </c>
      <c r="C5871" s="0" t="s">
        <v>7601</v>
      </c>
      <c r="D5871" s="0" t="s">
        <v>98</v>
      </c>
      <c r="E5871" s="0" t="s">
        <v>7593</v>
      </c>
    </row>
    <row r="5872" customFormat="false" ht="15" hidden="false" customHeight="false" outlineLevel="0" collapsed="false">
      <c r="A5872" s="0" t="s">
        <v>7553</v>
      </c>
      <c r="B5872" s="0" t="s">
        <v>657</v>
      </c>
      <c r="C5872" s="0" t="s">
        <v>7602</v>
      </c>
      <c r="D5872" s="0" t="s">
        <v>98</v>
      </c>
      <c r="E5872" s="0" t="s">
        <v>7593</v>
      </c>
    </row>
    <row r="5873" customFormat="false" ht="15" hidden="false" customHeight="false" outlineLevel="0" collapsed="false">
      <c r="A5873" s="0" t="s">
        <v>7553</v>
      </c>
      <c r="B5873" s="0" t="s">
        <v>659</v>
      </c>
      <c r="C5873" s="0" t="s">
        <v>7603</v>
      </c>
      <c r="D5873" s="0" t="s">
        <v>98</v>
      </c>
      <c r="E5873" s="0" t="s">
        <v>7593</v>
      </c>
    </row>
    <row r="5874" customFormat="false" ht="15" hidden="false" customHeight="false" outlineLevel="0" collapsed="false">
      <c r="A5874" s="0" t="s">
        <v>7553</v>
      </c>
      <c r="B5874" s="0" t="s">
        <v>660</v>
      </c>
      <c r="C5874" s="0" t="s">
        <v>7604</v>
      </c>
      <c r="D5874" s="0" t="s">
        <v>98</v>
      </c>
      <c r="E5874" s="0" t="s">
        <v>7597</v>
      </c>
    </row>
    <row r="5875" customFormat="false" ht="15" hidden="false" customHeight="false" outlineLevel="0" collapsed="false">
      <c r="A5875" s="0" t="s">
        <v>7553</v>
      </c>
      <c r="B5875" s="0" t="s">
        <v>665</v>
      </c>
      <c r="C5875" s="0" t="s">
        <v>7605</v>
      </c>
      <c r="D5875" s="0" t="s">
        <v>86</v>
      </c>
      <c r="E5875" s="0" t="s">
        <v>7590</v>
      </c>
    </row>
    <row r="5876" customFormat="false" ht="15" hidden="false" customHeight="false" outlineLevel="0" collapsed="false">
      <c r="A5876" s="0" t="s">
        <v>7553</v>
      </c>
      <c r="B5876" s="0" t="s">
        <v>666</v>
      </c>
      <c r="C5876" s="0" t="s">
        <v>7606</v>
      </c>
      <c r="D5876" s="0" t="s">
        <v>98</v>
      </c>
      <c r="E5876" s="0" t="s">
        <v>7600</v>
      </c>
    </row>
    <row r="5877" customFormat="false" ht="15" hidden="false" customHeight="false" outlineLevel="0" collapsed="false">
      <c r="A5877" s="0" t="s">
        <v>7553</v>
      </c>
      <c r="B5877" s="0" t="s">
        <v>4674</v>
      </c>
      <c r="C5877" s="0" t="s">
        <v>7607</v>
      </c>
      <c r="D5877" s="0" t="s">
        <v>98</v>
      </c>
      <c r="E5877" s="0" t="s">
        <v>7593</v>
      </c>
    </row>
    <row r="5878" customFormat="false" ht="15" hidden="false" customHeight="false" outlineLevel="0" collapsed="false">
      <c r="A5878" s="0" t="s">
        <v>7553</v>
      </c>
      <c r="B5878" s="0" t="s">
        <v>667</v>
      </c>
      <c r="C5878" s="0" t="s">
        <v>7608</v>
      </c>
      <c r="D5878" s="0" t="s">
        <v>98</v>
      </c>
      <c r="E5878" s="0" t="s">
        <v>7593</v>
      </c>
    </row>
    <row r="5879" customFormat="false" ht="15" hidden="false" customHeight="false" outlineLevel="0" collapsed="false">
      <c r="A5879" s="0" t="s">
        <v>7553</v>
      </c>
      <c r="B5879" s="0" t="s">
        <v>668</v>
      </c>
      <c r="C5879" s="0" t="s">
        <v>7609</v>
      </c>
      <c r="D5879" s="0" t="s">
        <v>98</v>
      </c>
      <c r="E5879" s="0" t="s">
        <v>7593</v>
      </c>
    </row>
    <row r="5880" customFormat="false" ht="15" hidden="false" customHeight="false" outlineLevel="0" collapsed="false">
      <c r="A5880" s="0" t="s">
        <v>7553</v>
      </c>
      <c r="B5880" s="0" t="s">
        <v>669</v>
      </c>
      <c r="C5880" s="0" t="s">
        <v>7610</v>
      </c>
      <c r="D5880" s="0" t="s">
        <v>98</v>
      </c>
      <c r="E5880" s="0" t="s">
        <v>7597</v>
      </c>
    </row>
    <row r="5881" customFormat="false" ht="15" hidden="false" customHeight="false" outlineLevel="0" collapsed="false">
      <c r="A5881" s="0" t="s">
        <v>7553</v>
      </c>
      <c r="B5881" s="0" t="s">
        <v>674</v>
      </c>
      <c r="C5881" s="0" t="s">
        <v>7611</v>
      </c>
      <c r="D5881" s="0" t="s">
        <v>86</v>
      </c>
      <c r="E5881" s="0" t="s">
        <v>7590</v>
      </c>
    </row>
    <row r="5882" customFormat="false" ht="15" hidden="false" customHeight="false" outlineLevel="0" collapsed="false">
      <c r="A5882" s="0" t="s">
        <v>7553</v>
      </c>
      <c r="B5882" s="0" t="s">
        <v>675</v>
      </c>
      <c r="C5882" s="0" t="s">
        <v>7612</v>
      </c>
      <c r="D5882" s="0" t="s">
        <v>98</v>
      </c>
      <c r="E5882" s="0" t="s">
        <v>7600</v>
      </c>
    </row>
    <row r="5883" customFormat="false" ht="15" hidden="false" customHeight="false" outlineLevel="0" collapsed="false">
      <c r="A5883" s="0" t="s">
        <v>7553</v>
      </c>
      <c r="B5883" s="0" t="s">
        <v>1150</v>
      </c>
      <c r="C5883" s="0" t="s">
        <v>7613</v>
      </c>
      <c r="D5883" s="0" t="s">
        <v>98</v>
      </c>
      <c r="E5883" s="0" t="s">
        <v>7593</v>
      </c>
    </row>
    <row r="5884" customFormat="false" ht="15" hidden="false" customHeight="false" outlineLevel="0" collapsed="false">
      <c r="A5884" s="0" t="s">
        <v>7553</v>
      </c>
      <c r="B5884" s="0" t="s">
        <v>676</v>
      </c>
      <c r="C5884" s="0" t="s">
        <v>7614</v>
      </c>
      <c r="D5884" s="0" t="s">
        <v>98</v>
      </c>
      <c r="E5884" s="0" t="s">
        <v>7593</v>
      </c>
    </row>
    <row r="5885" customFormat="false" ht="15" hidden="false" customHeight="false" outlineLevel="0" collapsed="false">
      <c r="A5885" s="0" t="s">
        <v>7553</v>
      </c>
      <c r="B5885" s="0" t="s">
        <v>678</v>
      </c>
      <c r="C5885" s="0" t="s">
        <v>7615</v>
      </c>
      <c r="D5885" s="0" t="s">
        <v>98</v>
      </c>
      <c r="E5885" s="0" t="s">
        <v>7593</v>
      </c>
    </row>
    <row r="5886" customFormat="false" ht="15" hidden="false" customHeight="false" outlineLevel="0" collapsed="false">
      <c r="A5886" s="0" t="s">
        <v>7553</v>
      </c>
      <c r="B5886" s="0" t="s">
        <v>679</v>
      </c>
      <c r="C5886" s="0" t="s">
        <v>7616</v>
      </c>
      <c r="D5886" s="0" t="s">
        <v>98</v>
      </c>
      <c r="E5886" s="0" t="s">
        <v>7597</v>
      </c>
    </row>
    <row r="5887" customFormat="false" ht="15" hidden="false" customHeight="false" outlineLevel="0" collapsed="false">
      <c r="A5887" s="0" t="s">
        <v>7553</v>
      </c>
      <c r="B5887" s="0" t="s">
        <v>684</v>
      </c>
      <c r="C5887" s="0" t="s">
        <v>7617</v>
      </c>
      <c r="D5887" s="0" t="s">
        <v>86</v>
      </c>
      <c r="E5887" s="0" t="s">
        <v>7590</v>
      </c>
    </row>
    <row r="5888" customFormat="false" ht="15" hidden="false" customHeight="false" outlineLevel="0" collapsed="false">
      <c r="A5888" s="0" t="s">
        <v>7553</v>
      </c>
      <c r="B5888" s="0" t="s">
        <v>685</v>
      </c>
      <c r="C5888" s="0" t="s">
        <v>7618</v>
      </c>
      <c r="D5888" s="0" t="s">
        <v>98</v>
      </c>
      <c r="E5888" s="0" t="s">
        <v>7600</v>
      </c>
    </row>
    <row r="5889" customFormat="false" ht="15" hidden="false" customHeight="false" outlineLevel="0" collapsed="false">
      <c r="A5889" s="0" t="s">
        <v>7553</v>
      </c>
      <c r="B5889" s="0" t="s">
        <v>1175</v>
      </c>
      <c r="C5889" s="0" t="s">
        <v>7619</v>
      </c>
      <c r="D5889" s="0" t="s">
        <v>98</v>
      </c>
      <c r="E5889" s="0" t="s">
        <v>7593</v>
      </c>
    </row>
    <row r="5890" customFormat="false" ht="15" hidden="false" customHeight="false" outlineLevel="0" collapsed="false">
      <c r="A5890" s="0" t="s">
        <v>7553</v>
      </c>
      <c r="B5890" s="0" t="s">
        <v>686</v>
      </c>
      <c r="C5890" s="0" t="s">
        <v>7620</v>
      </c>
      <c r="D5890" s="0" t="s">
        <v>98</v>
      </c>
      <c r="E5890" s="0" t="s">
        <v>7593</v>
      </c>
    </row>
    <row r="5891" customFormat="false" ht="15" hidden="false" customHeight="false" outlineLevel="0" collapsed="false">
      <c r="A5891" s="0" t="s">
        <v>7553</v>
      </c>
      <c r="B5891" s="0" t="s">
        <v>688</v>
      </c>
      <c r="C5891" s="0" t="s">
        <v>7621</v>
      </c>
      <c r="D5891" s="0" t="s">
        <v>98</v>
      </c>
      <c r="E5891" s="0" t="s">
        <v>7593</v>
      </c>
    </row>
    <row r="5892" customFormat="false" ht="15" hidden="false" customHeight="false" outlineLevel="0" collapsed="false">
      <c r="A5892" s="0" t="s">
        <v>7553</v>
      </c>
      <c r="B5892" s="0" t="s">
        <v>689</v>
      </c>
      <c r="C5892" s="0" t="s">
        <v>7622</v>
      </c>
      <c r="D5892" s="0" t="s">
        <v>98</v>
      </c>
      <c r="E5892" s="0" t="s">
        <v>7597</v>
      </c>
    </row>
    <row r="5893" customFormat="false" ht="15" hidden="false" customHeight="false" outlineLevel="0" collapsed="false">
      <c r="A5893" s="0" t="s">
        <v>7553</v>
      </c>
      <c r="B5893" s="0" t="s">
        <v>694</v>
      </c>
      <c r="C5893" s="0" t="s">
        <v>7623</v>
      </c>
      <c r="D5893" s="0" t="s">
        <v>86</v>
      </c>
      <c r="E5893" s="0" t="s">
        <v>7590</v>
      </c>
    </row>
    <row r="5894" customFormat="false" ht="15" hidden="false" customHeight="false" outlineLevel="0" collapsed="false">
      <c r="A5894" s="0" t="s">
        <v>7553</v>
      </c>
      <c r="B5894" s="0" t="s">
        <v>695</v>
      </c>
      <c r="C5894" s="0" t="s">
        <v>7624</v>
      </c>
      <c r="D5894" s="0" t="s">
        <v>98</v>
      </c>
      <c r="E5894" s="0" t="s">
        <v>7600</v>
      </c>
    </row>
    <row r="5895" customFormat="false" ht="15" hidden="false" customHeight="false" outlineLevel="0" collapsed="false">
      <c r="A5895" s="0" t="s">
        <v>7553</v>
      </c>
      <c r="B5895" s="0" t="s">
        <v>1196</v>
      </c>
      <c r="C5895" s="0" t="s">
        <v>7625</v>
      </c>
      <c r="D5895" s="0" t="s">
        <v>98</v>
      </c>
      <c r="E5895" s="0" t="s">
        <v>7593</v>
      </c>
    </row>
    <row r="5896" customFormat="false" ht="15" hidden="false" customHeight="false" outlineLevel="0" collapsed="false">
      <c r="A5896" s="0" t="s">
        <v>7553</v>
      </c>
      <c r="B5896" s="0" t="s">
        <v>696</v>
      </c>
      <c r="C5896" s="0" t="s">
        <v>7626</v>
      </c>
      <c r="D5896" s="0" t="s">
        <v>98</v>
      </c>
      <c r="E5896" s="0" t="s">
        <v>7593</v>
      </c>
    </row>
    <row r="5897" customFormat="false" ht="15" hidden="false" customHeight="false" outlineLevel="0" collapsed="false">
      <c r="A5897" s="0" t="s">
        <v>7553</v>
      </c>
      <c r="B5897" s="0" t="s">
        <v>697</v>
      </c>
      <c r="C5897" s="0" t="s">
        <v>7627</v>
      </c>
      <c r="D5897" s="0" t="s">
        <v>98</v>
      </c>
      <c r="E5897" s="0" t="s">
        <v>7593</v>
      </c>
    </row>
    <row r="5898" customFormat="false" ht="15" hidden="false" customHeight="false" outlineLevel="0" collapsed="false">
      <c r="A5898" s="0" t="s">
        <v>7553</v>
      </c>
      <c r="B5898" s="0" t="s">
        <v>698</v>
      </c>
      <c r="C5898" s="0" t="s">
        <v>7628</v>
      </c>
      <c r="D5898" s="0" t="s">
        <v>98</v>
      </c>
      <c r="E5898" s="0" t="s">
        <v>7597</v>
      </c>
    </row>
    <row r="5899" customFormat="false" ht="15" hidden="false" customHeight="false" outlineLevel="0" collapsed="false">
      <c r="A5899" s="0" t="s">
        <v>7553</v>
      </c>
      <c r="B5899" s="0" t="s">
        <v>703</v>
      </c>
      <c r="C5899" s="0" t="s">
        <v>7629</v>
      </c>
      <c r="D5899" s="0" t="s">
        <v>86</v>
      </c>
      <c r="E5899" s="0" t="s">
        <v>7590</v>
      </c>
    </row>
    <row r="5900" customFormat="false" ht="15" hidden="false" customHeight="false" outlineLevel="0" collapsed="false">
      <c r="A5900" s="0" t="s">
        <v>7553</v>
      </c>
      <c r="B5900" s="0" t="s">
        <v>704</v>
      </c>
      <c r="C5900" s="0" t="s">
        <v>7630</v>
      </c>
      <c r="D5900" s="0" t="s">
        <v>98</v>
      </c>
      <c r="E5900" s="0" t="s">
        <v>7600</v>
      </c>
    </row>
    <row r="5901" customFormat="false" ht="15" hidden="false" customHeight="false" outlineLevel="0" collapsed="false">
      <c r="A5901" s="0" t="s">
        <v>7553</v>
      </c>
      <c r="B5901" s="0" t="s">
        <v>4787</v>
      </c>
      <c r="C5901" s="0" t="s">
        <v>7631</v>
      </c>
      <c r="D5901" s="0" t="s">
        <v>98</v>
      </c>
      <c r="E5901" s="0" t="s">
        <v>7593</v>
      </c>
    </row>
    <row r="5902" customFormat="false" ht="15" hidden="false" customHeight="false" outlineLevel="0" collapsed="false">
      <c r="A5902" s="0" t="s">
        <v>7553</v>
      </c>
      <c r="B5902" s="0" t="s">
        <v>705</v>
      </c>
      <c r="C5902" s="0" t="s">
        <v>7632</v>
      </c>
      <c r="D5902" s="0" t="s">
        <v>98</v>
      </c>
      <c r="E5902" s="0" t="s">
        <v>7593</v>
      </c>
    </row>
    <row r="5903" customFormat="false" ht="15" hidden="false" customHeight="false" outlineLevel="0" collapsed="false">
      <c r="A5903" s="0" t="s">
        <v>7553</v>
      </c>
      <c r="B5903" s="0" t="s">
        <v>706</v>
      </c>
      <c r="C5903" s="0" t="s">
        <v>7633</v>
      </c>
      <c r="D5903" s="0" t="s">
        <v>98</v>
      </c>
      <c r="E5903" s="0" t="s">
        <v>7593</v>
      </c>
    </row>
    <row r="5904" customFormat="false" ht="15" hidden="false" customHeight="false" outlineLevel="0" collapsed="false">
      <c r="A5904" s="0" t="s">
        <v>7553</v>
      </c>
      <c r="B5904" s="0" t="s">
        <v>707</v>
      </c>
      <c r="C5904" s="0" t="s">
        <v>7634</v>
      </c>
      <c r="D5904" s="0" t="s">
        <v>98</v>
      </c>
      <c r="E5904" s="0" t="s">
        <v>7597</v>
      </c>
    </row>
    <row r="5905" customFormat="false" ht="15" hidden="false" customHeight="false" outlineLevel="0" collapsed="false">
      <c r="A5905" s="0" t="s">
        <v>7553</v>
      </c>
      <c r="B5905" s="0" t="s">
        <v>712</v>
      </c>
      <c r="C5905" s="0" t="s">
        <v>7635</v>
      </c>
      <c r="D5905" s="0" t="s">
        <v>86</v>
      </c>
      <c r="E5905" s="0" t="s">
        <v>7590</v>
      </c>
    </row>
    <row r="5906" customFormat="false" ht="15" hidden="false" customHeight="false" outlineLevel="0" collapsed="false">
      <c r="A5906" s="0" t="s">
        <v>7553</v>
      </c>
      <c r="B5906" s="0" t="s">
        <v>713</v>
      </c>
      <c r="C5906" s="0" t="s">
        <v>2574</v>
      </c>
      <c r="D5906" s="0" t="s">
        <v>98</v>
      </c>
      <c r="E5906" s="0" t="s">
        <v>7636</v>
      </c>
    </row>
    <row r="5907" customFormat="false" ht="15" hidden="false" customHeight="false" outlineLevel="0" collapsed="false">
      <c r="A5907" s="0" t="s">
        <v>7553</v>
      </c>
      <c r="B5907" s="0" t="s">
        <v>4832</v>
      </c>
      <c r="C5907" s="0" t="s">
        <v>7637</v>
      </c>
      <c r="D5907" s="0" t="s">
        <v>98</v>
      </c>
      <c r="E5907" s="0" t="s">
        <v>7593</v>
      </c>
    </row>
    <row r="5908" customFormat="false" ht="15" hidden="false" customHeight="false" outlineLevel="0" collapsed="false">
      <c r="A5908" s="0" t="s">
        <v>7553</v>
      </c>
      <c r="B5908" s="0" t="s">
        <v>714</v>
      </c>
      <c r="C5908" s="0" t="s">
        <v>7638</v>
      </c>
      <c r="D5908" s="0" t="s">
        <v>98</v>
      </c>
      <c r="E5908" s="0" t="s">
        <v>7593</v>
      </c>
    </row>
    <row r="5909" customFormat="false" ht="15" hidden="false" customHeight="false" outlineLevel="0" collapsed="false">
      <c r="A5909" s="0" t="s">
        <v>7553</v>
      </c>
      <c r="B5909" s="0" t="s">
        <v>715</v>
      </c>
      <c r="C5909" s="0" t="s">
        <v>7639</v>
      </c>
      <c r="D5909" s="0" t="s">
        <v>98</v>
      </c>
      <c r="E5909" s="0" t="s">
        <v>7593</v>
      </c>
    </row>
    <row r="5910" customFormat="false" ht="15" hidden="false" customHeight="false" outlineLevel="0" collapsed="false">
      <c r="A5910" s="0" t="s">
        <v>7553</v>
      </c>
      <c r="B5910" s="0" t="s">
        <v>716</v>
      </c>
      <c r="C5910" s="0" t="s">
        <v>7640</v>
      </c>
      <c r="D5910" s="0" t="s">
        <v>98</v>
      </c>
      <c r="E5910" s="0" t="s">
        <v>7597</v>
      </c>
    </row>
    <row r="5911" customFormat="false" ht="15" hidden="false" customHeight="false" outlineLevel="0" collapsed="false">
      <c r="A5911" s="0" t="s">
        <v>7553</v>
      </c>
      <c r="B5911" s="0" t="s">
        <v>721</v>
      </c>
      <c r="C5911" s="0" t="s">
        <v>7641</v>
      </c>
      <c r="D5911" s="0" t="s">
        <v>86</v>
      </c>
      <c r="E5911" s="0" t="s">
        <v>7590</v>
      </c>
    </row>
    <row r="5912" customFormat="false" ht="15" hidden="false" customHeight="false" outlineLevel="0" collapsed="false">
      <c r="A5912" s="0" t="s">
        <v>7553</v>
      </c>
      <c r="B5912" s="0" t="s">
        <v>722</v>
      </c>
      <c r="C5912" s="0" t="s">
        <v>65</v>
      </c>
      <c r="D5912" s="0" t="s">
        <v>86</v>
      </c>
      <c r="E5912" s="0" t="s">
        <v>7642</v>
      </c>
    </row>
    <row r="5913" customFormat="false" ht="15" hidden="false" customHeight="false" outlineLevel="0" collapsed="false">
      <c r="A5913" s="0" t="s">
        <v>7553</v>
      </c>
      <c r="B5913" s="0" t="s">
        <v>1267</v>
      </c>
      <c r="C5913" s="0" t="s">
        <v>7643</v>
      </c>
      <c r="D5913" s="0" t="s">
        <v>98</v>
      </c>
      <c r="E5913" s="0" t="s">
        <v>7593</v>
      </c>
    </row>
    <row r="5914" customFormat="false" ht="15" hidden="false" customHeight="false" outlineLevel="0" collapsed="false">
      <c r="A5914" s="0" t="s">
        <v>7553</v>
      </c>
      <c r="B5914" s="0" t="s">
        <v>723</v>
      </c>
      <c r="C5914" s="0" t="s">
        <v>7644</v>
      </c>
      <c r="D5914" s="0" t="s">
        <v>98</v>
      </c>
      <c r="E5914" s="0" t="s">
        <v>7593</v>
      </c>
    </row>
    <row r="5915" customFormat="false" ht="15" hidden="false" customHeight="false" outlineLevel="0" collapsed="false">
      <c r="A5915" s="0" t="s">
        <v>7553</v>
      </c>
      <c r="B5915" s="0" t="s">
        <v>724</v>
      </c>
      <c r="C5915" s="0" t="s">
        <v>7645</v>
      </c>
      <c r="D5915" s="0" t="s">
        <v>98</v>
      </c>
      <c r="E5915" s="0" t="s">
        <v>7593</v>
      </c>
    </row>
    <row r="5916" customFormat="false" ht="15" hidden="false" customHeight="false" outlineLevel="0" collapsed="false">
      <c r="A5916" s="0" t="s">
        <v>7553</v>
      </c>
      <c r="B5916" s="0" t="s">
        <v>725</v>
      </c>
      <c r="C5916" s="0" t="s">
        <v>7646</v>
      </c>
      <c r="D5916" s="0" t="s">
        <v>98</v>
      </c>
      <c r="E5916" s="0" t="s">
        <v>7597</v>
      </c>
    </row>
    <row r="5917" customFormat="false" ht="15" hidden="false" customHeight="false" outlineLevel="0" collapsed="false">
      <c r="A5917" s="0" t="s">
        <v>7553</v>
      </c>
      <c r="B5917" s="0" t="s">
        <v>730</v>
      </c>
      <c r="C5917" s="0" t="s">
        <v>7647</v>
      </c>
      <c r="D5917" s="0" t="s">
        <v>86</v>
      </c>
      <c r="E5917" s="0" t="s">
        <v>7590</v>
      </c>
    </row>
    <row r="5918" customFormat="false" ht="15" hidden="false" customHeight="false" outlineLevel="0" collapsed="false">
      <c r="A5918" s="0" t="s">
        <v>7553</v>
      </c>
      <c r="B5918" s="0" t="s">
        <v>731</v>
      </c>
      <c r="C5918" s="0" t="s">
        <v>7648</v>
      </c>
      <c r="D5918" s="0" t="s">
        <v>98</v>
      </c>
      <c r="E5918" s="0" t="s">
        <v>7600</v>
      </c>
    </row>
    <row r="5919" customFormat="false" ht="15" hidden="false" customHeight="false" outlineLevel="0" collapsed="false">
      <c r="A5919" s="0" t="s">
        <v>7553</v>
      </c>
      <c r="B5919" s="0" t="s">
        <v>1294</v>
      </c>
      <c r="C5919" s="0" t="s">
        <v>7649</v>
      </c>
      <c r="D5919" s="0" t="s">
        <v>98</v>
      </c>
      <c r="E5919" s="0" t="s">
        <v>7593</v>
      </c>
    </row>
    <row r="5920" customFormat="false" ht="15" hidden="false" customHeight="false" outlineLevel="0" collapsed="false">
      <c r="A5920" s="0" t="s">
        <v>7553</v>
      </c>
      <c r="B5920" s="0" t="s">
        <v>732</v>
      </c>
      <c r="C5920" s="0" t="s">
        <v>7650</v>
      </c>
      <c r="D5920" s="0" t="s">
        <v>98</v>
      </c>
      <c r="E5920" s="0" t="s">
        <v>7593</v>
      </c>
    </row>
    <row r="5921" customFormat="false" ht="15" hidden="false" customHeight="false" outlineLevel="0" collapsed="false">
      <c r="A5921" s="0" t="s">
        <v>7553</v>
      </c>
      <c r="B5921" s="0" t="s">
        <v>734</v>
      </c>
      <c r="C5921" s="0" t="s">
        <v>7651</v>
      </c>
      <c r="D5921" s="0" t="s">
        <v>98</v>
      </c>
      <c r="E5921" s="0" t="s">
        <v>7593</v>
      </c>
    </row>
    <row r="5922" customFormat="false" ht="15" hidden="false" customHeight="false" outlineLevel="0" collapsed="false">
      <c r="A5922" s="0" t="s">
        <v>7553</v>
      </c>
      <c r="B5922" s="0" t="s">
        <v>735</v>
      </c>
      <c r="C5922" s="0" t="s">
        <v>7652</v>
      </c>
      <c r="D5922" s="0" t="s">
        <v>98</v>
      </c>
      <c r="E5922" s="0" t="s">
        <v>7597</v>
      </c>
    </row>
    <row r="5923" customFormat="false" ht="15" hidden="false" customHeight="false" outlineLevel="0" collapsed="false">
      <c r="A5923" s="0" t="s">
        <v>7553</v>
      </c>
      <c r="B5923" s="0" t="s">
        <v>7493</v>
      </c>
      <c r="C5923" s="0" t="s">
        <v>7653</v>
      </c>
      <c r="D5923" s="0" t="s">
        <v>86</v>
      </c>
      <c r="E5923" s="0" t="s">
        <v>7590</v>
      </c>
    </row>
    <row r="5924" customFormat="false" ht="15" hidden="false" customHeight="false" outlineLevel="0" collapsed="false">
      <c r="A5924" s="0" t="s">
        <v>7553</v>
      </c>
      <c r="B5924" s="0" t="s">
        <v>7495</v>
      </c>
      <c r="C5924" s="0" t="s">
        <v>7654</v>
      </c>
      <c r="D5924" s="0" t="s">
        <v>98</v>
      </c>
      <c r="E5924" s="0" t="s">
        <v>7600</v>
      </c>
    </row>
    <row r="5925" customFormat="false" ht="15" hidden="false" customHeight="false" outlineLevel="0" collapsed="false">
      <c r="A5925" s="0" t="s">
        <v>7553</v>
      </c>
      <c r="B5925" s="0" t="s">
        <v>1315</v>
      </c>
      <c r="C5925" s="0" t="s">
        <v>7655</v>
      </c>
      <c r="D5925" s="0" t="s">
        <v>98</v>
      </c>
      <c r="E5925" s="0" t="s">
        <v>7593</v>
      </c>
    </row>
    <row r="5926" customFormat="false" ht="15" hidden="false" customHeight="false" outlineLevel="0" collapsed="false">
      <c r="A5926" s="0" t="s">
        <v>7553</v>
      </c>
      <c r="B5926" s="0" t="s">
        <v>1317</v>
      </c>
      <c r="C5926" s="0" t="s">
        <v>7656</v>
      </c>
      <c r="D5926" s="0" t="s">
        <v>98</v>
      </c>
      <c r="E5926" s="0" t="s">
        <v>7593</v>
      </c>
    </row>
    <row r="5927" customFormat="false" ht="15" hidden="false" customHeight="false" outlineLevel="0" collapsed="false">
      <c r="A5927" s="0" t="s">
        <v>7553</v>
      </c>
      <c r="B5927" s="0" t="s">
        <v>1319</v>
      </c>
      <c r="C5927" s="0" t="s">
        <v>7657</v>
      </c>
      <c r="D5927" s="0" t="s">
        <v>98</v>
      </c>
      <c r="E5927" s="0" t="s">
        <v>7593</v>
      </c>
    </row>
    <row r="5928" customFormat="false" ht="15" hidden="false" customHeight="false" outlineLevel="0" collapsed="false">
      <c r="A5928" s="0" t="s">
        <v>7553</v>
      </c>
      <c r="B5928" s="0" t="s">
        <v>1321</v>
      </c>
      <c r="C5928" s="0" t="s">
        <v>7658</v>
      </c>
      <c r="D5928" s="0" t="s">
        <v>98</v>
      </c>
      <c r="E5928" s="0" t="s">
        <v>7597</v>
      </c>
    </row>
    <row r="5929" customFormat="false" ht="15" hidden="false" customHeight="false" outlineLevel="0" collapsed="false">
      <c r="A5929" s="0" t="s">
        <v>7553</v>
      </c>
      <c r="B5929" s="0" t="s">
        <v>7497</v>
      </c>
      <c r="C5929" s="0" t="s">
        <v>7659</v>
      </c>
      <c r="D5929" s="0" t="s">
        <v>86</v>
      </c>
      <c r="E5929" s="0" t="s">
        <v>7590</v>
      </c>
    </row>
    <row r="5930" customFormat="false" ht="15" hidden="false" customHeight="false" outlineLevel="0" collapsed="false">
      <c r="A5930" s="0" t="s">
        <v>7553</v>
      </c>
      <c r="B5930" s="0" t="s">
        <v>7498</v>
      </c>
      <c r="C5930" s="0" t="s">
        <v>7660</v>
      </c>
      <c r="D5930" s="0" t="s">
        <v>98</v>
      </c>
      <c r="E5930" s="0" t="s">
        <v>7600</v>
      </c>
    </row>
    <row r="5931" customFormat="false" ht="15" hidden="false" customHeight="false" outlineLevel="0" collapsed="false">
      <c r="A5931" s="0" t="s">
        <v>7553</v>
      </c>
      <c r="B5931" s="0" t="s">
        <v>4945</v>
      </c>
      <c r="C5931" s="0" t="s">
        <v>7661</v>
      </c>
      <c r="D5931" s="0" t="s">
        <v>98</v>
      </c>
      <c r="E5931" s="0" t="s">
        <v>7593</v>
      </c>
    </row>
    <row r="5932" customFormat="false" ht="15" hidden="false" customHeight="false" outlineLevel="0" collapsed="false">
      <c r="A5932" s="0" t="s">
        <v>7553</v>
      </c>
      <c r="B5932" s="0" t="s">
        <v>4947</v>
      </c>
      <c r="C5932" s="0" t="s">
        <v>7662</v>
      </c>
      <c r="D5932" s="0" t="s">
        <v>98</v>
      </c>
      <c r="E5932" s="0" t="s">
        <v>7593</v>
      </c>
    </row>
    <row r="5933" customFormat="false" ht="15" hidden="false" customHeight="false" outlineLevel="0" collapsed="false">
      <c r="A5933" s="0" t="s">
        <v>7553</v>
      </c>
      <c r="B5933" s="0" t="s">
        <v>4949</v>
      </c>
      <c r="C5933" s="0" t="s">
        <v>7663</v>
      </c>
      <c r="D5933" s="0" t="s">
        <v>98</v>
      </c>
      <c r="E5933" s="0" t="s">
        <v>7593</v>
      </c>
    </row>
    <row r="5934" customFormat="false" ht="15" hidden="false" customHeight="false" outlineLevel="0" collapsed="false">
      <c r="A5934" s="0" t="s">
        <v>7553</v>
      </c>
      <c r="B5934" s="0" t="s">
        <v>4951</v>
      </c>
      <c r="C5934" s="0" t="s">
        <v>7664</v>
      </c>
      <c r="D5934" s="0" t="s">
        <v>98</v>
      </c>
      <c r="E5934" s="0" t="s">
        <v>7597</v>
      </c>
    </row>
    <row r="5935" customFormat="false" ht="15" hidden="false" customHeight="false" outlineLevel="0" collapsed="false">
      <c r="A5935" s="0" t="s">
        <v>7553</v>
      </c>
      <c r="B5935" s="0" t="s">
        <v>7499</v>
      </c>
      <c r="C5935" s="0" t="s">
        <v>7665</v>
      </c>
      <c r="D5935" s="0" t="s">
        <v>86</v>
      </c>
      <c r="E5935" s="0" t="s">
        <v>7590</v>
      </c>
    </row>
    <row r="5936" customFormat="false" ht="15" hidden="false" customHeight="false" outlineLevel="0" collapsed="false">
      <c r="A5936" s="0" t="s">
        <v>7553</v>
      </c>
      <c r="B5936" s="0" t="s">
        <v>7501</v>
      </c>
      <c r="C5936" s="0" t="s">
        <v>7666</v>
      </c>
      <c r="D5936" s="0" t="s">
        <v>98</v>
      </c>
      <c r="E5936" s="0" t="s">
        <v>7600</v>
      </c>
    </row>
    <row r="5937" customFormat="false" ht="15" hidden="false" customHeight="false" outlineLevel="0" collapsed="false">
      <c r="A5937" s="0" t="s">
        <v>7553</v>
      </c>
      <c r="B5937" s="0" t="s">
        <v>4998</v>
      </c>
      <c r="C5937" s="0" t="s">
        <v>7667</v>
      </c>
      <c r="D5937" s="0" t="s">
        <v>98</v>
      </c>
      <c r="E5937" s="0" t="s">
        <v>7593</v>
      </c>
    </row>
    <row r="5938" customFormat="false" ht="15" hidden="false" customHeight="false" outlineLevel="0" collapsed="false">
      <c r="A5938" s="0" t="s">
        <v>7553</v>
      </c>
      <c r="B5938" s="0" t="s">
        <v>5000</v>
      </c>
      <c r="C5938" s="0" t="s">
        <v>7668</v>
      </c>
      <c r="D5938" s="0" t="s">
        <v>98</v>
      </c>
      <c r="E5938" s="0" t="s">
        <v>7593</v>
      </c>
    </row>
    <row r="5939" customFormat="false" ht="15" hidden="false" customHeight="false" outlineLevel="0" collapsed="false">
      <c r="A5939" s="0" t="s">
        <v>7553</v>
      </c>
      <c r="B5939" s="0" t="s">
        <v>5002</v>
      </c>
      <c r="C5939" s="0" t="s">
        <v>7669</v>
      </c>
      <c r="D5939" s="0" t="s">
        <v>98</v>
      </c>
      <c r="E5939" s="0" t="s">
        <v>7593</v>
      </c>
    </row>
    <row r="5940" customFormat="false" ht="15" hidden="false" customHeight="false" outlineLevel="0" collapsed="false">
      <c r="A5940" s="0" t="s">
        <v>7553</v>
      </c>
      <c r="B5940" s="0" t="s">
        <v>5004</v>
      </c>
      <c r="C5940" s="0" t="s">
        <v>7670</v>
      </c>
      <c r="D5940" s="0" t="s">
        <v>98</v>
      </c>
      <c r="E5940" s="0" t="s">
        <v>7597</v>
      </c>
    </row>
    <row r="5941" customFormat="false" ht="15" hidden="false" customHeight="false" outlineLevel="0" collapsed="false">
      <c r="A5941" s="0" t="s">
        <v>7553</v>
      </c>
      <c r="B5941" s="0" t="s">
        <v>6707</v>
      </c>
      <c r="C5941" s="0" t="s">
        <v>7671</v>
      </c>
      <c r="D5941" s="0" t="s">
        <v>86</v>
      </c>
      <c r="E5941" s="0" t="s">
        <v>7590</v>
      </c>
    </row>
    <row r="5942" customFormat="false" ht="15" hidden="false" customHeight="false" outlineLevel="0" collapsed="false">
      <c r="A5942" s="0" t="s">
        <v>7553</v>
      </c>
      <c r="B5942" s="0" t="s">
        <v>6708</v>
      </c>
      <c r="C5942" s="0" t="s">
        <v>7672</v>
      </c>
      <c r="D5942" s="0" t="s">
        <v>98</v>
      </c>
      <c r="E5942" s="0" t="s">
        <v>7600</v>
      </c>
    </row>
    <row r="5943" customFormat="false" ht="15" hidden="false" customHeight="false" outlineLevel="0" collapsed="false">
      <c r="A5943" s="0" t="s">
        <v>7553</v>
      </c>
      <c r="B5943" s="0" t="s">
        <v>1397</v>
      </c>
      <c r="C5943" s="0" t="s">
        <v>7673</v>
      </c>
      <c r="D5943" s="0" t="s">
        <v>98</v>
      </c>
      <c r="E5943" s="0" t="s">
        <v>7593</v>
      </c>
    </row>
    <row r="5944" customFormat="false" ht="15" hidden="false" customHeight="false" outlineLevel="0" collapsed="false">
      <c r="A5944" s="0" t="s">
        <v>7553</v>
      </c>
      <c r="B5944" s="0" t="s">
        <v>1398</v>
      </c>
      <c r="C5944" s="0" t="s">
        <v>7674</v>
      </c>
      <c r="D5944" s="0" t="s">
        <v>98</v>
      </c>
      <c r="E5944" s="0" t="s">
        <v>7593</v>
      </c>
    </row>
    <row r="5945" customFormat="false" ht="15" hidden="false" customHeight="false" outlineLevel="0" collapsed="false">
      <c r="A5945" s="0" t="s">
        <v>7553</v>
      </c>
      <c r="B5945" s="0" t="s">
        <v>1399</v>
      </c>
      <c r="C5945" s="0" t="s">
        <v>7675</v>
      </c>
      <c r="D5945" s="0" t="s">
        <v>98</v>
      </c>
      <c r="E5945" s="0" t="s">
        <v>7593</v>
      </c>
    </row>
    <row r="5946" customFormat="false" ht="15" hidden="false" customHeight="false" outlineLevel="0" collapsed="false">
      <c r="A5946" s="0" t="s">
        <v>7553</v>
      </c>
      <c r="B5946" s="0" t="s">
        <v>1400</v>
      </c>
      <c r="C5946" s="0" t="s">
        <v>7676</v>
      </c>
      <c r="D5946" s="0" t="s">
        <v>98</v>
      </c>
      <c r="E5946" s="0" t="s">
        <v>7597</v>
      </c>
    </row>
    <row r="5947" customFormat="false" ht="15" hidden="false" customHeight="false" outlineLevel="0" collapsed="false">
      <c r="A5947" s="0" t="s">
        <v>7553</v>
      </c>
      <c r="B5947" s="0" t="s">
        <v>6720</v>
      </c>
      <c r="C5947" s="0" t="s">
        <v>7677</v>
      </c>
      <c r="D5947" s="0" t="s">
        <v>86</v>
      </c>
      <c r="E5947" s="0" t="s">
        <v>7590</v>
      </c>
    </row>
    <row r="5948" customFormat="false" ht="15" hidden="false" customHeight="false" outlineLevel="0" collapsed="false">
      <c r="A5948" s="0" t="s">
        <v>7553</v>
      </c>
      <c r="B5948" s="0" t="s">
        <v>6721</v>
      </c>
      <c r="C5948" s="0" t="s">
        <v>65</v>
      </c>
      <c r="D5948" s="0" t="s">
        <v>86</v>
      </c>
      <c r="E5948" s="0" t="s">
        <v>7642</v>
      </c>
    </row>
    <row r="5949" customFormat="false" ht="15" hidden="false" customHeight="false" outlineLevel="0" collapsed="false">
      <c r="A5949" s="0" t="s">
        <v>7553</v>
      </c>
      <c r="B5949" s="0" t="s">
        <v>1429</v>
      </c>
      <c r="C5949" s="0" t="s">
        <v>7678</v>
      </c>
      <c r="D5949" s="0" t="s">
        <v>98</v>
      </c>
      <c r="E5949" s="0" t="s">
        <v>7593</v>
      </c>
    </row>
    <row r="5950" customFormat="false" ht="15" hidden="false" customHeight="false" outlineLevel="0" collapsed="false">
      <c r="A5950" s="0" t="s">
        <v>7553</v>
      </c>
      <c r="B5950" s="0" t="s">
        <v>1430</v>
      </c>
      <c r="C5950" s="0" t="s">
        <v>7679</v>
      </c>
      <c r="D5950" s="0" t="s">
        <v>98</v>
      </c>
      <c r="E5950" s="0" t="s">
        <v>7593</v>
      </c>
    </row>
    <row r="5951" customFormat="false" ht="15" hidden="false" customHeight="false" outlineLevel="0" collapsed="false">
      <c r="A5951" s="0" t="s">
        <v>7553</v>
      </c>
      <c r="B5951" s="0" t="s">
        <v>1431</v>
      </c>
      <c r="C5951" s="0" t="s">
        <v>7680</v>
      </c>
      <c r="D5951" s="0" t="s">
        <v>98</v>
      </c>
      <c r="E5951" s="0" t="s">
        <v>7593</v>
      </c>
    </row>
    <row r="5952" customFormat="false" ht="15" hidden="false" customHeight="false" outlineLevel="0" collapsed="false">
      <c r="A5952" s="0" t="s">
        <v>7553</v>
      </c>
      <c r="B5952" s="0" t="s">
        <v>1432</v>
      </c>
      <c r="C5952" s="0" t="s">
        <v>7681</v>
      </c>
      <c r="D5952" s="0" t="s">
        <v>98</v>
      </c>
      <c r="E5952" s="0" t="s">
        <v>7597</v>
      </c>
    </row>
    <row r="5953" customFormat="false" ht="15" hidden="false" customHeight="false" outlineLevel="0" collapsed="false">
      <c r="A5953" s="0" t="s">
        <v>7553</v>
      </c>
      <c r="B5953" s="0" t="s">
        <v>6725</v>
      </c>
      <c r="C5953" s="0" t="s">
        <v>7682</v>
      </c>
      <c r="D5953" s="0" t="s">
        <v>86</v>
      </c>
      <c r="E5953" s="0" t="s">
        <v>7590</v>
      </c>
    </row>
    <row r="5954" customFormat="false" ht="15" hidden="false" customHeight="false" outlineLevel="0" collapsed="false">
      <c r="A5954" s="0" t="s">
        <v>7553</v>
      </c>
      <c r="B5954" s="0" t="s">
        <v>6726</v>
      </c>
      <c r="C5954" s="0" t="s">
        <v>65</v>
      </c>
      <c r="D5954" s="0" t="s">
        <v>86</v>
      </c>
      <c r="E5954" s="0" t="s">
        <v>7642</v>
      </c>
    </row>
    <row r="5955" customFormat="false" ht="15" hidden="false" customHeight="false" outlineLevel="0" collapsed="false">
      <c r="A5955" s="0" t="s">
        <v>7553</v>
      </c>
      <c r="B5955" s="0" t="s">
        <v>1457</v>
      </c>
      <c r="C5955" s="0" t="s">
        <v>7683</v>
      </c>
      <c r="D5955" s="0" t="s">
        <v>98</v>
      </c>
      <c r="E5955" s="0" t="s">
        <v>7593</v>
      </c>
    </row>
    <row r="5956" customFormat="false" ht="15" hidden="false" customHeight="false" outlineLevel="0" collapsed="false">
      <c r="A5956" s="0" t="s">
        <v>7553</v>
      </c>
      <c r="B5956" s="0" t="s">
        <v>1459</v>
      </c>
      <c r="C5956" s="0" t="s">
        <v>7684</v>
      </c>
      <c r="D5956" s="0" t="s">
        <v>98</v>
      </c>
      <c r="E5956" s="0" t="s">
        <v>7593</v>
      </c>
    </row>
    <row r="5957" customFormat="false" ht="15" hidden="false" customHeight="false" outlineLevel="0" collapsed="false">
      <c r="A5957" s="0" t="s">
        <v>7553</v>
      </c>
      <c r="B5957" s="0" t="s">
        <v>1461</v>
      </c>
      <c r="C5957" s="0" t="s">
        <v>7685</v>
      </c>
      <c r="D5957" s="0" t="s">
        <v>98</v>
      </c>
      <c r="E5957" s="0" t="s">
        <v>7593</v>
      </c>
    </row>
    <row r="5958" customFormat="false" ht="15" hidden="false" customHeight="false" outlineLevel="0" collapsed="false">
      <c r="A5958" s="0" t="s">
        <v>7553</v>
      </c>
      <c r="B5958" s="0" t="s">
        <v>1463</v>
      </c>
      <c r="C5958" s="0" t="s">
        <v>7686</v>
      </c>
      <c r="D5958" s="0" t="s">
        <v>98</v>
      </c>
      <c r="E5958" s="0" t="s">
        <v>7597</v>
      </c>
    </row>
    <row r="5959" customFormat="false" ht="15" hidden="false" customHeight="false" outlineLevel="0" collapsed="false">
      <c r="A5959" s="0" t="s">
        <v>7553</v>
      </c>
      <c r="B5959" s="0" t="s">
        <v>6730</v>
      </c>
      <c r="C5959" s="0" t="s">
        <v>7687</v>
      </c>
      <c r="D5959" s="0" t="s">
        <v>86</v>
      </c>
      <c r="E5959" s="0" t="s">
        <v>7590</v>
      </c>
    </row>
    <row r="5960" customFormat="false" ht="15" hidden="false" customHeight="false" outlineLevel="0" collapsed="false">
      <c r="A5960" s="0" t="s">
        <v>7553</v>
      </c>
      <c r="B5960" s="0" t="s">
        <v>6731</v>
      </c>
      <c r="C5960" s="0" t="s">
        <v>65</v>
      </c>
      <c r="D5960" s="0" t="s">
        <v>86</v>
      </c>
      <c r="E5960" s="0" t="s">
        <v>7642</v>
      </c>
    </row>
    <row r="5961" customFormat="false" ht="15" hidden="false" customHeight="false" outlineLevel="0" collapsed="false">
      <c r="A5961" s="0" t="s">
        <v>7553</v>
      </c>
      <c r="B5961" s="0" t="s">
        <v>5124</v>
      </c>
      <c r="C5961" s="0" t="s">
        <v>7688</v>
      </c>
      <c r="D5961" s="0" t="s">
        <v>98</v>
      </c>
      <c r="E5961" s="0" t="s">
        <v>7597</v>
      </c>
    </row>
    <row r="5962" customFormat="false" ht="15" hidden="false" customHeight="false" outlineLevel="0" collapsed="false">
      <c r="A5962" s="0" t="s">
        <v>7553</v>
      </c>
      <c r="B5962" s="0" t="s">
        <v>6736</v>
      </c>
      <c r="C5962" s="0" t="s">
        <v>7689</v>
      </c>
      <c r="D5962" s="0" t="s">
        <v>86</v>
      </c>
      <c r="E5962" s="0" t="s">
        <v>7590</v>
      </c>
    </row>
    <row r="5963" customFormat="false" ht="15" hidden="false" customHeight="false" outlineLevel="0" collapsed="false">
      <c r="A5963" s="0" t="s">
        <v>7553</v>
      </c>
      <c r="B5963" s="0" t="s">
        <v>6737</v>
      </c>
      <c r="C5963" s="0" t="s">
        <v>7690</v>
      </c>
      <c r="D5963" s="0" t="s">
        <v>98</v>
      </c>
      <c r="E5963" s="0" t="s">
        <v>7600</v>
      </c>
    </row>
    <row r="5964" customFormat="false" ht="15" hidden="false" customHeight="false" outlineLevel="0" collapsed="false">
      <c r="A5964" s="0" t="s">
        <v>7553</v>
      </c>
      <c r="B5964" s="0" t="s">
        <v>5173</v>
      </c>
      <c r="C5964" s="0" t="s">
        <v>7691</v>
      </c>
      <c r="D5964" s="0" t="s">
        <v>98</v>
      </c>
      <c r="E5964" s="0" t="s">
        <v>7593</v>
      </c>
    </row>
    <row r="5965" customFormat="false" ht="15" hidden="false" customHeight="false" outlineLevel="0" collapsed="false">
      <c r="A5965" s="0" t="s">
        <v>7553</v>
      </c>
      <c r="B5965" s="0" t="s">
        <v>5175</v>
      </c>
      <c r="C5965" s="0" t="s">
        <v>7692</v>
      </c>
      <c r="D5965" s="0" t="s">
        <v>98</v>
      </c>
      <c r="E5965" s="0" t="s">
        <v>7593</v>
      </c>
    </row>
    <row r="5966" customFormat="false" ht="15" hidden="false" customHeight="false" outlineLevel="0" collapsed="false">
      <c r="A5966" s="0" t="s">
        <v>7553</v>
      </c>
      <c r="B5966" s="0" t="s">
        <v>5177</v>
      </c>
      <c r="C5966" s="0" t="s">
        <v>7693</v>
      </c>
      <c r="D5966" s="0" t="s">
        <v>98</v>
      </c>
      <c r="E5966" s="0" t="s">
        <v>7593</v>
      </c>
    </row>
    <row r="5967" customFormat="false" ht="15" hidden="false" customHeight="false" outlineLevel="0" collapsed="false">
      <c r="A5967" s="0" t="s">
        <v>7553</v>
      </c>
      <c r="B5967" s="0" t="s">
        <v>1515</v>
      </c>
      <c r="C5967" s="0" t="s">
        <v>7694</v>
      </c>
      <c r="D5967" s="0" t="s">
        <v>98</v>
      </c>
      <c r="E5967" s="0" t="s">
        <v>7597</v>
      </c>
    </row>
    <row r="5968" customFormat="false" ht="15" hidden="false" customHeight="false" outlineLevel="0" collapsed="false">
      <c r="A5968" s="0" t="s">
        <v>7553</v>
      </c>
      <c r="B5968" s="0" t="s">
        <v>6742</v>
      </c>
      <c r="C5968" s="0" t="s">
        <v>7695</v>
      </c>
      <c r="D5968" s="0" t="s">
        <v>98</v>
      </c>
      <c r="E5968" s="0" t="s">
        <v>7696</v>
      </c>
    </row>
    <row r="5969" customFormat="false" ht="15" hidden="false" customHeight="false" outlineLevel="0" collapsed="false">
      <c r="A5969" s="0" t="s">
        <v>7553</v>
      </c>
      <c r="B5969" s="0" t="s">
        <v>1540</v>
      </c>
      <c r="C5969" s="0" t="s">
        <v>7697</v>
      </c>
      <c r="D5969" s="0" t="s">
        <v>98</v>
      </c>
      <c r="E5969" s="0" t="s">
        <v>7696</v>
      </c>
    </row>
    <row r="5970" customFormat="false" ht="15" hidden="false" customHeight="false" outlineLevel="0" collapsed="false">
      <c r="A5970" s="0" t="s">
        <v>7553</v>
      </c>
      <c r="B5970" s="0" t="s">
        <v>1542</v>
      </c>
      <c r="C5970" s="0" t="s">
        <v>7698</v>
      </c>
      <c r="D5970" s="0" t="s">
        <v>98</v>
      </c>
      <c r="E5970" s="0" t="s">
        <v>7696</v>
      </c>
    </row>
    <row r="5971" customFormat="false" ht="15" hidden="false" customHeight="false" outlineLevel="0" collapsed="false">
      <c r="A5971" s="0" t="s">
        <v>7553</v>
      </c>
      <c r="B5971" s="0" t="s">
        <v>1544</v>
      </c>
      <c r="C5971" s="0" t="s">
        <v>7699</v>
      </c>
      <c r="D5971" s="0" t="s">
        <v>98</v>
      </c>
      <c r="E5971" s="0" t="s">
        <v>7696</v>
      </c>
    </row>
    <row r="5972" customFormat="false" ht="15" hidden="false" customHeight="false" outlineLevel="0" collapsed="false">
      <c r="A5972" s="0" t="s">
        <v>7553</v>
      </c>
      <c r="B5972" s="0" t="s">
        <v>1545</v>
      </c>
      <c r="C5972" s="0" t="s">
        <v>7700</v>
      </c>
      <c r="D5972" s="0" t="s">
        <v>98</v>
      </c>
      <c r="E5972" s="0" t="s">
        <v>7696</v>
      </c>
    </row>
    <row r="5973" customFormat="false" ht="15" hidden="false" customHeight="false" outlineLevel="0" collapsed="false">
      <c r="A5973" s="0" t="s">
        <v>7553</v>
      </c>
      <c r="B5973" s="0" t="s">
        <v>1574</v>
      </c>
      <c r="C5973" s="0" t="s">
        <v>7701</v>
      </c>
      <c r="D5973" s="0" t="s">
        <v>98</v>
      </c>
      <c r="E5973" s="0" t="s">
        <v>7702</v>
      </c>
    </row>
    <row r="5974" customFormat="false" ht="15" hidden="false" customHeight="false" outlineLevel="0" collapsed="false">
      <c r="A5974" s="0" t="s">
        <v>7553</v>
      </c>
      <c r="B5974" s="0" t="s">
        <v>1575</v>
      </c>
      <c r="C5974" s="0" t="s">
        <v>7703</v>
      </c>
      <c r="D5974" s="0" t="s">
        <v>98</v>
      </c>
      <c r="E5974" s="0" t="s">
        <v>7702</v>
      </c>
    </row>
    <row r="5975" customFormat="false" ht="15" hidden="false" customHeight="false" outlineLevel="0" collapsed="false">
      <c r="A5975" s="0" t="s">
        <v>7553</v>
      </c>
      <c r="B5975" s="0" t="s">
        <v>1576</v>
      </c>
      <c r="C5975" s="0" t="s">
        <v>7704</v>
      </c>
      <c r="D5975" s="0" t="s">
        <v>98</v>
      </c>
      <c r="E5975" s="0" t="s">
        <v>7702</v>
      </c>
    </row>
    <row r="5976" customFormat="false" ht="15" hidden="false" customHeight="false" outlineLevel="0" collapsed="false">
      <c r="A5976" s="0" t="s">
        <v>7553</v>
      </c>
      <c r="B5976" s="0" t="s">
        <v>6750</v>
      </c>
      <c r="C5976" s="0" t="s">
        <v>7705</v>
      </c>
      <c r="D5976" s="0" t="s">
        <v>98</v>
      </c>
      <c r="E5976" s="0" t="s">
        <v>7706</v>
      </c>
    </row>
    <row r="5977" customFormat="false" ht="15" hidden="false" customHeight="false" outlineLevel="0" collapsed="false">
      <c r="A5977" s="0" t="s">
        <v>7553</v>
      </c>
      <c r="B5977" s="0" t="s">
        <v>6751</v>
      </c>
      <c r="C5977" s="0" t="s">
        <v>7707</v>
      </c>
      <c r="D5977" s="0" t="s">
        <v>98</v>
      </c>
      <c r="E5977" s="0" t="s">
        <v>7708</v>
      </c>
    </row>
    <row r="5978" customFormat="false" ht="15" hidden="false" customHeight="false" outlineLevel="0" collapsed="false">
      <c r="A5978" s="0" t="s">
        <v>7553</v>
      </c>
      <c r="B5978" s="0" t="s">
        <v>7709</v>
      </c>
      <c r="C5978" s="0" t="s">
        <v>7710</v>
      </c>
      <c r="D5978" s="0" t="s">
        <v>86</v>
      </c>
      <c r="E5978" s="0" t="s">
        <v>87</v>
      </c>
    </row>
    <row r="5979" customFormat="false" ht="15" hidden="false" customHeight="false" outlineLevel="0" collapsed="false">
      <c r="A5979" s="0" t="s">
        <v>7553</v>
      </c>
      <c r="B5979" s="0" t="s">
        <v>7711</v>
      </c>
      <c r="C5979" s="0" t="s">
        <v>7712</v>
      </c>
      <c r="D5979" s="0" t="s">
        <v>86</v>
      </c>
      <c r="E5979" s="0" t="s">
        <v>89</v>
      </c>
    </row>
    <row r="5980" customFormat="false" ht="15" hidden="false" customHeight="false" outlineLevel="0" collapsed="false">
      <c r="A5980" s="0" t="s">
        <v>7553</v>
      </c>
      <c r="B5980" s="0" t="s">
        <v>7713</v>
      </c>
      <c r="C5980" s="0" t="s">
        <v>7714</v>
      </c>
      <c r="D5980" s="0" t="s">
        <v>86</v>
      </c>
      <c r="E5980" s="0" t="s">
        <v>91</v>
      </c>
    </row>
    <row r="5981" customFormat="false" ht="15" hidden="false" customHeight="false" outlineLevel="0" collapsed="false">
      <c r="A5981" s="0" t="s">
        <v>7553</v>
      </c>
      <c r="B5981" s="0" t="s">
        <v>7715</v>
      </c>
      <c r="C5981" s="0" t="s">
        <v>2719</v>
      </c>
      <c r="D5981" s="0" t="s">
        <v>93</v>
      </c>
      <c r="E5981" s="0" t="s">
        <v>94</v>
      </c>
    </row>
    <row r="5982" customFormat="false" ht="15" hidden="false" customHeight="false" outlineLevel="0" collapsed="false">
      <c r="A5982" s="0" t="s">
        <v>7553</v>
      </c>
      <c r="B5982" s="0" t="s">
        <v>7716</v>
      </c>
      <c r="C5982" s="0" t="s">
        <v>610</v>
      </c>
      <c r="D5982" s="0" t="s">
        <v>93</v>
      </c>
      <c r="E5982" s="0" t="s">
        <v>96</v>
      </c>
    </row>
    <row r="5983" customFormat="false" ht="15" hidden="false" customHeight="false" outlineLevel="0" collapsed="false">
      <c r="A5983" s="0" t="s">
        <v>7553</v>
      </c>
      <c r="B5983" s="0" t="s">
        <v>7717</v>
      </c>
      <c r="C5983" s="0" t="s">
        <v>7718</v>
      </c>
      <c r="D5983" s="0" t="s">
        <v>98</v>
      </c>
      <c r="E5983" s="0" t="s">
        <v>99</v>
      </c>
    </row>
    <row r="5984" customFormat="false" ht="15" hidden="false" customHeight="false" outlineLevel="0" collapsed="false">
      <c r="A5984" s="0" t="s">
        <v>7553</v>
      </c>
      <c r="B5984" s="0" t="s">
        <v>7719</v>
      </c>
      <c r="C5984" s="0" t="s">
        <v>7720</v>
      </c>
      <c r="D5984" s="0" t="s">
        <v>98</v>
      </c>
      <c r="E5984" s="0" t="s">
        <v>101</v>
      </c>
    </row>
    <row r="5985" customFormat="false" ht="15" hidden="false" customHeight="false" outlineLevel="0" collapsed="false">
      <c r="A5985" s="0" t="s">
        <v>7553</v>
      </c>
      <c r="B5985" s="0" t="s">
        <v>7721</v>
      </c>
      <c r="C5985" s="0" t="s">
        <v>7722</v>
      </c>
      <c r="D5985" s="0" t="s">
        <v>98</v>
      </c>
      <c r="E5985" s="0" t="s">
        <v>103</v>
      </c>
    </row>
    <row r="5986" customFormat="false" ht="15" hidden="false" customHeight="false" outlineLevel="0" collapsed="false">
      <c r="A5986" s="0" t="s">
        <v>7553</v>
      </c>
      <c r="B5986" s="0" t="s">
        <v>7723</v>
      </c>
      <c r="C5986" s="0" t="s">
        <v>7724</v>
      </c>
      <c r="D5986" s="0" t="s">
        <v>98</v>
      </c>
      <c r="E5986" s="0" t="s">
        <v>105</v>
      </c>
    </row>
    <row r="5987" customFormat="false" ht="15" hidden="false" customHeight="false" outlineLevel="0" collapsed="false">
      <c r="A5987" s="0" t="s">
        <v>7553</v>
      </c>
      <c r="B5987" s="0" t="s">
        <v>7725</v>
      </c>
      <c r="C5987" s="0" t="s">
        <v>7726</v>
      </c>
      <c r="D5987" s="0" t="s">
        <v>98</v>
      </c>
      <c r="E5987" s="0" t="s">
        <v>105</v>
      </c>
    </row>
    <row r="5988" customFormat="false" ht="15" hidden="false" customHeight="false" outlineLevel="0" collapsed="false">
      <c r="A5988" s="0" t="s">
        <v>7553</v>
      </c>
      <c r="B5988" s="0" t="s">
        <v>7727</v>
      </c>
      <c r="C5988" s="0" t="s">
        <v>7728</v>
      </c>
      <c r="D5988" s="0" t="s">
        <v>98</v>
      </c>
      <c r="E5988" s="0" t="s">
        <v>108</v>
      </c>
    </row>
    <row r="5989" customFormat="false" ht="15" hidden="false" customHeight="false" outlineLevel="0" collapsed="false">
      <c r="A5989" s="0" t="s">
        <v>7553</v>
      </c>
      <c r="B5989" s="0" t="s">
        <v>7729</v>
      </c>
      <c r="C5989" s="0" t="s">
        <v>7730</v>
      </c>
      <c r="D5989" s="0" t="s">
        <v>98</v>
      </c>
      <c r="E5989" s="0" t="s">
        <v>108</v>
      </c>
    </row>
    <row r="5990" customFormat="false" ht="15" hidden="false" customHeight="false" outlineLevel="0" collapsed="false">
      <c r="A5990" s="0" t="s">
        <v>7553</v>
      </c>
      <c r="B5990" s="0" t="s">
        <v>7731</v>
      </c>
      <c r="C5990" s="0" t="s">
        <v>7732</v>
      </c>
      <c r="D5990" s="0" t="s">
        <v>98</v>
      </c>
      <c r="E5990" s="0" t="s">
        <v>111</v>
      </c>
    </row>
    <row r="5991" customFormat="false" ht="15" hidden="false" customHeight="false" outlineLevel="0" collapsed="false">
      <c r="A5991" s="0" t="s">
        <v>7553</v>
      </c>
      <c r="B5991" s="0" t="s">
        <v>7733</v>
      </c>
      <c r="C5991" s="0" t="s">
        <v>7734</v>
      </c>
      <c r="D5991" s="0" t="s">
        <v>98</v>
      </c>
      <c r="E5991" s="0" t="s">
        <v>113</v>
      </c>
    </row>
    <row r="5992" customFormat="false" ht="15" hidden="false" customHeight="false" outlineLevel="0" collapsed="false">
      <c r="A5992" s="0" t="s">
        <v>7553</v>
      </c>
      <c r="B5992" s="0" t="s">
        <v>7735</v>
      </c>
      <c r="C5992" s="0" t="s">
        <v>7736</v>
      </c>
      <c r="D5992" s="0" t="s">
        <v>98</v>
      </c>
      <c r="E5992" s="0" t="s">
        <v>115</v>
      </c>
    </row>
    <row r="5993" customFormat="false" ht="15" hidden="false" customHeight="false" outlineLevel="0" collapsed="false">
      <c r="A5993" s="0" t="s">
        <v>7553</v>
      </c>
      <c r="B5993" s="0" t="s">
        <v>7737</v>
      </c>
      <c r="C5993" s="0" t="s">
        <v>7738</v>
      </c>
      <c r="D5993" s="0" t="s">
        <v>98</v>
      </c>
      <c r="E5993" s="0" t="s">
        <v>117</v>
      </c>
    </row>
    <row r="5994" customFormat="false" ht="15" hidden="false" customHeight="false" outlineLevel="0" collapsed="false">
      <c r="A5994" s="0" t="s">
        <v>7553</v>
      </c>
      <c r="B5994" s="0" t="s">
        <v>7739</v>
      </c>
      <c r="C5994" s="0" t="s">
        <v>7740</v>
      </c>
      <c r="D5994" s="0" t="s">
        <v>98</v>
      </c>
      <c r="E5994" s="0" t="s">
        <v>119</v>
      </c>
    </row>
    <row r="5995" customFormat="false" ht="15" hidden="false" customHeight="false" outlineLevel="0" collapsed="false">
      <c r="A5995" s="0" t="s">
        <v>7553</v>
      </c>
      <c r="B5995" s="0" t="s">
        <v>7741</v>
      </c>
      <c r="C5995" s="0" t="s">
        <v>7742</v>
      </c>
      <c r="D5995" s="0" t="s">
        <v>98</v>
      </c>
      <c r="E5995" s="0" t="s">
        <v>121</v>
      </c>
    </row>
    <row r="5996" customFormat="false" ht="15" hidden="false" customHeight="false" outlineLevel="0" collapsed="false">
      <c r="A5996" s="0" t="s">
        <v>7553</v>
      </c>
      <c r="B5996" s="0" t="s">
        <v>7743</v>
      </c>
      <c r="C5996" s="0" t="s">
        <v>7744</v>
      </c>
      <c r="D5996" s="0" t="s">
        <v>98</v>
      </c>
      <c r="E5996" s="0" t="s">
        <v>123</v>
      </c>
    </row>
    <row r="5997" customFormat="false" ht="15" hidden="false" customHeight="false" outlineLevel="0" collapsed="false">
      <c r="A5997" s="0" t="s">
        <v>7553</v>
      </c>
      <c r="B5997" s="0" t="s">
        <v>7745</v>
      </c>
      <c r="C5997" s="0" t="s">
        <v>7746</v>
      </c>
      <c r="D5997" s="0" t="s">
        <v>98</v>
      </c>
      <c r="E5997" s="0" t="s">
        <v>125</v>
      </c>
    </row>
    <row r="5998" customFormat="false" ht="15" hidden="false" customHeight="false" outlineLevel="0" collapsed="false">
      <c r="A5998" s="0" t="s">
        <v>7553</v>
      </c>
      <c r="B5998" s="0" t="s">
        <v>7747</v>
      </c>
      <c r="C5998" s="0" t="s">
        <v>7748</v>
      </c>
      <c r="D5998" s="0" t="s">
        <v>98</v>
      </c>
      <c r="E5998" s="0" t="s">
        <v>127</v>
      </c>
    </row>
    <row r="5999" customFormat="false" ht="15" hidden="false" customHeight="false" outlineLevel="0" collapsed="false">
      <c r="A5999" s="0" t="s">
        <v>7553</v>
      </c>
      <c r="B5999" s="0" t="s">
        <v>7749</v>
      </c>
      <c r="C5999" s="0" t="s">
        <v>7750</v>
      </c>
      <c r="D5999" s="0" t="s">
        <v>86</v>
      </c>
      <c r="E5999" s="0" t="s">
        <v>132</v>
      </c>
    </row>
    <row r="6000" customFormat="false" ht="15" hidden="false" customHeight="false" outlineLevel="0" collapsed="false">
      <c r="A6000" s="0" t="s">
        <v>7553</v>
      </c>
      <c r="B6000" s="0" t="s">
        <v>7751</v>
      </c>
      <c r="C6000" s="0" t="s">
        <v>2719</v>
      </c>
      <c r="D6000" s="0" t="s">
        <v>86</v>
      </c>
      <c r="E6000" s="0" t="s">
        <v>134</v>
      </c>
    </row>
    <row r="6001" customFormat="false" ht="15" hidden="false" customHeight="false" outlineLevel="0" collapsed="false">
      <c r="A6001" s="0" t="s">
        <v>7553</v>
      </c>
      <c r="B6001" s="0" t="s">
        <v>7752</v>
      </c>
      <c r="C6001" s="0" t="s">
        <v>7753</v>
      </c>
      <c r="D6001" s="0" t="s">
        <v>98</v>
      </c>
    </row>
    <row r="6002" customFormat="false" ht="15" hidden="false" customHeight="false" outlineLevel="0" collapsed="false">
      <c r="A6002" s="0" t="s">
        <v>7553</v>
      </c>
      <c r="B6002" s="0" t="s">
        <v>7754</v>
      </c>
      <c r="C6002" s="0" t="s">
        <v>7755</v>
      </c>
      <c r="D6002" s="0" t="s">
        <v>98</v>
      </c>
      <c r="E6002" s="0" t="s">
        <v>137</v>
      </c>
    </row>
    <row r="6003" customFormat="false" ht="15" hidden="false" customHeight="false" outlineLevel="0" collapsed="false">
      <c r="A6003" s="0" t="s">
        <v>7553</v>
      </c>
      <c r="B6003" s="0" t="s">
        <v>7756</v>
      </c>
      <c r="C6003" s="0" t="s">
        <v>7757</v>
      </c>
      <c r="D6003" s="0" t="s">
        <v>86</v>
      </c>
      <c r="E6003" s="0" t="s">
        <v>139</v>
      </c>
    </row>
    <row r="6004" customFormat="false" ht="15" hidden="false" customHeight="false" outlineLevel="0" collapsed="false">
      <c r="A6004" s="0" t="s">
        <v>7553</v>
      </c>
      <c r="B6004" s="0" t="s">
        <v>7758</v>
      </c>
      <c r="C6004" s="0" t="s">
        <v>7759</v>
      </c>
      <c r="D6004" s="0" t="s">
        <v>98</v>
      </c>
      <c r="E6004" s="0" t="s">
        <v>141</v>
      </c>
    </row>
    <row r="6005" customFormat="false" ht="15" hidden="false" customHeight="false" outlineLevel="0" collapsed="false">
      <c r="A6005" s="0" t="s">
        <v>7553</v>
      </c>
      <c r="B6005" s="0" t="s">
        <v>7760</v>
      </c>
      <c r="C6005" s="0" t="s">
        <v>7761</v>
      </c>
      <c r="D6005" s="0" t="s">
        <v>98</v>
      </c>
    </row>
    <row r="6006" customFormat="false" ht="15" hidden="false" customHeight="false" outlineLevel="0" collapsed="false">
      <c r="A6006" s="0" t="s">
        <v>7553</v>
      </c>
      <c r="B6006" s="0" t="s">
        <v>7762</v>
      </c>
      <c r="C6006" s="0" t="s">
        <v>7763</v>
      </c>
      <c r="D6006" s="0" t="s">
        <v>98</v>
      </c>
    </row>
    <row r="6007" customFormat="false" ht="15" hidden="false" customHeight="false" outlineLevel="0" collapsed="false">
      <c r="A6007" s="0" t="s">
        <v>7553</v>
      </c>
      <c r="B6007" s="0" t="s">
        <v>7764</v>
      </c>
      <c r="C6007" s="0" t="s">
        <v>7765</v>
      </c>
      <c r="D6007" s="0" t="s">
        <v>98</v>
      </c>
      <c r="E6007" s="0" t="s">
        <v>145</v>
      </c>
    </row>
    <row r="6008" customFormat="false" ht="15" hidden="false" customHeight="false" outlineLevel="0" collapsed="false">
      <c r="A6008" s="0" t="s">
        <v>7553</v>
      </c>
      <c r="B6008" s="0" t="s">
        <v>7766</v>
      </c>
      <c r="C6008" s="0" t="s">
        <v>5237</v>
      </c>
      <c r="D6008" s="0" t="s">
        <v>86</v>
      </c>
      <c r="E6008" s="0" t="s">
        <v>7767</v>
      </c>
    </row>
    <row r="6009" customFormat="false" ht="15" hidden="false" customHeight="false" outlineLevel="0" collapsed="false">
      <c r="A6009" s="0" t="s">
        <v>7553</v>
      </c>
      <c r="B6009" s="0" t="s">
        <v>7768</v>
      </c>
      <c r="C6009" s="0" t="s">
        <v>7769</v>
      </c>
      <c r="D6009" s="0" t="s">
        <v>98</v>
      </c>
      <c r="E6009" s="0" t="s">
        <v>7770</v>
      </c>
    </row>
    <row r="6010" customFormat="false" ht="15" hidden="false" customHeight="false" outlineLevel="0" collapsed="false">
      <c r="A6010" s="0" t="s">
        <v>7553</v>
      </c>
      <c r="B6010" s="0" t="s">
        <v>7771</v>
      </c>
      <c r="C6010" s="0" t="s">
        <v>7772</v>
      </c>
      <c r="D6010" s="0" t="s">
        <v>98</v>
      </c>
    </row>
    <row r="6011" customFormat="false" ht="15" hidden="false" customHeight="false" outlineLevel="0" collapsed="false">
      <c r="A6011" s="0" t="s">
        <v>7553</v>
      </c>
      <c r="B6011" s="0" t="s">
        <v>7773</v>
      </c>
      <c r="C6011" s="0" t="s">
        <v>7774</v>
      </c>
      <c r="D6011" s="0" t="s">
        <v>98</v>
      </c>
      <c r="E6011" s="0" t="s">
        <v>7775</v>
      </c>
    </row>
    <row r="6012" customFormat="false" ht="15" hidden="false" customHeight="false" outlineLevel="0" collapsed="false">
      <c r="A6012" s="0" t="s">
        <v>7553</v>
      </c>
      <c r="B6012" s="0" t="s">
        <v>7776</v>
      </c>
      <c r="C6012" s="0" t="s">
        <v>7777</v>
      </c>
      <c r="D6012" s="0" t="s">
        <v>98</v>
      </c>
      <c r="E6012" s="0" t="s">
        <v>7778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0"/>
    <col collapsed="false" customWidth="true" hidden="false" outlineLevel="0" max="2" min="2" style="0" width="6"/>
    <col collapsed="false" customWidth="true" hidden="false" outlineLevel="0" max="3" min="3" style="0" width="10"/>
    <col collapsed="false" customWidth="true" hidden="false" outlineLevel="0" max="4" min="4" style="0" width="34"/>
    <col collapsed="false" customWidth="true" hidden="false" outlineLevel="0" max="5" min="5" style="0" width="60"/>
    <col collapsed="false" customWidth="true" hidden="false" outlineLevel="0" max="6" min="6" style="0" width="14"/>
    <col collapsed="false" customWidth="true" hidden="false" outlineLevel="0" max="7" min="7" style="0" width="12"/>
    <col collapsed="false" customWidth="true" hidden="false" outlineLevel="0" max="8" min="8" style="0" width="10"/>
    <col collapsed="false" customWidth="true" hidden="false" outlineLevel="0" max="9" min="9" style="0" width="60"/>
    <col collapsed="false" customWidth="true" hidden="false" outlineLevel="0" max="10" min="10" style="0" width="50"/>
  </cols>
  <sheetData>
    <row r="1" customFormat="false" ht="55.2" hidden="false" customHeight="false" outlineLevel="0" collapsed="false">
      <c r="A1" s="3" t="s">
        <v>38</v>
      </c>
      <c r="B1" s="3" t="s">
        <v>7779</v>
      </c>
      <c r="C1" s="3" t="s">
        <v>7780</v>
      </c>
      <c r="D1" s="3" t="s">
        <v>7781</v>
      </c>
      <c r="E1" s="3" t="s">
        <v>7782</v>
      </c>
      <c r="F1" s="3" t="s">
        <v>7783</v>
      </c>
      <c r="G1" s="3" t="s">
        <v>7784</v>
      </c>
      <c r="H1" s="3" t="s">
        <v>7785</v>
      </c>
      <c r="I1" s="3" t="s">
        <v>7786</v>
      </c>
      <c r="J1" s="3" t="s">
        <v>447</v>
      </c>
    </row>
    <row r="2" customFormat="false" ht="15" hidden="false" customHeight="false" outlineLevel="0" collapsed="false">
      <c r="A2" s="0" t="s">
        <v>47</v>
      </c>
      <c r="B2" s="0" t="s">
        <v>7787</v>
      </c>
      <c r="C2" s="5" t="s">
        <v>48</v>
      </c>
      <c r="D2" s="5" t="s">
        <v>6761</v>
      </c>
      <c r="E2" s="0" t="s">
        <v>7788</v>
      </c>
      <c r="F2" s="5" t="s">
        <v>345</v>
      </c>
      <c r="G2" s="5" t="n">
        <v>1.2</v>
      </c>
      <c r="H2" s="0" t="s">
        <v>93</v>
      </c>
      <c r="I2" s="0" t="s">
        <v>49</v>
      </c>
      <c r="J2" s="0" t="s">
        <v>7789</v>
      </c>
    </row>
    <row r="3" customFormat="false" ht="15" hidden="false" customHeight="false" outlineLevel="0" collapsed="false">
      <c r="A3" s="0" t="s">
        <v>179</v>
      </c>
      <c r="B3" s="0" t="s">
        <v>7790</v>
      </c>
      <c r="C3" s="5" t="s">
        <v>6764</v>
      </c>
      <c r="D3" s="5" t="s">
        <v>6766</v>
      </c>
      <c r="E3" s="0" t="s">
        <v>7791</v>
      </c>
      <c r="F3" s="5" t="s">
        <v>370</v>
      </c>
      <c r="G3" s="5" t="n">
        <v>1.35</v>
      </c>
      <c r="H3" s="0" t="s">
        <v>93</v>
      </c>
      <c r="I3" s="0" t="s">
        <v>7792</v>
      </c>
      <c r="J3" s="0" t="s">
        <v>7789</v>
      </c>
    </row>
    <row r="4" customFormat="false" ht="15" hidden="false" customHeight="false" outlineLevel="0" collapsed="false">
      <c r="A4" s="0" t="s">
        <v>190</v>
      </c>
      <c r="B4" s="0" t="s">
        <v>7793</v>
      </c>
      <c r="C4" s="5" t="s">
        <v>6764</v>
      </c>
      <c r="D4" s="5" t="s">
        <v>6766</v>
      </c>
      <c r="E4" s="0" t="s">
        <v>7794</v>
      </c>
      <c r="F4" s="5" t="s">
        <v>370</v>
      </c>
      <c r="G4" s="5" t="n">
        <v>1.35</v>
      </c>
      <c r="H4" s="0" t="s">
        <v>93</v>
      </c>
      <c r="I4" s="0" t="s">
        <v>7795</v>
      </c>
      <c r="J4" s="0" t="s">
        <v>7789</v>
      </c>
    </row>
    <row r="5" customFormat="false" ht="15" hidden="false" customHeight="false" outlineLevel="0" collapsed="false">
      <c r="A5" s="0" t="s">
        <v>198</v>
      </c>
      <c r="B5" s="0" t="s">
        <v>7796</v>
      </c>
      <c r="C5" s="5" t="s">
        <v>6764</v>
      </c>
      <c r="D5" s="5" t="s">
        <v>6766</v>
      </c>
      <c r="E5" s="0" t="s">
        <v>7797</v>
      </c>
      <c r="F5" s="5" t="s">
        <v>370</v>
      </c>
      <c r="G5" s="5" t="n">
        <v>1.35</v>
      </c>
      <c r="H5" s="0" t="s">
        <v>93</v>
      </c>
      <c r="I5" s="0" t="s">
        <v>7795</v>
      </c>
      <c r="J5" s="0" t="s">
        <v>7789</v>
      </c>
    </row>
    <row r="6" customFormat="false" ht="15" hidden="false" customHeight="false" outlineLevel="0" collapsed="false">
      <c r="A6" s="0" t="s">
        <v>50</v>
      </c>
      <c r="B6" s="0" t="s">
        <v>7798</v>
      </c>
      <c r="C6" s="5" t="s">
        <v>48</v>
      </c>
      <c r="D6" s="5" t="s">
        <v>6766</v>
      </c>
      <c r="E6" s="0" t="s">
        <v>7799</v>
      </c>
      <c r="F6" s="5" t="s">
        <v>370</v>
      </c>
      <c r="G6" s="5" t="n">
        <v>1.3</v>
      </c>
      <c r="H6" s="0" t="s">
        <v>93</v>
      </c>
      <c r="I6" s="0" t="s">
        <v>51</v>
      </c>
      <c r="J6" s="0" t="s">
        <v>7789</v>
      </c>
    </row>
    <row r="7" customFormat="false" ht="15" hidden="false" customHeight="false" outlineLevel="0" collapsed="false">
      <c r="A7" s="0" t="s">
        <v>214</v>
      </c>
      <c r="B7" s="0" t="s">
        <v>7800</v>
      </c>
      <c r="C7" s="5" t="s">
        <v>6764</v>
      </c>
      <c r="D7" s="5" t="s">
        <v>6766</v>
      </c>
      <c r="E7" s="0" t="s">
        <v>7801</v>
      </c>
      <c r="F7" s="5" t="s">
        <v>370</v>
      </c>
      <c r="G7" s="5" t="n">
        <v>1.15</v>
      </c>
      <c r="H7" s="0" t="s">
        <v>93</v>
      </c>
      <c r="I7" s="0" t="s">
        <v>7802</v>
      </c>
      <c r="J7" s="0" t="s">
        <v>7789</v>
      </c>
    </row>
    <row r="8" customFormat="false" ht="15" hidden="false" customHeight="false" outlineLevel="0" collapsed="false">
      <c r="A8" s="0" t="s">
        <v>221</v>
      </c>
      <c r="B8" s="0" t="s">
        <v>7803</v>
      </c>
      <c r="C8" s="5" t="s">
        <v>6764</v>
      </c>
      <c r="D8" s="5" t="s">
        <v>6766</v>
      </c>
      <c r="E8" s="0" t="s">
        <v>7804</v>
      </c>
      <c r="F8" s="5" t="s">
        <v>370</v>
      </c>
      <c r="G8" s="5" t="n">
        <v>1.1</v>
      </c>
      <c r="H8" s="0" t="s">
        <v>93</v>
      </c>
      <c r="I8" s="0" t="s">
        <v>7805</v>
      </c>
      <c r="J8" s="0" t="s">
        <v>7789</v>
      </c>
    </row>
    <row r="9" customFormat="false" ht="15" hidden="false" customHeight="false" outlineLevel="0" collapsed="false">
      <c r="A9" s="0" t="s">
        <v>231</v>
      </c>
      <c r="B9" s="0" t="s">
        <v>7806</v>
      </c>
      <c r="C9" s="5" t="s">
        <v>6764</v>
      </c>
      <c r="D9" s="5" t="s">
        <v>6766</v>
      </c>
      <c r="E9" s="0" t="s">
        <v>7807</v>
      </c>
      <c r="F9" s="5" t="s">
        <v>370</v>
      </c>
      <c r="G9" s="5" t="n">
        <v>1.15</v>
      </c>
      <c r="H9" s="0" t="s">
        <v>93</v>
      </c>
      <c r="I9" s="0" t="s">
        <v>7808</v>
      </c>
      <c r="J9" s="0" t="s">
        <v>7789</v>
      </c>
    </row>
    <row r="10" customFormat="false" ht="15" hidden="false" customHeight="false" outlineLevel="0" collapsed="false">
      <c r="A10" s="0" t="s">
        <v>52</v>
      </c>
      <c r="B10" s="0" t="s">
        <v>7809</v>
      </c>
      <c r="C10" s="5" t="s">
        <v>48</v>
      </c>
      <c r="D10" s="5" t="s">
        <v>6766</v>
      </c>
      <c r="E10" s="0" t="s">
        <v>7810</v>
      </c>
      <c r="F10" s="5" t="s">
        <v>345</v>
      </c>
      <c r="G10" s="5" t="n">
        <v>1.35</v>
      </c>
      <c r="H10" s="0" t="s">
        <v>93</v>
      </c>
      <c r="I10" s="0" t="s">
        <v>53</v>
      </c>
      <c r="J10" s="0" t="s">
        <v>7789</v>
      </c>
    </row>
    <row r="11" customFormat="false" ht="15" hidden="false" customHeight="false" outlineLevel="0" collapsed="false">
      <c r="A11" s="0" t="s">
        <v>54</v>
      </c>
      <c r="B11" s="0" t="s">
        <v>7811</v>
      </c>
      <c r="C11" s="5" t="s">
        <v>48</v>
      </c>
      <c r="D11" s="5" t="s">
        <v>6766</v>
      </c>
      <c r="E11" s="0" t="s">
        <v>7812</v>
      </c>
      <c r="F11" s="5" t="s">
        <v>345</v>
      </c>
      <c r="G11" s="5" t="n">
        <v>1.35</v>
      </c>
      <c r="H11" s="0" t="s">
        <v>93</v>
      </c>
      <c r="I11" s="0" t="s">
        <v>55</v>
      </c>
      <c r="J11" s="0" t="s">
        <v>7789</v>
      </c>
    </row>
    <row r="12" customFormat="false" ht="15" hidden="false" customHeight="false" outlineLevel="0" collapsed="false">
      <c r="A12" s="0" t="s">
        <v>56</v>
      </c>
      <c r="B12" s="0" t="s">
        <v>7813</v>
      </c>
      <c r="C12" s="5" t="s">
        <v>48</v>
      </c>
      <c r="D12" s="5" t="s">
        <v>6766</v>
      </c>
      <c r="E12" s="0" t="s">
        <v>7814</v>
      </c>
      <c r="F12" s="5" t="s">
        <v>345</v>
      </c>
      <c r="G12" s="5" t="n">
        <v>1.15</v>
      </c>
      <c r="H12" s="0" t="s">
        <v>93</v>
      </c>
      <c r="I12" s="0" t="s">
        <v>57</v>
      </c>
      <c r="J12" s="0" t="s">
        <v>7789</v>
      </c>
    </row>
    <row r="13" customFormat="false" ht="15" hidden="false" customHeight="false" outlineLevel="0" collapsed="false">
      <c r="A13" s="0" t="s">
        <v>58</v>
      </c>
      <c r="B13" s="0" t="s">
        <v>7815</v>
      </c>
      <c r="C13" s="5" t="s">
        <v>48</v>
      </c>
      <c r="D13" s="5" t="s">
        <v>6785</v>
      </c>
      <c r="E13" s="0" t="s">
        <v>7816</v>
      </c>
      <c r="F13" s="5" t="s">
        <v>370</v>
      </c>
      <c r="G13" s="5" t="n">
        <v>1.3</v>
      </c>
      <c r="H13" s="0" t="s">
        <v>93</v>
      </c>
      <c r="I13" s="0" t="s">
        <v>59</v>
      </c>
      <c r="J13" s="0" t="s">
        <v>7789</v>
      </c>
    </row>
    <row r="14" customFormat="false" ht="15" hidden="false" customHeight="false" outlineLevel="0" collapsed="false">
      <c r="A14" s="0" t="s">
        <v>60</v>
      </c>
      <c r="B14" s="0" t="s">
        <v>7817</v>
      </c>
      <c r="C14" s="5" t="s">
        <v>48</v>
      </c>
      <c r="D14" s="5" t="s">
        <v>6766</v>
      </c>
      <c r="E14" s="0" t="s">
        <v>7818</v>
      </c>
      <c r="F14" s="5" t="s">
        <v>345</v>
      </c>
      <c r="G14" s="5" t="n">
        <v>1.2</v>
      </c>
      <c r="H14" s="0" t="s">
        <v>93</v>
      </c>
      <c r="I14" s="0" t="s">
        <v>61</v>
      </c>
      <c r="J14" s="0" t="s">
        <v>7789</v>
      </c>
    </row>
    <row r="15" customFormat="false" ht="15" hidden="false" customHeight="false" outlineLevel="0" collapsed="false">
      <c r="A15" s="0" t="s">
        <v>62</v>
      </c>
      <c r="B15" s="0" t="s">
        <v>7819</v>
      </c>
      <c r="C15" s="5" t="s">
        <v>48</v>
      </c>
      <c r="D15" s="5" t="s">
        <v>6766</v>
      </c>
      <c r="E15" s="0" t="s">
        <v>2501</v>
      </c>
      <c r="F15" s="5" t="s">
        <v>345</v>
      </c>
      <c r="G15" s="5" t="n">
        <v>1.25</v>
      </c>
      <c r="H15" s="0" t="s">
        <v>93</v>
      </c>
      <c r="I15" s="0" t="s">
        <v>63</v>
      </c>
      <c r="J15" s="0" t="s">
        <v>7789</v>
      </c>
    </row>
    <row r="16" customFormat="false" ht="15" hidden="false" customHeight="false" outlineLevel="0" collapsed="false">
      <c r="A16" s="0" t="s">
        <v>64</v>
      </c>
      <c r="B16" s="0" t="s">
        <v>7820</v>
      </c>
      <c r="C16" s="5" t="s">
        <v>48</v>
      </c>
      <c r="D16" s="5" t="s">
        <v>6766</v>
      </c>
      <c r="E16" s="0" t="s">
        <v>7821</v>
      </c>
      <c r="F16" s="5" t="s">
        <v>345</v>
      </c>
      <c r="G16" s="5" t="n">
        <v>1.25</v>
      </c>
      <c r="H16" s="0" t="s">
        <v>93</v>
      </c>
      <c r="I16" s="0" t="s">
        <v>63</v>
      </c>
      <c r="J16" s="0" t="s">
        <v>7789</v>
      </c>
    </row>
    <row r="17" customFormat="false" ht="15" hidden="false" customHeight="false" outlineLevel="0" collapsed="false">
      <c r="A17" s="0" t="s">
        <v>66</v>
      </c>
      <c r="B17" s="0" t="s">
        <v>7822</v>
      </c>
      <c r="C17" s="5" t="s">
        <v>48</v>
      </c>
      <c r="D17" s="5" t="s">
        <v>6792</v>
      </c>
      <c r="E17" s="0" t="s">
        <v>7823</v>
      </c>
      <c r="F17" s="5" t="s">
        <v>345</v>
      </c>
      <c r="G17" s="5" t="n">
        <v>1.3</v>
      </c>
      <c r="H17" s="0" t="s">
        <v>93</v>
      </c>
      <c r="I17" s="0" t="s">
        <v>67</v>
      </c>
      <c r="J17" s="0" t="s">
        <v>7789</v>
      </c>
    </row>
    <row r="18" customFormat="false" ht="15" hidden="false" customHeight="false" outlineLevel="0" collapsed="false">
      <c r="A18" s="0" t="s">
        <v>68</v>
      </c>
      <c r="B18" s="0" t="s">
        <v>7824</v>
      </c>
      <c r="C18" s="5" t="s">
        <v>48</v>
      </c>
      <c r="D18" s="5" t="s">
        <v>6766</v>
      </c>
      <c r="E18" s="0" t="s">
        <v>7825</v>
      </c>
      <c r="F18" s="5" t="s">
        <v>345</v>
      </c>
      <c r="G18" s="5" t="n">
        <v>1.3</v>
      </c>
      <c r="H18" s="0" t="s">
        <v>93</v>
      </c>
      <c r="I18" s="0" t="s">
        <v>67</v>
      </c>
      <c r="J18" s="0" t="s">
        <v>7789</v>
      </c>
    </row>
    <row r="19" customFormat="false" ht="15" hidden="false" customHeight="false" outlineLevel="0" collapsed="false">
      <c r="A19" s="0" t="s">
        <v>69</v>
      </c>
      <c r="B19" s="0" t="s">
        <v>7826</v>
      </c>
      <c r="C19" s="5" t="s">
        <v>48</v>
      </c>
      <c r="D19" s="5" t="s">
        <v>6766</v>
      </c>
      <c r="E19" s="0" t="s">
        <v>7825</v>
      </c>
      <c r="F19" s="5" t="s">
        <v>345</v>
      </c>
      <c r="G19" s="5" t="n">
        <v>1.3</v>
      </c>
      <c r="H19" s="0" t="s">
        <v>93</v>
      </c>
      <c r="I19" s="0" t="s">
        <v>67</v>
      </c>
      <c r="J19" s="0" t="s">
        <v>7789</v>
      </c>
    </row>
    <row r="20" customFormat="false" ht="15" hidden="false" customHeight="false" outlineLevel="0" collapsed="false">
      <c r="A20" s="0" t="s">
        <v>70</v>
      </c>
      <c r="B20" s="0" t="s">
        <v>7827</v>
      </c>
      <c r="C20" s="5" t="s">
        <v>48</v>
      </c>
      <c r="D20" s="5" t="s">
        <v>6766</v>
      </c>
      <c r="E20" s="0" t="s">
        <v>7828</v>
      </c>
      <c r="F20" s="5" t="s">
        <v>345</v>
      </c>
      <c r="G20" s="5" t="n">
        <v>1.3</v>
      </c>
      <c r="H20" s="0" t="s">
        <v>93</v>
      </c>
      <c r="I20" s="0" t="s">
        <v>71</v>
      </c>
      <c r="J20" s="0" t="s">
        <v>7789</v>
      </c>
    </row>
    <row r="21" customFormat="false" ht="15" hidden="false" customHeight="false" outlineLevel="0" collapsed="false">
      <c r="A21" s="0" t="s">
        <v>72</v>
      </c>
      <c r="B21" s="0" t="s">
        <v>7829</v>
      </c>
      <c r="C21" s="5" t="s">
        <v>48</v>
      </c>
      <c r="D21" s="5" t="s">
        <v>6766</v>
      </c>
      <c r="E21" s="0" t="s">
        <v>7830</v>
      </c>
      <c r="F21" s="5" t="s">
        <v>345</v>
      </c>
      <c r="G21" s="5" t="n">
        <v>1.2</v>
      </c>
      <c r="H21" s="0" t="s">
        <v>93</v>
      </c>
      <c r="I21" s="0" t="s">
        <v>73</v>
      </c>
      <c r="J21" s="0" t="s">
        <v>7789</v>
      </c>
    </row>
    <row r="22" customFormat="false" ht="15" hidden="false" customHeight="false" outlineLevel="0" collapsed="false">
      <c r="A22" s="0" t="s">
        <v>74</v>
      </c>
      <c r="B22" s="0" t="s">
        <v>7831</v>
      </c>
      <c r="C22" s="5" t="s">
        <v>48</v>
      </c>
      <c r="D22" s="5" t="s">
        <v>6766</v>
      </c>
      <c r="E22" s="0" t="s">
        <v>7832</v>
      </c>
      <c r="F22" s="5" t="s">
        <v>345</v>
      </c>
      <c r="G22" s="5" t="n">
        <v>1.3</v>
      </c>
      <c r="H22" s="0" t="s">
        <v>93</v>
      </c>
      <c r="I22" s="0" t="s">
        <v>75</v>
      </c>
      <c r="J22" s="0" t="s">
        <v>7789</v>
      </c>
    </row>
    <row r="23" customFormat="false" ht="15" hidden="false" customHeight="false" outlineLevel="0" collapsed="false">
      <c r="A23" s="0" t="s">
        <v>76</v>
      </c>
      <c r="B23" s="0" t="s">
        <v>7833</v>
      </c>
      <c r="C23" s="5" t="s">
        <v>48</v>
      </c>
      <c r="D23" s="5" t="s">
        <v>6766</v>
      </c>
      <c r="E23" s="0" t="s">
        <v>7834</v>
      </c>
      <c r="F23" s="5" t="s">
        <v>345</v>
      </c>
      <c r="G23" s="5" t="n">
        <v>1.3</v>
      </c>
      <c r="H23" s="0" t="s">
        <v>93</v>
      </c>
      <c r="I23" s="0" t="s">
        <v>77</v>
      </c>
      <c r="J23" s="0" t="s">
        <v>7789</v>
      </c>
    </row>
    <row r="24" customFormat="false" ht="15" hidden="false" customHeight="false" outlineLevel="0" collapsed="false">
      <c r="A24" s="0" t="s">
        <v>78</v>
      </c>
      <c r="B24" s="0" t="s">
        <v>7835</v>
      </c>
      <c r="C24" s="5" t="s">
        <v>48</v>
      </c>
      <c r="D24" s="5" t="s">
        <v>6766</v>
      </c>
      <c r="E24" s="0" t="s">
        <v>65</v>
      </c>
      <c r="F24" s="5" t="s">
        <v>345</v>
      </c>
      <c r="G24" s="5" t="n">
        <v>1.3</v>
      </c>
      <c r="H24" s="0" t="s">
        <v>93</v>
      </c>
      <c r="I24" s="0" t="s">
        <v>65</v>
      </c>
      <c r="J24" s="0" t="s">
        <v>7789</v>
      </c>
    </row>
    <row r="25" customFormat="false" ht="15" hidden="false" customHeight="false" outlineLevel="0" collapsed="false">
      <c r="A25" s="0" t="s">
        <v>79</v>
      </c>
      <c r="B25" s="0" t="s">
        <v>7836</v>
      </c>
      <c r="C25" s="5" t="s">
        <v>48</v>
      </c>
      <c r="D25" s="5" t="s">
        <v>6801</v>
      </c>
      <c r="E25" s="0" t="s">
        <v>7837</v>
      </c>
      <c r="F25" s="5" t="s">
        <v>345</v>
      </c>
      <c r="G25" s="5" t="n">
        <v>1.3</v>
      </c>
      <c r="H25" s="0" t="s">
        <v>98</v>
      </c>
      <c r="I25" s="0" t="s">
        <v>80</v>
      </c>
      <c r="J25" s="0" t="s">
        <v>7838</v>
      </c>
    </row>
    <row r="27" customFormat="false" ht="162.65" hidden="false" customHeight="false" outlineLevel="0" collapsed="false">
      <c r="A27" s="13" t="s">
        <v>7839</v>
      </c>
    </row>
    <row r="28" customFormat="false" ht="15" hidden="false" customHeight="false" outlineLevel="0" collapsed="false">
      <c r="A28" s="0" t="s">
        <v>7840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6"/>
    <col collapsed="false" customWidth="true" hidden="false" outlineLevel="0" max="2" min="2" style="0" width="34"/>
    <col collapsed="false" customWidth="true" hidden="false" outlineLevel="0" max="3" min="3" style="0" width="10"/>
    <col collapsed="false" customWidth="true" hidden="false" outlineLevel="0" max="5" min="4" style="0" width="24"/>
    <col collapsed="false" customWidth="true" hidden="false" outlineLevel="0" max="6" min="6" style="0" width="30"/>
    <col collapsed="false" customWidth="true" hidden="false" outlineLevel="0" max="7" min="7" style="0" width="10"/>
    <col collapsed="false" customWidth="true" hidden="false" outlineLevel="0" max="8" min="8" style="0" width="12"/>
    <col collapsed="false" customWidth="true" hidden="false" outlineLevel="0" max="11" min="9" style="0" width="10"/>
    <col collapsed="false" customWidth="true" hidden="false" outlineLevel="0" max="12" min="12" style="0" width="22"/>
    <col collapsed="false" customWidth="true" hidden="false" outlineLevel="0" max="13" min="13" style="0" width="70"/>
    <col collapsed="false" customWidth="true" hidden="false" outlineLevel="0" max="14" min="14" style="0" width="60"/>
  </cols>
  <sheetData>
    <row r="1" customFormat="false" ht="55.2" hidden="false" customHeight="false" outlineLevel="0" collapsed="false">
      <c r="A1" s="3" t="s">
        <v>7841</v>
      </c>
      <c r="B1" s="3" t="s">
        <v>38</v>
      </c>
      <c r="C1" s="3" t="s">
        <v>39</v>
      </c>
      <c r="D1" s="3" t="s">
        <v>163</v>
      </c>
      <c r="E1" s="3" t="s">
        <v>448</v>
      </c>
      <c r="F1" s="3" t="s">
        <v>449</v>
      </c>
      <c r="G1" s="3" t="s">
        <v>7842</v>
      </c>
      <c r="H1" s="3" t="s">
        <v>7843</v>
      </c>
      <c r="I1" s="3" t="s">
        <v>7844</v>
      </c>
      <c r="J1" s="3" t="s">
        <v>451</v>
      </c>
      <c r="K1" s="3" t="s">
        <v>452</v>
      </c>
      <c r="L1" s="3" t="s">
        <v>453</v>
      </c>
      <c r="M1" s="3" t="s">
        <v>7845</v>
      </c>
      <c r="N1" s="3" t="s">
        <v>447</v>
      </c>
    </row>
    <row r="2" customFormat="false" ht="15" hidden="false" customHeight="false" outlineLevel="0" collapsed="false">
      <c r="A2" s="0" t="s">
        <v>7846</v>
      </c>
      <c r="B2" s="0" t="s">
        <v>47</v>
      </c>
      <c r="C2" s="0" t="s">
        <v>48</v>
      </c>
      <c r="D2" s="0" t="s">
        <v>282</v>
      </c>
      <c r="E2" s="5" t="s">
        <v>170</v>
      </c>
      <c r="F2" s="5" t="s">
        <v>7446</v>
      </c>
      <c r="G2" s="5" t="n">
        <v>300</v>
      </c>
      <c r="H2" s="5" t="n">
        <v>240</v>
      </c>
      <c r="I2" s="0" t="s">
        <v>321</v>
      </c>
      <c r="J2" s="0" t="s">
        <v>321</v>
      </c>
      <c r="K2" s="0" t="s">
        <v>321</v>
      </c>
      <c r="L2" s="0" t="s">
        <v>7847</v>
      </c>
      <c r="M2" s="0" t="s">
        <v>7848</v>
      </c>
      <c r="N2" s="0" t="s">
        <v>6663</v>
      </c>
    </row>
    <row r="3" customFormat="false" ht="15" hidden="false" customHeight="false" outlineLevel="0" collapsed="false">
      <c r="A3" s="0" t="s">
        <v>7849</v>
      </c>
      <c r="B3" s="0" t="s">
        <v>7850</v>
      </c>
      <c r="C3" s="0" t="s">
        <v>65</v>
      </c>
      <c r="D3" s="0" t="s">
        <v>65</v>
      </c>
      <c r="E3" s="5" t="s">
        <v>7448</v>
      </c>
      <c r="F3" s="5" t="s">
        <v>7449</v>
      </c>
      <c r="G3" s="0" t="s">
        <v>65</v>
      </c>
      <c r="H3" s="0" t="s">
        <v>65</v>
      </c>
      <c r="I3" s="0" t="s">
        <v>321</v>
      </c>
      <c r="J3" s="0" t="s">
        <v>321</v>
      </c>
      <c r="K3" s="0" t="s">
        <v>321</v>
      </c>
      <c r="L3" s="0" t="s">
        <v>86</v>
      </c>
      <c r="M3" s="0" t="s">
        <v>7851</v>
      </c>
      <c r="N3" s="0" t="s">
        <v>6663</v>
      </c>
    </row>
    <row r="4" customFormat="false" ht="15" hidden="false" customHeight="false" outlineLevel="0" collapsed="false">
      <c r="A4" s="0" t="s">
        <v>7852</v>
      </c>
      <c r="B4" s="0" t="s">
        <v>7853</v>
      </c>
      <c r="C4" s="0" t="s">
        <v>65</v>
      </c>
      <c r="D4" s="0" t="s">
        <v>7854</v>
      </c>
      <c r="E4" s="5" t="s">
        <v>7448</v>
      </c>
      <c r="F4" s="5" t="s">
        <v>7450</v>
      </c>
      <c r="G4" s="0" t="s">
        <v>65</v>
      </c>
      <c r="H4" s="0" t="s">
        <v>65</v>
      </c>
      <c r="I4" s="0" t="s">
        <v>326</v>
      </c>
      <c r="J4" s="0" t="s">
        <v>326</v>
      </c>
      <c r="K4" s="0" t="s">
        <v>327</v>
      </c>
      <c r="L4" s="0" t="s">
        <v>7855</v>
      </c>
      <c r="M4" s="0" t="s">
        <v>7856</v>
      </c>
      <c r="N4" s="0" t="s">
        <v>6663</v>
      </c>
    </row>
    <row r="5" customFormat="false" ht="15" hidden="false" customHeight="false" outlineLevel="0" collapsed="false">
      <c r="A5" s="0" t="s">
        <v>7857</v>
      </c>
      <c r="B5" s="0" t="s">
        <v>65</v>
      </c>
      <c r="C5" s="0" t="s">
        <v>65</v>
      </c>
      <c r="D5" s="0" t="s">
        <v>7858</v>
      </c>
      <c r="E5" s="5" t="s">
        <v>7451</v>
      </c>
      <c r="F5" s="5" t="s">
        <v>7450</v>
      </c>
      <c r="G5" s="0" t="s">
        <v>65</v>
      </c>
      <c r="H5" s="0" t="s">
        <v>65</v>
      </c>
      <c r="I5" s="0" t="s">
        <v>325</v>
      </c>
      <c r="J5" s="0" t="s">
        <v>325</v>
      </c>
      <c r="K5" s="0" t="s">
        <v>326</v>
      </c>
      <c r="L5" s="0" t="s">
        <v>7859</v>
      </c>
      <c r="M5" s="0" t="s">
        <v>7860</v>
      </c>
      <c r="N5" s="0" t="s">
        <v>7452</v>
      </c>
    </row>
    <row r="6" customFormat="false" ht="15" hidden="false" customHeight="false" outlineLevel="0" collapsed="false">
      <c r="A6" s="0" t="s">
        <v>7861</v>
      </c>
      <c r="B6" s="0" t="s">
        <v>179</v>
      </c>
      <c r="C6" s="5" t="s">
        <v>6764</v>
      </c>
      <c r="D6" s="5" t="s">
        <v>397</v>
      </c>
      <c r="E6" s="5" t="s">
        <v>181</v>
      </c>
      <c r="F6" s="5" t="s">
        <v>7450</v>
      </c>
      <c r="G6" s="5" t="n">
        <v>1200</v>
      </c>
      <c r="H6" s="4" t="n">
        <f aca="false">'Quarterly MW'!T11/Basis!$G$3</f>
        <v>92.5925925925926</v>
      </c>
      <c r="I6" s="0" t="s">
        <v>329</v>
      </c>
      <c r="J6" s="0" t="s">
        <v>328</v>
      </c>
      <c r="K6" s="0" t="s">
        <v>328</v>
      </c>
      <c r="L6" s="0" t="s">
        <v>7862</v>
      </c>
      <c r="M6" s="0" t="s">
        <v>186</v>
      </c>
      <c r="N6" s="0" t="s">
        <v>6765</v>
      </c>
    </row>
    <row r="7" customFormat="false" ht="15" hidden="false" customHeight="false" outlineLevel="0" collapsed="false">
      <c r="A7" s="0" t="s">
        <v>7863</v>
      </c>
      <c r="B7" s="0" t="s">
        <v>190</v>
      </c>
      <c r="C7" s="5" t="s">
        <v>6764</v>
      </c>
      <c r="D7" s="5" t="s">
        <v>397</v>
      </c>
      <c r="E7" s="5" t="s">
        <v>191</v>
      </c>
      <c r="F7" s="5" t="s">
        <v>7458</v>
      </c>
      <c r="G7" s="5" t="n">
        <v>1200</v>
      </c>
      <c r="H7" s="4" t="n">
        <f aca="false">'Quarterly MW'!T16/Basis!$G$4</f>
        <v>48.1481481481481</v>
      </c>
      <c r="I7" s="0" t="s">
        <v>333</v>
      </c>
      <c r="J7" s="0" t="s">
        <v>329</v>
      </c>
      <c r="K7" s="0" t="s">
        <v>329</v>
      </c>
      <c r="L7" s="0" t="s">
        <v>7862</v>
      </c>
      <c r="M7" s="0" t="s">
        <v>194</v>
      </c>
      <c r="N7" s="0" t="s">
        <v>6769</v>
      </c>
    </row>
    <row r="8" customFormat="false" ht="15" hidden="false" customHeight="false" outlineLevel="0" collapsed="false">
      <c r="A8" s="0" t="s">
        <v>7864</v>
      </c>
      <c r="B8" s="0" t="s">
        <v>198</v>
      </c>
      <c r="C8" s="5" t="s">
        <v>6764</v>
      </c>
      <c r="D8" s="5" t="s">
        <v>397</v>
      </c>
      <c r="E8" s="5" t="s">
        <v>191</v>
      </c>
      <c r="F8" s="5" t="s">
        <v>7458</v>
      </c>
      <c r="G8" s="5" t="n">
        <v>300</v>
      </c>
      <c r="H8" s="4" t="n">
        <f aca="false">'Quarterly MW'!T21/Basis!$G$5</f>
        <v>55.5555555555556</v>
      </c>
      <c r="I8" s="0" t="s">
        <v>328</v>
      </c>
      <c r="J8" s="0" t="s">
        <v>326</v>
      </c>
      <c r="K8" s="0" t="s">
        <v>326</v>
      </c>
      <c r="L8" s="0" t="s">
        <v>7862</v>
      </c>
      <c r="M8" s="0" t="s">
        <v>202</v>
      </c>
      <c r="N8" s="0" t="s">
        <v>6771</v>
      </c>
    </row>
    <row r="9" customFormat="false" ht="15" hidden="false" customHeight="false" outlineLevel="0" collapsed="false">
      <c r="A9" s="0" t="s">
        <v>7865</v>
      </c>
      <c r="B9" s="0" t="s">
        <v>50</v>
      </c>
      <c r="C9" s="5" t="s">
        <v>48</v>
      </c>
      <c r="D9" s="5" t="s">
        <v>395</v>
      </c>
      <c r="E9" s="5" t="s">
        <v>207</v>
      </c>
      <c r="F9" s="5" t="s">
        <v>7450</v>
      </c>
      <c r="G9" s="5" t="n">
        <v>240</v>
      </c>
      <c r="H9" s="4" t="n">
        <f aca="false">'Quarterly MW'!T26/Basis!$G$6</f>
        <v>138.461538461538</v>
      </c>
      <c r="I9" s="0" t="s">
        <v>326</v>
      </c>
      <c r="J9" s="0" t="s">
        <v>325</v>
      </c>
      <c r="K9" s="0" t="s">
        <v>325</v>
      </c>
      <c r="L9" s="0" t="s">
        <v>7862</v>
      </c>
      <c r="M9" s="0" t="s">
        <v>211</v>
      </c>
      <c r="N9" s="0" t="s">
        <v>6772</v>
      </c>
    </row>
    <row r="10" customFormat="false" ht="15" hidden="false" customHeight="false" outlineLevel="0" collapsed="false">
      <c r="A10" s="0" t="s">
        <v>7866</v>
      </c>
      <c r="B10" s="0" t="s">
        <v>214</v>
      </c>
      <c r="C10" s="5" t="s">
        <v>6764</v>
      </c>
      <c r="D10" s="5" t="s">
        <v>397</v>
      </c>
      <c r="E10" s="5" t="s">
        <v>191</v>
      </c>
      <c r="F10" s="5" t="s">
        <v>7458</v>
      </c>
      <c r="G10" s="5" t="n">
        <v>310</v>
      </c>
      <c r="H10" s="4" t="n">
        <f aca="false">'Quarterly MW'!T31/Basis!$G$7</f>
        <v>45.6521739130435</v>
      </c>
      <c r="I10" s="0" t="s">
        <v>329</v>
      </c>
      <c r="J10" s="0" t="s">
        <v>327</v>
      </c>
      <c r="K10" s="0" t="s">
        <v>327</v>
      </c>
      <c r="L10" s="0" t="s">
        <v>7862</v>
      </c>
      <c r="M10" s="0" t="s">
        <v>218</v>
      </c>
      <c r="N10" s="0" t="s">
        <v>6775</v>
      </c>
    </row>
    <row r="11" customFormat="false" ht="15" hidden="false" customHeight="false" outlineLevel="0" collapsed="false">
      <c r="A11" s="0" t="s">
        <v>7867</v>
      </c>
      <c r="B11" s="0" t="s">
        <v>221</v>
      </c>
      <c r="C11" s="5" t="s">
        <v>6764</v>
      </c>
      <c r="D11" s="5" t="s">
        <v>229</v>
      </c>
      <c r="E11" s="5" t="s">
        <v>223</v>
      </c>
      <c r="F11" s="5" t="s">
        <v>7450</v>
      </c>
      <c r="G11" s="5" t="n">
        <v>75</v>
      </c>
      <c r="H11" s="4" t="n">
        <f aca="false">'Quarterly MW'!T36/Basis!$G$8</f>
        <v>68.1818181818182</v>
      </c>
      <c r="I11" s="0" t="s">
        <v>314</v>
      </c>
      <c r="J11" s="0" t="s">
        <v>314</v>
      </c>
      <c r="K11" s="0" t="s">
        <v>314</v>
      </c>
      <c r="L11" s="0" t="s">
        <v>7862</v>
      </c>
      <c r="M11" s="0" t="s">
        <v>228</v>
      </c>
      <c r="N11" s="0" t="s">
        <v>230</v>
      </c>
    </row>
    <row r="12" customFormat="false" ht="15" hidden="false" customHeight="false" outlineLevel="0" collapsed="false">
      <c r="A12" s="0" t="s">
        <v>7868</v>
      </c>
      <c r="B12" s="0" t="s">
        <v>231</v>
      </c>
      <c r="C12" s="5" t="s">
        <v>6764</v>
      </c>
      <c r="D12" s="5" t="s">
        <v>397</v>
      </c>
      <c r="E12" s="5" t="s">
        <v>191</v>
      </c>
      <c r="F12" s="5" t="s">
        <v>7458</v>
      </c>
      <c r="G12" s="5" t="n">
        <v>70</v>
      </c>
      <c r="H12" s="4" t="n">
        <f aca="false">'Quarterly MW'!T41/Basis!$G$9</f>
        <v>15.2173913043478</v>
      </c>
      <c r="I12" s="0" t="s">
        <v>330</v>
      </c>
      <c r="J12" s="0" t="s">
        <v>329</v>
      </c>
      <c r="K12" s="0" t="s">
        <v>329</v>
      </c>
      <c r="L12" s="0" t="s">
        <v>7862</v>
      </c>
      <c r="M12" s="0" t="s">
        <v>235</v>
      </c>
      <c r="N12" s="0" t="s">
        <v>6780</v>
      </c>
    </row>
    <row r="13" customFormat="false" ht="15" hidden="false" customHeight="false" outlineLevel="0" collapsed="false">
      <c r="A13" s="0" t="s">
        <v>7869</v>
      </c>
      <c r="B13" s="0" t="s">
        <v>52</v>
      </c>
      <c r="C13" s="5" t="s">
        <v>48</v>
      </c>
      <c r="D13" s="5" t="s">
        <v>241</v>
      </c>
      <c r="E13" s="5" t="s">
        <v>238</v>
      </c>
      <c r="F13" s="5" t="s">
        <v>7458</v>
      </c>
      <c r="G13" s="5" t="n">
        <v>40</v>
      </c>
      <c r="H13" s="4" t="n">
        <f aca="false">'Quarterly MW'!T46</f>
        <v>30</v>
      </c>
      <c r="I13" s="0" t="s">
        <v>318</v>
      </c>
      <c r="J13" s="0" t="s">
        <v>318</v>
      </c>
      <c r="K13" s="0" t="s">
        <v>318</v>
      </c>
      <c r="L13" s="0" t="s">
        <v>7862</v>
      </c>
      <c r="M13" s="0" t="s">
        <v>240</v>
      </c>
      <c r="N13" s="0" t="s">
        <v>242</v>
      </c>
    </row>
    <row r="14" customFormat="false" ht="15" hidden="false" customHeight="false" outlineLevel="0" collapsed="false">
      <c r="A14" s="0" t="s">
        <v>7870</v>
      </c>
      <c r="B14" s="0" t="s">
        <v>54</v>
      </c>
      <c r="C14" s="5" t="s">
        <v>48</v>
      </c>
      <c r="D14" s="5" t="s">
        <v>246</v>
      </c>
      <c r="E14" s="5" t="s">
        <v>238</v>
      </c>
      <c r="F14" s="5" t="s">
        <v>7458</v>
      </c>
      <c r="G14" s="5" t="n">
        <v>5</v>
      </c>
      <c r="H14" s="4" t="n">
        <f aca="false">'Quarterly MW'!T51</f>
        <v>5</v>
      </c>
      <c r="I14" s="0" t="s">
        <v>317</v>
      </c>
      <c r="J14" s="0" t="s">
        <v>317</v>
      </c>
      <c r="K14" s="0" t="s">
        <v>317</v>
      </c>
      <c r="L14" s="0" t="s">
        <v>7862</v>
      </c>
      <c r="M14" s="0" t="s">
        <v>245</v>
      </c>
      <c r="N14" s="0" t="s">
        <v>247</v>
      </c>
    </row>
    <row r="15" customFormat="false" ht="15" hidden="false" customHeight="false" outlineLevel="0" collapsed="false">
      <c r="A15" s="0" t="s">
        <v>7871</v>
      </c>
      <c r="B15" s="0" t="s">
        <v>56</v>
      </c>
      <c r="C15" s="5" t="s">
        <v>48</v>
      </c>
      <c r="D15" s="5" t="s">
        <v>246</v>
      </c>
      <c r="E15" s="5" t="s">
        <v>238</v>
      </c>
      <c r="F15" s="5" t="s">
        <v>7458</v>
      </c>
      <c r="G15" s="5" t="n">
        <v>10</v>
      </c>
      <c r="H15" s="4" t="n">
        <f aca="false">'Quarterly MW'!T56</f>
        <v>10</v>
      </c>
      <c r="I15" s="0" t="s">
        <v>318</v>
      </c>
      <c r="J15" s="0" t="s">
        <v>318</v>
      </c>
      <c r="K15" s="0" t="s">
        <v>318</v>
      </c>
      <c r="L15" s="0" t="s">
        <v>7862</v>
      </c>
      <c r="M15" s="0" t="s">
        <v>250</v>
      </c>
      <c r="N15" s="0" t="s">
        <v>251</v>
      </c>
    </row>
    <row r="16" customFormat="false" ht="15" hidden="false" customHeight="false" outlineLevel="0" collapsed="false">
      <c r="A16" s="0" t="s">
        <v>7872</v>
      </c>
      <c r="B16" s="0" t="s">
        <v>58</v>
      </c>
      <c r="C16" s="5" t="s">
        <v>48</v>
      </c>
      <c r="D16" s="5" t="s">
        <v>256</v>
      </c>
      <c r="E16" s="5" t="s">
        <v>238</v>
      </c>
      <c r="F16" s="5" t="s">
        <v>7458</v>
      </c>
      <c r="G16" s="5" t="n">
        <v>19</v>
      </c>
      <c r="H16" s="4" t="n">
        <f aca="false">'Quarterly MW'!T61/Basis!$G$13</f>
        <v>14.6153846153846</v>
      </c>
      <c r="I16" s="0" t="s">
        <v>321</v>
      </c>
      <c r="J16" s="0" t="s">
        <v>321</v>
      </c>
      <c r="K16" s="0" t="s">
        <v>321</v>
      </c>
      <c r="L16" s="0" t="s">
        <v>7862</v>
      </c>
      <c r="M16" s="0" t="s">
        <v>255</v>
      </c>
      <c r="N16" s="0" t="s">
        <v>257</v>
      </c>
    </row>
    <row r="17" customFormat="false" ht="15" hidden="false" customHeight="false" outlineLevel="0" collapsed="false">
      <c r="A17" s="0" t="s">
        <v>7873</v>
      </c>
      <c r="B17" s="0" t="s">
        <v>60</v>
      </c>
      <c r="C17" s="5" t="s">
        <v>48</v>
      </c>
      <c r="D17" s="5" t="s">
        <v>256</v>
      </c>
      <c r="E17" s="5" t="s">
        <v>238</v>
      </c>
      <c r="F17" s="5" t="s">
        <v>7458</v>
      </c>
      <c r="G17" s="5" t="n">
        <v>22</v>
      </c>
      <c r="H17" s="4" t="n">
        <f aca="false">'Quarterly MW'!T66</f>
        <v>22</v>
      </c>
      <c r="I17" s="0" t="s">
        <v>326</v>
      </c>
      <c r="J17" s="0" t="s">
        <v>325</v>
      </c>
      <c r="K17" s="0" t="s">
        <v>325</v>
      </c>
      <c r="L17" s="0" t="s">
        <v>7862</v>
      </c>
      <c r="M17" s="0" t="s">
        <v>260</v>
      </c>
      <c r="N17" s="0" t="s">
        <v>6787</v>
      </c>
    </row>
    <row r="18" customFormat="false" ht="15" hidden="false" customHeight="false" outlineLevel="0" collapsed="false">
      <c r="A18" s="0" t="s">
        <v>7874</v>
      </c>
      <c r="B18" s="0" t="s">
        <v>62</v>
      </c>
      <c r="C18" s="5" t="s">
        <v>48</v>
      </c>
      <c r="D18" s="5" t="s">
        <v>395</v>
      </c>
      <c r="E18" s="5" t="s">
        <v>238</v>
      </c>
      <c r="F18" s="5" t="s">
        <v>7458</v>
      </c>
      <c r="G18" s="5" t="s">
        <v>65</v>
      </c>
      <c r="H18" s="4" t="n">
        <f aca="false">'Quarterly MW'!T71</f>
        <v>31.5</v>
      </c>
      <c r="I18" s="0" t="s">
        <v>326</v>
      </c>
      <c r="J18" s="0" t="s">
        <v>325</v>
      </c>
      <c r="K18" s="0" t="s">
        <v>325</v>
      </c>
      <c r="L18" s="0" t="s">
        <v>7862</v>
      </c>
      <c r="M18" s="0" t="s">
        <v>266</v>
      </c>
      <c r="N18" s="0" t="s">
        <v>6789</v>
      </c>
    </row>
    <row r="19" customFormat="false" ht="15" hidden="false" customHeight="false" outlineLevel="0" collapsed="false">
      <c r="A19" s="0" t="s">
        <v>7875</v>
      </c>
      <c r="B19" s="0" t="s">
        <v>64</v>
      </c>
      <c r="C19" s="5" t="s">
        <v>48</v>
      </c>
      <c r="D19" s="5" t="s">
        <v>395</v>
      </c>
      <c r="E19" s="5" t="s">
        <v>191</v>
      </c>
      <c r="F19" s="5" t="s">
        <v>7458</v>
      </c>
      <c r="G19" s="5" t="s">
        <v>65</v>
      </c>
      <c r="H19" s="4" t="n">
        <f aca="false">'Quarterly MW'!T76</f>
        <v>7</v>
      </c>
      <c r="I19" s="0" t="s">
        <v>7876</v>
      </c>
      <c r="J19" s="0" t="s">
        <v>327</v>
      </c>
      <c r="K19" s="0" t="s">
        <v>327</v>
      </c>
      <c r="L19" s="0" t="s">
        <v>7862</v>
      </c>
      <c r="M19" s="0" t="s">
        <v>270</v>
      </c>
      <c r="N19" s="0" t="s">
        <v>271</v>
      </c>
    </row>
    <row r="20" customFormat="false" ht="15" hidden="false" customHeight="false" outlineLevel="0" collapsed="false">
      <c r="A20" s="0" t="s">
        <v>7877</v>
      </c>
      <c r="B20" s="0" t="s">
        <v>66</v>
      </c>
      <c r="C20" s="5" t="s">
        <v>48</v>
      </c>
      <c r="D20" s="5" t="s">
        <v>277</v>
      </c>
      <c r="E20" s="5" t="s">
        <v>273</v>
      </c>
      <c r="F20" s="5" t="s">
        <v>7458</v>
      </c>
      <c r="G20" s="5" t="n">
        <v>8</v>
      </c>
      <c r="H20" s="4" t="n">
        <f aca="false">'Quarterly MW'!T81</f>
        <v>8</v>
      </c>
      <c r="I20" s="0" t="s">
        <v>321</v>
      </c>
      <c r="J20" s="0" t="s">
        <v>321</v>
      </c>
      <c r="K20" s="0" t="s">
        <v>321</v>
      </c>
      <c r="L20" s="0" t="s">
        <v>7862</v>
      </c>
      <c r="M20" s="0" t="s">
        <v>245</v>
      </c>
      <c r="N20" s="0" t="s">
        <v>278</v>
      </c>
    </row>
    <row r="21" customFormat="false" ht="15" hidden="false" customHeight="false" outlineLevel="0" collapsed="false">
      <c r="A21" s="0" t="s">
        <v>7878</v>
      </c>
      <c r="B21" s="0" t="s">
        <v>68</v>
      </c>
      <c r="C21" s="5" t="s">
        <v>48</v>
      </c>
      <c r="D21" s="5" t="s">
        <v>395</v>
      </c>
      <c r="E21" s="5" t="s">
        <v>191</v>
      </c>
      <c r="F21" s="5" t="s">
        <v>7458</v>
      </c>
      <c r="G21" s="5" t="n">
        <v>22</v>
      </c>
      <c r="H21" s="4" t="n">
        <f aca="false">'Quarterly MW'!T86</f>
        <v>22</v>
      </c>
      <c r="I21" s="0" t="s">
        <v>327</v>
      </c>
      <c r="J21" s="0" t="s">
        <v>325</v>
      </c>
      <c r="K21" s="0" t="s">
        <v>325</v>
      </c>
      <c r="L21" s="0" t="s">
        <v>7862</v>
      </c>
      <c r="M21" s="0" t="s">
        <v>281</v>
      </c>
      <c r="N21" s="0" t="s">
        <v>283</v>
      </c>
    </row>
    <row r="22" customFormat="false" ht="15" hidden="false" customHeight="false" outlineLevel="0" collapsed="false">
      <c r="A22" s="0" t="s">
        <v>7879</v>
      </c>
      <c r="B22" s="0" t="s">
        <v>69</v>
      </c>
      <c r="C22" s="5" t="s">
        <v>48</v>
      </c>
      <c r="D22" s="5" t="s">
        <v>395</v>
      </c>
      <c r="E22" s="5" t="s">
        <v>191</v>
      </c>
      <c r="F22" s="5" t="s">
        <v>7458</v>
      </c>
      <c r="G22" s="5" t="n">
        <v>58</v>
      </c>
      <c r="H22" s="4" t="n">
        <f aca="false">'Quarterly MW'!T91</f>
        <v>58</v>
      </c>
      <c r="I22" s="0" t="s">
        <v>327</v>
      </c>
      <c r="J22" s="0" t="s">
        <v>326</v>
      </c>
      <c r="K22" s="0" t="s">
        <v>326</v>
      </c>
      <c r="L22" s="0" t="s">
        <v>7862</v>
      </c>
      <c r="M22" s="0" t="s">
        <v>285</v>
      </c>
      <c r="N22" s="0" t="s">
        <v>283</v>
      </c>
    </row>
    <row r="23" customFormat="false" ht="15" hidden="false" customHeight="false" outlineLevel="0" collapsed="false">
      <c r="A23" s="0" t="s">
        <v>7880</v>
      </c>
      <c r="B23" s="0" t="s">
        <v>70</v>
      </c>
      <c r="C23" s="5" t="s">
        <v>48</v>
      </c>
      <c r="D23" s="5" t="s">
        <v>256</v>
      </c>
      <c r="E23" s="5" t="s">
        <v>238</v>
      </c>
      <c r="F23" s="5" t="s">
        <v>7458</v>
      </c>
      <c r="G23" s="5" t="n">
        <v>18</v>
      </c>
      <c r="H23" s="4" t="n">
        <f aca="false">'Quarterly MW'!T96</f>
        <v>18</v>
      </c>
      <c r="I23" s="0" t="s">
        <v>324</v>
      </c>
      <c r="J23" s="0" t="s">
        <v>324</v>
      </c>
      <c r="K23" s="0" t="s">
        <v>324</v>
      </c>
      <c r="L23" s="0" t="s">
        <v>7862</v>
      </c>
      <c r="M23" s="0" t="s">
        <v>288</v>
      </c>
      <c r="N23" s="0" t="s">
        <v>290</v>
      </c>
    </row>
    <row r="24" customFormat="false" ht="15" hidden="false" customHeight="false" outlineLevel="0" collapsed="false">
      <c r="A24" s="0" t="s">
        <v>7881</v>
      </c>
      <c r="B24" s="0" t="s">
        <v>72</v>
      </c>
      <c r="C24" s="5" t="s">
        <v>48</v>
      </c>
      <c r="D24" s="5" t="s">
        <v>395</v>
      </c>
      <c r="E24" s="5" t="s">
        <v>191</v>
      </c>
      <c r="F24" s="5" t="s">
        <v>7458</v>
      </c>
      <c r="G24" s="5" t="n">
        <v>22</v>
      </c>
      <c r="H24" s="4" t="n">
        <f aca="false">'Quarterly MW'!T101</f>
        <v>22</v>
      </c>
      <c r="I24" s="0" t="s">
        <v>326</v>
      </c>
      <c r="J24" s="0" t="s">
        <v>325</v>
      </c>
      <c r="K24" s="0" t="s">
        <v>325</v>
      </c>
      <c r="L24" s="0" t="s">
        <v>7862</v>
      </c>
      <c r="M24" s="0" t="s">
        <v>293</v>
      </c>
      <c r="N24" s="0" t="s">
        <v>294</v>
      </c>
    </row>
    <row r="25" customFormat="false" ht="15" hidden="false" customHeight="false" outlineLevel="0" collapsed="false">
      <c r="A25" s="0" t="s">
        <v>7882</v>
      </c>
      <c r="B25" s="0" t="s">
        <v>74</v>
      </c>
      <c r="C25" s="5" t="s">
        <v>48</v>
      </c>
      <c r="D25" s="5" t="s">
        <v>256</v>
      </c>
      <c r="E25" s="5" t="s">
        <v>238</v>
      </c>
      <c r="F25" s="5" t="s">
        <v>7458</v>
      </c>
      <c r="G25" s="5" t="s">
        <v>65</v>
      </c>
      <c r="H25" s="4" t="n">
        <f aca="false">'Quarterly MW'!T106</f>
        <v>10</v>
      </c>
      <c r="I25" s="0" t="s">
        <v>322</v>
      </c>
      <c r="J25" s="0" t="s">
        <v>322</v>
      </c>
      <c r="K25" s="0" t="s">
        <v>322</v>
      </c>
      <c r="L25" s="0" t="s">
        <v>7862</v>
      </c>
      <c r="M25" s="0" t="s">
        <v>297</v>
      </c>
      <c r="N25" s="0" t="s">
        <v>6796</v>
      </c>
    </row>
    <row r="26" customFormat="false" ht="15" hidden="false" customHeight="false" outlineLevel="0" collapsed="false">
      <c r="A26" s="0" t="s">
        <v>7883</v>
      </c>
      <c r="B26" s="0" t="s">
        <v>76</v>
      </c>
      <c r="C26" s="5" t="s">
        <v>48</v>
      </c>
      <c r="D26" s="5" t="s">
        <v>395</v>
      </c>
      <c r="E26" s="5" t="s">
        <v>191</v>
      </c>
      <c r="F26" s="5" t="s">
        <v>7458</v>
      </c>
      <c r="G26" s="5" t="s">
        <v>299</v>
      </c>
      <c r="H26" s="4" t="n">
        <f aca="false">'Quarterly MW'!T111</f>
        <v>100</v>
      </c>
      <c r="I26" s="0" t="s">
        <v>324</v>
      </c>
      <c r="J26" s="0" t="s">
        <v>323</v>
      </c>
      <c r="K26" s="0" t="s">
        <v>323</v>
      </c>
      <c r="L26" s="0" t="s">
        <v>7862</v>
      </c>
      <c r="M26" s="0" t="s">
        <v>300</v>
      </c>
      <c r="N26" s="0" t="s">
        <v>301</v>
      </c>
    </row>
    <row r="27" customFormat="false" ht="15" hidden="false" customHeight="false" outlineLevel="0" collapsed="false">
      <c r="A27" s="0" t="s">
        <v>7884</v>
      </c>
      <c r="B27" s="0" t="s">
        <v>78</v>
      </c>
      <c r="C27" s="5" t="s">
        <v>48</v>
      </c>
      <c r="D27" s="5" t="s">
        <v>303</v>
      </c>
      <c r="E27" s="5" t="s">
        <v>191</v>
      </c>
      <c r="F27" s="5" t="s">
        <v>7458</v>
      </c>
      <c r="G27" s="5" t="s">
        <v>65</v>
      </c>
      <c r="H27" s="0" t="s">
        <v>65</v>
      </c>
      <c r="I27" s="0" t="s">
        <v>65</v>
      </c>
      <c r="J27" s="0" t="s">
        <v>65</v>
      </c>
      <c r="K27" s="0" t="s">
        <v>65</v>
      </c>
      <c r="L27" s="0" t="s">
        <v>7862</v>
      </c>
      <c r="M27" s="0" t="s">
        <v>302</v>
      </c>
      <c r="N27" s="0" t="s">
        <v>304</v>
      </c>
    </row>
    <row r="28" customFormat="false" ht="15" hidden="false" customHeight="false" outlineLevel="0" collapsed="false">
      <c r="A28" s="0" t="s">
        <v>7885</v>
      </c>
      <c r="B28" s="0" t="s">
        <v>79</v>
      </c>
      <c r="C28" s="5" t="s">
        <v>48</v>
      </c>
      <c r="D28" s="5" t="s">
        <v>397</v>
      </c>
      <c r="E28" s="5" t="s">
        <v>191</v>
      </c>
      <c r="F28" s="5" t="s">
        <v>7458</v>
      </c>
      <c r="G28" s="5" t="n">
        <v>50</v>
      </c>
      <c r="H28" s="4" t="n">
        <f aca="false">'Quarterly MW'!T121</f>
        <v>25</v>
      </c>
      <c r="I28" s="0" t="s">
        <v>330</v>
      </c>
      <c r="J28" s="0" t="s">
        <v>328</v>
      </c>
      <c r="K28" s="0" t="s">
        <v>328</v>
      </c>
      <c r="L28" s="0" t="s">
        <v>7862</v>
      </c>
      <c r="M28" s="0" t="s">
        <v>309</v>
      </c>
      <c r="N28" s="0" t="s">
        <v>6800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0"/>
    <col collapsed="false" customWidth="true" hidden="false" outlineLevel="0" max="5" min="5" style="0" width="60"/>
    <col collapsed="false" customWidth="true" hidden="false" outlineLevel="0" max="13" min="13" style="0" width="80"/>
  </cols>
  <sheetData>
    <row r="1" customFormat="false" ht="28.35" hidden="false" customHeight="false" outlineLevel="0" collapsed="false">
      <c r="A1" s="3" t="s">
        <v>7886</v>
      </c>
      <c r="B1" s="3" t="s">
        <v>7887</v>
      </c>
      <c r="C1" s="3" t="s">
        <v>7888</v>
      </c>
      <c r="D1" s="3" t="s">
        <v>7889</v>
      </c>
      <c r="E1" s="3" t="s">
        <v>7890</v>
      </c>
      <c r="F1" s="3" t="s">
        <v>7891</v>
      </c>
      <c r="G1" s="3" t="s">
        <v>7892</v>
      </c>
      <c r="H1" s="3" t="s">
        <v>7893</v>
      </c>
      <c r="I1" s="3" t="s">
        <v>7894</v>
      </c>
      <c r="J1" s="3" t="s">
        <v>7895</v>
      </c>
      <c r="K1" s="3" t="s">
        <v>7896</v>
      </c>
      <c r="L1" s="3" t="s">
        <v>7897</v>
      </c>
      <c r="M1" s="3" t="s">
        <v>7898</v>
      </c>
    </row>
    <row r="2" customFormat="false" ht="15" hidden="false" customHeight="false" outlineLevel="0" collapsed="false">
      <c r="A2" s="0" t="s">
        <v>324</v>
      </c>
      <c r="B2" s="0" t="s">
        <v>7899</v>
      </c>
      <c r="C2" s="5" t="n">
        <v>192</v>
      </c>
      <c r="D2" s="5" t="n">
        <v>227.5</v>
      </c>
      <c r="E2" s="5" t="n">
        <v>278</v>
      </c>
      <c r="F2" s="5" t="n">
        <v>182</v>
      </c>
      <c r="G2" s="5" t="n">
        <v>207.5</v>
      </c>
      <c r="H2" s="5" t="n">
        <v>233</v>
      </c>
      <c r="I2" s="5" t="n">
        <v>20</v>
      </c>
      <c r="J2" s="0" t="s">
        <v>7900</v>
      </c>
      <c r="K2" s="0" t="s">
        <v>93</v>
      </c>
      <c r="L2" s="0" t="s">
        <v>7901</v>
      </c>
      <c r="M2" s="0" t="s">
        <v>7902</v>
      </c>
    </row>
    <row r="3" customFormat="false" ht="15" hidden="false" customHeight="false" outlineLevel="0" collapsed="false">
      <c r="A3" s="0" t="s">
        <v>324</v>
      </c>
      <c r="B3" s="0" t="s">
        <v>7903</v>
      </c>
      <c r="C3" s="5" t="n">
        <v>295</v>
      </c>
      <c r="D3" s="5" t="n">
        <v>353</v>
      </c>
      <c r="E3" s="5" t="n">
        <v>412</v>
      </c>
      <c r="G3" s="5" t="n">
        <v>207.5</v>
      </c>
      <c r="I3" s="5" t="n">
        <v>145.5</v>
      </c>
      <c r="J3" s="0" t="s">
        <v>7904</v>
      </c>
      <c r="K3" s="0" t="s">
        <v>93</v>
      </c>
      <c r="L3" s="0" t="s">
        <v>7905</v>
      </c>
      <c r="M3" s="0" t="s">
        <v>7906</v>
      </c>
    </row>
    <row r="4" customFormat="false" ht="15" hidden="false" customHeight="false" outlineLevel="0" collapsed="false">
      <c r="A4" s="0" t="s">
        <v>325</v>
      </c>
      <c r="B4" s="0" t="s">
        <v>7899</v>
      </c>
      <c r="C4" s="5" t="n">
        <v>147.2</v>
      </c>
      <c r="D4" s="5" t="n">
        <v>319.5</v>
      </c>
      <c r="E4" s="5" t="n">
        <v>504</v>
      </c>
      <c r="F4" s="5" t="n">
        <v>185</v>
      </c>
      <c r="G4" s="5" t="n">
        <v>304.5</v>
      </c>
      <c r="H4" s="5" t="n">
        <v>424</v>
      </c>
      <c r="I4" s="5" t="n">
        <v>15</v>
      </c>
      <c r="J4" s="0" t="s">
        <v>7900</v>
      </c>
      <c r="K4" s="0" t="s">
        <v>93</v>
      </c>
      <c r="L4" s="0" t="s">
        <v>7901</v>
      </c>
      <c r="M4" s="0" t="s">
        <v>7907</v>
      </c>
    </row>
    <row r="5" customFormat="false" ht="15" hidden="false" customHeight="false" outlineLevel="0" collapsed="false">
      <c r="A5" s="0" t="s">
        <v>325</v>
      </c>
      <c r="B5" s="0" t="s">
        <v>7903</v>
      </c>
      <c r="C5" s="5" t="n">
        <v>561</v>
      </c>
      <c r="D5" s="5" t="n">
        <v>941</v>
      </c>
      <c r="E5" s="5" t="n">
        <v>1195</v>
      </c>
      <c r="G5" s="5" t="n">
        <v>800</v>
      </c>
      <c r="I5" s="5" t="n">
        <v>141</v>
      </c>
      <c r="J5" s="0" t="s">
        <v>7904</v>
      </c>
      <c r="K5" s="0" t="s">
        <v>93</v>
      </c>
      <c r="L5" s="0" t="s">
        <v>7905</v>
      </c>
      <c r="M5" s="0" t="s">
        <v>7908</v>
      </c>
    </row>
    <row r="6" customFormat="false" ht="15" hidden="false" customHeight="false" outlineLevel="0" collapsed="false">
      <c r="A6" s="0" t="s">
        <v>326</v>
      </c>
      <c r="B6" s="0" t="s">
        <v>7899</v>
      </c>
      <c r="C6" s="5" t="n">
        <v>274.4</v>
      </c>
      <c r="D6" s="5" t="n">
        <v>485.2</v>
      </c>
      <c r="E6" s="5" t="n">
        <v>764</v>
      </c>
      <c r="F6" s="5" t="n">
        <v>270.4</v>
      </c>
      <c r="G6" s="5" t="n">
        <v>444.7</v>
      </c>
      <c r="H6" s="5" t="n">
        <v>619</v>
      </c>
      <c r="I6" s="5" t="n">
        <v>40.5</v>
      </c>
      <c r="J6" s="0" t="s">
        <v>7900</v>
      </c>
      <c r="K6" s="0" t="s">
        <v>93</v>
      </c>
      <c r="L6" s="0" t="s">
        <v>7901</v>
      </c>
      <c r="M6" s="0" t="s">
        <v>7909</v>
      </c>
    </row>
    <row r="7" customFormat="false" ht="15" hidden="false" customHeight="false" outlineLevel="0" collapsed="false">
      <c r="A7" s="0" t="s">
        <v>326</v>
      </c>
      <c r="B7" s="0" t="s">
        <v>7903</v>
      </c>
      <c r="C7" s="5" t="n">
        <v>626.4</v>
      </c>
      <c r="D7" s="5" t="n">
        <v>1078</v>
      </c>
      <c r="E7" s="5" t="n">
        <v>1322</v>
      </c>
      <c r="G7" s="5" t="n">
        <v>444.7</v>
      </c>
      <c r="I7" s="5" t="n">
        <v>633.3</v>
      </c>
      <c r="J7" s="0" t="s">
        <v>7904</v>
      </c>
      <c r="K7" s="0" t="s">
        <v>93</v>
      </c>
      <c r="L7" s="0" t="s">
        <v>7905</v>
      </c>
      <c r="M7" s="0" t="s">
        <v>7906</v>
      </c>
    </row>
    <row r="8" customFormat="false" ht="15" hidden="false" customHeight="false" outlineLevel="0" collapsed="false">
      <c r="A8" s="0" t="s">
        <v>327</v>
      </c>
      <c r="B8" s="0" t="s">
        <v>7899</v>
      </c>
      <c r="C8" s="5" t="n">
        <v>429.4</v>
      </c>
      <c r="D8" s="5" t="n">
        <v>682.2</v>
      </c>
      <c r="E8" s="5" t="n">
        <v>967</v>
      </c>
      <c r="F8" s="5" t="n">
        <v>394.4</v>
      </c>
      <c r="G8" s="5" t="n">
        <v>591.7</v>
      </c>
      <c r="H8" s="5" t="n">
        <v>789</v>
      </c>
      <c r="I8" s="5" t="n">
        <v>90.5</v>
      </c>
      <c r="J8" s="0" t="s">
        <v>7900</v>
      </c>
      <c r="K8" s="0" t="s">
        <v>93</v>
      </c>
      <c r="L8" s="0" t="s">
        <v>7901</v>
      </c>
      <c r="M8" s="0" t="s">
        <v>7910</v>
      </c>
    </row>
    <row r="9" customFormat="false" ht="15" hidden="false" customHeight="false" outlineLevel="0" collapsed="false">
      <c r="A9" s="0" t="s">
        <v>327</v>
      </c>
      <c r="B9" s="0" t="s">
        <v>7903</v>
      </c>
      <c r="C9" s="5" t="n">
        <v>763.4</v>
      </c>
      <c r="D9" s="5" t="n">
        <v>1243</v>
      </c>
      <c r="E9" s="5" t="n">
        <v>1577</v>
      </c>
      <c r="G9" s="5" t="n">
        <v>591.7</v>
      </c>
      <c r="I9" s="5" t="n">
        <v>651.3</v>
      </c>
      <c r="J9" s="0" t="s">
        <v>7904</v>
      </c>
      <c r="K9" s="0" t="s">
        <v>93</v>
      </c>
      <c r="L9" s="0" t="s">
        <v>7905</v>
      </c>
      <c r="M9" s="0" t="s">
        <v>7906</v>
      </c>
    </row>
    <row r="10" customFormat="false" ht="15" hidden="false" customHeight="false" outlineLevel="0" collapsed="false">
      <c r="A10" s="0" t="s">
        <v>328</v>
      </c>
      <c r="B10" s="0" t="s">
        <v>7899</v>
      </c>
      <c r="C10" s="5" t="n">
        <v>590</v>
      </c>
      <c r="D10" s="5" t="n">
        <v>899.5</v>
      </c>
      <c r="E10" s="5" t="n">
        <v>1202</v>
      </c>
      <c r="F10" s="5" t="n">
        <v>509</v>
      </c>
      <c r="G10" s="5" t="n">
        <v>751.5</v>
      </c>
      <c r="H10" s="5" t="n">
        <v>994</v>
      </c>
      <c r="I10" s="5" t="n">
        <v>148</v>
      </c>
      <c r="J10" s="0" t="s">
        <v>7900</v>
      </c>
      <c r="K10" s="0" t="s">
        <v>93</v>
      </c>
      <c r="L10" s="0" t="s">
        <v>7901</v>
      </c>
      <c r="M10" s="0" t="s">
        <v>7911</v>
      </c>
    </row>
    <row r="11" customFormat="false" ht="15" hidden="false" customHeight="false" outlineLevel="0" collapsed="false">
      <c r="A11" s="0" t="s">
        <v>328</v>
      </c>
      <c r="B11" s="0" t="s">
        <v>7903</v>
      </c>
      <c r="C11" s="5" t="n">
        <v>990</v>
      </c>
      <c r="D11" s="5" t="n">
        <v>1382</v>
      </c>
      <c r="E11" s="5" t="n">
        <v>2017</v>
      </c>
      <c r="G11" s="5" t="n">
        <v>751.5</v>
      </c>
      <c r="I11" s="5" t="n">
        <v>630.5</v>
      </c>
      <c r="J11" s="0" t="s">
        <v>7904</v>
      </c>
      <c r="K11" s="0" t="s">
        <v>93</v>
      </c>
      <c r="L11" s="0" t="s">
        <v>7905</v>
      </c>
      <c r="M11" s="0" t="s">
        <v>7906</v>
      </c>
    </row>
    <row r="12" customFormat="false" ht="15" hidden="false" customHeight="false" outlineLevel="0" collapsed="false">
      <c r="A12" s="0" t="s">
        <v>329</v>
      </c>
      <c r="B12" s="0" t="s">
        <v>7899</v>
      </c>
      <c r="C12" s="5" t="n">
        <v>899</v>
      </c>
      <c r="D12" s="5" t="n">
        <v>1222</v>
      </c>
      <c r="E12" s="5" t="n">
        <v>1582</v>
      </c>
      <c r="F12" s="5" t="n">
        <v>764</v>
      </c>
      <c r="G12" s="5" t="n">
        <v>1069</v>
      </c>
      <c r="H12" s="5" t="n">
        <v>1374</v>
      </c>
      <c r="I12" s="5" t="n">
        <v>153</v>
      </c>
      <c r="J12" s="0" t="s">
        <v>7900</v>
      </c>
      <c r="K12" s="0" t="s">
        <v>93</v>
      </c>
      <c r="L12" s="0" t="s">
        <v>7901</v>
      </c>
      <c r="M12" s="0" t="s">
        <v>7912</v>
      </c>
    </row>
    <row r="13" customFormat="false" ht="15" hidden="false" customHeight="false" outlineLevel="0" collapsed="false">
      <c r="A13" s="0" t="s">
        <v>329</v>
      </c>
      <c r="B13" s="0" t="s">
        <v>7903</v>
      </c>
      <c r="C13" s="5" t="n">
        <v>1249</v>
      </c>
      <c r="D13" s="5" t="n">
        <v>1882</v>
      </c>
      <c r="E13" s="5" t="n">
        <v>2517</v>
      </c>
      <c r="G13" s="5" t="n">
        <v>1800</v>
      </c>
      <c r="I13" s="5" t="n">
        <v>82</v>
      </c>
      <c r="J13" s="0" t="s">
        <v>7904</v>
      </c>
      <c r="K13" s="0" t="s">
        <v>93</v>
      </c>
      <c r="L13" s="0" t="s">
        <v>7905</v>
      </c>
      <c r="M13" s="0" t="s">
        <v>7913</v>
      </c>
    </row>
    <row r="16" customFormat="false" ht="15" hidden="false" customHeight="false" outlineLevel="0" collapsed="false">
      <c r="A16" s="1" t="s">
        <v>7914</v>
      </c>
    </row>
    <row r="17" customFormat="false" ht="55.2" hidden="false" customHeight="false" outlineLevel="0" collapsed="false">
      <c r="A17" s="3" t="s">
        <v>7915</v>
      </c>
      <c r="B17" s="3" t="s">
        <v>7916</v>
      </c>
      <c r="C17" s="3" t="s">
        <v>7917</v>
      </c>
      <c r="D17" s="3" t="s">
        <v>23</v>
      </c>
      <c r="E17" s="3" t="s">
        <v>7918</v>
      </c>
    </row>
    <row r="18" customFormat="false" ht="15" hidden="false" customHeight="false" outlineLevel="0" collapsed="false">
      <c r="A18" s="0" t="s">
        <v>7919</v>
      </c>
      <c r="B18" s="5" t="n">
        <v>153</v>
      </c>
      <c r="C18" s="4" t="n">
        <f aca="false">(N('Quarterly MW'!T111)-0)+(N('Quarterly MW'!T106)-0)+(N('Quarterly MW'!T71)-0)+(N('Quarterly MW'!T76)-0)</f>
        <v>148.5</v>
      </c>
      <c r="D18" s="0" t="s">
        <v>98</v>
      </c>
      <c r="E18" s="0" t="s">
        <v>7920</v>
      </c>
    </row>
    <row r="19" customFormat="false" ht="15" hidden="false" customHeight="false" outlineLevel="0" collapsed="false">
      <c r="A19" s="0" t="s">
        <v>7921</v>
      </c>
      <c r="B19" s="5" t="n">
        <v>0</v>
      </c>
      <c r="C19" s="4" t="n">
        <f aca="false">(N('Quarterly MW'!T121)-25)+(N('Quarterly MW'!T86)-22)+(N('Quarterly MW'!T91)-58)+(N('Quarterly MW'!T46)-30)</f>
        <v>0</v>
      </c>
      <c r="D19" s="0" t="s">
        <v>98</v>
      </c>
      <c r="E19" s="0" t="s">
        <v>7922</v>
      </c>
    </row>
    <row r="20" customFormat="false" ht="15" hidden="false" customHeight="false" outlineLevel="0" collapsed="false">
      <c r="A20" s="0" t="s">
        <v>7923</v>
      </c>
      <c r="B20" s="5" t="n">
        <v>0</v>
      </c>
      <c r="C20" s="4" t="n">
        <f aca="false">(N('Quarterly MW'!T6)-240)</f>
        <v>-5</v>
      </c>
      <c r="D20" s="0" t="s">
        <v>98</v>
      </c>
      <c r="E20" s="0" t="s">
        <v>7924</v>
      </c>
    </row>
    <row r="21" customFormat="false" ht="15" hidden="false" customHeight="false" outlineLevel="0" collapsed="false">
      <c r="A21" s="0" t="s">
        <v>7925</v>
      </c>
      <c r="B21" s="4" t="n">
        <f aca="false">SUM(B18:B20)</f>
        <v>153</v>
      </c>
      <c r="C21" s="4" t="n">
        <f aca="false">SUM(C18:C20)</f>
        <v>143.5</v>
      </c>
    </row>
    <row r="22" customFormat="false" ht="15" hidden="false" customHeight="false" outlineLevel="0" collapsed="false">
      <c r="A22" s="0" t="s">
        <v>7926</v>
      </c>
      <c r="B22" s="5" t="n">
        <v>1069</v>
      </c>
      <c r="C22" s="4" t="n">
        <f aca="false">'Quarterly MW'!T126</f>
        <v>1212.5</v>
      </c>
    </row>
    <row r="23" customFormat="false" ht="15" hidden="false" customHeight="false" outlineLevel="0" collapsed="false">
      <c r="A23" s="0" t="s">
        <v>7927</v>
      </c>
      <c r="C23" s="4" t="n">
        <f aca="false">'Quarterly MW'!T136-'Quarterly MW'!T126</f>
        <v>-130.575397227571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2026-10-05T02:33:51Z</dcterms:created>
  <dc:creator>openpyxl</dc:creator>
  <dc:description/>
  <dc:language>en-US</dc:language>
  <cp:lastModifiedBy/>
  <dcterms:modified xsi:type="dcterms:W3CDTF">2026-10-05T02:33:51Z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