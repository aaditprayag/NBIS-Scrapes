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PUsPerMW" sheetId="1" state="visible" r:id="rId3"/>
    <sheet name="CapexPerMW" sheetId="2" state="visible" r:id="rId4"/>
    <sheet name="GB300 rack price" sheetId="3" state="visible" r:id="rId5"/>
    <sheet name="Nebius checks" sheetId="4" state="visible" r:id="rId6"/>
    <sheet name="Peer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<sst xmlns="http://schemas.openxmlformats.org/spreadsheetml/2006/main" count="945" uniqueCount="584">
  <si>
    <t xml:space="preserve">GPUs per MW by NVIDIA generation – IT-MW and gross (facility) MW basis. Blue = input; black = formula. GPU = one GPU package (VR NVL72 = 72 packages; NVIDIA's 'NVL144' naming counts 144 dies).</t>
  </si>
  <si>
    <t xml:space="preserve">Method: kW/GPU at system = unit kW / GPUs per unit; All-in IT kW/GPU = × (1 + overhead for scale-out network, storage, mgmt/CPU nodes outside the unit); GPUs/IT-MW = 1000 / all-in kW; Gross kW/GPU = IT kW × PUE; GPUs/gross-MW = 1000 / gross kW. Low case = high power + high overhead + high PUE; High case = low power + low overhead + low PUE.</t>
  </si>
  <si>
    <t xml:space="preserve">Generation</t>
  </si>
  <si>
    <t xml:space="preserve">Scenario</t>
  </si>
  <si>
    <t xml:space="preserve">Unit</t>
  </si>
  <si>
    <t xml:space="preserve">Unit power kW (input)</t>
  </si>
  <si>
    <t xml:space="preserve">GPUs per unit (input)</t>
  </si>
  <si>
    <t xml:space="preserve">kW/GPU at unit</t>
  </si>
  <si>
    <t xml:space="preserve">Overhead % (input)</t>
  </si>
  <si>
    <t xml:space="preserve">All-in IT kW/GPU</t>
  </si>
  <si>
    <t xml:space="preserve">GPUs per IT MW</t>
  </si>
  <si>
    <t xml:space="preserve">PUE used (input)</t>
  </si>
  <si>
    <t xml:space="preserve">Gross kW/GPU</t>
  </si>
  <si>
    <t xml:space="preserve">GPUs per gross MW</t>
  </si>
  <si>
    <t xml:space="preserve">Tag</t>
  </si>
  <si>
    <t xml:space="preserve">Basis / sources</t>
  </si>
  <si>
    <t xml:space="preserve">Hopper H100/H200</t>
  </si>
  <si>
    <t xml:space="preserve">Low</t>
  </si>
  <si>
    <t xml:space="preserve">HGX/DGX 8-GPU</t>
  </si>
  <si>
    <t xml:space="preserve">Estimated (spec Reported; overhead/PUE Estimated)</t>
  </si>
  <si>
    <t xml:space="preserve">Low: 10.2 kW max (S1) + 18% overhead (heavier storage/mgmt) + PUE 1.45 (older air-cooled colo)</t>
  </si>
  <si>
    <t xml:space="preserve">Base</t>
  </si>
  <si>
    <t xml:space="preserve">Base: 10.2 kW (S1); +10% ≈ SuperPOD switches/mgmt ~9% of server load (S2) and SemiAnalysis H100 ~1.4 kW all-in (S6); PUE 1.30 air-cooled colo (Estimated)</t>
  </si>
  <si>
    <t xml:space="preserve">High</t>
  </si>
  <si>
    <t xml:space="preserve">High: provisioned at ~90% of nameplate (Estimated, common power-capping practice) + 7% + PUE 1.10 (Nebius Finland 'leading PUE', S16)</t>
  </si>
  <si>
    <t xml:space="preserve">Blackwell B200 (HGX)</t>
  </si>
  <si>
    <t xml:space="preserve">Low: 14.3 kW max (S3) +18% + PUE 1.45</t>
  </si>
  <si>
    <t xml:space="preserve">Base: 14.3 kW (S3) +10% + PUE 1.30 (air-cooled colo e.g. Modi'in/KC)</t>
  </si>
  <si>
    <t xml:space="preserve">High: ~91% of nameplate (Estimated) +7% + PUE 1.10</t>
  </si>
  <si>
    <t xml:space="preserve">GB200 NVL72</t>
  </si>
  <si>
    <t xml:space="preserve">NVL72 rack</t>
  </si>
  <si>
    <t xml:space="preserve">Low: 132 kW rack (top of 120-132 kW range, S6/HPE) +12% + PUE 1.35</t>
  </si>
  <si>
    <t xml:space="preserve">Base: 125 kW (mid of ~120-132 kW) +7% (NVLink switches already in rack) → 1.86 kW ≈ SemiAnalysis 1.87 kW all-in (S6); PUE 1.20 liquid-cooled</t>
  </si>
  <si>
    <t xml:space="preserve">High: 120 kW +5% + PUE 1.10</t>
  </si>
  <si>
    <t xml:space="preserve">Blackwell Ultra B300 (HGX)</t>
  </si>
  <si>
    <t xml:space="preserve">Low: 15 kW (DGX B300 AC est., S4) +18% + PUE 1.45</t>
  </si>
  <si>
    <t xml:space="preserve">Base: 14.5 kW (DGX B300, S4) +10% + PUE 1.30</t>
  </si>
  <si>
    <t xml:space="preserve">High: ~14 kW (nvidia.com, S4) +7% + PUE 1.10</t>
  </si>
  <si>
    <t xml:space="preserve">GB300 NVL72</t>
  </si>
  <si>
    <t xml:space="preserve">Low: 'up to 142 kW' (NVIDIA, S5) +12% + PUE 1.35</t>
  </si>
  <si>
    <t xml:space="preserve">Base: 137 kW (mid of HPE 132-140 / Lenovo 135 / NVIDIA 142, S5) +7% + PUE 1.20</t>
  </si>
  <si>
    <t xml:space="preserve">High: 132 kW (HPE low end, S5) +5% + PUE 1.10</t>
  </si>
  <si>
    <t xml:space="preserve">Vera Rubin NVL72 (VR200; 'NVL144' dies)</t>
  </si>
  <si>
    <t xml:space="preserve">Low: ~230 kW Max-P (Kuo est., S7; Supermicro sizes 227 kW) +12% + PUE 1.35</t>
  </si>
  <si>
    <t xml:space="preserve">Base: 210 kW (midpoint of 190-230 kW est., S7) +7% + PUE 1.20. Estimated – NVIDIA has not published rack power</t>
  </si>
  <si>
    <t xml:space="preserve">High: ~190 kW Max-Q (S7) +5% + PUE 1.10</t>
  </si>
  <si>
    <t xml:space="preserve">Summary – GPUs per MW (rounded in display)</t>
  </si>
  <si>
    <t xml:space="preserve">IT-MW Low</t>
  </si>
  <si>
    <t xml:space="preserve">IT-MW Base</t>
  </si>
  <si>
    <t xml:space="preserve">IT-MW High</t>
  </si>
  <si>
    <t xml:space="preserve">Gross-MW Low</t>
  </si>
  <si>
    <t xml:space="preserve">Gross-MW Base</t>
  </si>
  <si>
    <t xml:space="preserve">Gross-MW High</t>
  </si>
  <si>
    <t xml:space="preserve">PUE Low/Base/High</t>
  </si>
  <si>
    <t xml:space="preserve">Notes: (1) Spec power is max/nameplate; actual average draw is typically lower, so operators that provision on measured draw can fit more GPUs per MW (that is the High case). (2) Overhead covers scale-out fabric, storage, CPU/management nodes outside the GPU unit; in-rack NVLink switches are already inside NVL72 rack power. (3) PUE converts IT MW to gross/facility MW; Nebius does not disclose IT vs gross for its MW KPIs (see Nebius checks).</t>
  </si>
  <si>
    <t xml:space="preserve">Capex per MW by generation – split GPU/server, networking+storage, DC shell+power (owned) vs colocation (lease instead of shell). US$ millions per IT MW unless noted. Blue = input.</t>
  </si>
  <si>
    <t xml:space="preserve">Density uses the Base GPUs/IT-MW from GPUsPerMW for all three price cases (isolates price uncertainty). Owned total = GPU/server + network/storage + DC shell/power. Colo capex = GPU/server + network/storage + Nebius in-hall fit-out; lease shown separately and as PV (lease-equivalent capex).</t>
  </si>
  <si>
    <t xml:space="preserve">Global inputs:</t>
  </si>
  <si>
    <t xml:space="preserve">Colo lease discount rate</t>
  </si>
  <si>
    <t xml:space="preserve">Lease term (yrs)</t>
  </si>
  <si>
    <t xml:space="preserve">Annuity factor</t>
  </si>
  <si>
    <t xml:space="preserve">GPUs/IT MW (base, link)</t>
  </si>
  <si>
    <t xml:space="preserve">Unit price $M (server/rack, input)</t>
  </si>
  <si>
    <t xml:space="preserve">Network+storage+other $M per unit (input)</t>
  </si>
  <si>
    <t xml:space="preserve">GPUs per unit</t>
  </si>
  <si>
    <t xml:space="preserve">All-in $k/GPU</t>
  </si>
  <si>
    <t xml:space="preserve">GPU/server $M/MW</t>
  </si>
  <si>
    <t xml:space="preserve">Network+storage $M/MW</t>
  </si>
  <si>
    <t xml:space="preserve">DC shell+power $M/MW IT (owned, input)</t>
  </si>
  <si>
    <t xml:space="preserve">Owned total $M/IT MW</t>
  </si>
  <si>
    <t xml:space="preserve">Owned total $M/gross MW (base PUE)</t>
  </si>
  <si>
    <t xml:space="preserve">Implied $B per GW (IT)</t>
  </si>
  <si>
    <t xml:space="preserve">Colo in-hall fit-out $M/MW (input)</t>
  </si>
  <si>
    <t xml:space="preserve">Colo capex $M/IT MW</t>
  </si>
  <si>
    <t xml:space="preserve">Colo lease $/kW-mo (input)</t>
  </si>
  <si>
    <t xml:space="preserve">Lease $M/MW-yr</t>
  </si>
  <si>
    <t xml:space="preserve">PV lease $M/MW</t>
  </si>
  <si>
    <t xml:space="preserve">Colo lease-equivalent $M/IT MW</t>
  </si>
  <si>
    <t xml:space="preserve">Price / DC-cost basis</t>
  </si>
  <si>
    <t xml:space="preserve">Estimated (prices = third-party Reported/Estimated; see basis)</t>
  </si>
  <si>
    <t xml:space="preserve">Server $190k (SemiAnalysis H100 2025, S6); +$50k net/storage; DC $7M/MW (IREN Horizon-type brownfield $6-7M/MW IT, S26); lease $150/kW-mo</t>
  </si>
  <si>
    <t xml:space="preserve">Server $230k (Estimated: between H100 $190k and higher-HBM H200; no primary H200 price found – low confidence); +$60k net/storage (=SemiAnalysis $250k all-in less $190k server, S6); DC $10M/MW air-cooled (Estimated between JLL $11.3M shell-core and IREN $6-7M, S12/S26); lease $175 (S13)</t>
  </si>
  <si>
    <t xml:space="preserve">Server $280k (Estimated, 2024-vintage H200 pricing; low confidence); +$80k; DC $14M/MW; lease $205 (S13)</t>
  </si>
  <si>
    <t xml:space="preserve">Server $360k (low end S10); net $65k (Estimated: H100 $60k scaled for 400/800G); DC $7M</t>
  </si>
  <si>
    <t xml:space="preserve">Server $430k (typical $420-500k, S10); net $80k (Estimated); DC $10M/MW air (Estimated)</t>
  </si>
  <si>
    <t xml:space="preserve">Server $500k (S10); net $110k; DC $14M</t>
  </si>
  <si>
    <t xml:space="preserve">Rack $2.8M (Tom's low, S8); net/storage $0.6M; DC $8M liquid (IREN-type, S26 +liquid)</t>
  </si>
  <si>
    <t xml:space="preserve">Rack $3.1M, all-in $3.9M (SemiAnalysis, S6); DC $12.5M/MW (Crusoe Abilene $15B/1.2GW, S31; ≈JLL $11.3M +10% liquid, S12)</t>
  </si>
  <si>
    <t xml:space="preserve">Rack $3.4M (Tom's high, S8); net $1.0M; DC $17.6M (Cushman all-in avg excl. GPUs, S11)</t>
  </si>
  <si>
    <t xml:space="preserve">Server $420k (Supermicro listed config, S10); net $70k; DC $7M</t>
  </si>
  <si>
    <t xml:space="preserve">Server $550k (planning range $550-650k, S10); net $90k (Estimated, 800G CX-8); DC $10M</t>
  </si>
  <si>
    <t xml:space="preserve">Server $650k (S10); net $120k; DC $14M</t>
  </si>
  <si>
    <t xml:space="preserve">LINKED to 'GB300 rack price' sheet. Rack $4.0M (Morgan Stanley BOM ~$4.0M S35; Loop $3.7-4.0M S37); net+storage+install $0.6M; DC $8M</t>
  </si>
  <si>
    <t xml:space="preserve">LINKED. Rack $4.5M (between hyperscale-volume $4.0-4.3M S35/S36 and small-order PO ~$5.0M S9; IREN all-in ~$70k/GPU incl IB S39); +$0.9M ≈ SemiAnalysis GB200 $3.9M-$3.1M = $0.8M (S6) scaled for 800G CX-8; DC $12.5M</t>
  </si>
  <si>
    <t xml:space="preserve">LINKED. Rack $5.0M (Data Gravity small-order POs, S9); +$1.2M; DC $17.6M (S11). Stress (not used): Tom's $6-6.5M inference config (S8)</t>
  </si>
  <si>
    <t xml:space="preserve">v2: Rack $6.7M (MS BOM if hyperscaler buys SOCAMM direct, S35; Tom's $5-7M S8, Wolfe $5-6M S36 are older/lower); +$0.9M; DC $8M</t>
  </si>
  <si>
    <t xml:space="preserve">v2: Rack $7.8M (Morgan Stanley ODM BOM May-26, S35; was $6.0M in v1); +$1.2M (v1 $0.8M too low: CX-9 1.6T doubles per-GPU scale-out bandwidth vs GB300's $0.9M; in-rack NAND offsets only storage); DC $12.5M. Colo capex ≈ team base $41M</t>
  </si>
  <si>
    <t xml:space="preserve">v2: Rack $9.1M (Bernstein, HBM4 $53/GB, S38); +$1.5M; DC $17.6M. Colo capex ≈ team bear $48.5M</t>
  </si>
  <si>
    <t xml:space="preserve">Summary – Owned all-in capex $M per IT MW (Low / Base / High) and colo capex (excl. lease)</t>
  </si>
  <si>
    <t xml:space="preserve">Owned Low</t>
  </si>
  <si>
    <t xml:space="preserve">Owned Base</t>
  </si>
  <si>
    <t xml:space="preserve">Owned High</t>
  </si>
  <si>
    <t xml:space="preserve">Owned Base $M/gross MW</t>
  </si>
  <si>
    <t xml:space="preserve">Colo capex Base</t>
  </si>
  <si>
    <t xml:space="preserve">Colo lease-equiv Base</t>
  </si>
  <si>
    <t xml:space="preserve">GPU+net share of owned Base</t>
  </si>
  <si>
    <t xml:space="preserve">Cross-checks: Jensen Huang $50-60B per GW all-in (S34) ≈ $50-60M/MW; Bernstein $35B/GW (S34); Barclays 65-70% compute+networking (S34) vs our GPU+net share column; IREN $5.8B GPUs+ancillary / 200 MW IT = $29M/MW (Peers). Basis of external $/GW (IT vs gross) is generally NOT stated.</t>
  </si>
  <si>
    <t xml:space="preserve">GB300 NVL72 rack price – sourced input (v2, Oct 4 2026). Rack price INCLUDES 18 compute trays (72 B300 + 36 Grace, ConnectX-8 NICs) and 9 in-rack NVLink switch trays + in-rack liquid cooling (S35/S46/S9). EXCLUDES scale-out fabric (leaf/spine switches, optics), front-end/storage network, storage, install/integration, DC. Blue = input.</t>
  </si>
  <si>
    <t xml:space="preserve">#</t>
  </si>
  <si>
    <t xml:space="preserve">Source</t>
  </si>
  <si>
    <t xml:space="preserve">Date</t>
  </si>
  <si>
    <t xml:space="preserve">Price $M / rack</t>
  </si>
  <si>
    <t xml:space="preserve">Per GPU $k</t>
  </si>
  <si>
    <t xml:space="preserve">What's included</t>
  </si>
  <si>
    <t xml:space="preserve">Buyer/volume</t>
  </si>
  <si>
    <t xml:space="preserve">URL / ID</t>
  </si>
  <si>
    <t xml:space="preserve">Loop Capital (Apple order ~$1B / ~250 systems)</t>
  </si>
  <si>
    <t xml:space="preserve">2025-03-24</t>
  </si>
  <si>
    <t xml:space="preserve">System (Dell/SMCI), range $3.7-4.0M; scope n/s</t>
  </si>
  <si>
    <t xml:space="preserve">Large (Apple)</t>
  </si>
  <si>
    <t xml:space="preserve">Reported (sell-side via press)</t>
  </si>
  <si>
    <t xml:space="preserve">S37</t>
  </si>
  <si>
    <t xml:space="preserve">Morgan Stanley BOM (Howard Kao)</t>
  </si>
  <si>
    <t xml:space="preserve">2026-05-21</t>
  </si>
  <si>
    <t xml:space="preserve">ODM rack price, in-rack NVLink + cooling; no scale-out</t>
  </si>
  <si>
    <t xml:space="preserve">ODM sell-in</t>
  </si>
  <si>
    <t xml:space="preserve">Reported (secondary)</t>
  </si>
  <si>
    <t xml:space="preserve">S35</t>
  </si>
  <si>
    <t xml:space="preserve">Wolfe Research supply-chain checks</t>
  </si>
  <si>
    <t xml:space="preserve">2026-01-30</t>
  </si>
  <si>
    <t xml:space="preserve">'Reported prices' per rack</t>
  </si>
  <si>
    <t xml:space="preserve">n/s</t>
  </si>
  <si>
    <t xml:space="preserve">S36</t>
  </si>
  <si>
    <t xml:space="preserve">Data Gravity purchase orders</t>
  </si>
  <si>
    <t xml:space="preserve">2026-08-31</t>
  </si>
  <si>
    <t xml:space="preserve">EXW rack, no CDU ('just under $5.0M'); +$32k with CDU; deployed ~$5.7M excl core switching, storage, DC</t>
  </si>
  <si>
    <t xml:space="preserve">Small orders</t>
  </si>
  <si>
    <t xml:space="preserve">Reported (third-party)</t>
  </si>
  <si>
    <t xml:space="preserve">S9</t>
  </si>
  <si>
    <t xml:space="preserve">Tom's Hardware source (inference-optimized config)</t>
  </si>
  <si>
    <t xml:space="preserve">2026-03-24</t>
  </si>
  <si>
    <t xml:space="preserve">Range $6-6.5M; config/warranty differ; many online quotes = ODM price w/o warranty</t>
  </si>
  <si>
    <t xml:space="preserve">Reported (press)</t>
  </si>
  <si>
    <t xml:space="preserve">S8</t>
  </si>
  <si>
    <t xml:space="preserve">IREN Aug-2025 order: 2.4k B300+GB300 for ~$168M</t>
  </si>
  <si>
    <t xml:space="preserve">2025-08-28</t>
  </si>
  <si>
    <t xml:space="preserve">ALL-IN incl servers, InfiniBand, cabling, software (blended HGX B300 + GB300)</t>
  </si>
  <si>
    <t xml:space="preserve">Small (2.4k GPUs)</t>
  </si>
  <si>
    <t xml:space="preserve">Derived (company $ &amp; count)</t>
  </si>
  <si>
    <t xml:space="preserve">S39</t>
  </si>
  <si>
    <t xml:space="preserve">IREN-Dell Microsoft GB300 $5.8B / 76k GPUs</t>
  </si>
  <si>
    <t xml:space="preserve">2025-11-03</t>
  </si>
  <si>
    <t xml:space="preserve">ALL-IN 'GPUs and ancillary'; GPU count from secondary site</t>
  </si>
  <si>
    <t xml:space="preserve">Large (Dell)</t>
  </si>
  <si>
    <t xml:space="preserve">Derived (count unverified)</t>
  </si>
  <si>
    <t xml:space="preserve">S25/S42</t>
  </si>
  <si>
    <t xml:space="preserve">GB200 ref: SemiAnalysis hyperscaler rack / all-in</t>
  </si>
  <si>
    <t xml:space="preserve">2025-08-20</t>
  </si>
  <si>
    <t xml:space="preserve">Rack $3.1M; all-in incl networking, storage, other $3.9M (+$0.8M, +26%)</t>
  </si>
  <si>
    <t xml:space="preserve">Hyperscaler</t>
  </si>
  <si>
    <t xml:space="preserve">S6</t>
  </si>
  <si>
    <t xml:space="preserve">GB200 ref: Wolfe / Tom's</t>
  </si>
  <si>
    <t xml:space="preserve">2026</t>
  </si>
  <si>
    <t xml:space="preserve">Wolfe ~$3.0M; Tom's $2.8-3.4M</t>
  </si>
  <si>
    <t xml:space="preserve">S36/S8</t>
  </si>
  <si>
    <t xml:space="preserve">Selected inputs ($M)</t>
  </si>
  <si>
    <t xml:space="preserve">Item</t>
  </si>
  <si>
    <t xml:space="preserve">Stress</t>
  </si>
  <si>
    <t xml:space="preserve">Basis</t>
  </si>
  <si>
    <t xml:space="preserve">GB300 NVL72 rack price</t>
  </si>
  <si>
    <t xml:space="preserve">$M/rack</t>
  </si>
  <si>
    <t xml:space="preserve">Low = MS BOM / Loop (hyperscale-type volume); Base = midpoint of volume ($4.0-4.3M) and small-order POs ($5.0M) – Nebius buys at &gt;100k-GPU scale (S43) but via OEM/ODM in a memory-inflation year; High = Data Gravity POs; Stress = Tom's</t>
  </si>
  <si>
    <t xml:space="preserve">Racks per IT MW (base density, link)</t>
  </si>
  <si>
    <t xml:space="preserve">racks</t>
  </si>
  <si>
    <t xml:space="preserve">491 GPUs/IT MW (137 kW + 7%)</t>
  </si>
  <si>
    <t xml:space="preserve">Compute $M/IT MW</t>
  </si>
  <si>
    <t xml:space="preserve">$M/MW</t>
  </si>
  <si>
    <t xml:space="preserve">Derived</t>
  </si>
  <si>
    <t xml:space="preserve">  memo: scale-out fabric only $k/GPU (2-tier 800G)</t>
  </si>
  <si>
    <t xml:space="preserve">$k/GPU</t>
  </si>
  <si>
    <t xml:space="preserve">Hedgehog Spectrum-X 1,024 GPUs $1.6-2.2k (S45); larger 3-tier clusters + optics higher (Estimated)</t>
  </si>
  <si>
    <t xml:space="preserve">Network+storage+install/other $M/rack</t>
  </si>
  <si>
    <t xml:space="preserve">Bucket = scale-out + front-end + storage + install/integration. SemiAnalysis GB200 all-in +$0.8M/rack (S6); Data Gravity +$0.7M deploy (S9) before core switching/storage; GB300 800G CX-8. NICs + NVLink already in rack price</t>
  </si>
  <si>
    <t xml:space="preserve">Network etc. $M/IT MW</t>
  </si>
  <si>
    <t xml:space="preserve">Derived ($6.1M base unchanged)</t>
  </si>
  <si>
    <t xml:space="preserve">Compute + network $M/IT MW</t>
  </si>
  <si>
    <t xml:space="preserve">Compare to cutoff</t>
  </si>
  <si>
    <t xml:space="preserve">Colo fit-out $M/IT MW</t>
  </si>
  <si>
    <t xml:space="preserve">as CapexPerMW</t>
  </si>
  <si>
    <t xml:space="preserve">Leased capex (no shell) $M/IT MW</t>
  </si>
  <si>
    <t xml:space="preserve">Equals CapexPerMW colo capex</t>
  </si>
  <si>
    <t xml:space="preserve">IT-reading cutoff (team)</t>
  </si>
  <si>
    <t xml:space="preserve">Team breakeven for IT reading of $20-25M ACV/MW &amp; 22-mo payback</t>
  </si>
  <si>
    <t xml:space="preserve">Headroom vs cutoff (+ = IT reading works)</t>
  </si>
  <si>
    <t xml:space="preserve">Breakeven rack price at this network cost</t>
  </si>
  <si>
    <t xml:space="preserve">Breakeven GPUs/IT MW at this rack+network</t>
  </si>
  <si>
    <t xml:space="preserve">GPU/MW</t>
  </si>
  <si>
    <t xml:space="preserve">Derived – IREN's $5.8B/200 MW IT/76k = 380/IT MW passes</t>
  </si>
  <si>
    <t xml:space="preserve">Density sensitivity – compute+network $M/IT MW at base prices</t>
  </si>
  <si>
    <t xml:space="preserve">GPUs/IT MW</t>
  </si>
  <si>
    <t xml:space="preserve">Racks/MW</t>
  </si>
  <si>
    <t xml:space="preserve">Compute+net $M/MW</t>
  </si>
  <si>
    <t xml:space="preserve">vs $33M</t>
  </si>
  <si>
    <t xml:space="preserve">Peer cross-checks: IREN-Dell $5.8B / 200 MW IT = $29.0M/IT MW all-in GPU+ancillary (S25) – below the cutoff but at lower density (~380/MW if 76k GPUs; at 491/MW it would imply ~$4.25M per rack incl network). IREN all-in ~$70k/GPU on small 2025 order incl InfiniBand (S39) = $5.0M per 72 GPUs all-in → $34.4M/IT MW at 491/MW. Rubin cross-check (GPU Market team): MS VR $7.8M ÷ 1.95 = $4.0M; Bernstein $9.1M ÷ 1.68 = $5.4M mixes Bernstein's price with MS's ratio (ratio is internal to MS's BOM) – treat as upper bound only.</t>
  </si>
  <si>
    <t xml:space="preserve">Nebius-implied cross-checks (inputs blue = Reported from disclosures/sources; formulas = Derived)</t>
  </si>
  <si>
    <t xml:space="preserve">Check</t>
  </si>
  <si>
    <t xml:space="preserve">Input A</t>
  </si>
  <si>
    <t xml:space="preserve">Value A</t>
  </si>
  <si>
    <t xml:space="preserve">Input B</t>
  </si>
  <si>
    <t xml:space="preserve">Value B</t>
  </si>
  <si>
    <t xml:space="preserve">Model comparison</t>
  </si>
  <si>
    <t xml:space="preserve">Model value</t>
  </si>
  <si>
    <t xml:space="preserve">Interpretation</t>
  </si>
  <si>
    <t xml:space="preserve">Modi'in B200 density</t>
  </si>
  <si>
    <t xml:space="preserve">GPUs</t>
  </si>
  <si>
    <t xml:space="preserve">MW</t>
  </si>
  <si>
    <t xml:space="preserve">GPUs/MW</t>
  </si>
  <si>
    <t xml:space="preserve">B200 base GPUs/IT MW</t>
  </si>
  <si>
    <t xml:space="preserve">500/MW ≈ model 508/IT-MW (vs ~391/gross MW) → the 8 MW reads as IT/critical load, or near-IT</t>
  </si>
  <si>
    <t xml:space="preserve">S18</t>
  </si>
  <si>
    <t xml:space="preserve">Longcross B300 – phase 1</t>
  </si>
  <si>
    <t xml:space="preserve">B300 base GPUs/IT MW</t>
  </si>
  <si>
    <t xml:space="preserve">250/MW is ~half of model density → phase 1 did not fill the 16 MW</t>
  </si>
  <si>
    <t xml:space="preserve">Longcross B300 – ph1+ph2 on 16 MW</t>
  </si>
  <si>
    <t xml:space="preserve">B300 base GPUs/gross MW</t>
  </si>
  <si>
    <t xml:space="preserve">438/MW sits between gross (386) and IT (502) model density</t>
  </si>
  <si>
    <t xml:space="preserve">Longcross B300 – ph1+ph2 on 19 MW</t>
  </si>
  <si>
    <t xml:space="preserve">368/MW ≈ gross-MW basis</t>
  </si>
  <si>
    <t xml:space="preserve">Patmos KC full build (landlord claim)</t>
  </si>
  <si>
    <t xml:space="preserve">H200 HIGH-case GPUs/IT MW</t>
  </si>
  <si>
    <t xml:space="preserve">875/MW is above even the high-case Hopper IT density (~813) → the landlord's marketing claim isn't physically consistent; don't use it</t>
  </si>
  <si>
    <t xml:space="preserve">YE2024 GPUs vs connected MW</t>
  </si>
  <si>
    <t xml:space="preserve">&gt;20k GPUs (Estimated from target)</t>
  </si>
  <si>
    <t xml:space="preserve">MW connected YE24</t>
  </si>
  <si>
    <t xml:space="preserve">H100/H200 base GPUs/IT MW</t>
  </si>
  <si>
    <t xml:space="preserve">~800/MW is above base IT density (713) → GPU count likely includes GPUs not yet energized, or MW is understated</t>
  </si>
  <si>
    <t xml:space="preserve">End-Q1'25 GPUs vs est. MW</t>
  </si>
  <si>
    <t xml:space="preserve">GPUs (Reported ~38k)</t>
  </si>
  <si>
    <t xml:space="preserve">MW est. = 25 YE24 + 10 Keflavik (+0 KC live Apr-25)</t>
  </si>
  <si>
    <t xml:space="preserve">H100/H200 high GPUs/IT MW</t>
  </si>
  <si>
    <t xml:space="preserve">Derived (MW Estimated)</t>
  </si>
  <si>
    <t xml:space="preserve">~1,086/MW is physically implausible for Hopper → '38k' must include GPUs delivered or allocated but not yet powered. Don't back out MW from GPU counts</t>
  </si>
  <si>
    <t xml:space="preserve">YE2025 in-service servers+network per active MW</t>
  </si>
  <si>
    <t xml:space="preserve">Gross servers &amp; network $M</t>
  </si>
  <si>
    <t xml:space="preserve">Active MW YE25</t>
  </si>
  <si>
    <t xml:space="preserve">Hopper base GPU+net $M/IT MW</t>
  </si>
  <si>
    <t xml:space="preserve">$18.4M/MW is below the model's ~$25.9M/IT MW for Hopper. Possible reasons: active MW is close to gross, GPUs were bought cheaply, or part of the active hardware sits in 'assets not yet in use'</t>
  </si>
  <si>
    <t xml:space="preserve">S16/S18</t>
  </si>
  <si>
    <t xml:space="preserve">YE2025 upper bound incl. assets not in use</t>
  </si>
  <si>
    <t xml:space="preserve">Servers+network + AnYU $M</t>
  </si>
  <si>
    <t xml:space="preserve">B200 base GPU+net $M/IT MW</t>
  </si>
  <si>
    <t xml:space="preserve">Upper bound. Assets not yet in use (AnYU) include prepayments and DC infrastructure for future MW, so this overstates $/active MW</t>
  </si>
  <si>
    <t xml:space="preserve">S16</t>
  </si>
  <si>
    <t xml:space="preserve">Q2'26 in-service servers+network per active MW</t>
  </si>
  <si>
    <t xml:space="preserve">Gross server &amp; network equipment Jun-26 $M</t>
  </si>
  <si>
    <t xml:space="preserve">Active MW Q2'26 (team input)</t>
  </si>
  <si>
    <t xml:space="preserve">GB300 base GPU+net $M/IT MW</t>
  </si>
  <si>
    <t xml:space="preserve">$28.4M/active MW: above Hopper model GPU+net (~$25.9M/IT MW @713/MW) and below GB300 base (~$36.8M) → consistent with active MW = IT and a Hopper-heavy in-service fleet plus a Blackwell tail (~25-30% Blackwell by MW at model prices). If active MW were gross (÷1.2 → 152 IT MW) it would be $34M/IT MW, i.e. a near-all-Blackwell fleet, which the GPU mix doesn't support. Caveat: vintage pricing and partially-energized MW</t>
  </si>
  <si>
    <t xml:space="preserve">S48</t>
  </si>
  <si>
    <t xml:space="preserve">2026 capex guide / connected MW added – low</t>
  </si>
  <si>
    <t xml:space="preserve">Capex guide low $B</t>
  </si>
  <si>
    <t xml:space="preserve">MW added (800-220)</t>
  </si>
  <si>
    <t xml:space="preserve">GB300 base owned $M/IT MW</t>
  </si>
  <si>
    <t xml:space="preserve">$27.6M per connected MW added. Understated because GPUs for capacity connected late in 2026 are bought in 1H27</t>
  </si>
  <si>
    <t xml:space="preserve">S14/S18</t>
  </si>
  <si>
    <t xml:space="preserve">2026 capex guide / connected MW added – high</t>
  </si>
  <si>
    <t xml:space="preserve">Capex guide high $B</t>
  </si>
  <si>
    <t xml:space="preserve">MW added (1000-220)</t>
  </si>
  <si>
    <t xml:space="preserve">—</t>
  </si>
  <si>
    <t xml:space="preserve">$25.6M/MW; range across both ends ≈ $20.5-34.5M/MW (16/0.78 to 20/0.58)</t>
  </si>
  <si>
    <t xml:space="preserve">DC build share of 2026 capex</t>
  </si>
  <si>
    <t xml:space="preserve">Capex mid $B</t>
  </si>
  <si>
    <t xml:space="preserve">DC share</t>
  </si>
  <si>
    <t xml:space="preserve">$M/MW (on 680 MW mid added)</t>
  </si>
  <si>
    <t xml:space="preserve">DC shell base liquid $M/MW</t>
  </si>
  <si>
    <t xml:space="preserve">~$5.3M/MW of DC capex per connected MW added. Well below $12.5M owned-build cost, which fits a colo-heavy 2026 (Vineland, Béthune, Israel and UK are leased) plus spend on land/power for 2027+ sites</t>
  </si>
  <si>
    <t xml:space="preserve">S14</t>
  </si>
  <si>
    <t xml:space="preserve">Payback-implied capex/MW (base)</t>
  </si>
  <si>
    <t xml:space="preserve">ACV $M/MW (Q2 deals mid)</t>
  </si>
  <si>
    <t xml:space="preserve">Payback yrs (1y10m)</t>
  </si>
  <si>
    <t xml:space="preserve">Estimated</t>
  </si>
  <si>
    <t xml:space="preserve">capex ≈ payback × ACV × contribution margin (60% assumed; AI-cloud adj. EBITDA 50%, S15) = ~$24.8M/MW; range 18.3 (20 × 0.5) to 32.1 (25 × 0.7). Sits below the GB300 GPU+net model → per-MW denominator likely gross/contracted MW and/or the payback excludes DC shell</t>
  </si>
  <si>
    <t xml:space="preserve">S15</t>
  </si>
  <si>
    <t xml:space="preserve">Microsoft ACV per MW (Vineland)</t>
  </si>
  <si>
    <t xml:space="preserve">TCV $B / 5 yrs</t>
  </si>
  <si>
    <t xml:space="preserve">MW (Nebius 'up to 300')</t>
  </si>
  <si>
    <t xml:space="preserve">$M ACV/MW</t>
  </si>
  <si>
    <t xml:space="preserve">Nebius '2026 base' ACV/MW (Q2 letter)</t>
  </si>
  <si>
    <t xml:space="preserve">[RETIRED 10/9: gross-MW basis; use $14.49M per IT MW = $17.4B/5/240 IT MW, D] $11.6M/MW on 300 MW, close to the ~$12M '2026 base' ACV/MW in the Q2 letter. On ~240 MW IT it would be $14.5M/MW</t>
  </si>
  <si>
    <t xml:space="preserve">S15/S19</t>
  </si>
  <si>
    <t xml:space="preserve">Vineland: max facility supply (installed)</t>
  </si>
  <si>
    <t xml:space="preserve">Bloom installed MW</t>
  </si>
  <si>
    <t xml:space="preserve">Grid MW (mechanical)</t>
  </si>
  <si>
    <t xml:space="preserve">MW supply</t>
  </si>
  <si>
    <t xml:space="preserve">300 MW as IT × base PUE 1.20</t>
  </si>
  <si>
    <t xml:space="preserve">333 MW installed supply &lt; 360 MW needed if 300 MW were IT at PUE 1.2 → 300 MW reads as facility/gross</t>
  </si>
  <si>
    <t xml:space="preserve">S20/S23</t>
  </si>
  <si>
    <t xml:space="preserve">Vineland: firm supply (guaranteed)</t>
  </si>
  <si>
    <t xml:space="preserve">Bloom guaranteed MW</t>
  </si>
  <si>
    <t xml:space="preserve">Grid MW</t>
  </si>
  <si>
    <t xml:space="preserve">Implied IT if 300 = gross, PUE 1.2-1.3</t>
  </si>
  <si>
    <t xml:space="preserve">~255 MW firm supply; implied IT ≈ 231-250 MW (300/1.3 to 300/1.2)</t>
  </si>
  <si>
    <t xml:space="preserve">S23</t>
  </si>
  <si>
    <t xml:space="preserve">Vineland: 150k GB300 claim vs power</t>
  </si>
  <si>
    <t xml:space="preserve">GPUs (secondary claim)</t>
  </si>
  <si>
    <t xml:space="preserve">GB300 base all-in IT kW/GPU</t>
  </si>
  <si>
    <t xml:space="preserve">MW IT needed</t>
  </si>
  <si>
    <t xml:space="preserve">× base PUE → gross MW</t>
  </si>
  <si>
    <t xml:space="preserve">Needs ~305 MW IT / ~366 MW gross, more than the 333 MW installed supply → the '&gt;150k GB300' claim (S23, unverified) is probably overstated, or a mix with lower-power parts</t>
  </si>
  <si>
    <t xml:space="preserve">MW basis – what Nebius says</t>
  </si>
  <si>
    <t xml:space="preserve">Active MW: defined as 'power being consumed by installed, operational IT equipment' (Q1'26 letter, S17). Read literally, that is IT-equipment draw, so IT basis (Reported wording; Nebius never uses the terms 'IT load' or 'critical' explicitly).</t>
  </si>
  <si>
    <t xml:space="preserve">Connected MW: 'power connected into fully built and equipped data centers' (S17); Q2'25: includes active power plus power 'fully provisioned… can be activated immediately upon GPU installation'. The basis is ambiguous; it reads as facility/provisioned capacity (Estimated).</t>
  </si>
  <si>
    <t xml:space="preserve">Contracted MW: land + power commitments (S17), i.e. utility/grid or generation capacity, so gross basis (Estimated).</t>
  </si>
  <si>
    <t xml:space="preserve">Site MW (Vineland 300, Lappeenranta 310, Independence 1.2 GW, PA 1.2 GW, etc.) are never labelled IT or gross. AIB (50 MW critical IT / 65 MW utility, ratio 1.30) and IREN/Nscale (Monarch 6.5 GW IT / 8 GW gross, ratio 1.23) show the typical gap.</t>
  </si>
  <si>
    <t xml:space="preserve">Vineland verdict (Estimated, medium confidence): '300 MW' is most consistent with FACILITY/gross power, implying ~230-250 MW IT. Evidence: Nebius 'expandable up to a total of 300 MW' (no label, S19); nj.com 'draw about 300 MW of power' (S21); Bloom 328 MW installed (Nebius PR, S20) / ~250 MW guaranteed (S23) + 5 MW grid for mechanical load (S23). DataOne says fuel cells feed 'data halls and associated mechanical loads' (S22), so the fuel-cell output must cover IT + cooling, and 300 MW IT × PUE ≥1.2 = ≥360 MW exceeds the 333 MW installed. Counter-evidence: Measured AI claims '315 MW IT capacity' (secondary, no primary cite, S23); DataOne cites a 'maximum capacity of 350MW' (S22); Courier-Post says the Bloom plant is 'capable of 374 MW' (S21). The planning-board agendas (S24) give square footage only, no MW.</t>
  </si>
  <si>
    <t xml:space="preserve">Peer disclosures – GPUs per MW and $ per MW (inputs blue; Derived formulas)</t>
  </si>
  <si>
    <t xml:space="preserve">Peer</t>
  </si>
  <si>
    <t xml:space="preserve">Datapoint</t>
  </si>
  <si>
    <t xml:space="preserve">MW basis stated?</t>
  </si>
  <si>
    <t xml:space="preserve">Comment</t>
  </si>
  <si>
    <t xml:space="preserve">IREN</t>
  </si>
  <si>
    <t xml:space="preserve">Microsoft GB300 GPU+ancillary capex per IT MW</t>
  </si>
  <si>
    <t xml:space="preserve">Dell purchase $B</t>
  </si>
  <si>
    <t xml:space="preserve">IT MW (Horizon 1-4)</t>
  </si>
  <si>
    <t xml:space="preserve">$M/MW IT</t>
  </si>
  <si>
    <t xml:space="preserve">IT (critical)</t>
  </si>
  <si>
    <t xml:space="preserve">$29M/MW IT is GPU+ancillary only. Below our GB300 base GPU+net of ~$40M/IT MW → either IREN provisions fewer GPUs per IT MW (~360-410/MW at $70-80k/GPU) or Dell pricing is ~$4M/rack all-in</t>
  </si>
  <si>
    <t xml:space="preserve">S25</t>
  </si>
  <si>
    <t xml:space="preserve">Horizon 1 DC build (low) per IT MW</t>
  </si>
  <si>
    <t xml:space="preserve">Capex $M</t>
  </si>
  <si>
    <t xml:space="preserve">IT MW</t>
  </si>
  <si>
    <t xml:space="preserve">IT</t>
  </si>
  <si>
    <t xml:space="preserve">DC shell (liquid)</t>
  </si>
  <si>
    <t xml:space="preserve">$6.0-7.0M/MW IT ($4.0-4.7M on the 75 MW design figure). Texas brownfield with an existing substation, so a low-end anchor</t>
  </si>
  <si>
    <t xml:space="preserve">S26</t>
  </si>
  <si>
    <t xml:space="preserve">Horizon 1 DC build (high) per IT MW</t>
  </si>
  <si>
    <t xml:space="preserve">Microsoft ACV per IT MW</t>
  </si>
  <si>
    <t xml:space="preserve">TCV $B/5y</t>
  </si>
  <si>
    <t xml:space="preserve">$M ACV/MW IT</t>
  </si>
  <si>
    <t xml:space="preserve">GB300</t>
  </si>
  <si>
    <t xml:space="preserve">$9.7M/MW IT vs Nebius MSFT $14.49M per IT MW (D; $11.6M on 300 MW gross retired 10/9)</t>
  </si>
  <si>
    <t xml:space="preserve">New contracts revenue per IT MW (Reported)</t>
  </si>
  <si>
    <t xml:space="preserve">Rev $M/MW IT</t>
  </si>
  <si>
    <t xml:space="preserve">Payback yrs</t>
  </si>
  <si>
    <t xml:space="preserve">$M/MW (rev × payback; upper bound on GPU capex)</t>
  </si>
  <si>
    <t xml:space="preserve">Blackwell/GB300</t>
  </si>
  <si>
    <t xml:space="preserve">Upper bound. GPU capex = payback × (rev − direct costs), so it is &lt; $40M/MW</t>
  </si>
  <si>
    <t xml:space="preserve">S27</t>
  </si>
  <si>
    <t xml:space="preserve">CoreWeave</t>
  </si>
  <si>
    <t xml:space="preserve">PP&amp;E net per active MW (YE25)</t>
  </si>
  <si>
    <t xml:space="preserve">PP&amp;E net $M</t>
  </si>
  <si>
    <t xml:space="preserve">Active MW</t>
  </si>
  <si>
    <t xml:space="preserve">not stated</t>
  </si>
  <si>
    <t xml:space="preserve">Mixed H100-GB300</t>
  </si>
  <si>
    <t xml:space="preserve">Mostly leased DCs, so this is ≈ GPU+network on a net (depreciated) basis; includes CIP for future MW</t>
  </si>
  <si>
    <t xml:space="preserve">S28</t>
  </si>
  <si>
    <t xml:space="preserve">PP&amp;E net per active MW (Q2'26)</t>
  </si>
  <si>
    <t xml:space="preserve">Mixed</t>
  </si>
  <si>
    <t xml:space="preserve">$31.2M/MW</t>
  </si>
  <si>
    <t xml:space="preserve">2026 capex guide mid / active MW added</t>
  </si>
  <si>
    <t xml:space="preserve">MW added (1850-850)</t>
  </si>
  <si>
    <t xml:space="preserve">$M/MW added</t>
  </si>
  <si>
    <t xml:space="preserve">GB300/VR</t>
  </si>
  <si>
    <t xml:space="preserve">~$37M per incremental active MW (the guide is from a secondary summary, so verify it)</t>
  </si>
  <si>
    <t xml:space="preserve">S29/S28</t>
  </si>
  <si>
    <t xml:space="preserve">Nscale</t>
  </si>
  <si>
    <t xml:space="preserve">GPUs per MW (portfolio)</t>
  </si>
  <si>
    <t xml:space="preserve">GPUs active+contracted</t>
  </si>
  <si>
    <t xml:space="preserve">MW active+contracted</t>
  </si>
  <si>
    <t xml:space="preserve">GB300/VR mix</t>
  </si>
  <si>
    <t xml:space="preserve">338/MW. Between our GB300 gross (~409) and VR gross (~267)</t>
  </si>
  <si>
    <t xml:space="preserve">S30</t>
  </si>
  <si>
    <t xml:space="preserve">SIN02 Portugal – VR NVL72</t>
  </si>
  <si>
    <t xml:space="preserve">not stated ('200 MW powered land')</t>
  </si>
  <si>
    <t xml:space="preserve">Vera Rubin NVL72</t>
  </si>
  <si>
    <t xml:space="preserve">330/MW ≈ our VR base IT (320) → if 200 MW is gross, this implies higher density or a lower-power VR profile</t>
  </si>
  <si>
    <t xml:space="preserve">Monarch IT/gross ratio</t>
  </si>
  <si>
    <t xml:space="preserve">Gross GW</t>
  </si>
  <si>
    <t xml:space="preserve">IT GW</t>
  </si>
  <si>
    <t xml:space="preserve">gross/IT</t>
  </si>
  <si>
    <t xml:space="preserve">both</t>
  </si>
  <si>
    <t xml:space="preserve">1.23 PUE-equivalent (includes behind-the-meter generation losses)</t>
  </si>
  <si>
    <t xml:space="preserve">AIB/Nebius</t>
  </si>
  <si>
    <t xml:space="preserve">SE US lease IT vs utility</t>
  </si>
  <si>
    <t xml:space="preserve">Utility MW</t>
  </si>
  <si>
    <t xml:space="preserve">Critical IT MW</t>
  </si>
  <si>
    <t xml:space="preserve">n/d</t>
  </si>
  <si>
    <t xml:space="preserve">1.30 ratio on a Nebius-contracted site</t>
  </si>
  <si>
    <t xml:space="preserve">Oracle/OpenAI</t>
  </si>
  <si>
    <t xml:space="preserve">Stargate Abilene GB200</t>
  </si>
  <si>
    <t xml:space="preserve">375/MW, below our GB200 gross base (~448) → 1.2 GW is likely utility/gross with headroom</t>
  </si>
  <si>
    <t xml:space="preserve">S32</t>
  </si>
  <si>
    <t xml:space="preserve">Crusoe</t>
  </si>
  <si>
    <t xml:space="preserve">Abilene JV $ per MW</t>
  </si>
  <si>
    <t xml:space="preserve">JV $B</t>
  </si>
  <si>
    <t xml:space="preserve">DC shell+power</t>
  </si>
  <si>
    <t xml:space="preserve">$12.5M/MW DC (no GPUs)</t>
  </si>
  <si>
    <t xml:space="preserve">S31</t>
  </si>
  <si>
    <t xml:space="preserve">Abilene phase 1 $ per MW</t>
  </si>
  <si>
    <t xml:space="preserve">Financing $B</t>
  </si>
  <si>
    <t xml:space="preserve">MW (200+)</t>
  </si>
  <si>
    <t xml:space="preserve">≤$17M/MW ('200+ MW')</t>
  </si>
  <si>
    <t xml:space="preserve">Lambda</t>
  </si>
  <si>
    <t xml:space="preserve">Kansas City launch density</t>
  </si>
  <si>
    <t xml:space="preserve">GPUs (&gt;)</t>
  </si>
  <si>
    <t xml:space="preserve">MW at launch</t>
  </si>
  <si>
    <t xml:space="preserve">B300 (Blackwell Ultra)</t>
  </si>
  <si>
    <t xml:space="preserve">≥417/MW. Between B300 gross (386) and IT (502)</t>
  </si>
  <si>
    <t xml:space="preserve">S33</t>
  </si>
  <si>
    <t xml:space="preserve">Supermicro</t>
  </si>
  <si>
    <t xml:space="preserve">VR NVL72 blueprint</t>
  </si>
  <si>
    <t xml:space="preserve">GPUs per SU</t>
  </si>
  <si>
    <t xml:space="preserve">MW envelope</t>
  </si>
  <si>
    <t xml:space="preserve">GPUs/MW (envelope)</t>
  </si>
  <si>
    <t xml:space="preserve">envelope (gross-like)</t>
  </si>
  <si>
    <t xml:space="preserve">230/MW envelope; 16 racks × 227 kW = 3.63 MW IT → envelope/IT 1.38</t>
  </si>
  <si>
    <t xml:space="preserve">S7</t>
  </si>
  <si>
    <t xml:space="preserve">NVIDIA (Huang)</t>
  </si>
  <si>
    <t xml:space="preserve">All-in $ per GW (low)</t>
  </si>
  <si>
    <t xml:space="preserve">$B per GW</t>
  </si>
  <si>
    <t xml:space="preserve">Blackwell/Rubin</t>
  </si>
  <si>
    <t xml:space="preserve">Reported</t>
  </si>
  <si>
    <t xml:space="preserve">$50-60M/MW all-in</t>
  </si>
  <si>
    <t xml:space="preserve">S34</t>
  </si>
  <si>
    <t xml:space="preserve">All-in $ per GW (high)</t>
  </si>
  <si>
    <t xml:space="preserve">Bernstein</t>
  </si>
  <si>
    <t xml:space="preserve">All-in $ per GW</t>
  </si>
  <si>
    <t xml:space="preserve">GPU share</t>
  </si>
  <si>
    <t xml:space="preserve">$B GPUs per GW</t>
  </si>
  <si>
    <t xml:space="preserve">GB200/Rubin</t>
  </si>
  <si>
    <t xml:space="preserve">GPUs ~$13.7B/GW; land+buildings ~10%</t>
  </si>
  <si>
    <t xml:space="preserve">Cushman &amp; Wakefield</t>
  </si>
  <si>
    <t xml:space="preserve">Greenfield DC all-in excl. GPUs</t>
  </si>
  <si>
    <t xml:space="preserve">$M/MW avg</t>
  </si>
  <si>
    <t xml:space="preserve">Range low/high</t>
  </si>
  <si>
    <t xml:space="preserve">8.9-23.3</t>
  </si>
  <si>
    <t xml:space="preserve">per MW (basis n/s)</t>
  </si>
  <si>
    <t xml:space="preserve">DC</t>
  </si>
  <si>
    <t xml:space="preserve">+21% vs Q4-24</t>
  </si>
  <si>
    <t xml:space="preserve">S11</t>
  </si>
  <si>
    <t xml:space="preserve">Colocation market</t>
  </si>
  <si>
    <t xml:space="preserve">Wholesale rent 10 MW+</t>
  </si>
  <si>
    <t xml:space="preserve">$/kW-mo</t>
  </si>
  <si>
    <t xml:space="preserve">3-10 MW</t>
  </si>
  <si>
    <t xml:space="preserve">$M/MW-yr</t>
  </si>
  <si>
    <t xml:space="preserve">per kW leased (IT)</t>
  </si>
  <si>
    <t xml:space="preserve">≈$2.0-2.5M per MW-yr ($165-205)</t>
  </si>
  <si>
    <t xml:space="preserve">S13</t>
  </si>
  <si>
    <t xml:space="preserve">ID</t>
  </si>
  <si>
    <t xml:space="preserve">Description / datapoints used</t>
  </si>
  <si>
    <t xml:space="preserve">URL / path</t>
  </si>
  <si>
    <t xml:space="preserve">S1</t>
  </si>
  <si>
    <t xml:space="preserve">NVIDIA DGX H100/H200 User Guide – system power 10.2 kW max</t>
  </si>
  <si>
    <t xml:space="preserve">https://docs.nvidia.com/dgx/dgxh100-user-guide/introduction-to-dgxh100.html</t>
  </si>
  <si>
    <t xml:space="preserve">S2</t>
  </si>
  <si>
    <t xml:space="preserve">NVIDIA DGX SuperPOD H100 data center design – 127 DGX = 1,295 kW + ~116 kW IB/mgmt/storage switches (EAP)</t>
  </si>
  <si>
    <t xml:space="preserve">https://docs.nvidia.com/dgx-superpod/design-guides/dgx-superpod-data-center-design-h100/latest/planning.html</t>
  </si>
  <si>
    <t xml:space="preserve">S3</t>
  </si>
  <si>
    <t xml:space="preserve">NVIDIA DGX B200 User Guide – 14.3 kW max</t>
  </si>
  <si>
    <t xml:space="preserve">https://docs.nvidia.com/dgx/dgxb200-user-guide/introduction-to-dgxb200.html</t>
  </si>
  <si>
    <t xml:space="preserve">S4</t>
  </si>
  <si>
    <t xml:space="preserve">NVIDIA DGX B300 User Guide / DC best practices – 14.5 kW (busbar) / 15 kW (AC) est., 19-19.7 kW peak; nvidia.com ~14 kW</t>
  </si>
  <si>
    <t xml:space="preserve">https://docs.nvidia.com/dgx/dgxb300-user-guide/introduction-to-dgxb300.html ; https://docs.nvidia.com/dgx-pdf/data-center-best-practices-with-dgx-b300-v1.pdf</t>
  </si>
  <si>
    <t xml:space="preserve">S5</t>
  </si>
  <si>
    <t xml:space="preserve">NVIDIA NVL72 AI Factory ref. arch – GB300 NVL72 'up to 142 kW'; Lenovo 135 kW TDP (155 peak); HPE 132-140 kW</t>
  </si>
  <si>
    <t xml:space="preserve">https://docs.nvidia.com/enterprise-reference-architectures/nvl72-ai-factory/latest/components.html ; https://lenovopress.lenovo.com/lp2357-lenovo-nvidia-gb300-nvl72-rack-scale-ai ; https://buy.hpe.com/emea_europe/en/compute/rack-scale-system/nvidia-nvl-system/nvidia-gb300-nvl72-by-hpe/p/1014890105</t>
  </si>
  <si>
    <t xml:space="preserve">SemiAnalysis InferenceX – GB200 NVL72: 1,200 W TDP, 1.87 kW all-in per GPU; SemiAnalysis H100 vs GB200 (Aug-2025): H100 server ~$190k, all-in ~$250k/server; GB200 NVL72 rack $3.1M, all-in ~$3.9M</t>
  </si>
  <si>
    <t xml:space="preserve">https://inferencex.semianalysis.com/chips/gb200-nvl72 ; https://newsletter.semianalysis.com/p/h100-vs-gb200-nvl72-training-benchmarks</t>
  </si>
  <si>
    <t xml:space="preserve">Reported (third-party estimate)</t>
  </si>
  <si>
    <t xml:space="preserve">Vera Rubin NVL72 rack power – NVIDIA does not publish; Ming-Chi Kuo est. ~190 kW Max-Q / ~230 kW Max-P (via Spheron); Supermicro sizes VR NVL72 SU at 227 kW/rack; 1,152 GPUs (16 racks) per 5 MW envelope</t>
  </si>
  <si>
    <t xml:space="preserve">https://www.spheron.network/blog/nvidia-vera-rubin-nvl72-guide/ ; https://www.securities.io/supermicro-ships-nvidia-vera-rubin-nvl72-racks-with-dlc-2-cooling/</t>
  </si>
  <si>
    <t xml:space="preserve">Estimated (third-party)</t>
  </si>
  <si>
    <t xml:space="preserve">Tom's Hardware (Mar 24 2026) – GB200 NVL72 $2.8-3.4M; GB300 NVL72 $6-6.5M; VR200 NVL72 $5-7M incl ~$1M NAND; VR300 NVL144 $7-8.8M</t>
  </si>
  <si>
    <t xml:space="preserve">https://www.tomshardware.com/tech-industry/artificial-intelligence/price-of-nvidias-vera-rubin-nvl72-racks-skyrockets-to-as-much-as-usd8-8-million-apiece-but-server-makers-margins-will-be-tight-nvidia-is-moving-closer-to-shipping-entire-full-scale-systems</t>
  </si>
  <si>
    <t xml:space="preserve">Reported (press/source)</t>
  </si>
  <si>
    <t xml:space="preserve">Data Gravity (Aug 31 2026) – GB300 NVL72 POs just under $5.0M; ~$5.7M deployed (excl. DC, core switching, storage); 132-140 kW</t>
  </si>
  <si>
    <t xml:space="preserve">https://www.datagravity.dev/p/how-much-does-an-nvidia-nvl72-cost</t>
  </si>
  <si>
    <t xml:space="preserve">S10</t>
  </si>
  <si>
    <t xml:space="preserve">HGX B200 server $360-560k (typical $420-500k); HGX B300 $420-750k (planning $550-650k) – vendor/blog price surveys</t>
  </si>
  <si>
    <t xml:space="preserve">https://www.mercatus-ai.com/blog/b200-server-price ; https://gpusmith.com/articles/en/nvidia-hgx-b300-price-specs</t>
  </si>
  <si>
    <t xml:space="preserve">Estimated (third-party, low confidence)</t>
  </si>
  <si>
    <t xml:space="preserve">Cushman &amp; Wakefield 2026 DC Development Cost Guide (Sep 3 2026) – all-in greenfield US/Canada avg $17.6M/MW excl. chips/GPUs; costs +21%/MW vs Q4-24; powered land $584k/MW</t>
  </si>
  <si>
    <t xml:space="preserve">https://ir.cushmanwakefield.com/news/press-release-details/2026/Cushman--Wakefield-Releases-2026-Data-Center-Development-Cost-Guide-Citing-21-Rise-in-Per-MW-Construction-Costs/default.aspx</t>
  </si>
  <si>
    <t xml:space="preserve">S12</t>
  </si>
  <si>
    <t xml:space="preserve">JLL 2026 Global Data Center Outlook – ~$11.3M/MW shell &amp; core global; ~10% liquid-cooling premium (from search summary; PDF not opened)</t>
  </si>
  <si>
    <t xml:space="preserve">https://www.jll.com/content/dam/jllcom/en/global/documents/reports/research-reports/26-research-global-data-center-outlook-new.pdf</t>
  </si>
  <si>
    <t xml:space="preserve">Reported (secondary – verify)</t>
  </si>
  <si>
    <t xml:space="preserve">Wholesale colocation asking rents N.America 2026: ~$165/kW-mo (10 MW+), ~$175 (3-10 MW), ~$205 (250-500 kW); Encor ~$196/kW-mo H2-25 (via Data Gravity)</t>
  </si>
  <si>
    <t xml:space="preserve">https://datacenterscouts.com/data-center-lease-rates/ ; https://coloprice.com/colocation/wholesale/</t>
  </si>
  <si>
    <t xml:space="preserve">Nebius Q4'25 call (Feb 12 2026) – 2026 capex $16-20B; data-center build ≈20% of total capex</t>
  </si>
  <si>
    <t xml:space="preserve">https://www.roic.ai/quote/NBIS/transcripts/2025-year/4-quarter</t>
  </si>
  <si>
    <t xml:space="preserve">Nebius Q2'26 letter + call (Aug 12 2026) – deals $20-25M ACV/MW; prepayments cover 50-60% of capex; payback 1y10m on 'associated capex and related operating costs'; Q2 capex ~$5.7B; '2026 base' ACV/MW ~$12M; AI cloud adj. EBITDA margin 50%</t>
  </si>
  <si>
    <t xml:space="preserve">/workspace/nebius/src/q2_26.txt ; /workspace/nebius/src/q2t.txt ; https://assets.nebius.com/assets/4462517b-ce83-41f2-96ed-f2ac1bc06a05/SHLQ226%20%281%29.pdf</t>
  </si>
  <si>
    <t xml:space="preserve">Nebius 20-F FY2025 – PP&amp;E gross: servers &amp; network $794.9M (2024) / $3,123.6M (2025); assets not yet in use $163.8M / $2,417.4M; land &amp; buildings $381.4M; 2025 capex (cash) $4,066.0M; Finland 'one of the world's leading PUE'; owned DCs 'up to four times lower overheads' vs industry average</t>
  </si>
  <si>
    <t xml:space="preserve">/workspace/nebius/src/20f.txt ; https://www.sec.gov/Archives/edgar/data/1513845/000110465926052948/nbis-20251231x20f.htm</t>
  </si>
  <si>
    <t xml:space="preserve">S17</t>
  </si>
  <si>
    <t xml:space="preserve">Nebius Q1'26 letter definitions – Active = 'power being consumed by installed, operational IT equipment'; Connected = 'power connected into fully built and equipped data centers'; Contracted = land + power commitments</t>
  </si>
  <si>
    <t xml:space="preserve">https://assets.nebius.com/assets/aa1bc2e6-df83-40cd-a6a2-95e7cda3d16c/Nebius%20SHL_Q1%202026.pdf</t>
  </si>
  <si>
    <t xml:space="preserve">Nebius site list (this project) – Modi'in 8 MW / 4,000 B200; Longcross 16 MW / 4,000 B300 ph1 (+3,000 ph2), 16 MW live + 3 MW in delivery; Patmos KC 40 MW ~35,000 GPUs (landlord); ~25 MW connected YE24; ~38k GPUs end-Q1'25; ~170 MW active YE25; 220 MW connected YE25 target; 800 MW-1 GW connected YE26</t>
  </si>
  <si>
    <t xml:space="preserve">/workspace/nebius/capacity/site_list.md</t>
  </si>
  <si>
    <t xml:space="preserve">Reported (as compiled)</t>
  </si>
  <si>
    <t xml:space="preserve">S19</t>
  </si>
  <si>
    <t xml:space="preserve">Nebius blog Mar 5 2025 – NJ site 'expandable up to a total of 300 MW' (no IT/gross label)</t>
  </si>
  <si>
    <t xml:space="preserve">https://nebius.com/blog/posts/300-mw-new-jersey-and-iceland-regions</t>
  </si>
  <si>
    <t xml:space="preserve">S20</t>
  </si>
  <si>
    <t xml:space="preserve">Nebius/Bloom PR May 20 2026 – first project 328 MW installed fuel-cell capacity, operational 2026</t>
  </si>
  <si>
    <t xml:space="preserve">https://nebius.com/newsroom/nebius-and-bloom-energy-partner-to-power-ai-infrastructure-build-out</t>
  </si>
  <si>
    <t xml:space="preserve">S21</t>
  </si>
  <si>
    <t xml:space="preserve">Courier-Post (Aug 20 2026) – Bloom fuel cells 'capable of providing 374 MW, though less is expected to be needed'; nj.com: facility 'expected to draw about 300 MW of power'</t>
  </si>
  <si>
    <t xml:space="preserve">https://www.courierpostonline.com/story/money/business/2026/08/20/vineland-planning-board-hearing-vote-dataone-lincoln-avenue-data-center-new-site-plan/91338935007/ ; https://www.nj.com/business/2026/08/you-sold-us-out-nj-town-approves-next-phase-of-massive-ai-data-center-as-residents-erupt.html</t>
  </si>
  <si>
    <t xml:space="preserve">S22</t>
  </si>
  <si>
    <t xml:space="preserve">DataOne Q&amp;A site – Vineland 'maximum capacity of 350MW'; 14 data halls; 'data halls and associated mechanical loads will be fed from the fuel cells'; grid as backup for critical network racks</t>
  </si>
  <si>
    <t xml:space="preserve">https://askvineland.dataone.eu/</t>
  </si>
  <si>
    <t xml:space="preserve">Measured AI (Sep 9 2026) – claims 315 MW IT; Bloom 328 MW installed / ~250 MW guaranteed; 5 MW grid for mechanical load; &gt;150,000 GB300 at Vineland; $290M upfront to DataOne; Bloom fees up to $2.6B (secondary, partially unsourced)</t>
  </si>
  <si>
    <t xml:space="preserve">https://measuredai.substack.com/p/microsoft-new-jersey-ai-data-center</t>
  </si>
  <si>
    <t xml:space="preserve">Reported (secondary – unverified)</t>
  </si>
  <si>
    <t xml:space="preserve">S24</t>
  </si>
  <si>
    <t xml:space="preserve">Vineland Planning Board agendas Aug 5/17 2026 – Phase 1 129,622 sf + Phase 2 587,980 sf; nine Bloom power areas; chiller bldg; LNG (no MW stated)</t>
  </si>
  <si>
    <t xml:space="preserve">https://www.vinelandcity.org/Archive/Planning%20Board/Agendas/2026/Agenda%208-17-26%20%28Special%20Meeting%29.pdf</t>
  </si>
  <si>
    <t xml:space="preserve">IREN Microsoft PR (Nov 3 2025) – $9.7B 5-yr; GB300; Dell GPUs+ancillary ~$5.8B; Horizon 1-4 = ~200 MW critical IT</t>
  </si>
  <si>
    <t xml:space="preserve">https://www.globenewswire.com/news-release/2025/11/03/3178993/0/en/IREN-Secures-9-7bn-AI-Cloud-Contract-with-Microsoft.html</t>
  </si>
  <si>
    <t xml:space="preserve">IREN Horizon 1 – $300-350M for 75 MW design / 50 MW IT liquid-cooled DC (Feb/Mar 2025)</t>
  </si>
  <si>
    <t xml:space="preserve">https://www.datacenterdynamics.com/en/news/iren-plans-75mw-liquid-cooled-ai-data-center-in-texas/ ; https://www.sec.gov/Archives/edgar/data/1878848/000187884825000031/pressreleasemarch2025mon.htm</t>
  </si>
  <si>
    <t xml:space="preserve">IREN FY26 results (Aug 27 2026) – 3-yr contracts &gt;$20M rev/MW (IT), ~2-yr payback (GPU+ancillaries capex / (revenue - direct costs)); prepayments 45-55% of GPU capex</t>
  </si>
  <si>
    <t xml:space="preserve">/workspace/nebius/comps_raw/iren_fy26pr__irenreportsfy26results.htm.txt</t>
  </si>
  <si>
    <t xml:space="preserve">CoreWeave Q4'25 &amp; Q2'26 PRs – active &gt;850 MW YE25, 1.5 GW Q2'26; contracted ~3.7 GW; PP&amp;E net $30,557M (YE25) / $46,736M (Q2'26); Sep-26 convert deck: ~4.2 GW contracted</t>
  </si>
  <si>
    <t xml:space="preserve">/workspace/nebius/comps_raw/crwv_q2pr__coreweave2q26earningspress.htm.txt ; crwv_q4pr__coreweave4q25earningspress.htm.txt ; crwv_0917__crwv2026convertpresentat.htm.txt</t>
  </si>
  <si>
    <t xml:space="preserve">S29</t>
  </si>
  <si>
    <t xml:space="preserve">CoreWeave 2026 capex guide $35-39B; YE26 active &gt;1.85 GW (secondary summary of Q2'26 call)</t>
  </si>
  <si>
    <t xml:space="preserve">https://www.computelabs.ai/research/2026-08-11/coreweave-104-billion-backlog-forecast-year-end-active-power-above-1-85</t>
  </si>
  <si>
    <t xml:space="preserve">Reported (secondary – verify vs transcript)</t>
  </si>
  <si>
    <t xml:space="preserve">Nscale S-1 – ~461,000 active+contracted GPUs; ~1.37 GW active+contracted (1 GW owned, 200 MW leased, 165 MW colo); SIN02 200 MW for &gt;66,000 VR NVL72 GPUs; Monarch 6.5 GW IT / 8 GW gross</t>
  </si>
  <si>
    <t xml:space="preserve">/workspace/nebius/comps_raw/nscale_s1.htm.txt</t>
  </si>
  <si>
    <t xml:space="preserve">Crusoe/Blue Owl/Primary Digital – $15B JV for 1.2 GW Abilene; phase 1 (200+ MW) $3.4B</t>
  </si>
  <si>
    <t xml:space="preserve">https://www.globenewswire.com/news-release/2025/05/21/3085765/0/en/Crusoe-Blue-Owl-Capital-and-Primary-Digital-Infrastructure-Enter-Second-Phase-of-15-Billion-Joint-Venture-to-Fund-AI-Data-Center-in-Abilene-Texas.html</t>
  </si>
  <si>
    <t xml:space="preserve">DCD – OpenAI/Oracle to deploy &gt;450,000 GB200 at Stargate Abilene (1.2 GW)</t>
  </si>
  <si>
    <t xml:space="preserve">https://www.datacenterdynamics.com/en/news/openai-and-oracle-to-deploy-450000-gb200-gpus-at-stargate-abilene-data-center/</t>
  </si>
  <si>
    <t xml:space="preserve">Lambda (Oct 28 2025) – Kansas City: 24 MW at launch, &gt;10,000 Blackwell Ultra GPUs, scalable to &gt;100 MW</t>
  </si>
  <si>
    <t xml:space="preserve">https://lambda.ai/blog/lambda-to-build-a-100mw-ai-factory-in-kansas-city-mo</t>
  </si>
  <si>
    <t xml:space="preserve">Jensen Huang – 1 GW AI factory ≈ $50-60B all-in (G20, Sep 2 2026; recurring since 2025); Bernstein ~$35B/GW (GPUs ~39%, land+buildings ~10%); Barclays 65-70% of $50-60B = compute &amp; networking</t>
  </si>
  <si>
    <t xml:space="preserve">https://cryptobriefing.com/nvidia-huang-ai-monetization-g20/ ; https://www.businessinsider.com/why-nvidia-worth-5-trillion-inside-35-billion-ai-datacenter-2025-10 ; https://www.benzinga.com/markets/equities/25/09/47935027/nvidias-jensen-math-of-50-billion-revenue-per-gw-gets-a-reality-check-heres-what-barclays-analysts-project-for-nvda</t>
  </si>
  <si>
    <t xml:space="preserve">Locsic (Morgan Stanley BOM teardown, Howard Kao, May 21 2026) – VR200 NVL72 ~$7.8M ODM rack vs GB300 NVL72 ~$4.0M (GPU ~$2.52M, memory ~$374k, liquid cooling ~$65k, ODM value-add ~$108k); ~$6.7M if hyperscaler buys SOCAMM direct</t>
  </si>
  <si>
    <t xml:space="preserve">https://locsic.com/thinking/morgan-stanley-rubin-bom-teardown/</t>
  </si>
  <si>
    <t xml:space="preserve">Reported (secondary – sell-side via blog)</t>
  </si>
  <si>
    <t xml:space="preserve">Wolfe Research via Investing.com/Yahoo (Jan 30 2026) – 'Reported prices are about $3 million for GB200 NVL72 racks and $4.3 million for GB300 NVL72'; Rubin racks $5-6M; boards ~75% of final rack price</t>
  </si>
  <si>
    <t xml:space="preserve">https://finance.yahoo.com/news/wolfe-lifts-nvidia-target-25-145033078.html</t>
  </si>
  <si>
    <t xml:space="preserve">Loop Capital (Ananda Baruah) via Quartz/heise/TMTPost (Mar 24-25 2025) – Apple ~$1.0B of GB300 NVL72 = ~250 systems at $3.7-4.0M each (Dell + Supermicro)</t>
  </si>
  <si>
    <t xml:space="preserve">https://qz.com/apple-nvidia-servers-1-billion-1851772546 ; https://wccftech.com/loop-capital-apple-is-placing-1-billion-worth-of-orders-for-nvidias-gb300nvl72-with-super-micro-computer-smci-and-dell-tapped-as-key-server-partners/</t>
  </si>
  <si>
    <t xml:space="preserve">S38</t>
  </si>
  <si>
    <t xml:space="preserve">Bernstein via Wccftech (Jun 8 2026) – VR NVL72 rack up to $9.1M on HBM4 $53/GB in 2027 (MS $7.8M uses 'stale memory prices'); memory+storage ~$3.2M/rack</t>
  </si>
  <si>
    <t xml:space="preserve">https://wccftech.com/bernstein-warns-nvidias-vera-rubin-racks-will-hit-9-1-million-as-hbm4-prices-triple-to-53-per-gigabyte/</t>
  </si>
  <si>
    <t xml:space="preserve">IREN PR (Aug 28 2025) – 1.2k B300 + 1.2k GB300 for ~$168M, footnote: 'Includes servers, InfiniBand, cabling, software and licensing costs' =&gt; ~$70k per GPU all-in</t>
  </si>
  <si>
    <t xml:space="preserve">https://iren.gcs-web.com/news-releases/news-release-details/iren-expands-ai-cloud-109k-gpus-nvidia-preferred-partner-status</t>
  </si>
  <si>
    <t xml:space="preserve">Reported (company)</t>
  </si>
  <si>
    <t xml:space="preserve">S40</t>
  </si>
  <si>
    <t xml:space="preserve">IREN (Mar 4 2026) – &gt;50,000 B300 purchased; ~$3.5B capex 'including GPUs, servers, storage, networking, labor and ancillary equipment' =&gt; ≤~$70k per GPU (HGX, air-cooled)</t>
  </si>
  <si>
    <t xml:space="preserve">https://iren.com/resources/news/iren-expands-ai-cloud-capacity-to-150000-gpus</t>
  </si>
  <si>
    <t xml:space="preserve">S41</t>
  </si>
  <si>
    <t xml:space="preserve">IREN 8-K/PR (May 19/26 2026) – Dell ~$1.6B 'inclusive of GPUs, servers, storage, networking, ancillary equipment, integration services, and warranties' (air-cooled Blackwell, count n/d) for $3.4B NVIDIA contract in ~60 MW existing Childress capacity</t>
  </si>
  <si>
    <t xml:space="preserve">https://www.stocktitan.net/sec-filings/IREN/8-k-iren-ltd-reports-material-event-675eb20880e1.html</t>
  </si>
  <si>
    <t xml:space="preserve">Reported (company filing via aggregator)</t>
  </si>
  <si>
    <t xml:space="preserve">S42</t>
  </si>
  <si>
    <t xml:space="preserve">IREN Microsoft GB300 count '76,000+ GB300s across Horizons 1-4' – third-party IREN thesis site (not IREN); IREN's own releases give 200 MW IT and no GPU count. IREN Aug 13 2026: Horizon 1 delivered/accepted, 50 MW IT</t>
  </si>
  <si>
    <t xml:space="preserve">https://irenlimited.com/ ; https://www.sec.gov/Archives/edgar/data/1878848/000114036126032638/ef20080141_ex99-1.htm</t>
  </si>
  <si>
    <t xml:space="preserve">Reported (secondary – unverified count)</t>
  </si>
  <si>
    <t xml:space="preserve">S43</t>
  </si>
  <si>
    <t xml:space="preserve">DCD / Tom's Hardware (Nov 2025) – Microsoft to get &gt;100,000 GB300 under the $17.4B Nebius deal (no Nebius capex disclosed)</t>
  </si>
  <si>
    <t xml:space="preserve">https://www.datacenterdynamics.com/en/news/microsoft-to-get-100000-nvidia-gb300s-under-nebius-deal-has-signed-more-than-33bn-in-capacity-agreements-with-neoclouds/</t>
  </si>
  <si>
    <t xml:space="preserve">S44</t>
  </si>
  <si>
    <t xml:space="preserve">Nscale PR (Oct 15 2025) – ~200k GB300 for Microsoft with Dell; 104k GB300 in ~240 MW Texas (433/MW, basis n/s); Aker-Nscale Narvik ~$6.2B 5-yr for ~52k GB300 (revenue, not capex)</t>
  </si>
  <si>
    <t xml:space="preserve">https://www.nscale.tech/press-releases/nscale-microsoft-2025 ; https://news.cision.com/aker-asa/r/aker-nscale-jv-signs-multi-billion-dollar-ai-infrastructure-agreement-with-microsoft,c4233986</t>
  </si>
  <si>
    <t xml:space="preserve">S45</t>
  </si>
  <si>
    <t xml:space="preserve">Hedgehog (Jun 8 2026) – 1,024-GPU 800G leaf-spine on Spectrum-X SN5600 ~$1,500/port: switches $1.54M + cabling $74k-707k (excl. NICs, firewall) = $1.6-2.2k per GPU, ~3% of GB300 GPU BOM; 5.8-6.9% incl. a $1.65M NGFW</t>
  </si>
  <si>
    <t xml:space="preserve">https://hedgehog.cloud/blog/network-capex-is-the-smallest-line-on-your-ai-cluster-bom-and-the-one-that-determines-what-every-other-dollar-can-earn</t>
  </si>
  <si>
    <t xml:space="preserve">Reported (vendor blog – scale-out fabric only)</t>
  </si>
  <si>
    <t xml:space="preserve">S46</t>
  </si>
  <si>
    <t xml:space="preserve">Morgan Stanley via Guru3D/Tom's (Nov 2025) – GB300 NVL72 in-rack liquid-cooling content ~$49,860 (18 compute trays × $2,260 + 9 NVLink switch trays × $1,020) – confirms NVLink switch trays sit inside the rack price</t>
  </si>
  <si>
    <t xml:space="preserve">https://www.guru3d.com/story/3f5782f43f98056f6165e6938b8fa0f8e06adaeb/</t>
  </si>
  <si>
    <t xml:space="preserve">S47</t>
  </si>
  <si>
    <t xml:space="preserve">chrislabs.ai (Sep 2026) – capex per GPU incl. share of networking+storage: GB300 NVL72 $61-90k, GB200 $52-66k, VR NVL72 $69-153k; SemiAnalysis TCO owner cost GB300 $2.31/GPU-hr</t>
  </si>
  <si>
    <t xml:space="preserve">https://www.chrislabs.ai/tokenomics/gpu-cost</t>
  </si>
  <si>
    <t xml:space="preserve">Nebius Q2'26 6-K Ex-99.2 Note 7 (Aug 12 2026) – server &amp; network equipment gross $3,123.6M (Dec-25) / $5,197.7M (Jun-26); assets not yet in use $7,836.4M; active MW ~183 (team input, Q2'26 letter)</t>
  </si>
  <si>
    <t xml:space="preserve">/workspace/nebius/comps_raw/nb_q2_fs.txt ; https://www.sec.gov/Archives/edgar/data/1513845/000110465926094568/tm2622968d1_ex99-2.htm</t>
  </si>
  <si>
    <t xml:space="preserve">Reported (MW = team input)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</si>
</sst>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%"/>
    <numFmt numFmtId="167" formatCode="0"/>
    <numFmt numFmtId="168" formatCode="0.0"/>
    <numFmt numFmtId="169" formatCode="0.00"/>
    <numFmt numFmtId="170" formatCode="#,##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1.7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customFormat="false" ht="41.75" hidden="false" customHeight="false" outlineLevel="0" collapsed="false">
      <c r="A5" s="3" t="s">
        <v>16</v>
      </c>
      <c r="B5" s="3" t="s">
        <v>17</v>
      </c>
      <c r="C5" s="3" t="s">
        <v>18</v>
      </c>
      <c r="D5" s="4" t="n">
        <v>10.2</v>
      </c>
      <c r="E5" s="4" t="n">
        <v>8</v>
      </c>
      <c r="F5" s="5" t="n">
        <f aca="false">D5/E5</f>
        <v>1.275</v>
      </c>
      <c r="G5" s="6" t="n">
        <v>0.18</v>
      </c>
      <c r="H5" s="5" t="n">
        <f aca="false">F5*(1+G5)</f>
        <v>1.5045</v>
      </c>
      <c r="I5" s="7" t="n">
        <f aca="false">1000/H5</f>
        <v>664.672648720505</v>
      </c>
      <c r="J5" s="4" t="n">
        <v>1.45</v>
      </c>
      <c r="K5" s="5" t="n">
        <f aca="false">H5*J5</f>
        <v>2.181525</v>
      </c>
      <c r="L5" s="7" t="n">
        <f aca="false">1000/K5</f>
        <v>458.394930152073</v>
      </c>
      <c r="M5" s="3" t="s">
        <v>19</v>
      </c>
      <c r="N5" s="3" t="s">
        <v>20</v>
      </c>
    </row>
    <row r="6" customFormat="false" ht="41.75" hidden="false" customHeight="false" outlineLevel="0" collapsed="false">
      <c r="A6" s="3" t="s">
        <v>16</v>
      </c>
      <c r="B6" s="3" t="s">
        <v>21</v>
      </c>
      <c r="C6" s="3" t="s">
        <v>18</v>
      </c>
      <c r="D6" s="4" t="n">
        <v>10.2</v>
      </c>
      <c r="E6" s="4" t="n">
        <v>8</v>
      </c>
      <c r="F6" s="5" t="n">
        <f aca="false">D6/E6</f>
        <v>1.275</v>
      </c>
      <c r="G6" s="6" t="n">
        <v>0.1</v>
      </c>
      <c r="H6" s="5" t="n">
        <f aca="false">F6*(1+G6)</f>
        <v>1.4025</v>
      </c>
      <c r="I6" s="7" t="n">
        <f aca="false">1000/H6</f>
        <v>713.01247771836</v>
      </c>
      <c r="J6" s="4" t="n">
        <v>1.3</v>
      </c>
      <c r="K6" s="5" t="n">
        <f aca="false">H6*J6</f>
        <v>1.82325</v>
      </c>
      <c r="L6" s="7" t="n">
        <f aca="false">1000/K6</f>
        <v>548.471136706431</v>
      </c>
      <c r="M6" s="3" t="s">
        <v>19</v>
      </c>
      <c r="N6" s="3" t="s">
        <v>22</v>
      </c>
    </row>
    <row r="7" customFormat="false" ht="41.75" hidden="false" customHeight="false" outlineLevel="0" collapsed="false">
      <c r="A7" s="3" t="s">
        <v>16</v>
      </c>
      <c r="B7" s="3" t="s">
        <v>23</v>
      </c>
      <c r="C7" s="3" t="s">
        <v>18</v>
      </c>
      <c r="D7" s="4" t="n">
        <v>9.2</v>
      </c>
      <c r="E7" s="4" t="n">
        <v>8</v>
      </c>
      <c r="F7" s="5" t="n">
        <f aca="false">D7/E7</f>
        <v>1.15</v>
      </c>
      <c r="G7" s="6" t="n">
        <v>0.07</v>
      </c>
      <c r="H7" s="5" t="n">
        <f aca="false">F7*(1+G7)</f>
        <v>1.2305</v>
      </c>
      <c r="I7" s="7" t="n">
        <f aca="false">1000/H7</f>
        <v>812.677773262901</v>
      </c>
      <c r="J7" s="4" t="n">
        <v>1.1</v>
      </c>
      <c r="K7" s="5" t="n">
        <f aca="false">H7*J7</f>
        <v>1.35355</v>
      </c>
      <c r="L7" s="7" t="n">
        <f aca="false">1000/K7</f>
        <v>738.797975693547</v>
      </c>
      <c r="M7" s="3" t="s">
        <v>19</v>
      </c>
      <c r="N7" s="3" t="s">
        <v>24</v>
      </c>
    </row>
    <row r="8" customFormat="false" ht="41.75" hidden="false" customHeight="false" outlineLevel="0" collapsed="false">
      <c r="A8" s="3" t="s">
        <v>25</v>
      </c>
      <c r="B8" s="3" t="s">
        <v>17</v>
      </c>
      <c r="C8" s="3" t="s">
        <v>18</v>
      </c>
      <c r="D8" s="4" t="n">
        <v>14.3</v>
      </c>
      <c r="E8" s="4" t="n">
        <v>8</v>
      </c>
      <c r="F8" s="5" t="n">
        <f aca="false">D8/E8</f>
        <v>1.7875</v>
      </c>
      <c r="G8" s="6" t="n">
        <v>0.18</v>
      </c>
      <c r="H8" s="5" t="n">
        <f aca="false">F8*(1+G8)</f>
        <v>2.10925</v>
      </c>
      <c r="I8" s="7" t="n">
        <f aca="false">1000/H8</f>
        <v>474.102169017423</v>
      </c>
      <c r="J8" s="4" t="n">
        <v>1.45</v>
      </c>
      <c r="K8" s="5" t="n">
        <f aca="false">H8*J8</f>
        <v>3.0584125</v>
      </c>
      <c r="L8" s="7" t="n">
        <f aca="false">1000/K8</f>
        <v>326.967013115464</v>
      </c>
      <c r="M8" s="3" t="s">
        <v>19</v>
      </c>
      <c r="N8" s="3" t="s">
        <v>26</v>
      </c>
    </row>
    <row r="9" customFormat="false" ht="41.75" hidden="false" customHeight="false" outlineLevel="0" collapsed="false">
      <c r="A9" s="3" t="s">
        <v>25</v>
      </c>
      <c r="B9" s="3" t="s">
        <v>21</v>
      </c>
      <c r="C9" s="3" t="s">
        <v>18</v>
      </c>
      <c r="D9" s="4" t="n">
        <v>14.3</v>
      </c>
      <c r="E9" s="4" t="n">
        <v>8</v>
      </c>
      <c r="F9" s="5" t="n">
        <f aca="false">D9/E9</f>
        <v>1.7875</v>
      </c>
      <c r="G9" s="6" t="n">
        <v>0.1</v>
      </c>
      <c r="H9" s="5" t="n">
        <f aca="false">F9*(1+G9)</f>
        <v>1.96625</v>
      </c>
      <c r="I9" s="7" t="n">
        <f aca="false">1000/H9</f>
        <v>508.582326764145</v>
      </c>
      <c r="J9" s="4" t="n">
        <v>1.3</v>
      </c>
      <c r="K9" s="5" t="n">
        <f aca="false">H9*J9</f>
        <v>2.556125</v>
      </c>
      <c r="L9" s="7" t="n">
        <f aca="false">1000/K9</f>
        <v>391.217174433958</v>
      </c>
      <c r="M9" s="3" t="s">
        <v>19</v>
      </c>
      <c r="N9" s="3" t="s">
        <v>27</v>
      </c>
    </row>
    <row r="10" customFormat="false" ht="41.75" hidden="false" customHeight="false" outlineLevel="0" collapsed="false">
      <c r="A10" s="3" t="s">
        <v>25</v>
      </c>
      <c r="B10" s="3" t="s">
        <v>23</v>
      </c>
      <c r="C10" s="3" t="s">
        <v>18</v>
      </c>
      <c r="D10" s="4" t="n">
        <v>13</v>
      </c>
      <c r="E10" s="4" t="n">
        <v>8</v>
      </c>
      <c r="F10" s="5" t="n">
        <f aca="false">D10/E10</f>
        <v>1.625</v>
      </c>
      <c r="G10" s="6" t="n">
        <v>0.07</v>
      </c>
      <c r="H10" s="5" t="n">
        <f aca="false">F10*(1+G10)</f>
        <v>1.73875</v>
      </c>
      <c r="I10" s="7" t="n">
        <f aca="false">1000/H10</f>
        <v>575.125808770669</v>
      </c>
      <c r="J10" s="4" t="n">
        <v>1.1</v>
      </c>
      <c r="K10" s="5" t="n">
        <f aca="false">H10*J10</f>
        <v>1.912625</v>
      </c>
      <c r="L10" s="7" t="n">
        <f aca="false">1000/K10</f>
        <v>522.841644336971</v>
      </c>
      <c r="M10" s="3" t="s">
        <v>19</v>
      </c>
      <c r="N10" s="3" t="s">
        <v>28</v>
      </c>
    </row>
    <row r="11" customFormat="false" ht="41.75" hidden="false" customHeight="false" outlineLevel="0" collapsed="false">
      <c r="A11" s="3" t="s">
        <v>29</v>
      </c>
      <c r="B11" s="3" t="s">
        <v>17</v>
      </c>
      <c r="C11" s="3" t="s">
        <v>30</v>
      </c>
      <c r="D11" s="4" t="n">
        <v>132</v>
      </c>
      <c r="E11" s="4" t="n">
        <v>72</v>
      </c>
      <c r="F11" s="5" t="n">
        <f aca="false">D11/E11</f>
        <v>1.83333333333333</v>
      </c>
      <c r="G11" s="6" t="n">
        <v>0.12</v>
      </c>
      <c r="H11" s="5" t="n">
        <f aca="false">F11*(1+G11)</f>
        <v>2.05333333333333</v>
      </c>
      <c r="I11" s="7" t="n">
        <f aca="false">1000/H11</f>
        <v>487.012987012987</v>
      </c>
      <c r="J11" s="4" t="n">
        <v>1.35</v>
      </c>
      <c r="K11" s="5" t="n">
        <f aca="false">H11*J11</f>
        <v>2.772</v>
      </c>
      <c r="L11" s="7" t="n">
        <f aca="false">1000/K11</f>
        <v>360.750360750361</v>
      </c>
      <c r="M11" s="3" t="s">
        <v>19</v>
      </c>
      <c r="N11" s="3" t="s">
        <v>31</v>
      </c>
    </row>
    <row r="12" customFormat="false" ht="41.75" hidden="false" customHeight="false" outlineLevel="0" collapsed="false">
      <c r="A12" s="3" t="s">
        <v>29</v>
      </c>
      <c r="B12" s="3" t="s">
        <v>21</v>
      </c>
      <c r="C12" s="3" t="s">
        <v>30</v>
      </c>
      <c r="D12" s="4" t="n">
        <v>125</v>
      </c>
      <c r="E12" s="4" t="n">
        <v>72</v>
      </c>
      <c r="F12" s="5" t="n">
        <f aca="false">D12/E12</f>
        <v>1.73611111111111</v>
      </c>
      <c r="G12" s="6" t="n">
        <v>0.07</v>
      </c>
      <c r="H12" s="5" t="n">
        <f aca="false">F12*(1+G12)</f>
        <v>1.85763888888889</v>
      </c>
      <c r="I12" s="7" t="n">
        <f aca="false">1000/H12</f>
        <v>538.317757009346</v>
      </c>
      <c r="J12" s="4" t="n">
        <v>1.2</v>
      </c>
      <c r="K12" s="5" t="n">
        <f aca="false">H12*J12</f>
        <v>2.22916666666667</v>
      </c>
      <c r="L12" s="7" t="n">
        <f aca="false">1000/K12</f>
        <v>448.598130841121</v>
      </c>
      <c r="M12" s="3" t="s">
        <v>19</v>
      </c>
      <c r="N12" s="3" t="s">
        <v>32</v>
      </c>
    </row>
    <row r="13" customFormat="false" ht="41.75" hidden="false" customHeight="false" outlineLevel="0" collapsed="false">
      <c r="A13" s="3" t="s">
        <v>29</v>
      </c>
      <c r="B13" s="3" t="s">
        <v>23</v>
      </c>
      <c r="C13" s="3" t="s">
        <v>30</v>
      </c>
      <c r="D13" s="4" t="n">
        <v>120</v>
      </c>
      <c r="E13" s="4" t="n">
        <v>72</v>
      </c>
      <c r="F13" s="5" t="n">
        <f aca="false">D13/E13</f>
        <v>1.66666666666667</v>
      </c>
      <c r="G13" s="6" t="n">
        <v>0.05</v>
      </c>
      <c r="H13" s="5" t="n">
        <f aca="false">F13*(1+G13)</f>
        <v>1.75</v>
      </c>
      <c r="I13" s="7" t="n">
        <f aca="false">1000/H13</f>
        <v>571.428571428571</v>
      </c>
      <c r="J13" s="4" t="n">
        <v>1.1</v>
      </c>
      <c r="K13" s="5" t="n">
        <f aca="false">H13*J13</f>
        <v>1.925</v>
      </c>
      <c r="L13" s="7" t="n">
        <f aca="false">1000/K13</f>
        <v>519.480519480519</v>
      </c>
      <c r="M13" s="3" t="s">
        <v>19</v>
      </c>
      <c r="N13" s="3" t="s">
        <v>33</v>
      </c>
    </row>
    <row r="14" customFormat="false" ht="41.75" hidden="false" customHeight="false" outlineLevel="0" collapsed="false">
      <c r="A14" s="3" t="s">
        <v>34</v>
      </c>
      <c r="B14" s="3" t="s">
        <v>17</v>
      </c>
      <c r="C14" s="3" t="s">
        <v>18</v>
      </c>
      <c r="D14" s="4" t="n">
        <v>15</v>
      </c>
      <c r="E14" s="4" t="n">
        <v>8</v>
      </c>
      <c r="F14" s="5" t="n">
        <f aca="false">D14/E14</f>
        <v>1.875</v>
      </c>
      <c r="G14" s="6" t="n">
        <v>0.18</v>
      </c>
      <c r="H14" s="5" t="n">
        <f aca="false">F14*(1+G14)</f>
        <v>2.2125</v>
      </c>
      <c r="I14" s="7" t="n">
        <f aca="false">1000/H14</f>
        <v>451.977401129944</v>
      </c>
      <c r="J14" s="4" t="n">
        <v>1.45</v>
      </c>
      <c r="K14" s="5" t="n">
        <f aca="false">H14*J14</f>
        <v>3.208125</v>
      </c>
      <c r="L14" s="7" t="n">
        <f aca="false">1000/K14</f>
        <v>311.708552503409</v>
      </c>
      <c r="M14" s="3" t="s">
        <v>19</v>
      </c>
      <c r="N14" s="3" t="s">
        <v>35</v>
      </c>
    </row>
    <row r="15" customFormat="false" ht="41.75" hidden="false" customHeight="false" outlineLevel="0" collapsed="false">
      <c r="A15" s="3" t="s">
        <v>34</v>
      </c>
      <c r="B15" s="3" t="s">
        <v>21</v>
      </c>
      <c r="C15" s="3" t="s">
        <v>18</v>
      </c>
      <c r="D15" s="4" t="n">
        <v>14.5</v>
      </c>
      <c r="E15" s="4" t="n">
        <v>8</v>
      </c>
      <c r="F15" s="5" t="n">
        <f aca="false">D15/E15</f>
        <v>1.8125</v>
      </c>
      <c r="G15" s="6" t="n">
        <v>0.1</v>
      </c>
      <c r="H15" s="5" t="n">
        <f aca="false">F15*(1+G15)</f>
        <v>1.99375</v>
      </c>
      <c r="I15" s="7" t="n">
        <f aca="false">1000/H15</f>
        <v>501.567398119122</v>
      </c>
      <c r="J15" s="4" t="n">
        <v>1.3</v>
      </c>
      <c r="K15" s="5" t="n">
        <f aca="false">H15*J15</f>
        <v>2.591875</v>
      </c>
      <c r="L15" s="7" t="n">
        <f aca="false">1000/K15</f>
        <v>385.821075476248</v>
      </c>
      <c r="M15" s="3" t="s">
        <v>19</v>
      </c>
      <c r="N15" s="3" t="s">
        <v>36</v>
      </c>
    </row>
    <row r="16" customFormat="false" ht="41.75" hidden="false" customHeight="false" outlineLevel="0" collapsed="false">
      <c r="A16" s="3" t="s">
        <v>34</v>
      </c>
      <c r="B16" s="3" t="s">
        <v>23</v>
      </c>
      <c r="C16" s="3" t="s">
        <v>18</v>
      </c>
      <c r="D16" s="4" t="n">
        <v>14</v>
      </c>
      <c r="E16" s="4" t="n">
        <v>8</v>
      </c>
      <c r="F16" s="5" t="n">
        <f aca="false">D16/E16</f>
        <v>1.75</v>
      </c>
      <c r="G16" s="6" t="n">
        <v>0.07</v>
      </c>
      <c r="H16" s="5" t="n">
        <f aca="false">F16*(1+G16)</f>
        <v>1.8725</v>
      </c>
      <c r="I16" s="7" t="n">
        <f aca="false">1000/H16</f>
        <v>534.045393858478</v>
      </c>
      <c r="J16" s="4" t="n">
        <v>1.1</v>
      </c>
      <c r="K16" s="5" t="n">
        <f aca="false">H16*J16</f>
        <v>2.05975</v>
      </c>
      <c r="L16" s="7" t="n">
        <f aca="false">1000/K16</f>
        <v>485.495812598616</v>
      </c>
      <c r="M16" s="3" t="s">
        <v>19</v>
      </c>
      <c r="N16" s="3" t="s">
        <v>37</v>
      </c>
    </row>
    <row r="17" customFormat="false" ht="41.75" hidden="false" customHeight="false" outlineLevel="0" collapsed="false">
      <c r="A17" s="3" t="s">
        <v>38</v>
      </c>
      <c r="B17" s="3" t="s">
        <v>17</v>
      </c>
      <c r="C17" s="3" t="s">
        <v>30</v>
      </c>
      <c r="D17" s="4" t="n">
        <v>142</v>
      </c>
      <c r="E17" s="4" t="n">
        <v>72</v>
      </c>
      <c r="F17" s="5" t="n">
        <f aca="false">D17/E17</f>
        <v>1.97222222222222</v>
      </c>
      <c r="G17" s="6" t="n">
        <v>0.12</v>
      </c>
      <c r="H17" s="5" t="n">
        <f aca="false">F17*(1+G17)</f>
        <v>2.20888888888889</v>
      </c>
      <c r="I17" s="7" t="n">
        <f aca="false">1000/H17</f>
        <v>452.71629778672</v>
      </c>
      <c r="J17" s="4" t="n">
        <v>1.35</v>
      </c>
      <c r="K17" s="5" t="n">
        <f aca="false">H17*J17</f>
        <v>2.982</v>
      </c>
      <c r="L17" s="7" t="n">
        <f aca="false">1000/K17</f>
        <v>335.345405767941</v>
      </c>
      <c r="M17" s="3" t="s">
        <v>19</v>
      </c>
      <c r="N17" s="3" t="s">
        <v>39</v>
      </c>
    </row>
    <row r="18" customFormat="false" ht="41.75" hidden="false" customHeight="false" outlineLevel="0" collapsed="false">
      <c r="A18" s="3" t="s">
        <v>38</v>
      </c>
      <c r="B18" s="3" t="s">
        <v>21</v>
      </c>
      <c r="C18" s="3" t="s">
        <v>30</v>
      </c>
      <c r="D18" s="4" t="n">
        <v>137</v>
      </c>
      <c r="E18" s="4" t="n">
        <v>72</v>
      </c>
      <c r="F18" s="5" t="n">
        <f aca="false">D18/E18</f>
        <v>1.90277777777778</v>
      </c>
      <c r="G18" s="6" t="n">
        <v>0.07</v>
      </c>
      <c r="H18" s="5" t="n">
        <f aca="false">F18*(1+G18)</f>
        <v>2.03597222222222</v>
      </c>
      <c r="I18" s="7" t="n">
        <f aca="false">1000/H18</f>
        <v>491.165836687359</v>
      </c>
      <c r="J18" s="4" t="n">
        <v>1.2</v>
      </c>
      <c r="K18" s="5" t="n">
        <f aca="false">H18*J18</f>
        <v>2.44316666666667</v>
      </c>
      <c r="L18" s="7" t="n">
        <f aca="false">1000/K18</f>
        <v>409.304863906133</v>
      </c>
      <c r="M18" s="3" t="s">
        <v>19</v>
      </c>
      <c r="N18" s="3" t="s">
        <v>40</v>
      </c>
    </row>
    <row r="19" customFormat="false" ht="41.75" hidden="false" customHeight="false" outlineLevel="0" collapsed="false">
      <c r="A19" s="3" t="s">
        <v>38</v>
      </c>
      <c r="B19" s="3" t="s">
        <v>23</v>
      </c>
      <c r="C19" s="3" t="s">
        <v>30</v>
      </c>
      <c r="D19" s="4" t="n">
        <v>132</v>
      </c>
      <c r="E19" s="4" t="n">
        <v>72</v>
      </c>
      <c r="F19" s="5" t="n">
        <f aca="false">D19/E19</f>
        <v>1.83333333333333</v>
      </c>
      <c r="G19" s="6" t="n">
        <v>0.05</v>
      </c>
      <c r="H19" s="5" t="n">
        <f aca="false">F19*(1+G19)</f>
        <v>1.925</v>
      </c>
      <c r="I19" s="7" t="n">
        <f aca="false">1000/H19</f>
        <v>519.480519480519</v>
      </c>
      <c r="J19" s="4" t="n">
        <v>1.1</v>
      </c>
      <c r="K19" s="5" t="n">
        <f aca="false">H19*J19</f>
        <v>2.1175</v>
      </c>
      <c r="L19" s="7" t="n">
        <f aca="false">1000/K19</f>
        <v>472.255017709563</v>
      </c>
      <c r="M19" s="3" t="s">
        <v>19</v>
      </c>
      <c r="N19" s="3" t="s">
        <v>41</v>
      </c>
    </row>
    <row r="20" customFormat="false" ht="41.75" hidden="false" customHeight="false" outlineLevel="0" collapsed="false">
      <c r="A20" s="3" t="s">
        <v>42</v>
      </c>
      <c r="B20" s="3" t="s">
        <v>17</v>
      </c>
      <c r="C20" s="3" t="s">
        <v>30</v>
      </c>
      <c r="D20" s="4" t="n">
        <v>230</v>
      </c>
      <c r="E20" s="4" t="n">
        <v>72</v>
      </c>
      <c r="F20" s="5" t="n">
        <f aca="false">D20/E20</f>
        <v>3.19444444444444</v>
      </c>
      <c r="G20" s="6" t="n">
        <v>0.12</v>
      </c>
      <c r="H20" s="5" t="n">
        <f aca="false">F20*(1+G20)</f>
        <v>3.57777777777778</v>
      </c>
      <c r="I20" s="7" t="n">
        <f aca="false">1000/H20</f>
        <v>279.503105590062</v>
      </c>
      <c r="J20" s="4" t="n">
        <v>1.35</v>
      </c>
      <c r="K20" s="5" t="n">
        <f aca="false">H20*J20</f>
        <v>4.83</v>
      </c>
      <c r="L20" s="7" t="n">
        <f aca="false">1000/K20</f>
        <v>207.03933747412</v>
      </c>
      <c r="M20" s="3" t="s">
        <v>19</v>
      </c>
      <c r="N20" s="3" t="s">
        <v>43</v>
      </c>
    </row>
    <row r="21" customFormat="false" ht="41.75" hidden="false" customHeight="false" outlineLevel="0" collapsed="false">
      <c r="A21" s="3" t="s">
        <v>42</v>
      </c>
      <c r="B21" s="3" t="s">
        <v>21</v>
      </c>
      <c r="C21" s="3" t="s">
        <v>30</v>
      </c>
      <c r="D21" s="4" t="n">
        <v>210</v>
      </c>
      <c r="E21" s="4" t="n">
        <v>72</v>
      </c>
      <c r="F21" s="5" t="n">
        <f aca="false">D21/E21</f>
        <v>2.91666666666667</v>
      </c>
      <c r="G21" s="6" t="n">
        <v>0.07</v>
      </c>
      <c r="H21" s="5" t="n">
        <f aca="false">F21*(1+G21)</f>
        <v>3.12083333333333</v>
      </c>
      <c r="I21" s="7" t="n">
        <f aca="false">1000/H21</f>
        <v>320.427236315087</v>
      </c>
      <c r="J21" s="4" t="n">
        <v>1.2</v>
      </c>
      <c r="K21" s="5" t="n">
        <f aca="false">H21*J21</f>
        <v>3.745</v>
      </c>
      <c r="L21" s="7" t="n">
        <f aca="false">1000/K21</f>
        <v>267.022696929239</v>
      </c>
      <c r="M21" s="3" t="s">
        <v>19</v>
      </c>
      <c r="N21" s="3" t="s">
        <v>44</v>
      </c>
    </row>
    <row r="22" customFormat="false" ht="41.75" hidden="false" customHeight="false" outlineLevel="0" collapsed="false">
      <c r="A22" s="3" t="s">
        <v>42</v>
      </c>
      <c r="B22" s="3" t="s">
        <v>23</v>
      </c>
      <c r="C22" s="3" t="s">
        <v>30</v>
      </c>
      <c r="D22" s="4" t="n">
        <v>190</v>
      </c>
      <c r="E22" s="4" t="n">
        <v>72</v>
      </c>
      <c r="F22" s="5" t="n">
        <f aca="false">D22/E22</f>
        <v>2.63888888888889</v>
      </c>
      <c r="G22" s="6" t="n">
        <v>0.05</v>
      </c>
      <c r="H22" s="5" t="n">
        <f aca="false">F22*(1+G22)</f>
        <v>2.77083333333333</v>
      </c>
      <c r="I22" s="7" t="n">
        <f aca="false">1000/H22</f>
        <v>360.902255639098</v>
      </c>
      <c r="J22" s="4" t="n">
        <v>1.1</v>
      </c>
      <c r="K22" s="5" t="n">
        <f aca="false">H22*J22</f>
        <v>3.04791666666667</v>
      </c>
      <c r="L22" s="7" t="n">
        <f aca="false">1000/K22</f>
        <v>328.092959671907</v>
      </c>
      <c r="M22" s="3" t="s">
        <v>19</v>
      </c>
      <c r="N22" s="3" t="s">
        <v>45</v>
      </c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28.35" hidden="false" customHeight="false" outlineLevel="0" collapsed="false">
      <c r="A24" s="8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41.75" hidden="false" customHeight="false" outlineLevel="0" collapsed="false">
      <c r="A25" s="2" t="s">
        <v>2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51</v>
      </c>
      <c r="G25" s="2" t="s">
        <v>52</v>
      </c>
      <c r="H25" s="2" t="s">
        <v>53</v>
      </c>
      <c r="I25" s="3"/>
      <c r="J25" s="3"/>
      <c r="K25" s="3"/>
      <c r="L25" s="3"/>
      <c r="M25" s="3"/>
      <c r="N25" s="3"/>
    </row>
    <row r="26" customFormat="false" ht="28.35" hidden="false" customHeight="false" outlineLevel="0" collapsed="false">
      <c r="A26" s="3" t="s">
        <v>16</v>
      </c>
      <c r="B26" s="7" t="n">
        <f aca="false">I5</f>
        <v>664.672648720505</v>
      </c>
      <c r="C26" s="7" t="n">
        <f aca="false">I6</f>
        <v>713.01247771836</v>
      </c>
      <c r="D26" s="7" t="n">
        <f aca="false">I7</f>
        <v>812.677773262901</v>
      </c>
      <c r="E26" s="7" t="n">
        <f aca="false">L5</f>
        <v>458.394930152073</v>
      </c>
      <c r="F26" s="7" t="n">
        <f aca="false">L6</f>
        <v>548.471136706431</v>
      </c>
      <c r="G26" s="7" t="n">
        <f aca="false">L7</f>
        <v>738.797975693547</v>
      </c>
      <c r="H26" s="3" t="str">
        <f aca="false">TEXT(J5,"0.00")&amp;" / "&amp;TEXT(J6,"0.00")&amp;" / "&amp;TEXT(J7,"0.00")</f>
        <v>1.45 / 1.30 / 1.10</v>
      </c>
      <c r="I26" s="3"/>
      <c r="J26" s="3"/>
      <c r="K26" s="3"/>
      <c r="L26" s="3"/>
      <c r="M26" s="3"/>
      <c r="N26" s="3"/>
    </row>
    <row r="27" customFormat="false" ht="28.35" hidden="false" customHeight="false" outlineLevel="0" collapsed="false">
      <c r="A27" s="3" t="s">
        <v>25</v>
      </c>
      <c r="B27" s="7" t="n">
        <f aca="false">I8</f>
        <v>474.102169017423</v>
      </c>
      <c r="C27" s="7" t="n">
        <f aca="false">I9</f>
        <v>508.582326764145</v>
      </c>
      <c r="D27" s="7" t="n">
        <f aca="false">I10</f>
        <v>575.125808770669</v>
      </c>
      <c r="E27" s="7" t="n">
        <f aca="false">L8</f>
        <v>326.967013115464</v>
      </c>
      <c r="F27" s="7" t="n">
        <f aca="false">L9</f>
        <v>391.217174433958</v>
      </c>
      <c r="G27" s="7" t="n">
        <f aca="false">L10</f>
        <v>522.841644336971</v>
      </c>
      <c r="H27" s="3" t="str">
        <f aca="false">TEXT(J8,"0.00")&amp;" / "&amp;TEXT(J9,"0.00")&amp;" / "&amp;TEXT(J10,"0.00")</f>
        <v>1.45 / 1.30 / 1.10</v>
      </c>
      <c r="I27" s="3"/>
      <c r="J27" s="3"/>
      <c r="K27" s="3"/>
      <c r="L27" s="3"/>
      <c r="M27" s="3"/>
      <c r="N27" s="3"/>
    </row>
    <row r="28" customFormat="false" ht="28.35" hidden="false" customHeight="false" outlineLevel="0" collapsed="false">
      <c r="A28" s="3" t="s">
        <v>29</v>
      </c>
      <c r="B28" s="7" t="n">
        <f aca="false">I11</f>
        <v>487.012987012987</v>
      </c>
      <c r="C28" s="7" t="n">
        <f aca="false">I12</f>
        <v>538.317757009346</v>
      </c>
      <c r="D28" s="7" t="n">
        <f aca="false">I13</f>
        <v>571.428571428571</v>
      </c>
      <c r="E28" s="7" t="n">
        <f aca="false">L11</f>
        <v>360.750360750361</v>
      </c>
      <c r="F28" s="7" t="n">
        <f aca="false">L12</f>
        <v>448.598130841121</v>
      </c>
      <c r="G28" s="7" t="n">
        <f aca="false">L13</f>
        <v>519.480519480519</v>
      </c>
      <c r="H28" s="3" t="str">
        <f aca="false">TEXT(J11,"0.00")&amp;" / "&amp;TEXT(J12,"0.00")&amp;" / "&amp;TEXT(J13,"0.00")</f>
        <v>1.35 / 1.20 / 1.10</v>
      </c>
      <c r="I28" s="3"/>
      <c r="J28" s="3"/>
      <c r="K28" s="3"/>
      <c r="L28" s="3"/>
      <c r="M28" s="3"/>
      <c r="N28" s="3"/>
    </row>
    <row r="29" customFormat="false" ht="28.35" hidden="false" customHeight="false" outlineLevel="0" collapsed="false">
      <c r="A29" s="3" t="s">
        <v>34</v>
      </c>
      <c r="B29" s="7" t="n">
        <f aca="false">I14</f>
        <v>451.977401129944</v>
      </c>
      <c r="C29" s="7" t="n">
        <f aca="false">I15</f>
        <v>501.567398119122</v>
      </c>
      <c r="D29" s="7" t="n">
        <f aca="false">I16</f>
        <v>534.045393858478</v>
      </c>
      <c r="E29" s="7" t="n">
        <f aca="false">L14</f>
        <v>311.708552503409</v>
      </c>
      <c r="F29" s="7" t="n">
        <f aca="false">L15</f>
        <v>385.821075476248</v>
      </c>
      <c r="G29" s="7" t="n">
        <f aca="false">L16</f>
        <v>485.495812598616</v>
      </c>
      <c r="H29" s="3" t="str">
        <f aca="false">TEXT(J14,"0.00")&amp;" / "&amp;TEXT(J15,"0.00")&amp;" / "&amp;TEXT(J16,"0.00")</f>
        <v>1.45 / 1.30 / 1.10</v>
      </c>
      <c r="I29" s="3"/>
      <c r="J29" s="3"/>
      <c r="K29" s="3"/>
      <c r="L29" s="3"/>
      <c r="M29" s="3"/>
      <c r="N29" s="3"/>
    </row>
    <row r="30" customFormat="false" ht="28.35" hidden="false" customHeight="false" outlineLevel="0" collapsed="false">
      <c r="A30" s="3" t="s">
        <v>38</v>
      </c>
      <c r="B30" s="7" t="n">
        <f aca="false">I17</f>
        <v>452.71629778672</v>
      </c>
      <c r="C30" s="7" t="n">
        <f aca="false">I18</f>
        <v>491.165836687359</v>
      </c>
      <c r="D30" s="7" t="n">
        <f aca="false">I19</f>
        <v>519.480519480519</v>
      </c>
      <c r="E30" s="7" t="n">
        <f aca="false">L17</f>
        <v>335.345405767941</v>
      </c>
      <c r="F30" s="7" t="n">
        <f aca="false">L18</f>
        <v>409.304863906133</v>
      </c>
      <c r="G30" s="7" t="n">
        <f aca="false">L19</f>
        <v>472.255017709563</v>
      </c>
      <c r="H30" s="3" t="str">
        <f aca="false">TEXT(J17,"0.00")&amp;" / "&amp;TEXT(J18,"0.00")&amp;" / "&amp;TEXT(J19,"0.00")</f>
        <v>1.35 / 1.20 / 1.10</v>
      </c>
      <c r="I30" s="3"/>
      <c r="J30" s="3"/>
      <c r="K30" s="3"/>
      <c r="L30" s="3"/>
      <c r="M30" s="3"/>
      <c r="N30" s="3"/>
    </row>
    <row r="31" customFormat="false" ht="28.35" hidden="false" customHeight="false" outlineLevel="0" collapsed="false">
      <c r="A31" s="3" t="s">
        <v>42</v>
      </c>
      <c r="B31" s="7" t="n">
        <f aca="false">I20</f>
        <v>279.503105590062</v>
      </c>
      <c r="C31" s="7" t="n">
        <f aca="false">I21</f>
        <v>320.427236315087</v>
      </c>
      <c r="D31" s="7" t="n">
        <f aca="false">I22</f>
        <v>360.902255639098</v>
      </c>
      <c r="E31" s="7" t="n">
        <f aca="false">L20</f>
        <v>207.03933747412</v>
      </c>
      <c r="F31" s="7" t="n">
        <f aca="false">L21</f>
        <v>267.022696929239</v>
      </c>
      <c r="G31" s="7" t="n">
        <f aca="false">L22</f>
        <v>328.092959671907</v>
      </c>
      <c r="H31" s="3" t="str">
        <f aca="false">TEXT(J20,"0.00")&amp;" / "&amp;TEXT(J21,"0.00")&amp;" / "&amp;TEXT(J22,"0.00")</f>
        <v>1.35 / 1.20 / 1.10</v>
      </c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76.1" hidden="false" customHeight="false" outlineLevel="0" collapsed="false">
      <c r="A33" s="3" t="s">
        <v>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6" min="13" style="0" width="10"/>
    <col collapsed="false" customWidth="true" hidden="false" outlineLevel="0" max="18" min="17" style="0" width="9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90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0" t="s">
        <v>56</v>
      </c>
    </row>
    <row r="3" customFormat="false" ht="15" hidden="false" customHeight="false" outlineLevel="0" collapsed="false">
      <c r="A3" s="1" t="s">
        <v>57</v>
      </c>
      <c r="B3" s="0" t="s">
        <v>58</v>
      </c>
      <c r="C3" s="9" t="n">
        <v>0.08</v>
      </c>
      <c r="D3" s="0" t="s">
        <v>59</v>
      </c>
      <c r="E3" s="9" t="n">
        <v>10</v>
      </c>
      <c r="F3" s="0" t="s">
        <v>60</v>
      </c>
      <c r="G3" s="0" t="n">
        <f aca="false">(1-(1+C3)^-E3)/C3</f>
        <v>6.71008139894145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68.65" hidden="false" customHeight="false" outlineLevel="0" collapsed="false">
      <c r="A5" s="2" t="s">
        <v>2</v>
      </c>
      <c r="B5" s="2" t="s">
        <v>3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76</v>
      </c>
      <c r="S5" s="2" t="s">
        <v>77</v>
      </c>
      <c r="T5" s="2" t="s">
        <v>14</v>
      </c>
      <c r="U5" s="2" t="s">
        <v>78</v>
      </c>
    </row>
    <row r="6" customFormat="false" ht="41.75" hidden="false" customHeight="false" outlineLevel="0" collapsed="false">
      <c r="A6" s="3" t="s">
        <v>16</v>
      </c>
      <c r="B6" s="3" t="s">
        <v>17</v>
      </c>
      <c r="C6" s="7" t="n">
        <f aca="false">GPUsPerMW!I6</f>
        <v>713.01247771836</v>
      </c>
      <c r="D6" s="4" t="n">
        <v>0.19</v>
      </c>
      <c r="E6" s="4" t="n">
        <v>0.05</v>
      </c>
      <c r="F6" s="3" t="n">
        <v>8</v>
      </c>
      <c r="G6" s="10" t="n">
        <f aca="false">(D6+E6)/F6*1000</f>
        <v>30</v>
      </c>
      <c r="H6" s="10" t="n">
        <f aca="false">C6*D6/F6</f>
        <v>16.9340463458111</v>
      </c>
      <c r="I6" s="10" t="n">
        <f aca="false">C6*E6/F6</f>
        <v>4.45632798573975</v>
      </c>
      <c r="J6" s="4" t="n">
        <v>7</v>
      </c>
      <c r="K6" s="10" t="n">
        <f aca="false">H6+I6+J6</f>
        <v>28.3903743315508</v>
      </c>
      <c r="L6" s="10" t="n">
        <f aca="false">K6/GPUsPerMW!J6</f>
        <v>21.8387494858083</v>
      </c>
      <c r="M6" s="10" t="n">
        <f aca="false">K6</f>
        <v>28.3903743315508</v>
      </c>
      <c r="N6" s="4" t="n">
        <v>0.5</v>
      </c>
      <c r="O6" s="10" t="n">
        <f aca="false">H6+I6+N6</f>
        <v>21.8903743315508</v>
      </c>
      <c r="P6" s="4" t="n">
        <v>150</v>
      </c>
      <c r="Q6" s="10" t="n">
        <f aca="false">P6*1000*12/1000000</f>
        <v>1.8</v>
      </c>
      <c r="R6" s="10" t="n">
        <f aca="false">Q6*$G$3</f>
        <v>12.0781465180946</v>
      </c>
      <c r="S6" s="10" t="n">
        <f aca="false">O6+R6</f>
        <v>33.9685208496454</v>
      </c>
      <c r="T6" s="3" t="s">
        <v>79</v>
      </c>
      <c r="U6" s="3" t="s">
        <v>80</v>
      </c>
    </row>
    <row r="7" customFormat="false" ht="41.75" hidden="false" customHeight="false" outlineLevel="0" collapsed="false">
      <c r="A7" s="3" t="s">
        <v>16</v>
      </c>
      <c r="B7" s="3" t="s">
        <v>21</v>
      </c>
      <c r="C7" s="7" t="n">
        <f aca="false">GPUsPerMW!I6</f>
        <v>713.01247771836</v>
      </c>
      <c r="D7" s="4" t="n">
        <v>0.23</v>
      </c>
      <c r="E7" s="4" t="n">
        <v>0.06</v>
      </c>
      <c r="F7" s="3" t="n">
        <v>8</v>
      </c>
      <c r="G7" s="10" t="n">
        <f aca="false">(D7+E7)/F7*1000</f>
        <v>36.25</v>
      </c>
      <c r="H7" s="10" t="n">
        <f aca="false">C7*D7/F7</f>
        <v>20.4991087344029</v>
      </c>
      <c r="I7" s="10" t="n">
        <f aca="false">C7*E7/F7</f>
        <v>5.3475935828877</v>
      </c>
      <c r="J7" s="4" t="n">
        <v>10</v>
      </c>
      <c r="K7" s="10" t="n">
        <f aca="false">H7+I7+J7</f>
        <v>35.8467023172906</v>
      </c>
      <c r="L7" s="10" t="n">
        <f aca="false">K7/GPUsPerMW!J6</f>
        <v>27.5743863979158</v>
      </c>
      <c r="M7" s="10" t="n">
        <f aca="false">K7</f>
        <v>35.8467023172906</v>
      </c>
      <c r="N7" s="4" t="n">
        <v>1</v>
      </c>
      <c r="O7" s="10" t="n">
        <f aca="false">H7+I7+N7</f>
        <v>26.8467023172906</v>
      </c>
      <c r="P7" s="4" t="n">
        <v>175</v>
      </c>
      <c r="Q7" s="10" t="n">
        <f aca="false">P7*1000*12/1000000</f>
        <v>2.1</v>
      </c>
      <c r="R7" s="10" t="n">
        <f aca="false">Q7*$G$3</f>
        <v>14.091170937777</v>
      </c>
      <c r="S7" s="10" t="n">
        <f aca="false">O7+R7</f>
        <v>40.9378732550676</v>
      </c>
      <c r="T7" s="3" t="s">
        <v>79</v>
      </c>
      <c r="U7" s="3" t="s">
        <v>81</v>
      </c>
    </row>
    <row r="8" customFormat="false" ht="41.75" hidden="false" customHeight="false" outlineLevel="0" collapsed="false">
      <c r="A8" s="3" t="s">
        <v>16</v>
      </c>
      <c r="B8" s="3" t="s">
        <v>23</v>
      </c>
      <c r="C8" s="7" t="n">
        <f aca="false">GPUsPerMW!I6</f>
        <v>713.01247771836</v>
      </c>
      <c r="D8" s="4" t="n">
        <v>0.28</v>
      </c>
      <c r="E8" s="4" t="n">
        <v>0.08</v>
      </c>
      <c r="F8" s="3" t="n">
        <v>8</v>
      </c>
      <c r="G8" s="10" t="n">
        <f aca="false">(D8+E8)/F8*1000</f>
        <v>45</v>
      </c>
      <c r="H8" s="10" t="n">
        <f aca="false">C8*D8/F8</f>
        <v>24.9554367201426</v>
      </c>
      <c r="I8" s="10" t="n">
        <f aca="false">C8*E8/F8</f>
        <v>7.1301247771836</v>
      </c>
      <c r="J8" s="4" t="n">
        <v>14</v>
      </c>
      <c r="K8" s="10" t="n">
        <f aca="false">H8+I8+J8</f>
        <v>46.0855614973262</v>
      </c>
      <c r="L8" s="10" t="n">
        <f aca="false">K8/GPUsPerMW!J6</f>
        <v>35.4504319210202</v>
      </c>
      <c r="M8" s="10" t="n">
        <f aca="false">K8</f>
        <v>46.0855614973262</v>
      </c>
      <c r="N8" s="4" t="n">
        <v>2</v>
      </c>
      <c r="O8" s="10" t="n">
        <f aca="false">H8+I8+N8</f>
        <v>34.0855614973262</v>
      </c>
      <c r="P8" s="4" t="n">
        <v>205</v>
      </c>
      <c r="Q8" s="10" t="n">
        <f aca="false">P8*1000*12/1000000</f>
        <v>2.46</v>
      </c>
      <c r="R8" s="10" t="n">
        <f aca="false">Q8*$G$3</f>
        <v>16.506800241396</v>
      </c>
      <c r="S8" s="10" t="n">
        <f aca="false">O8+R8</f>
        <v>50.5923617387222</v>
      </c>
      <c r="T8" s="3" t="s">
        <v>79</v>
      </c>
      <c r="U8" s="3" t="s">
        <v>82</v>
      </c>
    </row>
    <row r="9" customFormat="false" ht="41.75" hidden="false" customHeight="false" outlineLevel="0" collapsed="false">
      <c r="A9" s="3" t="s">
        <v>25</v>
      </c>
      <c r="B9" s="3" t="s">
        <v>17</v>
      </c>
      <c r="C9" s="7" t="n">
        <f aca="false">GPUsPerMW!I9</f>
        <v>508.582326764145</v>
      </c>
      <c r="D9" s="4" t="n">
        <v>0.36</v>
      </c>
      <c r="E9" s="4" t="n">
        <v>0.065</v>
      </c>
      <c r="F9" s="3" t="n">
        <v>8</v>
      </c>
      <c r="G9" s="10" t="n">
        <f aca="false">(D9+E9)/F9*1000</f>
        <v>53.125</v>
      </c>
      <c r="H9" s="10" t="n">
        <f aca="false">C9*D9/F9</f>
        <v>22.8862047043865</v>
      </c>
      <c r="I9" s="10" t="n">
        <f aca="false">C9*E9/F9</f>
        <v>4.13223140495868</v>
      </c>
      <c r="J9" s="4" t="n">
        <v>7</v>
      </c>
      <c r="K9" s="10" t="n">
        <f aca="false">H9+I9+J9</f>
        <v>34.0184361093452</v>
      </c>
      <c r="L9" s="10" t="n">
        <f aca="false">K9/GPUsPerMW!J9</f>
        <v>26.1680277764194</v>
      </c>
      <c r="M9" s="10" t="n">
        <f aca="false">K9</f>
        <v>34.0184361093452</v>
      </c>
      <c r="N9" s="4" t="n">
        <v>0.5</v>
      </c>
      <c r="O9" s="10" t="n">
        <f aca="false">H9+I9+N9</f>
        <v>27.5184361093452</v>
      </c>
      <c r="P9" s="4" t="n">
        <v>150</v>
      </c>
      <c r="Q9" s="10" t="n">
        <f aca="false">P9*1000*12/1000000</f>
        <v>1.8</v>
      </c>
      <c r="R9" s="10" t="n">
        <f aca="false">Q9*$G$3</f>
        <v>12.0781465180946</v>
      </c>
      <c r="S9" s="10" t="n">
        <f aca="false">O9+R9</f>
        <v>39.5965826274398</v>
      </c>
      <c r="T9" s="3" t="s">
        <v>79</v>
      </c>
      <c r="U9" s="3" t="s">
        <v>83</v>
      </c>
    </row>
    <row r="10" customFormat="false" ht="41.75" hidden="false" customHeight="false" outlineLevel="0" collapsed="false">
      <c r="A10" s="3" t="s">
        <v>25</v>
      </c>
      <c r="B10" s="3" t="s">
        <v>21</v>
      </c>
      <c r="C10" s="7" t="n">
        <f aca="false">GPUsPerMW!I9</f>
        <v>508.582326764145</v>
      </c>
      <c r="D10" s="4" t="n">
        <v>0.43</v>
      </c>
      <c r="E10" s="4" t="n">
        <v>0.08</v>
      </c>
      <c r="F10" s="3" t="n">
        <v>8</v>
      </c>
      <c r="G10" s="10" t="n">
        <f aca="false">(D10+E10)/F10*1000</f>
        <v>63.75</v>
      </c>
      <c r="H10" s="10" t="n">
        <f aca="false">C10*D10/F10</f>
        <v>27.3363000635728</v>
      </c>
      <c r="I10" s="10" t="n">
        <f aca="false">C10*E10/F10</f>
        <v>5.08582326764145</v>
      </c>
      <c r="J10" s="4" t="n">
        <v>10</v>
      </c>
      <c r="K10" s="10" t="n">
        <f aca="false">H10+I10+J10</f>
        <v>42.4221233312142</v>
      </c>
      <c r="L10" s="10" t="n">
        <f aca="false">K10/GPUsPerMW!J9</f>
        <v>32.6324025624725</v>
      </c>
      <c r="M10" s="10" t="n">
        <f aca="false">K10</f>
        <v>42.4221233312142</v>
      </c>
      <c r="N10" s="4" t="n">
        <v>1</v>
      </c>
      <c r="O10" s="10" t="n">
        <f aca="false">H10+I10+N10</f>
        <v>33.4221233312142</v>
      </c>
      <c r="P10" s="4" t="n">
        <v>175</v>
      </c>
      <c r="Q10" s="10" t="n">
        <f aca="false">P10*1000*12/1000000</f>
        <v>2.1</v>
      </c>
      <c r="R10" s="10" t="n">
        <f aca="false">Q10*$G$3</f>
        <v>14.091170937777</v>
      </c>
      <c r="S10" s="10" t="n">
        <f aca="false">O10+R10</f>
        <v>47.5132942689913</v>
      </c>
      <c r="T10" s="3" t="s">
        <v>79</v>
      </c>
      <c r="U10" s="3" t="s">
        <v>84</v>
      </c>
    </row>
    <row r="11" customFormat="false" ht="41.75" hidden="false" customHeight="false" outlineLevel="0" collapsed="false">
      <c r="A11" s="3" t="s">
        <v>25</v>
      </c>
      <c r="B11" s="3" t="s">
        <v>23</v>
      </c>
      <c r="C11" s="7" t="n">
        <f aca="false">GPUsPerMW!I9</f>
        <v>508.582326764145</v>
      </c>
      <c r="D11" s="4" t="n">
        <v>0.5</v>
      </c>
      <c r="E11" s="4" t="n">
        <v>0.11</v>
      </c>
      <c r="F11" s="3" t="n">
        <v>8</v>
      </c>
      <c r="G11" s="10" t="n">
        <f aca="false">(D11+E11)/F11*1000</f>
        <v>76.25</v>
      </c>
      <c r="H11" s="10" t="n">
        <f aca="false">C11*D11/F11</f>
        <v>31.7863954227591</v>
      </c>
      <c r="I11" s="10" t="n">
        <f aca="false">C11*E11/F11</f>
        <v>6.99300699300699</v>
      </c>
      <c r="J11" s="4" t="n">
        <v>14</v>
      </c>
      <c r="K11" s="10" t="n">
        <f aca="false">H11+I11+J11</f>
        <v>52.779402415766</v>
      </c>
      <c r="L11" s="10" t="n">
        <f aca="false">K11/GPUsPerMW!J9</f>
        <v>40.59954031982</v>
      </c>
      <c r="M11" s="10" t="n">
        <f aca="false">K11</f>
        <v>52.779402415766</v>
      </c>
      <c r="N11" s="4" t="n">
        <v>2</v>
      </c>
      <c r="O11" s="10" t="n">
        <f aca="false">H11+I11+N11</f>
        <v>40.779402415766</v>
      </c>
      <c r="P11" s="4" t="n">
        <v>205</v>
      </c>
      <c r="Q11" s="10" t="n">
        <f aca="false">P11*1000*12/1000000</f>
        <v>2.46</v>
      </c>
      <c r="R11" s="10" t="n">
        <f aca="false">Q11*$G$3</f>
        <v>16.506800241396</v>
      </c>
      <c r="S11" s="10" t="n">
        <f aca="false">O11+R11</f>
        <v>57.286202657162</v>
      </c>
      <c r="T11" s="3" t="s">
        <v>79</v>
      </c>
      <c r="U11" s="3" t="s">
        <v>85</v>
      </c>
    </row>
    <row r="12" customFormat="false" ht="41.75" hidden="false" customHeight="false" outlineLevel="0" collapsed="false">
      <c r="A12" s="3" t="s">
        <v>29</v>
      </c>
      <c r="B12" s="3" t="s">
        <v>17</v>
      </c>
      <c r="C12" s="7" t="n">
        <f aca="false">GPUsPerMW!I12</f>
        <v>538.317757009346</v>
      </c>
      <c r="D12" s="4" t="n">
        <v>2.8</v>
      </c>
      <c r="E12" s="4" t="n">
        <v>0.6</v>
      </c>
      <c r="F12" s="3" t="n">
        <v>72</v>
      </c>
      <c r="G12" s="10" t="n">
        <f aca="false">(D12+E12)/F12*1000</f>
        <v>47.2222222222222</v>
      </c>
      <c r="H12" s="10" t="n">
        <f aca="false">C12*D12/F12</f>
        <v>20.9345794392523</v>
      </c>
      <c r="I12" s="10" t="n">
        <f aca="false">C12*E12/F12</f>
        <v>4.48598130841122</v>
      </c>
      <c r="J12" s="4" t="n">
        <v>8</v>
      </c>
      <c r="K12" s="10" t="n">
        <f aca="false">H12+I12+J12</f>
        <v>33.4205607476636</v>
      </c>
      <c r="L12" s="10" t="n">
        <f aca="false">K12/GPUsPerMW!J12</f>
        <v>27.8504672897196</v>
      </c>
      <c r="M12" s="10" t="n">
        <f aca="false">K12</f>
        <v>33.4205607476636</v>
      </c>
      <c r="N12" s="4" t="n">
        <v>0.5</v>
      </c>
      <c r="O12" s="10" t="n">
        <f aca="false">H12+I12+N12</f>
        <v>25.9205607476636</v>
      </c>
      <c r="P12" s="4" t="n">
        <v>150</v>
      </c>
      <c r="Q12" s="10" t="n">
        <f aca="false">P12*1000*12/1000000</f>
        <v>1.8</v>
      </c>
      <c r="R12" s="10" t="n">
        <f aca="false">Q12*$G$3</f>
        <v>12.0781465180946</v>
      </c>
      <c r="S12" s="10" t="n">
        <f aca="false">O12+R12</f>
        <v>37.9987072657582</v>
      </c>
      <c r="T12" s="3" t="s">
        <v>79</v>
      </c>
      <c r="U12" s="3" t="s">
        <v>86</v>
      </c>
    </row>
    <row r="13" customFormat="false" ht="41.75" hidden="false" customHeight="false" outlineLevel="0" collapsed="false">
      <c r="A13" s="3" t="s">
        <v>29</v>
      </c>
      <c r="B13" s="3" t="s">
        <v>21</v>
      </c>
      <c r="C13" s="7" t="n">
        <f aca="false">GPUsPerMW!I12</f>
        <v>538.317757009346</v>
      </c>
      <c r="D13" s="4" t="n">
        <v>3.1</v>
      </c>
      <c r="E13" s="4" t="n">
        <v>0.8</v>
      </c>
      <c r="F13" s="3" t="n">
        <v>72</v>
      </c>
      <c r="G13" s="10" t="n">
        <f aca="false">(D13+E13)/F13*1000</f>
        <v>54.1666666666667</v>
      </c>
      <c r="H13" s="10" t="n">
        <f aca="false">C13*D13/F13</f>
        <v>23.1775700934579</v>
      </c>
      <c r="I13" s="10" t="n">
        <f aca="false">C13*E13/F13</f>
        <v>5.98130841121495</v>
      </c>
      <c r="J13" s="4" t="n">
        <v>12.5</v>
      </c>
      <c r="K13" s="10" t="n">
        <f aca="false">H13+I13+J13</f>
        <v>41.6588785046729</v>
      </c>
      <c r="L13" s="10" t="n">
        <f aca="false">K13/GPUsPerMW!J12</f>
        <v>34.7157320872274</v>
      </c>
      <c r="M13" s="10" t="n">
        <f aca="false">K13</f>
        <v>41.6588785046729</v>
      </c>
      <c r="N13" s="4" t="n">
        <v>1</v>
      </c>
      <c r="O13" s="10" t="n">
        <f aca="false">H13+I13+N13</f>
        <v>30.1588785046729</v>
      </c>
      <c r="P13" s="4" t="n">
        <v>175</v>
      </c>
      <c r="Q13" s="10" t="n">
        <f aca="false">P13*1000*12/1000000</f>
        <v>2.1</v>
      </c>
      <c r="R13" s="10" t="n">
        <f aca="false">Q13*$G$3</f>
        <v>14.091170937777</v>
      </c>
      <c r="S13" s="10" t="n">
        <f aca="false">O13+R13</f>
        <v>44.2500494424499</v>
      </c>
      <c r="T13" s="3" t="s">
        <v>79</v>
      </c>
      <c r="U13" s="3" t="s">
        <v>87</v>
      </c>
    </row>
    <row r="14" customFormat="false" ht="41.75" hidden="false" customHeight="false" outlineLevel="0" collapsed="false">
      <c r="A14" s="3" t="s">
        <v>29</v>
      </c>
      <c r="B14" s="3" t="s">
        <v>23</v>
      </c>
      <c r="C14" s="7" t="n">
        <f aca="false">GPUsPerMW!I12</f>
        <v>538.317757009346</v>
      </c>
      <c r="D14" s="4" t="n">
        <v>3.4</v>
      </c>
      <c r="E14" s="4" t="n">
        <v>1</v>
      </c>
      <c r="F14" s="3" t="n">
        <v>72</v>
      </c>
      <c r="G14" s="10" t="n">
        <f aca="false">(D14+E14)/F14*1000</f>
        <v>61.1111111111111</v>
      </c>
      <c r="H14" s="10" t="n">
        <f aca="false">C14*D14/F14</f>
        <v>25.4205607476635</v>
      </c>
      <c r="I14" s="10" t="n">
        <f aca="false">C14*E14/F14</f>
        <v>7.47663551401869</v>
      </c>
      <c r="J14" s="4" t="n">
        <v>17.6</v>
      </c>
      <c r="K14" s="10" t="n">
        <f aca="false">H14+I14+J14</f>
        <v>50.4971962616822</v>
      </c>
      <c r="L14" s="10" t="n">
        <f aca="false">K14/GPUsPerMW!J12</f>
        <v>42.0809968847352</v>
      </c>
      <c r="M14" s="10" t="n">
        <f aca="false">K14</f>
        <v>50.4971962616822</v>
      </c>
      <c r="N14" s="4" t="n">
        <v>2</v>
      </c>
      <c r="O14" s="10" t="n">
        <f aca="false">H14+I14+N14</f>
        <v>34.8971962616822</v>
      </c>
      <c r="P14" s="4" t="n">
        <v>205</v>
      </c>
      <c r="Q14" s="10" t="n">
        <f aca="false">P14*1000*12/1000000</f>
        <v>2.46</v>
      </c>
      <c r="R14" s="10" t="n">
        <f aca="false">Q14*$G$3</f>
        <v>16.506800241396</v>
      </c>
      <c r="S14" s="10" t="n">
        <f aca="false">O14+R14</f>
        <v>51.4039965030782</v>
      </c>
      <c r="T14" s="3" t="s">
        <v>79</v>
      </c>
      <c r="U14" s="3" t="s">
        <v>88</v>
      </c>
    </row>
    <row r="15" customFormat="false" ht="41.75" hidden="false" customHeight="false" outlineLevel="0" collapsed="false">
      <c r="A15" s="3" t="s">
        <v>34</v>
      </c>
      <c r="B15" s="3" t="s">
        <v>17</v>
      </c>
      <c r="C15" s="7" t="n">
        <f aca="false">GPUsPerMW!I15</f>
        <v>501.567398119122</v>
      </c>
      <c r="D15" s="4" t="n">
        <v>0.42</v>
      </c>
      <c r="E15" s="4" t="n">
        <v>0.07</v>
      </c>
      <c r="F15" s="3" t="n">
        <v>8</v>
      </c>
      <c r="G15" s="10" t="n">
        <f aca="false">(D15+E15)/F15*1000</f>
        <v>61.25</v>
      </c>
      <c r="H15" s="10" t="n">
        <f aca="false">C15*D15/F15</f>
        <v>26.3322884012539</v>
      </c>
      <c r="I15" s="10" t="n">
        <f aca="false">C15*E15/F15</f>
        <v>4.38871473354232</v>
      </c>
      <c r="J15" s="4" t="n">
        <v>7</v>
      </c>
      <c r="K15" s="10" t="n">
        <f aca="false">H15+I15+J15</f>
        <v>37.7210031347962</v>
      </c>
      <c r="L15" s="10" t="n">
        <f aca="false">K15/GPUsPerMW!J15</f>
        <v>29.0161562575356</v>
      </c>
      <c r="M15" s="10" t="n">
        <f aca="false">K15</f>
        <v>37.7210031347962</v>
      </c>
      <c r="N15" s="4" t="n">
        <v>0.5</v>
      </c>
      <c r="O15" s="10" t="n">
        <f aca="false">H15+I15+N15</f>
        <v>31.2210031347962</v>
      </c>
      <c r="P15" s="4" t="n">
        <v>150</v>
      </c>
      <c r="Q15" s="10" t="n">
        <f aca="false">P15*1000*12/1000000</f>
        <v>1.8</v>
      </c>
      <c r="R15" s="10" t="n">
        <f aca="false">Q15*$G$3</f>
        <v>12.0781465180946</v>
      </c>
      <c r="S15" s="10" t="n">
        <f aca="false">O15+R15</f>
        <v>43.2991496528908</v>
      </c>
      <c r="T15" s="3" t="s">
        <v>79</v>
      </c>
      <c r="U15" s="3" t="s">
        <v>89</v>
      </c>
    </row>
    <row r="16" customFormat="false" ht="41.75" hidden="false" customHeight="false" outlineLevel="0" collapsed="false">
      <c r="A16" s="3" t="s">
        <v>34</v>
      </c>
      <c r="B16" s="3" t="s">
        <v>21</v>
      </c>
      <c r="C16" s="7" t="n">
        <f aca="false">GPUsPerMW!I15</f>
        <v>501.567398119122</v>
      </c>
      <c r="D16" s="4" t="n">
        <v>0.55</v>
      </c>
      <c r="E16" s="4" t="n">
        <v>0.09</v>
      </c>
      <c r="F16" s="3" t="n">
        <v>8</v>
      </c>
      <c r="G16" s="10" t="n">
        <f aca="false">(D16+E16)/F16*1000</f>
        <v>80</v>
      </c>
      <c r="H16" s="10" t="n">
        <f aca="false">C16*D16/F16</f>
        <v>34.4827586206897</v>
      </c>
      <c r="I16" s="10" t="n">
        <f aca="false">C16*E16/F16</f>
        <v>5.64263322884013</v>
      </c>
      <c r="J16" s="4" t="n">
        <v>10</v>
      </c>
      <c r="K16" s="10" t="n">
        <f aca="false">H16+I16+J16</f>
        <v>50.1253918495298</v>
      </c>
      <c r="L16" s="10" t="n">
        <f aca="false">K16/GPUsPerMW!J15</f>
        <v>38.5579937304075</v>
      </c>
      <c r="M16" s="10" t="n">
        <f aca="false">K16</f>
        <v>50.1253918495298</v>
      </c>
      <c r="N16" s="4" t="n">
        <v>1</v>
      </c>
      <c r="O16" s="10" t="n">
        <f aca="false">H16+I16+N16</f>
        <v>41.1253918495298</v>
      </c>
      <c r="P16" s="4" t="n">
        <v>175</v>
      </c>
      <c r="Q16" s="10" t="n">
        <f aca="false">P16*1000*12/1000000</f>
        <v>2.1</v>
      </c>
      <c r="R16" s="10" t="n">
        <f aca="false">Q16*$G$3</f>
        <v>14.091170937777</v>
      </c>
      <c r="S16" s="10" t="n">
        <f aca="false">O16+R16</f>
        <v>55.2165627873068</v>
      </c>
      <c r="T16" s="3" t="s">
        <v>79</v>
      </c>
      <c r="U16" s="3" t="s">
        <v>90</v>
      </c>
    </row>
    <row r="17" customFormat="false" ht="41.75" hidden="false" customHeight="false" outlineLevel="0" collapsed="false">
      <c r="A17" s="3" t="s">
        <v>34</v>
      </c>
      <c r="B17" s="3" t="s">
        <v>23</v>
      </c>
      <c r="C17" s="7" t="n">
        <f aca="false">GPUsPerMW!I15</f>
        <v>501.567398119122</v>
      </c>
      <c r="D17" s="4" t="n">
        <v>0.65</v>
      </c>
      <c r="E17" s="4" t="n">
        <v>0.12</v>
      </c>
      <c r="F17" s="3" t="n">
        <v>8</v>
      </c>
      <c r="G17" s="10" t="n">
        <f aca="false">(D17+E17)/F17*1000</f>
        <v>96.25</v>
      </c>
      <c r="H17" s="10" t="n">
        <f aca="false">C17*D17/F17</f>
        <v>40.7523510971787</v>
      </c>
      <c r="I17" s="10" t="n">
        <f aca="false">C17*E17/F17</f>
        <v>7.52351097178683</v>
      </c>
      <c r="J17" s="4" t="n">
        <v>14</v>
      </c>
      <c r="K17" s="10" t="n">
        <f aca="false">H17+I17+J17</f>
        <v>62.2758620689655</v>
      </c>
      <c r="L17" s="10" t="n">
        <f aca="false">K17/GPUsPerMW!J15</f>
        <v>47.9045092838196</v>
      </c>
      <c r="M17" s="10" t="n">
        <f aca="false">K17</f>
        <v>62.2758620689655</v>
      </c>
      <c r="N17" s="4" t="n">
        <v>2</v>
      </c>
      <c r="O17" s="10" t="n">
        <f aca="false">H17+I17+N17</f>
        <v>50.2758620689655</v>
      </c>
      <c r="P17" s="4" t="n">
        <v>205</v>
      </c>
      <c r="Q17" s="10" t="n">
        <f aca="false">P17*1000*12/1000000</f>
        <v>2.46</v>
      </c>
      <c r="R17" s="10" t="n">
        <f aca="false">Q17*$G$3</f>
        <v>16.506800241396</v>
      </c>
      <c r="S17" s="10" t="n">
        <f aca="false">O17+R17</f>
        <v>66.7826623103615</v>
      </c>
      <c r="T17" s="3" t="s">
        <v>79</v>
      </c>
      <c r="U17" s="3" t="s">
        <v>91</v>
      </c>
    </row>
    <row r="18" customFormat="false" ht="41.75" hidden="false" customHeight="false" outlineLevel="0" collapsed="false">
      <c r="A18" s="3" t="s">
        <v>38</v>
      </c>
      <c r="B18" s="3" t="s">
        <v>17</v>
      </c>
      <c r="C18" s="7" t="n">
        <f aca="false">GPUsPerMW!I18</f>
        <v>491.165836687359</v>
      </c>
      <c r="D18" s="11" t="n">
        <f aca="false">'GB300 rack price'!C21</f>
        <v>4</v>
      </c>
      <c r="E18" s="11" t="n">
        <f aca="false">'GB300 rack price'!C25</f>
        <v>0.6</v>
      </c>
      <c r="F18" s="3" t="n">
        <v>72</v>
      </c>
      <c r="G18" s="10" t="n">
        <f aca="false">(D18+E18)/F18*1000</f>
        <v>63.8888888888889</v>
      </c>
      <c r="H18" s="10" t="n">
        <f aca="false">C18*D18/F18</f>
        <v>27.2869909270755</v>
      </c>
      <c r="I18" s="10" t="n">
        <f aca="false">C18*E18/F18</f>
        <v>4.09304863906133</v>
      </c>
      <c r="J18" s="4" t="n">
        <v>8</v>
      </c>
      <c r="K18" s="10" t="n">
        <f aca="false">H18+I18+J18</f>
        <v>39.3800395661368</v>
      </c>
      <c r="L18" s="10" t="n">
        <f aca="false">K18/GPUsPerMW!J18</f>
        <v>32.8166996384474</v>
      </c>
      <c r="M18" s="10" t="n">
        <f aca="false">K18</f>
        <v>39.3800395661368</v>
      </c>
      <c r="N18" s="4" t="n">
        <v>0.5</v>
      </c>
      <c r="O18" s="10" t="n">
        <f aca="false">H18+I18+N18</f>
        <v>31.8800395661368</v>
      </c>
      <c r="P18" s="4" t="n">
        <v>150</v>
      </c>
      <c r="Q18" s="10" t="n">
        <f aca="false">P18*1000*12/1000000</f>
        <v>1.8</v>
      </c>
      <c r="R18" s="10" t="n">
        <f aca="false">Q18*$G$3</f>
        <v>12.0781465180946</v>
      </c>
      <c r="S18" s="10" t="n">
        <f aca="false">O18+R18</f>
        <v>43.9581860842315</v>
      </c>
      <c r="T18" s="3" t="s">
        <v>79</v>
      </c>
      <c r="U18" s="3" t="s">
        <v>92</v>
      </c>
    </row>
    <row r="19" customFormat="false" ht="41.75" hidden="false" customHeight="false" outlineLevel="0" collapsed="false">
      <c r="A19" s="3" t="s">
        <v>38</v>
      </c>
      <c r="B19" s="3" t="s">
        <v>21</v>
      </c>
      <c r="C19" s="7" t="n">
        <f aca="false">GPUsPerMW!I18</f>
        <v>491.165836687359</v>
      </c>
      <c r="D19" s="11" t="n">
        <f aca="false">'GB300 rack price'!D21</f>
        <v>4.5</v>
      </c>
      <c r="E19" s="11" t="n">
        <f aca="false">'GB300 rack price'!D25</f>
        <v>0.9</v>
      </c>
      <c r="F19" s="3" t="n">
        <v>72</v>
      </c>
      <c r="G19" s="10" t="n">
        <f aca="false">(D19+E19)/F19*1000</f>
        <v>75</v>
      </c>
      <c r="H19" s="10" t="n">
        <f aca="false">C19*D19/F19</f>
        <v>30.69786479296</v>
      </c>
      <c r="I19" s="10" t="n">
        <f aca="false">C19*E19/F19</f>
        <v>6.13957295859199</v>
      </c>
      <c r="J19" s="4" t="n">
        <v>12.5</v>
      </c>
      <c r="K19" s="10" t="n">
        <f aca="false">H19+I19+J19</f>
        <v>49.337437751552</v>
      </c>
      <c r="L19" s="10" t="n">
        <f aca="false">K19/GPUsPerMW!J18</f>
        <v>41.1145314596266</v>
      </c>
      <c r="M19" s="10" t="n">
        <f aca="false">K19</f>
        <v>49.337437751552</v>
      </c>
      <c r="N19" s="4" t="n">
        <v>1</v>
      </c>
      <c r="O19" s="10" t="n">
        <f aca="false">H19+I19+N19</f>
        <v>37.837437751552</v>
      </c>
      <c r="P19" s="4" t="n">
        <v>175</v>
      </c>
      <c r="Q19" s="10" t="n">
        <f aca="false">P19*1000*12/1000000</f>
        <v>2.1</v>
      </c>
      <c r="R19" s="10" t="n">
        <f aca="false">Q19*$G$3</f>
        <v>14.091170937777</v>
      </c>
      <c r="S19" s="10" t="n">
        <f aca="false">O19+R19</f>
        <v>51.928608689329</v>
      </c>
      <c r="T19" s="3" t="s">
        <v>79</v>
      </c>
      <c r="U19" s="3" t="s">
        <v>93</v>
      </c>
    </row>
    <row r="20" customFormat="false" ht="41.75" hidden="false" customHeight="false" outlineLevel="0" collapsed="false">
      <c r="A20" s="3" t="s">
        <v>38</v>
      </c>
      <c r="B20" s="3" t="s">
        <v>23</v>
      </c>
      <c r="C20" s="7" t="n">
        <f aca="false">GPUsPerMW!I18</f>
        <v>491.165836687359</v>
      </c>
      <c r="D20" s="11" t="n">
        <f aca="false">'GB300 rack price'!E21</f>
        <v>5</v>
      </c>
      <c r="E20" s="11" t="n">
        <f aca="false">'GB300 rack price'!E25</f>
        <v>1.2</v>
      </c>
      <c r="F20" s="3" t="n">
        <v>72</v>
      </c>
      <c r="G20" s="10" t="n">
        <f aca="false">(D20+E20)/F20*1000</f>
        <v>86.1111111111111</v>
      </c>
      <c r="H20" s="10" t="n">
        <f aca="false">C20*D20/F20</f>
        <v>34.1087386588444</v>
      </c>
      <c r="I20" s="10" t="n">
        <f aca="false">C20*E20/F20</f>
        <v>8.18609727812265</v>
      </c>
      <c r="J20" s="4" t="n">
        <v>17.6</v>
      </c>
      <c r="K20" s="10" t="n">
        <f aca="false">H20+I20+J20</f>
        <v>59.8948359369671</v>
      </c>
      <c r="L20" s="10" t="n">
        <f aca="false">K20/GPUsPerMW!J18</f>
        <v>49.9123632808059</v>
      </c>
      <c r="M20" s="10" t="n">
        <f aca="false">K20</f>
        <v>59.8948359369671</v>
      </c>
      <c r="N20" s="4" t="n">
        <v>2</v>
      </c>
      <c r="O20" s="10" t="n">
        <f aca="false">H20+I20+N20</f>
        <v>44.2948359369671</v>
      </c>
      <c r="P20" s="4" t="n">
        <v>205</v>
      </c>
      <c r="Q20" s="10" t="n">
        <f aca="false">P20*1000*12/1000000</f>
        <v>2.46</v>
      </c>
      <c r="R20" s="10" t="n">
        <f aca="false">Q20*$G$3</f>
        <v>16.506800241396</v>
      </c>
      <c r="S20" s="10" t="n">
        <f aca="false">O20+R20</f>
        <v>60.801636178363</v>
      </c>
      <c r="T20" s="3" t="s">
        <v>79</v>
      </c>
      <c r="U20" s="3" t="s">
        <v>94</v>
      </c>
    </row>
    <row r="21" customFormat="false" ht="41.75" hidden="false" customHeight="false" outlineLevel="0" collapsed="false">
      <c r="A21" s="3" t="s">
        <v>42</v>
      </c>
      <c r="B21" s="3" t="s">
        <v>17</v>
      </c>
      <c r="C21" s="7" t="n">
        <f aca="false">GPUsPerMW!I21</f>
        <v>320.427236315087</v>
      </c>
      <c r="D21" s="4" t="n">
        <v>6.7</v>
      </c>
      <c r="E21" s="4" t="n">
        <v>0.9</v>
      </c>
      <c r="F21" s="3" t="n">
        <v>72</v>
      </c>
      <c r="G21" s="10" t="n">
        <f aca="false">(D21+E21)/F21*1000</f>
        <v>105.555555555556</v>
      </c>
      <c r="H21" s="10" t="n">
        <f aca="false">C21*D21/F21</f>
        <v>29.8175344904317</v>
      </c>
      <c r="I21" s="10" t="n">
        <f aca="false">C21*E21/F21</f>
        <v>4.00534045393858</v>
      </c>
      <c r="J21" s="4" t="n">
        <v>8</v>
      </c>
      <c r="K21" s="10" t="n">
        <f aca="false">H21+I21+J21</f>
        <v>41.8228749443703</v>
      </c>
      <c r="L21" s="10" t="n">
        <f aca="false">K21/GPUsPerMW!J21</f>
        <v>34.8523957869752</v>
      </c>
      <c r="M21" s="10" t="n">
        <f aca="false">K21</f>
        <v>41.8228749443703</v>
      </c>
      <c r="N21" s="4" t="n">
        <v>0.5</v>
      </c>
      <c r="O21" s="10" t="n">
        <f aca="false">H21+I21+N21</f>
        <v>34.3228749443703</v>
      </c>
      <c r="P21" s="4" t="n">
        <v>150</v>
      </c>
      <c r="Q21" s="10" t="n">
        <f aca="false">P21*1000*12/1000000</f>
        <v>1.8</v>
      </c>
      <c r="R21" s="10" t="n">
        <f aca="false">Q21*$G$3</f>
        <v>12.0781465180946</v>
      </c>
      <c r="S21" s="10" t="n">
        <f aca="false">O21+R21</f>
        <v>46.4010214624649</v>
      </c>
      <c r="T21" s="3" t="s">
        <v>79</v>
      </c>
      <c r="U21" s="3" t="s">
        <v>95</v>
      </c>
    </row>
    <row r="22" customFormat="false" ht="41.75" hidden="false" customHeight="false" outlineLevel="0" collapsed="false">
      <c r="A22" s="3" t="s">
        <v>42</v>
      </c>
      <c r="B22" s="3" t="s">
        <v>21</v>
      </c>
      <c r="C22" s="7" t="n">
        <f aca="false">GPUsPerMW!I21</f>
        <v>320.427236315087</v>
      </c>
      <c r="D22" s="4" t="n">
        <v>7.8</v>
      </c>
      <c r="E22" s="4" t="n">
        <v>1.2</v>
      </c>
      <c r="F22" s="3" t="n">
        <v>72</v>
      </c>
      <c r="G22" s="10" t="n">
        <f aca="false">(D22+E22)/F22*1000</f>
        <v>125</v>
      </c>
      <c r="H22" s="10" t="n">
        <f aca="false">C22*D22/F22</f>
        <v>34.7129506008011</v>
      </c>
      <c r="I22" s="10" t="n">
        <f aca="false">C22*E22/F22</f>
        <v>5.34045393858478</v>
      </c>
      <c r="J22" s="4" t="n">
        <v>12.5</v>
      </c>
      <c r="K22" s="10" t="n">
        <f aca="false">H22+I22+J22</f>
        <v>52.5534045393858</v>
      </c>
      <c r="L22" s="10" t="n">
        <f aca="false">K22/GPUsPerMW!J21</f>
        <v>43.7945037828215</v>
      </c>
      <c r="M22" s="10" t="n">
        <f aca="false">K22</f>
        <v>52.5534045393858</v>
      </c>
      <c r="N22" s="4" t="n">
        <v>1</v>
      </c>
      <c r="O22" s="10" t="n">
        <f aca="false">H22+I22+N22</f>
        <v>41.0534045393858</v>
      </c>
      <c r="P22" s="4" t="n">
        <v>175</v>
      </c>
      <c r="Q22" s="10" t="n">
        <f aca="false">P22*1000*12/1000000</f>
        <v>2.1</v>
      </c>
      <c r="R22" s="10" t="n">
        <f aca="false">Q22*$G$3</f>
        <v>14.091170937777</v>
      </c>
      <c r="S22" s="10" t="n">
        <f aca="false">O22+R22</f>
        <v>55.1445754771629</v>
      </c>
      <c r="T22" s="3" t="s">
        <v>79</v>
      </c>
      <c r="U22" s="3" t="s">
        <v>96</v>
      </c>
    </row>
    <row r="23" customFormat="false" ht="41.75" hidden="false" customHeight="false" outlineLevel="0" collapsed="false">
      <c r="A23" s="3" t="s">
        <v>42</v>
      </c>
      <c r="B23" s="3" t="s">
        <v>23</v>
      </c>
      <c r="C23" s="7" t="n">
        <f aca="false">GPUsPerMW!I21</f>
        <v>320.427236315087</v>
      </c>
      <c r="D23" s="4" t="n">
        <v>9.1</v>
      </c>
      <c r="E23" s="4" t="n">
        <v>1.5</v>
      </c>
      <c r="F23" s="3" t="n">
        <v>72</v>
      </c>
      <c r="G23" s="10" t="n">
        <f aca="false">(D23+E23)/F23*1000</f>
        <v>147.222222222222</v>
      </c>
      <c r="H23" s="10" t="n">
        <f aca="false">C23*D23/F23</f>
        <v>40.4984423676012</v>
      </c>
      <c r="I23" s="10" t="n">
        <f aca="false">C23*E23/F23</f>
        <v>6.67556742323098</v>
      </c>
      <c r="J23" s="4" t="n">
        <v>17.6</v>
      </c>
      <c r="K23" s="10" t="n">
        <f aca="false">H23+I23+J23</f>
        <v>64.7740097908322</v>
      </c>
      <c r="L23" s="10" t="n">
        <f aca="false">K23/GPUsPerMW!J21</f>
        <v>53.9783414923602</v>
      </c>
      <c r="M23" s="10" t="n">
        <f aca="false">K23</f>
        <v>64.7740097908322</v>
      </c>
      <c r="N23" s="4" t="n">
        <v>2</v>
      </c>
      <c r="O23" s="10" t="n">
        <f aca="false">H23+I23+N23</f>
        <v>49.1740097908322</v>
      </c>
      <c r="P23" s="4" t="n">
        <v>205</v>
      </c>
      <c r="Q23" s="10" t="n">
        <f aca="false">P23*1000*12/1000000</f>
        <v>2.46</v>
      </c>
      <c r="R23" s="10" t="n">
        <f aca="false">Q23*$G$3</f>
        <v>16.506800241396</v>
      </c>
      <c r="S23" s="10" t="n">
        <f aca="false">O23+R23</f>
        <v>65.6808100322282</v>
      </c>
      <c r="T23" s="3" t="s">
        <v>79</v>
      </c>
      <c r="U23" s="3" t="s">
        <v>97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41.75" hidden="false" customHeight="false" outlineLevel="0" collapsed="false">
      <c r="A25" s="8" t="s">
        <v>98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55.2" hidden="false" customHeight="false" outlineLevel="0" collapsed="false">
      <c r="A26" s="2" t="s">
        <v>2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" hidden="false" customHeight="false" outlineLevel="0" collapsed="false">
      <c r="A27" s="3" t="s">
        <v>16</v>
      </c>
      <c r="B27" s="10" t="n">
        <f aca="false">K6</f>
        <v>28.3903743315508</v>
      </c>
      <c r="C27" s="10" t="n">
        <f aca="false">K7</f>
        <v>35.8467023172906</v>
      </c>
      <c r="D27" s="10" t="n">
        <f aca="false">K8</f>
        <v>46.0855614973262</v>
      </c>
      <c r="E27" s="10" t="n">
        <f aca="false">L7</f>
        <v>27.5743863979158</v>
      </c>
      <c r="F27" s="10" t="n">
        <f aca="false">O7</f>
        <v>26.8467023172906</v>
      </c>
      <c r="G27" s="10" t="n">
        <f aca="false">S7</f>
        <v>40.9378732550676</v>
      </c>
      <c r="H27" s="12" t="n">
        <f aca="false">(H7+I7)/K7</f>
        <v>0.721034311287917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" hidden="false" customHeight="false" outlineLevel="0" collapsed="false">
      <c r="A28" s="3" t="s">
        <v>25</v>
      </c>
      <c r="B28" s="10" t="n">
        <f aca="false">K9</f>
        <v>34.0184361093452</v>
      </c>
      <c r="C28" s="10" t="n">
        <f aca="false">K10</f>
        <v>42.4221233312142</v>
      </c>
      <c r="D28" s="10" t="n">
        <f aca="false">K11</f>
        <v>52.779402415766</v>
      </c>
      <c r="E28" s="10" t="n">
        <f aca="false">L10</f>
        <v>32.6324025624725</v>
      </c>
      <c r="F28" s="10" t="n">
        <f aca="false">O10</f>
        <v>33.4221233312142</v>
      </c>
      <c r="G28" s="10" t="n">
        <f aca="false">S10</f>
        <v>47.5132942689913</v>
      </c>
      <c r="H28" s="12" t="n">
        <f aca="false">(H10+I10)/K10</f>
        <v>0.764273939757231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" hidden="false" customHeight="false" outlineLevel="0" collapsed="false">
      <c r="A29" s="3" t="s">
        <v>29</v>
      </c>
      <c r="B29" s="10" t="n">
        <f aca="false">K12</f>
        <v>33.4205607476636</v>
      </c>
      <c r="C29" s="10" t="n">
        <f aca="false">K13</f>
        <v>41.6588785046729</v>
      </c>
      <c r="D29" s="10" t="n">
        <f aca="false">K14</f>
        <v>50.4971962616822</v>
      </c>
      <c r="E29" s="10" t="n">
        <f aca="false">L13</f>
        <v>34.7157320872274</v>
      </c>
      <c r="F29" s="10" t="n">
        <f aca="false">O13</f>
        <v>30.1588785046729</v>
      </c>
      <c r="G29" s="10" t="n">
        <f aca="false">S13</f>
        <v>44.2500494424499</v>
      </c>
      <c r="H29" s="12" t="n">
        <f aca="false">(H13+I13)/K13</f>
        <v>0.699943914750421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" hidden="false" customHeight="false" outlineLevel="0" collapsed="false">
      <c r="A30" s="3" t="s">
        <v>34</v>
      </c>
      <c r="B30" s="10" t="n">
        <f aca="false">K15</f>
        <v>37.7210031347962</v>
      </c>
      <c r="C30" s="10" t="n">
        <f aca="false">K16</f>
        <v>50.1253918495298</v>
      </c>
      <c r="D30" s="10" t="n">
        <f aca="false">K17</f>
        <v>62.2758620689655</v>
      </c>
      <c r="E30" s="10" t="n">
        <f aca="false">L16</f>
        <v>38.5579937304075</v>
      </c>
      <c r="F30" s="10" t="n">
        <f aca="false">O16</f>
        <v>41.1253918495298</v>
      </c>
      <c r="G30" s="10" t="n">
        <f aca="false">S16</f>
        <v>55.2165627873068</v>
      </c>
      <c r="H30" s="12" t="n">
        <f aca="false">(H16+I16)/K16</f>
        <v>0.800500312695435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" hidden="false" customHeight="false" outlineLevel="0" collapsed="false">
      <c r="A31" s="3" t="s">
        <v>38</v>
      </c>
      <c r="B31" s="10" t="n">
        <f aca="false">K18</f>
        <v>39.3800395661368</v>
      </c>
      <c r="C31" s="10" t="n">
        <f aca="false">K19</f>
        <v>49.337437751552</v>
      </c>
      <c r="D31" s="10" t="n">
        <f aca="false">K20</f>
        <v>59.8948359369671</v>
      </c>
      <c r="E31" s="10" t="n">
        <f aca="false">L19</f>
        <v>41.1145314596266</v>
      </c>
      <c r="F31" s="10" t="n">
        <f aca="false">O19</f>
        <v>37.837437751552</v>
      </c>
      <c r="G31" s="10" t="n">
        <f aca="false">S19</f>
        <v>51.928608689329</v>
      </c>
      <c r="H31" s="12" t="n">
        <f aca="false">(H19+I19)/K19</f>
        <v>0.746642700357766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28.35" hidden="false" customHeight="false" outlineLevel="0" collapsed="false">
      <c r="A32" s="3" t="s">
        <v>42</v>
      </c>
      <c r="B32" s="10" t="n">
        <f aca="false">K21</f>
        <v>41.8228749443703</v>
      </c>
      <c r="C32" s="10" t="n">
        <f aca="false">K22</f>
        <v>52.5534045393858</v>
      </c>
      <c r="D32" s="10" t="n">
        <f aca="false">K23</f>
        <v>64.7740097908322</v>
      </c>
      <c r="E32" s="10" t="n">
        <f aca="false">L22</f>
        <v>43.7945037828215</v>
      </c>
      <c r="F32" s="10" t="n">
        <f aca="false">O22</f>
        <v>41.0534045393858</v>
      </c>
      <c r="G32" s="10" t="n">
        <f aca="false">S22</f>
        <v>55.1445754771629</v>
      </c>
      <c r="H32" s="12" t="n">
        <f aca="false">(H22+I22)/K22</f>
        <v>0.762146713242299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22.35" hidden="false" customHeight="false" outlineLevel="0" collapsed="false">
      <c r="A34" s="3" t="s">
        <v>106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8"/>
    <col collapsed="false" customWidth="true" hidden="false" outlineLevel="0" max="5" min="3" style="0" width="12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107</v>
      </c>
    </row>
    <row r="3" customFormat="false" ht="28.35" hidden="false" customHeight="false" outlineLevel="0" collapsed="false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14</v>
      </c>
      <c r="I3" s="2" t="s">
        <v>115</v>
      </c>
    </row>
    <row r="4" customFormat="false" ht="28.35" hidden="false" customHeight="false" outlineLevel="0" collapsed="false">
      <c r="A4" s="3" t="n">
        <v>1</v>
      </c>
      <c r="B4" s="3" t="s">
        <v>116</v>
      </c>
      <c r="C4" s="3" t="s">
        <v>117</v>
      </c>
      <c r="D4" s="11" t="n">
        <v>3.85</v>
      </c>
      <c r="E4" s="10" t="n">
        <f aca="false">D4/72*1000</f>
        <v>53.4722222222222</v>
      </c>
      <c r="F4" s="3" t="s">
        <v>118</v>
      </c>
      <c r="G4" s="3" t="s">
        <v>119</v>
      </c>
      <c r="H4" s="3" t="s">
        <v>120</v>
      </c>
      <c r="I4" s="3" t="s">
        <v>121</v>
      </c>
    </row>
    <row r="5" customFormat="false" ht="28.35" hidden="false" customHeight="false" outlineLevel="0" collapsed="false">
      <c r="A5" s="3" t="n">
        <v>2</v>
      </c>
      <c r="B5" s="3" t="s">
        <v>122</v>
      </c>
      <c r="C5" s="3" t="s">
        <v>123</v>
      </c>
      <c r="D5" s="11" t="n">
        <v>4</v>
      </c>
      <c r="E5" s="10" t="n">
        <f aca="false">D5/72*1000</f>
        <v>55.5555555555556</v>
      </c>
      <c r="F5" s="3" t="s">
        <v>124</v>
      </c>
      <c r="G5" s="3" t="s">
        <v>125</v>
      </c>
      <c r="H5" s="3" t="s">
        <v>126</v>
      </c>
      <c r="I5" s="3" t="s">
        <v>127</v>
      </c>
    </row>
    <row r="6" customFormat="false" ht="15" hidden="false" customHeight="false" outlineLevel="0" collapsed="false">
      <c r="A6" s="3" t="n">
        <v>3</v>
      </c>
      <c r="B6" s="3" t="s">
        <v>128</v>
      </c>
      <c r="C6" s="3" t="s">
        <v>129</v>
      </c>
      <c r="D6" s="11" t="n">
        <v>4.3</v>
      </c>
      <c r="E6" s="10" t="n">
        <f aca="false">D6/72*1000</f>
        <v>59.7222222222222</v>
      </c>
      <c r="F6" s="3" t="s">
        <v>130</v>
      </c>
      <c r="G6" s="3" t="s">
        <v>131</v>
      </c>
      <c r="H6" s="3" t="s">
        <v>120</v>
      </c>
      <c r="I6" s="3" t="s">
        <v>132</v>
      </c>
    </row>
    <row r="7" customFormat="false" ht="41.75" hidden="false" customHeight="false" outlineLevel="0" collapsed="false">
      <c r="A7" s="3" t="n">
        <v>4</v>
      </c>
      <c r="B7" s="3" t="s">
        <v>133</v>
      </c>
      <c r="C7" s="3" t="s">
        <v>134</v>
      </c>
      <c r="D7" s="11" t="n">
        <v>4.97</v>
      </c>
      <c r="E7" s="10" t="n">
        <f aca="false">D7/72*1000</f>
        <v>69.0277777777778</v>
      </c>
      <c r="F7" s="3" t="s">
        <v>135</v>
      </c>
      <c r="G7" s="3" t="s">
        <v>136</v>
      </c>
      <c r="H7" s="3" t="s">
        <v>137</v>
      </c>
      <c r="I7" s="3" t="s">
        <v>138</v>
      </c>
    </row>
    <row r="8" customFormat="false" ht="28.35" hidden="false" customHeight="false" outlineLevel="0" collapsed="false">
      <c r="A8" s="3" t="n">
        <v>5</v>
      </c>
      <c r="B8" s="3" t="s">
        <v>139</v>
      </c>
      <c r="C8" s="3" t="s">
        <v>140</v>
      </c>
      <c r="D8" s="11" t="n">
        <v>6.25</v>
      </c>
      <c r="E8" s="10" t="n">
        <f aca="false">D8/72*1000</f>
        <v>86.8055555555556</v>
      </c>
      <c r="F8" s="3" t="s">
        <v>141</v>
      </c>
      <c r="G8" s="3" t="s">
        <v>131</v>
      </c>
      <c r="H8" s="3" t="s">
        <v>142</v>
      </c>
      <c r="I8" s="3" t="s">
        <v>143</v>
      </c>
    </row>
    <row r="9" customFormat="false" ht="28.35" hidden="false" customHeight="false" outlineLevel="0" collapsed="false">
      <c r="A9" s="3" t="n">
        <v>6</v>
      </c>
      <c r="B9" s="3" t="s">
        <v>144</v>
      </c>
      <c r="C9" s="3" t="s">
        <v>145</v>
      </c>
      <c r="D9" s="11" t="n">
        <f aca="false">168/2400*72</f>
        <v>5.04</v>
      </c>
      <c r="E9" s="10" t="n">
        <f aca="false">D9/72*1000</f>
        <v>70</v>
      </c>
      <c r="F9" s="3" t="s">
        <v>146</v>
      </c>
      <c r="G9" s="3" t="s">
        <v>147</v>
      </c>
      <c r="H9" s="3" t="s">
        <v>148</v>
      </c>
      <c r="I9" s="3" t="s">
        <v>149</v>
      </c>
    </row>
    <row r="10" customFormat="false" ht="28.35" hidden="false" customHeight="false" outlineLevel="0" collapsed="false">
      <c r="A10" s="3" t="n">
        <v>7</v>
      </c>
      <c r="B10" s="3" t="s">
        <v>150</v>
      </c>
      <c r="C10" s="3" t="s">
        <v>151</v>
      </c>
      <c r="D10" s="11" t="n">
        <f aca="false">5800/76000*72</f>
        <v>5.49473684210526</v>
      </c>
      <c r="E10" s="10" t="n">
        <f aca="false">D10/72*1000</f>
        <v>76.3157894736842</v>
      </c>
      <c r="F10" s="3" t="s">
        <v>152</v>
      </c>
      <c r="G10" s="3" t="s">
        <v>153</v>
      </c>
      <c r="H10" s="3" t="s">
        <v>154</v>
      </c>
      <c r="I10" s="3" t="s">
        <v>155</v>
      </c>
    </row>
    <row r="11" customFormat="false" ht="28.35" hidden="false" customHeight="false" outlineLevel="0" collapsed="false">
      <c r="A11" s="3" t="n">
        <v>8</v>
      </c>
      <c r="B11" s="3" t="s">
        <v>156</v>
      </c>
      <c r="C11" s="3" t="s">
        <v>157</v>
      </c>
      <c r="D11" s="11" t="n">
        <v>3.1</v>
      </c>
      <c r="E11" s="10" t="n">
        <f aca="false">D11/72*1000</f>
        <v>43.0555555555556</v>
      </c>
      <c r="F11" s="3" t="s">
        <v>158</v>
      </c>
      <c r="G11" s="3" t="s">
        <v>159</v>
      </c>
      <c r="H11" s="3" t="s">
        <v>137</v>
      </c>
      <c r="I11" s="3" t="s">
        <v>160</v>
      </c>
    </row>
    <row r="12" customFormat="false" ht="15" hidden="false" customHeight="false" outlineLevel="0" collapsed="false">
      <c r="A12" s="3" t="n">
        <v>9</v>
      </c>
      <c r="B12" s="3" t="s">
        <v>161</v>
      </c>
      <c r="C12" s="3" t="s">
        <v>162</v>
      </c>
      <c r="D12" s="11" t="n">
        <v>3</v>
      </c>
      <c r="E12" s="10" t="n">
        <f aca="false">D12/72*1000</f>
        <v>41.6666666666667</v>
      </c>
      <c r="F12" s="3" t="s">
        <v>163</v>
      </c>
      <c r="G12" s="3" t="s">
        <v>131</v>
      </c>
      <c r="H12" s="3" t="s">
        <v>142</v>
      </c>
      <c r="I12" s="3" t="s">
        <v>164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8" t="s">
        <v>165</v>
      </c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2" t="s">
        <v>166</v>
      </c>
      <c r="B20" s="2" t="s">
        <v>4</v>
      </c>
      <c r="C20" s="2" t="s">
        <v>17</v>
      </c>
      <c r="D20" s="2" t="s">
        <v>21</v>
      </c>
      <c r="E20" s="2" t="s">
        <v>23</v>
      </c>
      <c r="F20" s="2" t="s">
        <v>167</v>
      </c>
      <c r="G20" s="2" t="s">
        <v>168</v>
      </c>
      <c r="H20" s="3"/>
      <c r="I20" s="3"/>
    </row>
    <row r="21" customFormat="false" ht="162.65" hidden="false" customHeight="false" outlineLevel="0" collapsed="false">
      <c r="A21" s="3" t="s">
        <v>169</v>
      </c>
      <c r="B21" s="3" t="s">
        <v>170</v>
      </c>
      <c r="C21" s="11" t="n">
        <v>4</v>
      </c>
      <c r="D21" s="11" t="n">
        <v>4.5</v>
      </c>
      <c r="E21" s="11" t="n">
        <v>5</v>
      </c>
      <c r="F21" s="11" t="n">
        <v>6.25</v>
      </c>
      <c r="G21" s="3" t="s">
        <v>171</v>
      </c>
      <c r="H21" s="3"/>
      <c r="I21" s="3"/>
    </row>
    <row r="22" customFormat="false" ht="28.35" hidden="false" customHeight="false" outlineLevel="0" collapsed="false">
      <c r="A22" s="3" t="s">
        <v>172</v>
      </c>
      <c r="B22" s="3" t="s">
        <v>173</v>
      </c>
      <c r="C22" s="13" t="n">
        <f aca="false">GPUsPerMW!I18/72</f>
        <v>6.82174773176888</v>
      </c>
      <c r="D22" s="13" t="n">
        <f aca="false">GPUsPerMW!I18/72</f>
        <v>6.82174773176888</v>
      </c>
      <c r="E22" s="13" t="n">
        <f aca="false">GPUsPerMW!I18/72</f>
        <v>6.82174773176888</v>
      </c>
      <c r="F22" s="13" t="n">
        <f aca="false">GPUsPerMW!I18/72</f>
        <v>6.82174773176888</v>
      </c>
      <c r="G22" s="3" t="s">
        <v>174</v>
      </c>
      <c r="H22" s="3"/>
      <c r="I22" s="3"/>
    </row>
    <row r="23" customFormat="false" ht="15" hidden="false" customHeight="false" outlineLevel="0" collapsed="false">
      <c r="A23" s="3" t="s">
        <v>175</v>
      </c>
      <c r="B23" s="3" t="s">
        <v>176</v>
      </c>
      <c r="C23" s="13" t="n">
        <f aca="false">C21*C22</f>
        <v>27.2869909270755</v>
      </c>
      <c r="D23" s="13" t="n">
        <f aca="false">D21*D22</f>
        <v>30.69786479296</v>
      </c>
      <c r="E23" s="13" t="n">
        <f aca="false">E21*E22</f>
        <v>34.1087386588444</v>
      </c>
      <c r="F23" s="13" t="n">
        <f aca="false">F21*F22</f>
        <v>42.6359233235555</v>
      </c>
      <c r="G23" s="3" t="s">
        <v>177</v>
      </c>
      <c r="H23" s="3"/>
      <c r="I23" s="3"/>
    </row>
    <row r="24" customFormat="false" ht="68.65" hidden="false" customHeight="false" outlineLevel="0" collapsed="false">
      <c r="A24" s="3" t="s">
        <v>178</v>
      </c>
      <c r="B24" s="3" t="s">
        <v>179</v>
      </c>
      <c r="C24" s="11" t="n">
        <v>1.6</v>
      </c>
      <c r="D24" s="11" t="n">
        <v>2.5</v>
      </c>
      <c r="E24" s="11" t="n">
        <v>4</v>
      </c>
      <c r="F24" s="11" t="n">
        <v>4</v>
      </c>
      <c r="G24" s="3" t="s">
        <v>180</v>
      </c>
      <c r="H24" s="3"/>
      <c r="I24" s="3"/>
    </row>
    <row r="25" customFormat="false" ht="149.25" hidden="false" customHeight="false" outlineLevel="0" collapsed="false">
      <c r="A25" s="3" t="s">
        <v>181</v>
      </c>
      <c r="B25" s="3" t="s">
        <v>170</v>
      </c>
      <c r="C25" s="11" t="n">
        <v>0.6</v>
      </c>
      <c r="D25" s="11" t="n">
        <v>0.9</v>
      </c>
      <c r="E25" s="11" t="n">
        <v>1.2</v>
      </c>
      <c r="F25" s="11" t="n">
        <v>1.2</v>
      </c>
      <c r="G25" s="3" t="s">
        <v>182</v>
      </c>
      <c r="H25" s="3"/>
      <c r="I25" s="3"/>
    </row>
    <row r="26" customFormat="false" ht="28.35" hidden="false" customHeight="false" outlineLevel="0" collapsed="false">
      <c r="A26" s="3" t="s">
        <v>183</v>
      </c>
      <c r="B26" s="3" t="s">
        <v>176</v>
      </c>
      <c r="C26" s="13" t="n">
        <f aca="false">C25*C22</f>
        <v>4.09304863906133</v>
      </c>
      <c r="D26" s="13" t="n">
        <f aca="false">D25*D22</f>
        <v>6.13957295859199</v>
      </c>
      <c r="E26" s="13" t="n">
        <f aca="false">E25*E22</f>
        <v>8.18609727812266</v>
      </c>
      <c r="F26" s="13" t="n">
        <f aca="false">F25*F22</f>
        <v>8.18609727812266</v>
      </c>
      <c r="G26" s="3" t="s">
        <v>184</v>
      </c>
      <c r="H26" s="3"/>
      <c r="I26" s="3"/>
    </row>
    <row r="27" customFormat="false" ht="15" hidden="false" customHeight="false" outlineLevel="0" collapsed="false">
      <c r="A27" s="3" t="s">
        <v>185</v>
      </c>
      <c r="B27" s="3" t="s">
        <v>176</v>
      </c>
      <c r="C27" s="13" t="n">
        <f aca="false">C23+C26</f>
        <v>31.3800395661368</v>
      </c>
      <c r="D27" s="13" t="n">
        <f aca="false">D23+D26</f>
        <v>36.837437751552</v>
      </c>
      <c r="E27" s="13" t="n">
        <f aca="false">E23+E26</f>
        <v>42.2948359369671</v>
      </c>
      <c r="F27" s="13" t="n">
        <f aca="false">F23+F26</f>
        <v>50.8220206016782</v>
      </c>
      <c r="G27" s="3" t="s">
        <v>186</v>
      </c>
      <c r="H27" s="3"/>
      <c r="I27" s="3"/>
    </row>
    <row r="28" customFormat="false" ht="15" hidden="false" customHeight="false" outlineLevel="0" collapsed="false">
      <c r="A28" s="3" t="s">
        <v>187</v>
      </c>
      <c r="B28" s="3" t="s">
        <v>176</v>
      </c>
      <c r="C28" s="11" t="n">
        <v>0.5</v>
      </c>
      <c r="D28" s="11" t="n">
        <v>1</v>
      </c>
      <c r="E28" s="11" t="n">
        <v>2</v>
      </c>
      <c r="F28" s="11" t="n">
        <v>2</v>
      </c>
      <c r="G28" s="3" t="s">
        <v>188</v>
      </c>
      <c r="H28" s="3"/>
      <c r="I28" s="3"/>
    </row>
    <row r="29" customFormat="false" ht="28.35" hidden="false" customHeight="false" outlineLevel="0" collapsed="false">
      <c r="A29" s="3" t="s">
        <v>189</v>
      </c>
      <c r="B29" s="3" t="s">
        <v>176</v>
      </c>
      <c r="C29" s="13" t="n">
        <f aca="false">C27+C28</f>
        <v>31.8800395661368</v>
      </c>
      <c r="D29" s="13" t="n">
        <f aca="false">D27+D28</f>
        <v>37.837437751552</v>
      </c>
      <c r="E29" s="13" t="n">
        <f aca="false">E27+E28</f>
        <v>44.2948359369671</v>
      </c>
      <c r="F29" s="13" t="n">
        <f aca="false">F27+F28</f>
        <v>52.8220206016782</v>
      </c>
      <c r="G29" s="3" t="s">
        <v>190</v>
      </c>
      <c r="H29" s="3"/>
      <c r="I29" s="3"/>
    </row>
    <row r="30" customFormat="false" ht="55.2" hidden="false" customHeight="false" outlineLevel="0" collapsed="false">
      <c r="A30" s="3" t="s">
        <v>191</v>
      </c>
      <c r="B30" s="3" t="s">
        <v>176</v>
      </c>
      <c r="C30" s="11" t="n">
        <v>33</v>
      </c>
      <c r="D30" s="11" t="n">
        <v>33</v>
      </c>
      <c r="E30" s="11" t="n">
        <v>33</v>
      </c>
      <c r="F30" s="11" t="n">
        <v>33</v>
      </c>
      <c r="G30" s="3" t="s">
        <v>192</v>
      </c>
      <c r="H30" s="3"/>
      <c r="I30" s="3"/>
    </row>
    <row r="31" customFormat="false" ht="15" hidden="false" customHeight="false" outlineLevel="0" collapsed="false">
      <c r="A31" s="3" t="s">
        <v>193</v>
      </c>
      <c r="B31" s="3" t="s">
        <v>176</v>
      </c>
      <c r="C31" s="13" t="n">
        <f aca="false">C30-C27</f>
        <v>1.61996043386316</v>
      </c>
      <c r="D31" s="13" t="n">
        <f aca="false">D30-D27</f>
        <v>-3.83743775155195</v>
      </c>
      <c r="E31" s="13" t="n">
        <f aca="false">E30-E27</f>
        <v>-9.29483593696705</v>
      </c>
      <c r="F31" s="13" t="n">
        <f aca="false">F30-F27</f>
        <v>-17.8220206016781</v>
      </c>
      <c r="G31" s="3" t="s">
        <v>177</v>
      </c>
      <c r="H31" s="3"/>
      <c r="I31" s="3"/>
    </row>
    <row r="32" customFormat="false" ht="15" hidden="false" customHeight="false" outlineLevel="0" collapsed="false">
      <c r="A32" s="3" t="s">
        <v>194</v>
      </c>
      <c r="B32" s="3" t="s">
        <v>170</v>
      </c>
      <c r="C32" s="13" t="n">
        <f aca="false">C30/C22-C25</f>
        <v>4.23747</v>
      </c>
      <c r="D32" s="13" t="n">
        <f aca="false">D30/D22-D25</f>
        <v>3.93747</v>
      </c>
      <c r="E32" s="13" t="n">
        <f aca="false">E30/E22-E25</f>
        <v>3.63747</v>
      </c>
      <c r="F32" s="13" t="n">
        <f aca="false">F30/F22-F25</f>
        <v>3.63747</v>
      </c>
      <c r="G32" s="3" t="s">
        <v>177</v>
      </c>
      <c r="H32" s="3"/>
      <c r="I32" s="3"/>
    </row>
    <row r="33" customFormat="false" ht="41.75" hidden="false" customHeight="false" outlineLevel="0" collapsed="false">
      <c r="A33" s="3" t="s">
        <v>195</v>
      </c>
      <c r="B33" s="3" t="s">
        <v>196</v>
      </c>
      <c r="C33" s="13" t="n">
        <f aca="false">C30/(C21+C25)*72</f>
        <v>516.521739130435</v>
      </c>
      <c r="D33" s="13" t="n">
        <f aca="false">D30/(D21+D25)*72</f>
        <v>440</v>
      </c>
      <c r="E33" s="13" t="n">
        <f aca="false">E30/(E21+E25)*72</f>
        <v>383.225806451613</v>
      </c>
      <c r="F33" s="13" t="n">
        <f aca="false">F30/(F21+F25)*72</f>
        <v>318.926174496644</v>
      </c>
      <c r="G33" s="3" t="s">
        <v>197</v>
      </c>
      <c r="H33" s="3"/>
      <c r="I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28.35" hidden="false" customHeight="false" outlineLevel="0" collapsed="false">
      <c r="A35" s="8" t="s">
        <v>198</v>
      </c>
      <c r="B35" s="3"/>
      <c r="C35" s="3"/>
      <c r="D35" s="3"/>
      <c r="E35" s="3"/>
      <c r="F35" s="3"/>
      <c r="G35" s="3"/>
      <c r="H35" s="3"/>
      <c r="I35" s="3"/>
    </row>
    <row r="36" customFormat="false" ht="28.35" hidden="false" customHeight="false" outlineLevel="0" collapsed="false">
      <c r="A36" s="2" t="s">
        <v>199</v>
      </c>
      <c r="B36" s="2" t="s">
        <v>200</v>
      </c>
      <c r="C36" s="2" t="s">
        <v>201</v>
      </c>
      <c r="D36" s="2" t="s">
        <v>202</v>
      </c>
      <c r="E36" s="3"/>
      <c r="F36" s="3"/>
      <c r="G36" s="3"/>
      <c r="H36" s="3"/>
      <c r="I36" s="3"/>
    </row>
    <row r="37" customFormat="false" ht="15" hidden="false" customHeight="false" outlineLevel="0" collapsed="false">
      <c r="A37" s="4" t="n">
        <v>380</v>
      </c>
      <c r="B37" s="10" t="n">
        <f aca="false">A37/72</f>
        <v>5.27777777777778</v>
      </c>
      <c r="C37" s="10" t="n">
        <f aca="false">B37*($D$21+$D$25)</f>
        <v>28.5</v>
      </c>
      <c r="D37" s="10" t="n">
        <f aca="false">$D$30-C37</f>
        <v>4.5</v>
      </c>
      <c r="E37" s="3"/>
      <c r="F37" s="3"/>
      <c r="G37" s="3"/>
      <c r="H37" s="3"/>
      <c r="I37" s="3"/>
    </row>
    <row r="38" customFormat="false" ht="15" hidden="false" customHeight="false" outlineLevel="0" collapsed="false">
      <c r="A38" s="4" t="n">
        <v>453</v>
      </c>
      <c r="B38" s="10" t="n">
        <f aca="false">A38/72</f>
        <v>6.29166666666667</v>
      </c>
      <c r="C38" s="10" t="n">
        <f aca="false">B38*($D$21+$D$25)</f>
        <v>33.975</v>
      </c>
      <c r="D38" s="10" t="n">
        <f aca="false">$D$30-C38</f>
        <v>-0.975000000000001</v>
      </c>
      <c r="E38" s="3"/>
      <c r="F38" s="3"/>
      <c r="G38" s="3"/>
      <c r="H38" s="3"/>
      <c r="I38" s="3"/>
    </row>
    <row r="39" customFormat="false" ht="15" hidden="false" customHeight="false" outlineLevel="0" collapsed="false">
      <c r="A39" s="4" t="n">
        <v>491</v>
      </c>
      <c r="B39" s="10" t="n">
        <f aca="false">A39/72</f>
        <v>6.81944444444445</v>
      </c>
      <c r="C39" s="10" t="n">
        <f aca="false">B39*($D$21+$D$25)</f>
        <v>36.825</v>
      </c>
      <c r="D39" s="10" t="n">
        <f aca="false">$D$30-C39</f>
        <v>-3.825</v>
      </c>
      <c r="E39" s="3"/>
      <c r="F39" s="3"/>
      <c r="G39" s="3"/>
      <c r="H39" s="3"/>
      <c r="I39" s="3"/>
    </row>
    <row r="40" customFormat="false" ht="15" hidden="false" customHeight="false" outlineLevel="0" collapsed="false">
      <c r="A40" s="4" t="n">
        <v>519</v>
      </c>
      <c r="B40" s="10" t="n">
        <f aca="false">A40/72</f>
        <v>7.20833333333333</v>
      </c>
      <c r="C40" s="10" t="n">
        <f aca="false">B40*($D$21+$D$25)</f>
        <v>38.925</v>
      </c>
      <c r="D40" s="10" t="n">
        <f aca="false">$D$30-C40</f>
        <v>-5.925</v>
      </c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49.25" hidden="false" customHeight="false" outlineLevel="0" collapsed="false">
      <c r="A42" s="3" t="s">
        <v>203</v>
      </c>
      <c r="B42" s="3"/>
      <c r="C42" s="3"/>
      <c r="D42" s="3"/>
      <c r="E42" s="3"/>
      <c r="F42" s="3"/>
      <c r="G42" s="3"/>
      <c r="H42" s="3"/>
      <c r="I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8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204</v>
      </c>
    </row>
    <row r="3" customFormat="false" ht="28.35" hidden="false" customHeight="false" outlineLevel="0" collapsed="false">
      <c r="A3" s="2" t="s">
        <v>205</v>
      </c>
      <c r="B3" s="2" t="s">
        <v>206</v>
      </c>
      <c r="C3" s="2" t="s">
        <v>207</v>
      </c>
      <c r="D3" s="2" t="s">
        <v>208</v>
      </c>
      <c r="E3" s="2" t="s">
        <v>209</v>
      </c>
      <c r="F3" s="2" t="s">
        <v>177</v>
      </c>
      <c r="G3" s="2" t="s">
        <v>4</v>
      </c>
      <c r="H3" s="2" t="s">
        <v>210</v>
      </c>
      <c r="I3" s="2" t="s">
        <v>211</v>
      </c>
      <c r="J3" s="2" t="s">
        <v>14</v>
      </c>
      <c r="K3" s="2" t="s">
        <v>212</v>
      </c>
      <c r="L3" s="2" t="s">
        <v>109</v>
      </c>
    </row>
    <row r="4" customFormat="false" ht="28.35" hidden="false" customHeight="false" outlineLevel="0" collapsed="false">
      <c r="A4" s="3" t="s">
        <v>213</v>
      </c>
      <c r="B4" s="3" t="s">
        <v>214</v>
      </c>
      <c r="C4" s="4" t="n">
        <v>4000</v>
      </c>
      <c r="D4" s="3" t="s">
        <v>215</v>
      </c>
      <c r="E4" s="4" t="n">
        <v>8</v>
      </c>
      <c r="F4" s="14" t="n">
        <f aca="false">C4/E4</f>
        <v>500</v>
      </c>
      <c r="G4" s="3" t="s">
        <v>216</v>
      </c>
      <c r="H4" s="3" t="s">
        <v>217</v>
      </c>
      <c r="I4" s="14" t="n">
        <f aca="false">GPUsPerMW!I9</f>
        <v>508.582326764145</v>
      </c>
      <c r="J4" s="3" t="s">
        <v>177</v>
      </c>
      <c r="K4" s="3" t="s">
        <v>218</v>
      </c>
      <c r="L4" s="3" t="s">
        <v>219</v>
      </c>
    </row>
    <row r="5" customFormat="false" ht="15" hidden="false" customHeight="false" outlineLevel="0" collapsed="false">
      <c r="A5" s="3" t="s">
        <v>220</v>
      </c>
      <c r="B5" s="3" t="s">
        <v>214</v>
      </c>
      <c r="C5" s="4" t="n">
        <v>4000</v>
      </c>
      <c r="D5" s="3" t="s">
        <v>215</v>
      </c>
      <c r="E5" s="4" t="n">
        <v>16</v>
      </c>
      <c r="F5" s="14" t="n">
        <f aca="false">C5/E5</f>
        <v>250</v>
      </c>
      <c r="G5" s="3" t="s">
        <v>216</v>
      </c>
      <c r="H5" s="3" t="s">
        <v>221</v>
      </c>
      <c r="I5" s="14" t="n">
        <f aca="false">GPUsPerMW!I15</f>
        <v>501.567398119122</v>
      </c>
      <c r="J5" s="3" t="s">
        <v>177</v>
      </c>
      <c r="K5" s="3" t="s">
        <v>222</v>
      </c>
      <c r="L5" s="3" t="s">
        <v>219</v>
      </c>
    </row>
    <row r="6" customFormat="false" ht="15" hidden="false" customHeight="false" outlineLevel="0" collapsed="false">
      <c r="A6" s="3" t="s">
        <v>223</v>
      </c>
      <c r="B6" s="3" t="s">
        <v>214</v>
      </c>
      <c r="C6" s="4" t="n">
        <v>7000</v>
      </c>
      <c r="D6" s="3" t="s">
        <v>215</v>
      </c>
      <c r="E6" s="4" t="n">
        <v>16</v>
      </c>
      <c r="F6" s="14" t="n">
        <f aca="false">C6/E6</f>
        <v>437.5</v>
      </c>
      <c r="G6" s="3" t="s">
        <v>216</v>
      </c>
      <c r="H6" s="3" t="s">
        <v>224</v>
      </c>
      <c r="I6" s="14" t="n">
        <f aca="false">GPUsPerMW!L15</f>
        <v>385.821075476248</v>
      </c>
      <c r="J6" s="3" t="s">
        <v>177</v>
      </c>
      <c r="K6" s="3" t="s">
        <v>225</v>
      </c>
      <c r="L6" s="3" t="s">
        <v>219</v>
      </c>
    </row>
    <row r="7" customFormat="false" ht="15" hidden="false" customHeight="false" outlineLevel="0" collapsed="false">
      <c r="A7" s="3" t="s">
        <v>226</v>
      </c>
      <c r="B7" s="3" t="s">
        <v>214</v>
      </c>
      <c r="C7" s="4" t="n">
        <v>7000</v>
      </c>
      <c r="D7" s="3" t="s">
        <v>215</v>
      </c>
      <c r="E7" s="4" t="n">
        <v>19</v>
      </c>
      <c r="F7" s="14" t="n">
        <f aca="false">C7/E7</f>
        <v>368.421052631579</v>
      </c>
      <c r="G7" s="3" t="s">
        <v>216</v>
      </c>
      <c r="H7" s="3" t="s">
        <v>224</v>
      </c>
      <c r="I7" s="14" t="n">
        <f aca="false">GPUsPerMW!L15</f>
        <v>385.821075476248</v>
      </c>
      <c r="J7" s="3" t="s">
        <v>177</v>
      </c>
      <c r="K7" s="3" t="s">
        <v>227</v>
      </c>
      <c r="L7" s="3" t="s">
        <v>219</v>
      </c>
    </row>
    <row r="8" customFormat="false" ht="28.35" hidden="false" customHeight="false" outlineLevel="0" collapsed="false">
      <c r="A8" s="3" t="s">
        <v>228</v>
      </c>
      <c r="B8" s="3" t="s">
        <v>214</v>
      </c>
      <c r="C8" s="4" t="n">
        <v>35000</v>
      </c>
      <c r="D8" s="3" t="s">
        <v>215</v>
      </c>
      <c r="E8" s="4" t="n">
        <v>40</v>
      </c>
      <c r="F8" s="14" t="n">
        <f aca="false">C8/E8</f>
        <v>875</v>
      </c>
      <c r="G8" s="3" t="s">
        <v>216</v>
      </c>
      <c r="H8" s="3" t="s">
        <v>229</v>
      </c>
      <c r="I8" s="14" t="n">
        <f aca="false">GPUsPerMW!I7</f>
        <v>812.677773262901</v>
      </c>
      <c r="J8" s="3" t="s">
        <v>177</v>
      </c>
      <c r="K8" s="3" t="s">
        <v>230</v>
      </c>
      <c r="L8" s="3" t="s">
        <v>219</v>
      </c>
    </row>
    <row r="9" customFormat="false" ht="28.35" hidden="false" customHeight="false" outlineLevel="0" collapsed="false">
      <c r="A9" s="3" t="s">
        <v>231</v>
      </c>
      <c r="B9" s="3" t="s">
        <v>232</v>
      </c>
      <c r="C9" s="4" t="n">
        <v>20000</v>
      </c>
      <c r="D9" s="3" t="s">
        <v>233</v>
      </c>
      <c r="E9" s="4" t="n">
        <v>25</v>
      </c>
      <c r="F9" s="14" t="n">
        <f aca="false">C9/E9</f>
        <v>800</v>
      </c>
      <c r="G9" s="3" t="s">
        <v>216</v>
      </c>
      <c r="H9" s="3" t="s">
        <v>234</v>
      </c>
      <c r="I9" s="14" t="n">
        <f aca="false">GPUsPerMW!I6</f>
        <v>713.01247771836</v>
      </c>
      <c r="J9" s="3" t="s">
        <v>177</v>
      </c>
      <c r="K9" s="3" t="s">
        <v>235</v>
      </c>
      <c r="L9" s="3" t="s">
        <v>219</v>
      </c>
    </row>
    <row r="10" customFormat="false" ht="28.35" hidden="false" customHeight="false" outlineLevel="0" collapsed="false">
      <c r="A10" s="3" t="s">
        <v>236</v>
      </c>
      <c r="B10" s="3" t="s">
        <v>237</v>
      </c>
      <c r="C10" s="4" t="n">
        <v>38000</v>
      </c>
      <c r="D10" s="3" t="s">
        <v>238</v>
      </c>
      <c r="E10" s="4" t="n">
        <v>35</v>
      </c>
      <c r="F10" s="14" t="n">
        <f aca="false">C10/E10</f>
        <v>1085.71428571429</v>
      </c>
      <c r="G10" s="3" t="s">
        <v>216</v>
      </c>
      <c r="H10" s="3" t="s">
        <v>239</v>
      </c>
      <c r="I10" s="14" t="n">
        <f aca="false">GPUsPerMW!I7</f>
        <v>812.677773262901</v>
      </c>
      <c r="J10" s="3" t="s">
        <v>240</v>
      </c>
      <c r="K10" s="3" t="s">
        <v>241</v>
      </c>
      <c r="L10" s="3" t="s">
        <v>219</v>
      </c>
    </row>
    <row r="11" customFormat="false" ht="41.75" hidden="false" customHeight="false" outlineLevel="0" collapsed="false">
      <c r="A11" s="3" t="s">
        <v>242</v>
      </c>
      <c r="B11" s="3" t="s">
        <v>243</v>
      </c>
      <c r="C11" s="4" t="n">
        <v>3123.6</v>
      </c>
      <c r="D11" s="3" t="s">
        <v>244</v>
      </c>
      <c r="E11" s="4" t="n">
        <v>170</v>
      </c>
      <c r="F11" s="14" t="n">
        <f aca="false">C11/E11</f>
        <v>18.3741176470588</v>
      </c>
      <c r="G11" s="3" t="s">
        <v>176</v>
      </c>
      <c r="H11" s="3" t="s">
        <v>245</v>
      </c>
      <c r="I11" s="14" t="n">
        <f aca="false">CapexPerMW!H7+CapexPerMW!I7</f>
        <v>25.8467023172906</v>
      </c>
      <c r="J11" s="3" t="s">
        <v>177</v>
      </c>
      <c r="K11" s="3" t="s">
        <v>246</v>
      </c>
      <c r="L11" s="3" t="s">
        <v>247</v>
      </c>
    </row>
    <row r="12" customFormat="false" ht="28.35" hidden="false" customHeight="false" outlineLevel="0" collapsed="false">
      <c r="A12" s="3" t="s">
        <v>248</v>
      </c>
      <c r="B12" s="3" t="s">
        <v>249</v>
      </c>
      <c r="C12" s="4" t="n">
        <f aca="false">3123.6+2417.4</f>
        <v>5541</v>
      </c>
      <c r="D12" s="3" t="s">
        <v>244</v>
      </c>
      <c r="E12" s="4" t="n">
        <v>170</v>
      </c>
      <c r="F12" s="14" t="n">
        <f aca="false">C12/E12</f>
        <v>32.5941176470588</v>
      </c>
      <c r="G12" s="3" t="s">
        <v>176</v>
      </c>
      <c r="H12" s="3" t="s">
        <v>250</v>
      </c>
      <c r="I12" s="14" t="n">
        <f aca="false">CapexPerMW!H10+CapexPerMW!I10</f>
        <v>32.4221233312142</v>
      </c>
      <c r="J12" s="3" t="s">
        <v>177</v>
      </c>
      <c r="K12" s="3" t="s">
        <v>251</v>
      </c>
      <c r="L12" s="3" t="s">
        <v>252</v>
      </c>
    </row>
    <row r="13" customFormat="false" ht="68.65" hidden="false" customHeight="false" outlineLevel="0" collapsed="false">
      <c r="A13" s="3" t="s">
        <v>253</v>
      </c>
      <c r="B13" s="3" t="s">
        <v>254</v>
      </c>
      <c r="C13" s="4" t="n">
        <v>5197.7</v>
      </c>
      <c r="D13" s="3" t="s">
        <v>255</v>
      </c>
      <c r="E13" s="4" t="n">
        <v>183</v>
      </c>
      <c r="F13" s="14" t="n">
        <f aca="false">C13/E13</f>
        <v>28.4027322404372</v>
      </c>
      <c r="G13" s="3" t="s">
        <v>176</v>
      </c>
      <c r="H13" s="3" t="s">
        <v>256</v>
      </c>
      <c r="I13" s="14" t="n">
        <f aca="false">CapexPerMW!H19+CapexPerMW!I19</f>
        <v>36.837437751552</v>
      </c>
      <c r="J13" s="3" t="s">
        <v>177</v>
      </c>
      <c r="K13" s="3" t="s">
        <v>257</v>
      </c>
      <c r="L13" s="3" t="s">
        <v>258</v>
      </c>
    </row>
    <row r="14" customFormat="false" ht="28.35" hidden="false" customHeight="false" outlineLevel="0" collapsed="false">
      <c r="A14" s="3" t="s">
        <v>259</v>
      </c>
      <c r="B14" s="3" t="s">
        <v>260</v>
      </c>
      <c r="C14" s="4" t="n">
        <v>16</v>
      </c>
      <c r="D14" s="3" t="s">
        <v>261</v>
      </c>
      <c r="E14" s="4" t="n">
        <v>580</v>
      </c>
      <c r="F14" s="14" t="n">
        <f aca="false">C14*1000/E14</f>
        <v>27.5862068965517</v>
      </c>
      <c r="G14" s="3" t="s">
        <v>176</v>
      </c>
      <c r="H14" s="3" t="s">
        <v>262</v>
      </c>
      <c r="I14" s="14" t="n">
        <f aca="false">CapexPerMW!K19</f>
        <v>49.337437751552</v>
      </c>
      <c r="J14" s="3" t="s">
        <v>177</v>
      </c>
      <c r="K14" s="3" t="s">
        <v>263</v>
      </c>
      <c r="L14" s="3" t="s">
        <v>264</v>
      </c>
    </row>
    <row r="15" customFormat="false" ht="28.35" hidden="false" customHeight="false" outlineLevel="0" collapsed="false">
      <c r="A15" s="3" t="s">
        <v>265</v>
      </c>
      <c r="B15" s="3" t="s">
        <v>266</v>
      </c>
      <c r="C15" s="4" t="n">
        <v>20</v>
      </c>
      <c r="D15" s="3" t="s">
        <v>267</v>
      </c>
      <c r="E15" s="4" t="n">
        <v>780</v>
      </c>
      <c r="F15" s="14" t="n">
        <f aca="false">C15*1000/E15</f>
        <v>25.6410256410256</v>
      </c>
      <c r="G15" s="3" t="s">
        <v>176</v>
      </c>
      <c r="H15" s="3" t="s">
        <v>268</v>
      </c>
      <c r="I15" s="14"/>
      <c r="J15" s="3" t="s">
        <v>177</v>
      </c>
      <c r="K15" s="3" t="s">
        <v>269</v>
      </c>
      <c r="L15" s="3" t="s">
        <v>264</v>
      </c>
    </row>
    <row r="16" customFormat="false" ht="41.75" hidden="false" customHeight="false" outlineLevel="0" collapsed="false">
      <c r="A16" s="3" t="s">
        <v>270</v>
      </c>
      <c r="B16" s="3" t="s">
        <v>271</v>
      </c>
      <c r="C16" s="4" t="n">
        <v>18</v>
      </c>
      <c r="D16" s="3" t="s">
        <v>272</v>
      </c>
      <c r="E16" s="4" t="n">
        <v>0.2</v>
      </c>
      <c r="F16" s="14" t="n">
        <f aca="false">C16*E16*1000/680</f>
        <v>5.29411764705882</v>
      </c>
      <c r="G16" s="3" t="s">
        <v>273</v>
      </c>
      <c r="H16" s="3" t="s">
        <v>274</v>
      </c>
      <c r="I16" s="14" t="n">
        <f aca="false">CapexPerMW!J19</f>
        <v>12.5</v>
      </c>
      <c r="J16" s="3" t="s">
        <v>177</v>
      </c>
      <c r="K16" s="3" t="s">
        <v>275</v>
      </c>
      <c r="L16" s="3" t="s">
        <v>276</v>
      </c>
    </row>
    <row r="17" customFormat="false" ht="55.2" hidden="false" customHeight="false" outlineLevel="0" collapsed="false">
      <c r="A17" s="3" t="s">
        <v>277</v>
      </c>
      <c r="B17" s="3" t="s">
        <v>278</v>
      </c>
      <c r="C17" s="4" t="n">
        <v>22.5</v>
      </c>
      <c r="D17" s="3" t="s">
        <v>279</v>
      </c>
      <c r="E17" s="4" t="n">
        <f aca="false">1+10/12</f>
        <v>1.83333333333333</v>
      </c>
      <c r="F17" s="14" t="n">
        <f aca="false">C17*E17*0.6</f>
        <v>24.75</v>
      </c>
      <c r="G17" s="3" t="s">
        <v>176</v>
      </c>
      <c r="H17" s="3" t="s">
        <v>256</v>
      </c>
      <c r="I17" s="14" t="n">
        <f aca="false">CapexPerMW!H19+CapexPerMW!I19</f>
        <v>36.837437751552</v>
      </c>
      <c r="J17" s="3" t="s">
        <v>280</v>
      </c>
      <c r="K17" s="3" t="s">
        <v>281</v>
      </c>
      <c r="L17" s="3" t="s">
        <v>282</v>
      </c>
    </row>
    <row r="18" customFormat="false" ht="41.75" hidden="false" customHeight="false" outlineLevel="0" collapsed="false">
      <c r="A18" s="3" t="s">
        <v>283</v>
      </c>
      <c r="B18" s="3" t="s">
        <v>284</v>
      </c>
      <c r="C18" s="4" t="n">
        <v>17.4</v>
      </c>
      <c r="D18" s="3" t="s">
        <v>285</v>
      </c>
      <c r="E18" s="4" t="n">
        <v>300</v>
      </c>
      <c r="F18" s="14" t="n">
        <f aca="false">C18/5*1000/E18</f>
        <v>11.6</v>
      </c>
      <c r="G18" s="3" t="s">
        <v>286</v>
      </c>
      <c r="H18" s="3" t="s">
        <v>287</v>
      </c>
      <c r="I18" s="15" t="n">
        <v>12</v>
      </c>
      <c r="J18" s="3" t="s">
        <v>177</v>
      </c>
      <c r="K18" s="3" t="s">
        <v>288</v>
      </c>
      <c r="L18" s="3" t="s">
        <v>289</v>
      </c>
    </row>
    <row r="19" customFormat="false" ht="28.35" hidden="false" customHeight="false" outlineLevel="0" collapsed="false">
      <c r="A19" s="3" t="s">
        <v>290</v>
      </c>
      <c r="B19" s="3" t="s">
        <v>291</v>
      </c>
      <c r="C19" s="4" t="n">
        <v>328</v>
      </c>
      <c r="D19" s="3" t="s">
        <v>292</v>
      </c>
      <c r="E19" s="4" t="n">
        <v>5</v>
      </c>
      <c r="F19" s="14" t="n">
        <f aca="false">C19+E19</f>
        <v>333</v>
      </c>
      <c r="G19" s="3" t="s">
        <v>293</v>
      </c>
      <c r="H19" s="3" t="s">
        <v>294</v>
      </c>
      <c r="I19" s="14" t="n">
        <f aca="false">300*1.2</f>
        <v>360</v>
      </c>
      <c r="J19" s="3" t="s">
        <v>177</v>
      </c>
      <c r="K19" s="3" t="s">
        <v>295</v>
      </c>
      <c r="L19" s="3" t="s">
        <v>296</v>
      </c>
    </row>
    <row r="20" customFormat="false" ht="28.35" hidden="false" customHeight="false" outlineLevel="0" collapsed="false">
      <c r="A20" s="3" t="s">
        <v>297</v>
      </c>
      <c r="B20" s="3" t="s">
        <v>298</v>
      </c>
      <c r="C20" s="4" t="n">
        <v>250</v>
      </c>
      <c r="D20" s="3" t="s">
        <v>299</v>
      </c>
      <c r="E20" s="4" t="n">
        <v>5</v>
      </c>
      <c r="F20" s="14" t="n">
        <f aca="false">C20+E20</f>
        <v>255</v>
      </c>
      <c r="G20" s="3" t="s">
        <v>293</v>
      </c>
      <c r="H20" s="3" t="s">
        <v>300</v>
      </c>
      <c r="I20" s="14" t="n">
        <f aca="false">300/1.25</f>
        <v>240</v>
      </c>
      <c r="J20" s="3" t="s">
        <v>280</v>
      </c>
      <c r="K20" s="3" t="s">
        <v>301</v>
      </c>
      <c r="L20" s="3" t="s">
        <v>302</v>
      </c>
    </row>
    <row r="21" customFormat="false" ht="28.35" hidden="false" customHeight="false" outlineLevel="0" collapsed="false">
      <c r="A21" s="3" t="s">
        <v>303</v>
      </c>
      <c r="B21" s="3" t="s">
        <v>304</v>
      </c>
      <c r="C21" s="4" t="n">
        <v>150000</v>
      </c>
      <c r="D21" s="3" t="s">
        <v>305</v>
      </c>
      <c r="E21" s="16" t="n">
        <f aca="false">GPUsPerMW!H18</f>
        <v>2.03597222222222</v>
      </c>
      <c r="F21" s="14" t="n">
        <f aca="false">C21*E21/1000</f>
        <v>305.395833333333</v>
      </c>
      <c r="G21" s="3" t="s">
        <v>306</v>
      </c>
      <c r="H21" s="3" t="s">
        <v>307</v>
      </c>
      <c r="I21" s="14" t="n">
        <f aca="false">F21*GPUsPerMW!J18</f>
        <v>366.475</v>
      </c>
      <c r="J21" s="3" t="s">
        <v>177</v>
      </c>
      <c r="K21" s="3" t="s">
        <v>308</v>
      </c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8" t="s">
        <v>309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48" hidden="false" customHeight="true" outlineLevel="0" collapsed="false">
      <c r="A24" s="17" t="s">
        <v>310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48" hidden="false" customHeight="true" outlineLevel="0" collapsed="false">
      <c r="A25" s="17" t="s">
        <v>311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48" hidden="false" customHeight="true" outlineLevel="0" collapsed="false">
      <c r="A26" s="17" t="s">
        <v>312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customFormat="false" ht="48" hidden="false" customHeight="true" outlineLevel="0" collapsed="false">
      <c r="A27" s="17" t="s">
        <v>313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customFormat="false" ht="48" hidden="false" customHeight="true" outlineLevel="0" collapsed="false">
      <c r="A28" s="17" t="s">
        <v>314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</sheetData>
  <mergeCells count="5">
    <mergeCell ref="A24:L24"/>
    <mergeCell ref="A25:L25"/>
    <mergeCell ref="A26:L26"/>
    <mergeCell ref="A27:L27"/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9" min="8" style="0" width="20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315</v>
      </c>
    </row>
    <row r="3" customFormat="false" ht="15" hidden="false" customHeight="false" outlineLevel="0" collapsed="false">
      <c r="A3" s="2" t="s">
        <v>316</v>
      </c>
      <c r="B3" s="2" t="s">
        <v>317</v>
      </c>
      <c r="C3" s="2" t="s">
        <v>206</v>
      </c>
      <c r="D3" s="2" t="s">
        <v>207</v>
      </c>
      <c r="E3" s="2" t="s">
        <v>208</v>
      </c>
      <c r="F3" s="2" t="s">
        <v>209</v>
      </c>
      <c r="G3" s="2" t="s">
        <v>177</v>
      </c>
      <c r="H3" s="2" t="s">
        <v>4</v>
      </c>
      <c r="I3" s="2" t="s">
        <v>318</v>
      </c>
      <c r="J3" s="2" t="s">
        <v>2</v>
      </c>
      <c r="K3" s="2" t="s">
        <v>14</v>
      </c>
      <c r="L3" s="2" t="s">
        <v>319</v>
      </c>
      <c r="M3" s="2" t="s">
        <v>109</v>
      </c>
    </row>
    <row r="4" customFormat="false" ht="41.75" hidden="false" customHeight="false" outlineLevel="0" collapsed="false">
      <c r="A4" s="3" t="s">
        <v>320</v>
      </c>
      <c r="B4" s="3" t="s">
        <v>321</v>
      </c>
      <c r="C4" s="3" t="s">
        <v>322</v>
      </c>
      <c r="D4" s="4" t="n">
        <v>5.8</v>
      </c>
      <c r="E4" s="3" t="s">
        <v>323</v>
      </c>
      <c r="F4" s="4" t="n">
        <v>200</v>
      </c>
      <c r="G4" s="14" t="n">
        <f aca="false">D4*1000/F4</f>
        <v>29</v>
      </c>
      <c r="H4" s="3" t="s">
        <v>324</v>
      </c>
      <c r="I4" s="3" t="s">
        <v>325</v>
      </c>
      <c r="J4" s="3" t="s">
        <v>38</v>
      </c>
      <c r="K4" s="3" t="s">
        <v>177</v>
      </c>
      <c r="L4" s="3" t="s">
        <v>326</v>
      </c>
      <c r="M4" s="3" t="s">
        <v>327</v>
      </c>
    </row>
    <row r="5" customFormat="false" ht="28.35" hidden="false" customHeight="false" outlineLevel="0" collapsed="false">
      <c r="A5" s="3" t="s">
        <v>320</v>
      </c>
      <c r="B5" s="3" t="s">
        <v>328</v>
      </c>
      <c r="C5" s="3" t="s">
        <v>329</v>
      </c>
      <c r="D5" s="4" t="n">
        <v>300</v>
      </c>
      <c r="E5" s="3" t="s">
        <v>330</v>
      </c>
      <c r="F5" s="4" t="n">
        <v>50</v>
      </c>
      <c r="G5" s="14" t="n">
        <f aca="false">D5/F5</f>
        <v>6</v>
      </c>
      <c r="H5" s="3" t="s">
        <v>324</v>
      </c>
      <c r="I5" s="3" t="s">
        <v>331</v>
      </c>
      <c r="J5" s="3" t="s">
        <v>332</v>
      </c>
      <c r="K5" s="3" t="s">
        <v>177</v>
      </c>
      <c r="L5" s="3" t="s">
        <v>333</v>
      </c>
      <c r="M5" s="3" t="s">
        <v>334</v>
      </c>
    </row>
    <row r="6" customFormat="false" ht="15" hidden="false" customHeight="false" outlineLevel="0" collapsed="false">
      <c r="A6" s="3" t="s">
        <v>320</v>
      </c>
      <c r="B6" s="3" t="s">
        <v>335</v>
      </c>
      <c r="C6" s="3" t="s">
        <v>329</v>
      </c>
      <c r="D6" s="4" t="n">
        <v>350</v>
      </c>
      <c r="E6" s="3" t="s">
        <v>330</v>
      </c>
      <c r="F6" s="4" t="n">
        <v>50</v>
      </c>
      <c r="G6" s="14" t="n">
        <f aca="false">D6/F6</f>
        <v>7</v>
      </c>
      <c r="H6" s="3" t="s">
        <v>324</v>
      </c>
      <c r="I6" s="3" t="s">
        <v>331</v>
      </c>
      <c r="J6" s="3" t="s">
        <v>332</v>
      </c>
      <c r="K6" s="3" t="s">
        <v>177</v>
      </c>
      <c r="L6" s="3"/>
      <c r="M6" s="3" t="s">
        <v>334</v>
      </c>
    </row>
    <row r="7" customFormat="false" ht="28.35" hidden="false" customHeight="false" outlineLevel="0" collapsed="false">
      <c r="A7" s="3" t="s">
        <v>320</v>
      </c>
      <c r="B7" s="3" t="s">
        <v>336</v>
      </c>
      <c r="C7" s="3" t="s">
        <v>337</v>
      </c>
      <c r="D7" s="4" t="n">
        <v>9.7</v>
      </c>
      <c r="E7" s="3" t="s">
        <v>330</v>
      </c>
      <c r="F7" s="4" t="n">
        <v>200</v>
      </c>
      <c r="G7" s="14" t="n">
        <f aca="false">D7/5*1000/F7</f>
        <v>9.7</v>
      </c>
      <c r="H7" s="3" t="s">
        <v>338</v>
      </c>
      <c r="I7" s="3" t="s">
        <v>331</v>
      </c>
      <c r="J7" s="3" t="s">
        <v>339</v>
      </c>
      <c r="K7" s="3" t="s">
        <v>177</v>
      </c>
      <c r="L7" s="3" t="s">
        <v>340</v>
      </c>
      <c r="M7" s="3" t="s">
        <v>327</v>
      </c>
    </row>
    <row r="8" customFormat="false" ht="41.75" hidden="false" customHeight="false" outlineLevel="0" collapsed="false">
      <c r="A8" s="3" t="s">
        <v>320</v>
      </c>
      <c r="B8" s="3" t="s">
        <v>341</v>
      </c>
      <c r="C8" s="3" t="s">
        <v>342</v>
      </c>
      <c r="D8" s="4" t="n">
        <v>20</v>
      </c>
      <c r="E8" s="3" t="s">
        <v>343</v>
      </c>
      <c r="F8" s="4" t="n">
        <v>2</v>
      </c>
      <c r="G8" s="14" t="n">
        <f aca="false">D8*F8</f>
        <v>40</v>
      </c>
      <c r="H8" s="3" t="s">
        <v>344</v>
      </c>
      <c r="I8" s="3" t="s">
        <v>331</v>
      </c>
      <c r="J8" s="3" t="s">
        <v>345</v>
      </c>
      <c r="K8" s="3" t="s">
        <v>177</v>
      </c>
      <c r="L8" s="3" t="s">
        <v>346</v>
      </c>
      <c r="M8" s="3" t="s">
        <v>347</v>
      </c>
    </row>
    <row r="9" customFormat="false" ht="28.35" hidden="false" customHeight="false" outlineLevel="0" collapsed="false">
      <c r="A9" s="3" t="s">
        <v>348</v>
      </c>
      <c r="B9" s="3" t="s">
        <v>349</v>
      </c>
      <c r="C9" s="3" t="s">
        <v>350</v>
      </c>
      <c r="D9" s="4" t="n">
        <v>30557</v>
      </c>
      <c r="E9" s="3" t="s">
        <v>351</v>
      </c>
      <c r="F9" s="4" t="n">
        <v>850</v>
      </c>
      <c r="G9" s="14" t="n">
        <f aca="false">D9/F9</f>
        <v>35.9494117647059</v>
      </c>
      <c r="H9" s="3" t="s">
        <v>176</v>
      </c>
      <c r="I9" s="3" t="s">
        <v>352</v>
      </c>
      <c r="J9" s="3" t="s">
        <v>353</v>
      </c>
      <c r="K9" s="3" t="s">
        <v>177</v>
      </c>
      <c r="L9" s="3" t="s">
        <v>354</v>
      </c>
      <c r="M9" s="3" t="s">
        <v>355</v>
      </c>
    </row>
    <row r="10" customFormat="false" ht="15" hidden="false" customHeight="false" outlineLevel="0" collapsed="false">
      <c r="A10" s="3" t="s">
        <v>348</v>
      </c>
      <c r="B10" s="3" t="s">
        <v>356</v>
      </c>
      <c r="C10" s="3" t="s">
        <v>350</v>
      </c>
      <c r="D10" s="4" t="n">
        <v>46736</v>
      </c>
      <c r="E10" s="3" t="s">
        <v>351</v>
      </c>
      <c r="F10" s="4" t="n">
        <v>1500</v>
      </c>
      <c r="G10" s="14" t="n">
        <f aca="false">D10/F10</f>
        <v>31.1573333333333</v>
      </c>
      <c r="H10" s="3" t="s">
        <v>176</v>
      </c>
      <c r="I10" s="3" t="s">
        <v>352</v>
      </c>
      <c r="J10" s="3" t="s">
        <v>357</v>
      </c>
      <c r="K10" s="3" t="s">
        <v>177</v>
      </c>
      <c r="L10" s="3" t="s">
        <v>358</v>
      </c>
      <c r="M10" s="3" t="s">
        <v>355</v>
      </c>
    </row>
    <row r="11" customFormat="false" ht="28.35" hidden="false" customHeight="false" outlineLevel="0" collapsed="false">
      <c r="A11" s="3" t="s">
        <v>348</v>
      </c>
      <c r="B11" s="3" t="s">
        <v>359</v>
      </c>
      <c r="C11" s="3" t="s">
        <v>271</v>
      </c>
      <c r="D11" s="4" t="n">
        <v>37</v>
      </c>
      <c r="E11" s="3" t="s">
        <v>360</v>
      </c>
      <c r="F11" s="4" t="n">
        <v>1000</v>
      </c>
      <c r="G11" s="14" t="n">
        <f aca="false">D11*1000/F11</f>
        <v>37</v>
      </c>
      <c r="H11" s="3" t="s">
        <v>361</v>
      </c>
      <c r="I11" s="3" t="s">
        <v>352</v>
      </c>
      <c r="J11" s="3" t="s">
        <v>362</v>
      </c>
      <c r="K11" s="3" t="s">
        <v>177</v>
      </c>
      <c r="L11" s="3" t="s">
        <v>363</v>
      </c>
      <c r="M11" s="3" t="s">
        <v>364</v>
      </c>
    </row>
    <row r="12" customFormat="false" ht="15" hidden="false" customHeight="false" outlineLevel="0" collapsed="false">
      <c r="A12" s="3" t="s">
        <v>365</v>
      </c>
      <c r="B12" s="3" t="s">
        <v>366</v>
      </c>
      <c r="C12" s="3" t="s">
        <v>367</v>
      </c>
      <c r="D12" s="4" t="n">
        <v>461000</v>
      </c>
      <c r="E12" s="3" t="s">
        <v>368</v>
      </c>
      <c r="F12" s="4" t="n">
        <v>1365</v>
      </c>
      <c r="G12" s="14" t="n">
        <f aca="false">D12/F12</f>
        <v>337.728937728938</v>
      </c>
      <c r="H12" s="3" t="s">
        <v>216</v>
      </c>
      <c r="I12" s="3" t="s">
        <v>352</v>
      </c>
      <c r="J12" s="3" t="s">
        <v>369</v>
      </c>
      <c r="K12" s="3" t="s">
        <v>177</v>
      </c>
      <c r="L12" s="3" t="s">
        <v>370</v>
      </c>
      <c r="M12" s="3" t="s">
        <v>371</v>
      </c>
    </row>
    <row r="13" customFormat="false" ht="28.35" hidden="false" customHeight="false" outlineLevel="0" collapsed="false">
      <c r="A13" s="3" t="s">
        <v>365</v>
      </c>
      <c r="B13" s="3" t="s">
        <v>372</v>
      </c>
      <c r="C13" s="3" t="s">
        <v>214</v>
      </c>
      <c r="D13" s="4" t="n">
        <v>66000</v>
      </c>
      <c r="E13" s="3" t="s">
        <v>215</v>
      </c>
      <c r="F13" s="4" t="n">
        <v>200</v>
      </c>
      <c r="G13" s="14" t="n">
        <f aca="false">D13/F13</f>
        <v>330</v>
      </c>
      <c r="H13" s="3" t="s">
        <v>216</v>
      </c>
      <c r="I13" s="3" t="s">
        <v>373</v>
      </c>
      <c r="J13" s="3" t="s">
        <v>374</v>
      </c>
      <c r="K13" s="3" t="s">
        <v>177</v>
      </c>
      <c r="L13" s="3" t="s">
        <v>375</v>
      </c>
      <c r="M13" s="3" t="s">
        <v>371</v>
      </c>
    </row>
    <row r="14" customFormat="false" ht="15" hidden="false" customHeight="false" outlineLevel="0" collapsed="false">
      <c r="A14" s="3" t="s">
        <v>365</v>
      </c>
      <c r="B14" s="3" t="s">
        <v>376</v>
      </c>
      <c r="C14" s="3" t="s">
        <v>377</v>
      </c>
      <c r="D14" s="4" t="n">
        <v>8</v>
      </c>
      <c r="E14" s="3" t="s">
        <v>378</v>
      </c>
      <c r="F14" s="4" t="n">
        <v>6.5</v>
      </c>
      <c r="G14" s="14" t="n">
        <f aca="false">D14/F14</f>
        <v>1.23076923076923</v>
      </c>
      <c r="H14" s="3" t="s">
        <v>379</v>
      </c>
      <c r="I14" s="3" t="s">
        <v>380</v>
      </c>
      <c r="J14" s="3" t="s">
        <v>268</v>
      </c>
      <c r="K14" s="3" t="s">
        <v>177</v>
      </c>
      <c r="L14" s="3" t="s">
        <v>381</v>
      </c>
      <c r="M14" s="3" t="s">
        <v>371</v>
      </c>
    </row>
    <row r="15" customFormat="false" ht="15" hidden="false" customHeight="false" outlineLevel="0" collapsed="false">
      <c r="A15" s="3" t="s">
        <v>382</v>
      </c>
      <c r="B15" s="3" t="s">
        <v>383</v>
      </c>
      <c r="C15" s="3" t="s">
        <v>384</v>
      </c>
      <c r="D15" s="4" t="n">
        <v>65</v>
      </c>
      <c r="E15" s="3" t="s">
        <v>385</v>
      </c>
      <c r="F15" s="4" t="n">
        <v>50</v>
      </c>
      <c r="G15" s="14" t="n">
        <f aca="false">D15/F15</f>
        <v>1.3</v>
      </c>
      <c r="H15" s="3" t="s">
        <v>379</v>
      </c>
      <c r="I15" s="3" t="s">
        <v>380</v>
      </c>
      <c r="J15" s="3" t="s">
        <v>386</v>
      </c>
      <c r="K15" s="3" t="s">
        <v>177</v>
      </c>
      <c r="L15" s="3" t="s">
        <v>387</v>
      </c>
      <c r="M15" s="3" t="s">
        <v>219</v>
      </c>
    </row>
    <row r="16" customFormat="false" ht="28.35" hidden="false" customHeight="false" outlineLevel="0" collapsed="false">
      <c r="A16" s="3" t="s">
        <v>388</v>
      </c>
      <c r="B16" s="3" t="s">
        <v>389</v>
      </c>
      <c r="C16" s="3" t="s">
        <v>214</v>
      </c>
      <c r="D16" s="4" t="n">
        <v>450000</v>
      </c>
      <c r="E16" s="3" t="s">
        <v>215</v>
      </c>
      <c r="F16" s="4" t="n">
        <v>1200</v>
      </c>
      <c r="G16" s="14" t="n">
        <f aca="false">D16/F16</f>
        <v>375</v>
      </c>
      <c r="H16" s="3" t="s">
        <v>216</v>
      </c>
      <c r="I16" s="3" t="s">
        <v>352</v>
      </c>
      <c r="J16" s="3" t="s">
        <v>29</v>
      </c>
      <c r="K16" s="3" t="s">
        <v>177</v>
      </c>
      <c r="L16" s="3" t="s">
        <v>390</v>
      </c>
      <c r="M16" s="3" t="s">
        <v>391</v>
      </c>
    </row>
    <row r="17" customFormat="false" ht="15" hidden="false" customHeight="false" outlineLevel="0" collapsed="false">
      <c r="A17" s="3" t="s">
        <v>392</v>
      </c>
      <c r="B17" s="3" t="s">
        <v>393</v>
      </c>
      <c r="C17" s="3" t="s">
        <v>394</v>
      </c>
      <c r="D17" s="4" t="n">
        <v>15</v>
      </c>
      <c r="E17" s="3" t="s">
        <v>215</v>
      </c>
      <c r="F17" s="4" t="n">
        <v>1200</v>
      </c>
      <c r="G17" s="14" t="n">
        <f aca="false">D17*1000/F17</f>
        <v>12.5</v>
      </c>
      <c r="H17" s="3" t="s">
        <v>176</v>
      </c>
      <c r="I17" s="3" t="s">
        <v>352</v>
      </c>
      <c r="J17" s="3" t="s">
        <v>395</v>
      </c>
      <c r="K17" s="3" t="s">
        <v>177</v>
      </c>
      <c r="L17" s="3" t="s">
        <v>396</v>
      </c>
      <c r="M17" s="3" t="s">
        <v>397</v>
      </c>
    </row>
    <row r="18" customFormat="false" ht="15" hidden="false" customHeight="false" outlineLevel="0" collapsed="false">
      <c r="A18" s="3" t="s">
        <v>392</v>
      </c>
      <c r="B18" s="3" t="s">
        <v>398</v>
      </c>
      <c r="C18" s="3" t="s">
        <v>399</v>
      </c>
      <c r="D18" s="4" t="n">
        <v>3.4</v>
      </c>
      <c r="E18" s="3" t="s">
        <v>400</v>
      </c>
      <c r="F18" s="4" t="n">
        <v>200</v>
      </c>
      <c r="G18" s="14" t="n">
        <f aca="false">D18*1000/F18</f>
        <v>17</v>
      </c>
      <c r="H18" s="3" t="s">
        <v>176</v>
      </c>
      <c r="I18" s="3" t="s">
        <v>352</v>
      </c>
      <c r="J18" s="3" t="s">
        <v>395</v>
      </c>
      <c r="K18" s="3" t="s">
        <v>177</v>
      </c>
      <c r="L18" s="3" t="s">
        <v>401</v>
      </c>
      <c r="M18" s="3" t="s">
        <v>397</v>
      </c>
    </row>
    <row r="19" customFormat="false" ht="28.35" hidden="false" customHeight="false" outlineLevel="0" collapsed="false">
      <c r="A19" s="3" t="s">
        <v>402</v>
      </c>
      <c r="B19" s="3" t="s">
        <v>403</v>
      </c>
      <c r="C19" s="3" t="s">
        <v>404</v>
      </c>
      <c r="D19" s="4" t="n">
        <v>10000</v>
      </c>
      <c r="E19" s="3" t="s">
        <v>405</v>
      </c>
      <c r="F19" s="4" t="n">
        <v>24</v>
      </c>
      <c r="G19" s="14" t="n">
        <f aca="false">D19/F19</f>
        <v>416.666666666667</v>
      </c>
      <c r="H19" s="3" t="s">
        <v>216</v>
      </c>
      <c r="I19" s="3" t="s">
        <v>352</v>
      </c>
      <c r="J19" s="3" t="s">
        <v>406</v>
      </c>
      <c r="K19" s="3" t="s">
        <v>177</v>
      </c>
      <c r="L19" s="3" t="s">
        <v>407</v>
      </c>
      <c r="M19" s="3" t="s">
        <v>408</v>
      </c>
    </row>
    <row r="20" customFormat="false" ht="15" hidden="false" customHeight="false" outlineLevel="0" collapsed="false">
      <c r="A20" s="3" t="s">
        <v>409</v>
      </c>
      <c r="B20" s="3" t="s">
        <v>410</v>
      </c>
      <c r="C20" s="3" t="s">
        <v>411</v>
      </c>
      <c r="D20" s="4" t="n">
        <v>1152</v>
      </c>
      <c r="E20" s="3" t="s">
        <v>412</v>
      </c>
      <c r="F20" s="4" t="n">
        <v>5</v>
      </c>
      <c r="G20" s="14" t="n">
        <f aca="false">D20/F20</f>
        <v>230.4</v>
      </c>
      <c r="H20" s="3" t="s">
        <v>413</v>
      </c>
      <c r="I20" s="3" t="s">
        <v>414</v>
      </c>
      <c r="J20" s="3" t="s">
        <v>374</v>
      </c>
      <c r="K20" s="3" t="s">
        <v>177</v>
      </c>
      <c r="L20" s="3" t="s">
        <v>415</v>
      </c>
      <c r="M20" s="3" t="s">
        <v>416</v>
      </c>
    </row>
    <row r="21" customFormat="false" ht="15" hidden="false" customHeight="false" outlineLevel="0" collapsed="false">
      <c r="A21" s="3" t="s">
        <v>417</v>
      </c>
      <c r="B21" s="3" t="s">
        <v>418</v>
      </c>
      <c r="C21" s="3" t="s">
        <v>419</v>
      </c>
      <c r="D21" s="4" t="n">
        <v>50</v>
      </c>
      <c r="E21" s="3" t="s">
        <v>268</v>
      </c>
      <c r="F21" s="4" t="n">
        <v>1</v>
      </c>
      <c r="G21" s="14" t="n">
        <f aca="false">D21/F21</f>
        <v>50</v>
      </c>
      <c r="H21" s="3" t="s">
        <v>176</v>
      </c>
      <c r="I21" s="3" t="s">
        <v>352</v>
      </c>
      <c r="J21" s="3" t="s">
        <v>420</v>
      </c>
      <c r="K21" s="3" t="s">
        <v>421</v>
      </c>
      <c r="L21" s="3" t="s">
        <v>422</v>
      </c>
      <c r="M21" s="3" t="s">
        <v>423</v>
      </c>
    </row>
    <row r="22" customFormat="false" ht="15" hidden="false" customHeight="false" outlineLevel="0" collapsed="false">
      <c r="A22" s="3" t="s">
        <v>417</v>
      </c>
      <c r="B22" s="3" t="s">
        <v>424</v>
      </c>
      <c r="C22" s="3" t="s">
        <v>419</v>
      </c>
      <c r="D22" s="4" t="n">
        <v>60</v>
      </c>
      <c r="E22" s="3" t="s">
        <v>268</v>
      </c>
      <c r="F22" s="4" t="n">
        <v>1</v>
      </c>
      <c r="G22" s="14" t="n">
        <f aca="false">D22/F22</f>
        <v>60</v>
      </c>
      <c r="H22" s="3" t="s">
        <v>176</v>
      </c>
      <c r="I22" s="3" t="s">
        <v>352</v>
      </c>
      <c r="J22" s="3" t="s">
        <v>420</v>
      </c>
      <c r="K22" s="3" t="s">
        <v>421</v>
      </c>
      <c r="L22" s="3"/>
      <c r="M22" s="3" t="s">
        <v>423</v>
      </c>
    </row>
    <row r="23" customFormat="false" ht="15" hidden="false" customHeight="false" outlineLevel="0" collapsed="false">
      <c r="A23" s="3" t="s">
        <v>425</v>
      </c>
      <c r="B23" s="3" t="s">
        <v>426</v>
      </c>
      <c r="C23" s="3" t="s">
        <v>419</v>
      </c>
      <c r="D23" s="4" t="n">
        <v>35</v>
      </c>
      <c r="E23" s="3" t="s">
        <v>427</v>
      </c>
      <c r="F23" s="4" t="n">
        <v>0.39</v>
      </c>
      <c r="G23" s="14" t="n">
        <f aca="false">D23*F23</f>
        <v>13.65</v>
      </c>
      <c r="H23" s="3" t="s">
        <v>428</v>
      </c>
      <c r="I23" s="3" t="s">
        <v>352</v>
      </c>
      <c r="J23" s="3" t="s">
        <v>429</v>
      </c>
      <c r="K23" s="3" t="s">
        <v>177</v>
      </c>
      <c r="L23" s="3" t="s">
        <v>430</v>
      </c>
      <c r="M23" s="3" t="s">
        <v>423</v>
      </c>
    </row>
    <row r="24" customFormat="false" ht="28.35" hidden="false" customHeight="false" outlineLevel="0" collapsed="false">
      <c r="A24" s="3" t="s">
        <v>431</v>
      </c>
      <c r="B24" s="3" t="s">
        <v>432</v>
      </c>
      <c r="C24" s="3" t="s">
        <v>433</v>
      </c>
      <c r="D24" s="4" t="n">
        <v>17.6</v>
      </c>
      <c r="E24" s="3" t="s">
        <v>434</v>
      </c>
      <c r="F24" s="3" t="s">
        <v>435</v>
      </c>
      <c r="G24" s="14" t="n">
        <f aca="false">D24</f>
        <v>17.6</v>
      </c>
      <c r="H24" s="3" t="s">
        <v>176</v>
      </c>
      <c r="I24" s="3" t="s">
        <v>436</v>
      </c>
      <c r="J24" s="3" t="s">
        <v>437</v>
      </c>
      <c r="K24" s="3" t="s">
        <v>421</v>
      </c>
      <c r="L24" s="3" t="s">
        <v>438</v>
      </c>
      <c r="M24" s="3" t="s">
        <v>439</v>
      </c>
    </row>
    <row r="25" customFormat="false" ht="15" hidden="false" customHeight="false" outlineLevel="0" collapsed="false">
      <c r="A25" s="3" t="s">
        <v>440</v>
      </c>
      <c r="B25" s="3" t="s">
        <v>441</v>
      </c>
      <c r="C25" s="3" t="s">
        <v>442</v>
      </c>
      <c r="D25" s="4" t="n">
        <v>165</v>
      </c>
      <c r="E25" s="3" t="s">
        <v>443</v>
      </c>
      <c r="F25" s="4" t="n">
        <v>175</v>
      </c>
      <c r="G25" s="14" t="n">
        <f aca="false">D25*12*1000/1000000</f>
        <v>1.98</v>
      </c>
      <c r="H25" s="3" t="s">
        <v>444</v>
      </c>
      <c r="I25" s="3" t="s">
        <v>445</v>
      </c>
      <c r="J25" s="3" t="s">
        <v>268</v>
      </c>
      <c r="K25" s="3" t="s">
        <v>177</v>
      </c>
      <c r="L25" s="3" t="s">
        <v>446</v>
      </c>
      <c r="M25" s="3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  <col collapsed="false" customWidth="true" hidden="false" outlineLevel="0" max="3" min="3" style="0" width="9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2" t="s">
        <v>448</v>
      </c>
      <c r="B1" s="2" t="s">
        <v>449</v>
      </c>
      <c r="C1" s="2" t="s">
        <v>450</v>
      </c>
      <c r="D1" s="2" t="s">
        <v>14</v>
      </c>
    </row>
    <row r="2" customFormat="false" ht="15" hidden="false" customHeight="false" outlineLevel="0" collapsed="false">
      <c r="A2" s="3" t="s">
        <v>451</v>
      </c>
      <c r="B2" s="3" t="s">
        <v>452</v>
      </c>
      <c r="C2" s="3" t="s">
        <v>453</v>
      </c>
      <c r="D2" s="3" t="s">
        <v>421</v>
      </c>
    </row>
    <row r="3" customFormat="false" ht="28.35" hidden="false" customHeight="false" outlineLevel="0" collapsed="false">
      <c r="A3" s="3" t="s">
        <v>454</v>
      </c>
      <c r="B3" s="3" t="s">
        <v>455</v>
      </c>
      <c r="C3" s="3" t="s">
        <v>456</v>
      </c>
      <c r="D3" s="3" t="s">
        <v>421</v>
      </c>
    </row>
    <row r="4" customFormat="false" ht="15" hidden="false" customHeight="false" outlineLevel="0" collapsed="false">
      <c r="A4" s="3" t="s">
        <v>457</v>
      </c>
      <c r="B4" s="3" t="s">
        <v>458</v>
      </c>
      <c r="C4" s="3" t="s">
        <v>459</v>
      </c>
      <c r="D4" s="3" t="s">
        <v>421</v>
      </c>
    </row>
    <row r="5" customFormat="false" ht="28.35" hidden="false" customHeight="false" outlineLevel="0" collapsed="false">
      <c r="A5" s="3" t="s">
        <v>460</v>
      </c>
      <c r="B5" s="3" t="s">
        <v>461</v>
      </c>
      <c r="C5" s="3" t="s">
        <v>462</v>
      </c>
      <c r="D5" s="3" t="s">
        <v>421</v>
      </c>
    </row>
    <row r="6" customFormat="false" ht="55.2" hidden="false" customHeight="false" outlineLevel="0" collapsed="false">
      <c r="A6" s="3" t="s">
        <v>463</v>
      </c>
      <c r="B6" s="3" t="s">
        <v>464</v>
      </c>
      <c r="C6" s="3" t="s">
        <v>465</v>
      </c>
      <c r="D6" s="3" t="s">
        <v>421</v>
      </c>
    </row>
    <row r="7" customFormat="false" ht="28.35" hidden="false" customHeight="false" outlineLevel="0" collapsed="false">
      <c r="A7" s="3" t="s">
        <v>160</v>
      </c>
      <c r="B7" s="3" t="s">
        <v>466</v>
      </c>
      <c r="C7" s="3" t="s">
        <v>467</v>
      </c>
      <c r="D7" s="3" t="s">
        <v>468</v>
      </c>
    </row>
    <row r="8" customFormat="false" ht="28.35" hidden="false" customHeight="false" outlineLevel="0" collapsed="false">
      <c r="A8" s="3" t="s">
        <v>416</v>
      </c>
      <c r="B8" s="3" t="s">
        <v>469</v>
      </c>
      <c r="C8" s="3" t="s">
        <v>470</v>
      </c>
      <c r="D8" s="3" t="s">
        <v>471</v>
      </c>
    </row>
    <row r="9" customFormat="false" ht="41.75" hidden="false" customHeight="false" outlineLevel="0" collapsed="false">
      <c r="A9" s="3" t="s">
        <v>143</v>
      </c>
      <c r="B9" s="3" t="s">
        <v>472</v>
      </c>
      <c r="C9" s="3" t="s">
        <v>473</v>
      </c>
      <c r="D9" s="3" t="s">
        <v>474</v>
      </c>
    </row>
    <row r="10" customFormat="false" ht="28.35" hidden="false" customHeight="false" outlineLevel="0" collapsed="false">
      <c r="A10" s="3" t="s">
        <v>138</v>
      </c>
      <c r="B10" s="3" t="s">
        <v>475</v>
      </c>
      <c r="C10" s="3" t="s">
        <v>476</v>
      </c>
      <c r="D10" s="3" t="s">
        <v>137</v>
      </c>
    </row>
    <row r="11" customFormat="false" ht="28.35" hidden="false" customHeight="false" outlineLevel="0" collapsed="false">
      <c r="A11" s="3" t="s">
        <v>477</v>
      </c>
      <c r="B11" s="3" t="s">
        <v>478</v>
      </c>
      <c r="C11" s="3" t="s">
        <v>479</v>
      </c>
      <c r="D11" s="3" t="s">
        <v>480</v>
      </c>
    </row>
    <row r="12" customFormat="false" ht="28.35" hidden="false" customHeight="false" outlineLevel="0" collapsed="false">
      <c r="A12" s="3" t="s">
        <v>439</v>
      </c>
      <c r="B12" s="3" t="s">
        <v>481</v>
      </c>
      <c r="C12" s="3" t="s">
        <v>482</v>
      </c>
      <c r="D12" s="3" t="s">
        <v>421</v>
      </c>
    </row>
    <row r="13" customFormat="false" ht="28.35" hidden="false" customHeight="false" outlineLevel="0" collapsed="false">
      <c r="A13" s="3" t="s">
        <v>483</v>
      </c>
      <c r="B13" s="3" t="s">
        <v>484</v>
      </c>
      <c r="C13" s="3" t="s">
        <v>485</v>
      </c>
      <c r="D13" s="3" t="s">
        <v>486</v>
      </c>
    </row>
    <row r="14" customFormat="false" ht="28.35" hidden="false" customHeight="false" outlineLevel="0" collapsed="false">
      <c r="A14" s="3" t="s">
        <v>447</v>
      </c>
      <c r="B14" s="3" t="s">
        <v>487</v>
      </c>
      <c r="C14" s="3" t="s">
        <v>488</v>
      </c>
      <c r="D14" s="3" t="s">
        <v>126</v>
      </c>
    </row>
    <row r="15" customFormat="false" ht="15" hidden="false" customHeight="false" outlineLevel="0" collapsed="false">
      <c r="A15" s="3" t="s">
        <v>276</v>
      </c>
      <c r="B15" s="3" t="s">
        <v>489</v>
      </c>
      <c r="C15" s="3" t="s">
        <v>490</v>
      </c>
      <c r="D15" s="3" t="s">
        <v>421</v>
      </c>
    </row>
    <row r="16" customFormat="false" ht="28.35" hidden="false" customHeight="false" outlineLevel="0" collapsed="false">
      <c r="A16" s="3" t="s">
        <v>282</v>
      </c>
      <c r="B16" s="3" t="s">
        <v>491</v>
      </c>
      <c r="C16" s="3" t="s">
        <v>492</v>
      </c>
      <c r="D16" s="3" t="s">
        <v>421</v>
      </c>
    </row>
    <row r="17" customFormat="false" ht="41.75" hidden="false" customHeight="false" outlineLevel="0" collapsed="false">
      <c r="A17" s="3" t="s">
        <v>252</v>
      </c>
      <c r="B17" s="3" t="s">
        <v>493</v>
      </c>
      <c r="C17" s="3" t="s">
        <v>494</v>
      </c>
      <c r="D17" s="3" t="s">
        <v>421</v>
      </c>
    </row>
    <row r="18" customFormat="false" ht="28.35" hidden="false" customHeight="false" outlineLevel="0" collapsed="false">
      <c r="A18" s="3" t="s">
        <v>495</v>
      </c>
      <c r="B18" s="3" t="s">
        <v>496</v>
      </c>
      <c r="C18" s="3" t="s">
        <v>497</v>
      </c>
      <c r="D18" s="3" t="s">
        <v>421</v>
      </c>
    </row>
    <row r="19" customFormat="false" ht="41.75" hidden="false" customHeight="false" outlineLevel="0" collapsed="false">
      <c r="A19" s="3" t="s">
        <v>219</v>
      </c>
      <c r="B19" s="3" t="s">
        <v>498</v>
      </c>
      <c r="C19" s="3" t="s">
        <v>499</v>
      </c>
      <c r="D19" s="3" t="s">
        <v>500</v>
      </c>
    </row>
    <row r="20" customFormat="false" ht="15" hidden="false" customHeight="false" outlineLevel="0" collapsed="false">
      <c r="A20" s="3" t="s">
        <v>501</v>
      </c>
      <c r="B20" s="3" t="s">
        <v>502</v>
      </c>
      <c r="C20" s="3" t="s">
        <v>503</v>
      </c>
      <c r="D20" s="3" t="s">
        <v>421</v>
      </c>
    </row>
    <row r="21" customFormat="false" ht="15" hidden="false" customHeight="false" outlineLevel="0" collapsed="false">
      <c r="A21" s="3" t="s">
        <v>504</v>
      </c>
      <c r="B21" s="3" t="s">
        <v>505</v>
      </c>
      <c r="C21" s="3" t="s">
        <v>506</v>
      </c>
      <c r="D21" s="3" t="s">
        <v>421</v>
      </c>
    </row>
    <row r="22" customFormat="false" ht="55.2" hidden="false" customHeight="false" outlineLevel="0" collapsed="false">
      <c r="A22" s="3" t="s">
        <v>507</v>
      </c>
      <c r="B22" s="3" t="s">
        <v>508</v>
      </c>
      <c r="C22" s="3" t="s">
        <v>509</v>
      </c>
      <c r="D22" s="3" t="s">
        <v>142</v>
      </c>
    </row>
    <row r="23" customFormat="false" ht="28.35" hidden="false" customHeight="false" outlineLevel="0" collapsed="false">
      <c r="A23" s="3" t="s">
        <v>510</v>
      </c>
      <c r="B23" s="3" t="s">
        <v>511</v>
      </c>
      <c r="C23" s="3" t="s">
        <v>512</v>
      </c>
      <c r="D23" s="3" t="s">
        <v>421</v>
      </c>
    </row>
    <row r="24" customFormat="false" ht="28.35" hidden="false" customHeight="false" outlineLevel="0" collapsed="false">
      <c r="A24" s="3" t="s">
        <v>302</v>
      </c>
      <c r="B24" s="3" t="s">
        <v>513</v>
      </c>
      <c r="C24" s="3" t="s">
        <v>514</v>
      </c>
      <c r="D24" s="3" t="s">
        <v>515</v>
      </c>
    </row>
    <row r="25" customFormat="false" ht="28.35" hidden="false" customHeight="false" outlineLevel="0" collapsed="false">
      <c r="A25" s="3" t="s">
        <v>516</v>
      </c>
      <c r="B25" s="3" t="s">
        <v>517</v>
      </c>
      <c r="C25" s="3" t="s">
        <v>518</v>
      </c>
      <c r="D25" s="3" t="s">
        <v>421</v>
      </c>
    </row>
    <row r="26" customFormat="false" ht="28.35" hidden="false" customHeight="false" outlineLevel="0" collapsed="false">
      <c r="A26" s="3" t="s">
        <v>327</v>
      </c>
      <c r="B26" s="3" t="s">
        <v>519</v>
      </c>
      <c r="C26" s="3" t="s">
        <v>520</v>
      </c>
      <c r="D26" s="3" t="s">
        <v>421</v>
      </c>
    </row>
    <row r="27" customFormat="false" ht="41.75" hidden="false" customHeight="false" outlineLevel="0" collapsed="false">
      <c r="A27" s="3" t="s">
        <v>334</v>
      </c>
      <c r="B27" s="3" t="s">
        <v>521</v>
      </c>
      <c r="C27" s="3" t="s">
        <v>522</v>
      </c>
      <c r="D27" s="3" t="s">
        <v>421</v>
      </c>
    </row>
    <row r="28" customFormat="false" ht="28.35" hidden="false" customHeight="false" outlineLevel="0" collapsed="false">
      <c r="A28" s="3" t="s">
        <v>347</v>
      </c>
      <c r="B28" s="3" t="s">
        <v>523</v>
      </c>
      <c r="C28" s="3" t="s">
        <v>524</v>
      </c>
      <c r="D28" s="3" t="s">
        <v>421</v>
      </c>
    </row>
    <row r="29" customFormat="false" ht="28.35" hidden="false" customHeight="false" outlineLevel="0" collapsed="false">
      <c r="A29" s="3" t="s">
        <v>355</v>
      </c>
      <c r="B29" s="3" t="s">
        <v>525</v>
      </c>
      <c r="C29" s="3" t="s">
        <v>526</v>
      </c>
      <c r="D29" s="3" t="s">
        <v>421</v>
      </c>
    </row>
    <row r="30" customFormat="false" ht="28.35" hidden="false" customHeight="false" outlineLevel="0" collapsed="false">
      <c r="A30" s="3" t="s">
        <v>527</v>
      </c>
      <c r="B30" s="3" t="s">
        <v>528</v>
      </c>
      <c r="C30" s="3" t="s">
        <v>529</v>
      </c>
      <c r="D30" s="3" t="s">
        <v>530</v>
      </c>
    </row>
    <row r="31" customFormat="false" ht="28.35" hidden="false" customHeight="false" outlineLevel="0" collapsed="false">
      <c r="A31" s="3" t="s">
        <v>371</v>
      </c>
      <c r="B31" s="3" t="s">
        <v>531</v>
      </c>
      <c r="C31" s="3" t="s">
        <v>532</v>
      </c>
      <c r="D31" s="3" t="s">
        <v>421</v>
      </c>
    </row>
    <row r="32" customFormat="false" ht="41.75" hidden="false" customHeight="false" outlineLevel="0" collapsed="false">
      <c r="A32" s="3" t="s">
        <v>397</v>
      </c>
      <c r="B32" s="3" t="s">
        <v>533</v>
      </c>
      <c r="C32" s="3" t="s">
        <v>534</v>
      </c>
      <c r="D32" s="3" t="s">
        <v>421</v>
      </c>
    </row>
    <row r="33" customFormat="false" ht="28.35" hidden="false" customHeight="false" outlineLevel="0" collapsed="false">
      <c r="A33" s="3" t="s">
        <v>391</v>
      </c>
      <c r="B33" s="3" t="s">
        <v>535</v>
      </c>
      <c r="C33" s="3" t="s">
        <v>536</v>
      </c>
      <c r="D33" s="3" t="s">
        <v>142</v>
      </c>
    </row>
    <row r="34" customFormat="false" ht="15" hidden="false" customHeight="false" outlineLevel="0" collapsed="false">
      <c r="A34" s="3" t="s">
        <v>408</v>
      </c>
      <c r="B34" s="3" t="s">
        <v>537</v>
      </c>
      <c r="C34" s="3" t="s">
        <v>538</v>
      </c>
      <c r="D34" s="3" t="s">
        <v>421</v>
      </c>
    </row>
    <row r="35" customFormat="false" ht="55.2" hidden="false" customHeight="false" outlineLevel="0" collapsed="false">
      <c r="A35" s="3" t="s">
        <v>423</v>
      </c>
      <c r="B35" s="3" t="s">
        <v>539</v>
      </c>
      <c r="C35" s="3" t="s">
        <v>540</v>
      </c>
      <c r="D35" s="3" t="s">
        <v>142</v>
      </c>
    </row>
    <row r="36" customFormat="false" ht="28.35" hidden="false" customHeight="false" outlineLevel="0" collapsed="false">
      <c r="A36" s="3" t="s">
        <v>127</v>
      </c>
      <c r="B36" s="3" t="s">
        <v>541</v>
      </c>
      <c r="C36" s="3" t="s">
        <v>542</v>
      </c>
      <c r="D36" s="3" t="s">
        <v>543</v>
      </c>
    </row>
    <row r="37" customFormat="false" ht="28.35" hidden="false" customHeight="false" outlineLevel="0" collapsed="false">
      <c r="A37" s="3" t="s">
        <v>132</v>
      </c>
      <c r="B37" s="3" t="s">
        <v>544</v>
      </c>
      <c r="C37" s="3" t="s">
        <v>545</v>
      </c>
      <c r="D37" s="3" t="s">
        <v>120</v>
      </c>
    </row>
    <row r="38" customFormat="false" ht="41.75" hidden="false" customHeight="false" outlineLevel="0" collapsed="false">
      <c r="A38" s="3" t="s">
        <v>121</v>
      </c>
      <c r="B38" s="3" t="s">
        <v>546</v>
      </c>
      <c r="C38" s="3" t="s">
        <v>547</v>
      </c>
      <c r="D38" s="3" t="s">
        <v>120</v>
      </c>
    </row>
    <row r="39" customFormat="false" ht="28.35" hidden="false" customHeight="false" outlineLevel="0" collapsed="false">
      <c r="A39" s="3" t="s">
        <v>548</v>
      </c>
      <c r="B39" s="3" t="s">
        <v>549</v>
      </c>
      <c r="C39" s="3" t="s">
        <v>550</v>
      </c>
      <c r="D39" s="3" t="s">
        <v>120</v>
      </c>
    </row>
    <row r="40" customFormat="false" ht="28.35" hidden="false" customHeight="false" outlineLevel="0" collapsed="false">
      <c r="A40" s="3" t="s">
        <v>149</v>
      </c>
      <c r="B40" s="3" t="s">
        <v>551</v>
      </c>
      <c r="C40" s="3" t="s">
        <v>552</v>
      </c>
      <c r="D40" s="3" t="s">
        <v>553</v>
      </c>
    </row>
    <row r="41" customFormat="false" ht="28.35" hidden="false" customHeight="false" outlineLevel="0" collapsed="false">
      <c r="A41" s="3" t="s">
        <v>554</v>
      </c>
      <c r="B41" s="3" t="s">
        <v>555</v>
      </c>
      <c r="C41" s="3" t="s">
        <v>556</v>
      </c>
      <c r="D41" s="3" t="s">
        <v>553</v>
      </c>
    </row>
    <row r="42" customFormat="false" ht="28.35" hidden="false" customHeight="false" outlineLevel="0" collapsed="false">
      <c r="A42" s="3" t="s">
        <v>557</v>
      </c>
      <c r="B42" s="3" t="s">
        <v>558</v>
      </c>
      <c r="C42" s="3" t="s">
        <v>559</v>
      </c>
      <c r="D42" s="3" t="s">
        <v>560</v>
      </c>
    </row>
    <row r="43" customFormat="false" ht="28.35" hidden="false" customHeight="false" outlineLevel="0" collapsed="false">
      <c r="A43" s="3" t="s">
        <v>561</v>
      </c>
      <c r="B43" s="3" t="s">
        <v>562</v>
      </c>
      <c r="C43" s="3" t="s">
        <v>563</v>
      </c>
      <c r="D43" s="3" t="s">
        <v>564</v>
      </c>
    </row>
    <row r="44" customFormat="false" ht="28.35" hidden="false" customHeight="false" outlineLevel="0" collapsed="false">
      <c r="A44" s="3" t="s">
        <v>565</v>
      </c>
      <c r="B44" s="3" t="s">
        <v>566</v>
      </c>
      <c r="C44" s="3" t="s">
        <v>567</v>
      </c>
      <c r="D44" s="3" t="s">
        <v>142</v>
      </c>
    </row>
    <row r="45" customFormat="false" ht="41.75" hidden="false" customHeight="false" outlineLevel="0" collapsed="false">
      <c r="A45" s="3" t="s">
        <v>568</v>
      </c>
      <c r="B45" s="3" t="s">
        <v>569</v>
      </c>
      <c r="C45" s="3" t="s">
        <v>570</v>
      </c>
      <c r="D45" s="3" t="s">
        <v>553</v>
      </c>
    </row>
    <row r="46" customFormat="false" ht="28.35" hidden="false" customHeight="false" outlineLevel="0" collapsed="false">
      <c r="A46" s="3" t="s">
        <v>571</v>
      </c>
      <c r="B46" s="3" t="s">
        <v>572</v>
      </c>
      <c r="C46" s="3" t="s">
        <v>573</v>
      </c>
      <c r="D46" s="3" t="s">
        <v>574</v>
      </c>
    </row>
    <row r="47" customFormat="false" ht="28.35" hidden="false" customHeight="false" outlineLevel="0" collapsed="false">
      <c r="A47" s="3" t="s">
        <v>575</v>
      </c>
      <c r="B47" s="3" t="s">
        <v>576</v>
      </c>
      <c r="C47" s="3" t="s">
        <v>577</v>
      </c>
      <c r="D47" s="3" t="s">
        <v>120</v>
      </c>
    </row>
    <row r="48" customFormat="false" ht="28.35" hidden="false" customHeight="false" outlineLevel="0" collapsed="false">
      <c r="A48" s="3" t="s">
        <v>578</v>
      </c>
      <c r="B48" s="3" t="s">
        <v>579</v>
      </c>
      <c r="C48" s="3" t="s">
        <v>580</v>
      </c>
      <c r="D48" s="3" t="s">
        <v>471</v>
      </c>
    </row>
    <row r="49" customFormat="false" ht="28.35" hidden="false" customHeight="false" outlineLevel="0" collapsed="false">
      <c r="A49" s="3" t="s">
        <v>258</v>
      </c>
      <c r="B49" s="3" t="s">
        <v>581</v>
      </c>
      <c r="C49" s="3" t="s">
        <v>582</v>
      </c>
      <c r="D49" s="3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2026-10-05T02:46:11Z</dcterms:created>
  <dc:creator>openpyxl</dc:creator>
  <dc:description/>
  <dc:language>en-US</dc:language>
  <cp:lastModifiedBy/>
  <dcterms:modified xsi:type="dcterms:W3CDTF">2026-10-09T15:17:08Z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