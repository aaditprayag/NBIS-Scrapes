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<sst xmlns="http://schemas.openxmlformats.org/spreadsheetml/2006/main" count="283" uniqueCount="169">
  <si>
    <t xml:space="preserve">Key</t>
  </si>
  <si>
    <t xml:space="preserve">Value</t>
  </si>
  <si>
    <t xml:space="preserve">Unit</t>
  </si>
  <si>
    <t xml:space="preserve">Tag</t>
  </si>
  <si>
    <t xml:space="preserve">Basis / formula</t>
  </si>
  <si>
    <t xml:space="preserve">Source URL</t>
  </si>
  <si>
    <t xml:space="preserve">Source date</t>
  </si>
  <si>
    <t xml:space="preserve">order_date</t>
  </si>
  <si>
    <t xml:space="preserve">date</t>
  </si>
  <si>
    <t xml:space="preserve">Reported</t>
  </si>
  <si>
    <t xml:space="preserve">NJDEP AONOCAPA dated Sep 22 2026 (Facility 75894)</t>
  </si>
  <si>
    <t xml:space="preserve">https://dep.nj.gov/wp-content/uploads/newsrel/2026/dataone75894-aonocapa.pdf</t>
  </si>
  <si>
    <t xml:space="preserve">2026-09-22</t>
  </si>
  <si>
    <t xml:space="preserve">receipt_date</t>
  </si>
  <si>
    <t xml:space="preserve">Estimated</t>
  </si>
  <si>
    <t xml:space="preserve">Receipt date not disclosed; assume same-day (email/hand) receipt. Change to 2026-09-25 for mail receipt.</t>
  </si>
  <si>
    <t xml:space="preserve">https://morristownminute.org/1-07-million-penalty-vineland-data-center/</t>
  </si>
  <si>
    <t xml:space="preserve">deadline_45d</t>
  </si>
  <si>
    <t xml:space="preserve">Derived</t>
  </si>
  <si>
    <t xml:space="preserve">receipt + 45 calendar days (Nov 6 if receipt Sep 22; Nov 9 if Sep 25)</t>
  </si>
  <si>
    <t xml:space="preserve">https://www.enr.com/articles/63694-nj-fines-data-center-1m-over-123-mw-of-unpermitted-generation</t>
  </si>
  <si>
    <t xml:space="preserve">2026-09-23</t>
  </si>
  <si>
    <t xml:space="preserve">hearing_req_deadline</t>
  </si>
  <si>
    <t xml:space="preserve">receipt + 20 days; penalty final day 21 if no hearing request</t>
  </si>
  <si>
    <t xml:space="preserve">outage_start</t>
  </si>
  <si>
    <t xml:space="preserve">first day after the 45-day window</t>
  </si>
  <si>
    <t xml:space="preserve">—</t>
  </si>
  <si>
    <t xml:space="preserve">penalty</t>
  </si>
  <si>
    <t xml:space="preserve">$</t>
  </si>
  <si>
    <t xml:space="preserve">civil administrative penalty</t>
  </si>
  <si>
    <t xml:space="preserve">https://www.nj.gov/governor/news/2026/20260922a.shtml</t>
  </si>
  <si>
    <t xml:space="preserve">genset_count</t>
  </si>
  <si>
    <t xml:space="preserve">units</t>
  </si>
  <si>
    <t xml:space="preserve">Caterpillar G3516H</t>
  </si>
  <si>
    <t xml:space="preserve">genset_kw</t>
  </si>
  <si>
    <t xml:space="preserve">kW each</t>
  </si>
  <si>
    <t xml:space="preserve">nameplate</t>
  </si>
  <si>
    <t xml:space="preserve">genset_mw_gross</t>
  </si>
  <si>
    <t xml:space="preserve">MW gross</t>
  </si>
  <si>
    <t xml:space="preserve">62 x 1.982 = 122.9 MW</t>
  </si>
  <si>
    <t xml:space="preserve">pue</t>
  </si>
  <si>
    <t xml:space="preserve">x</t>
  </si>
  <si>
    <t xml:space="preserve">team assumption (nebius_capacity.xlsx Vineland high formula uses /1.2)</t>
  </si>
  <si>
    <t xml:space="preserve">nebius_capacity.xlsx</t>
  </si>
  <si>
    <t xml:space="preserve">2026-10</t>
  </si>
  <si>
    <t xml:space="preserve">grid_mw_gross</t>
  </si>
  <si>
    <t xml:space="preserve">team figure: ~5 MW utility feed (nebius_capacity.xlsx Vineland high formula)</t>
  </si>
  <si>
    <t xml:space="preserve">it_ceiling</t>
  </si>
  <si>
    <t xml:space="preserve">MW IT</t>
  </si>
  <si>
    <t xml:space="preserve">team ceiling ~107 MW IT = (5+122.9)/1.2</t>
  </si>
  <si>
    <t xml:space="preserve">it_energized_at_deadline</t>
  </si>
  <si>
    <t xml:space="preserve">4 tranches delivered (T1 Nov-25, T2 Feb-26, T3-T4 Jul-Aug-26) x equal-split tranche size, capped at ceiling</t>
  </si>
  <si>
    <t xml:space="preserve">https://assets.nebius.com/assets/a6ecfd85-a6cb-4967-8ef7-9a25bd261f9c/SHLQ226.pdf</t>
  </si>
  <si>
    <t xml:space="preserve">2026-08-12</t>
  </si>
  <si>
    <t xml:space="preserve">grid_it</t>
  </si>
  <si>
    <t xml:space="preserve">grid feed / PUE</t>
  </si>
  <si>
    <t xml:space="preserve">genset_fed_it</t>
  </si>
  <si>
    <t xml:space="preserve">energized IT minus grid-fed IT</t>
  </si>
  <si>
    <t xml:space="preserve">tranche_it_mw</t>
  </si>
  <si>
    <t xml:space="preserve">equal split of 240 MW IT over 9 tranches (sizes not disclosed)</t>
  </si>
  <si>
    <t xml:space="preserve">nebius_capacity.xlsx (Vineland tranches tab)</t>
  </si>
  <si>
    <t xml:space="preserve">rev_per_mw_yr</t>
  </si>
  <si>
    <t xml:space="preserve">$M/MW IT/yr</t>
  </si>
  <si>
    <t xml:space="preserve">Oct 9: $17.4B / 5 yrs / 240 MW IT = $14.49M per IT MW (team lock; E, house: IT MW denominator is estimated). Retired: $11.6M per GROSS MW (300 MW) — mixed bases with MW IT offline.</t>
  </si>
  <si>
    <t xml:space="preserve">https://www.sec.gov/ (Nebius 6-K, Sep 2025 Microsoft agreement)</t>
  </si>
  <si>
    <t xml:space="preserve">2025-09-08</t>
  </si>
  <si>
    <t xml:space="preserve">rev_per_mw_it_yr</t>
  </si>
  <si>
    <t xml:space="preserve">sensitivity: same TCV per IT MW (240 MW IT) = $14.5M</t>
  </si>
  <si>
    <t xml:space="preserve">usd_per_mwh_check</t>
  </si>
  <si>
    <t xml:space="preserve">$/MWh</t>
  </si>
  <si>
    <t xml:space="preserve">cross-check vs team $1,324/MWh (identical by construction)</t>
  </si>
  <si>
    <t xml:space="preserve">partial_curtail_pct</t>
  </si>
  <si>
    <t xml:space="preserve">%</t>
  </si>
  <si>
    <t xml:space="preserve">consent-order style cap on genset output (no permit exists, so "permitted level" is undefined); flex 25-75%</t>
  </si>
  <si>
    <t xml:space="preserve">nox_tons_to_date</t>
  </si>
  <si>
    <t xml:space="preserve">short tons</t>
  </si>
  <si>
    <t xml:space="preserve">approx NOx emitted to date per Floodlight analysis of DataOne letter</t>
  </si>
  <si>
    <t xml:space="preserve">https://floodlightnews.org/vineland-nj-data-center-air-pollution/</t>
  </si>
  <si>
    <t xml:space="preserve">2026-10-01</t>
  </si>
  <si>
    <t xml:space="preserve">engine_hours_to_date</t>
  </si>
  <si>
    <t xml:space="preserve">engine-hours</t>
  </si>
  <si>
    <t xml:space="preserve">&gt;46,000 run-hours per DataOne letter (Floodlight)</t>
  </si>
  <si>
    <t xml:space="preserve">nox_lb_per_engine_hr</t>
  </si>
  <si>
    <t xml:space="preserve">lb/engine-hr</t>
  </si>
  <si>
    <t xml:space="preserve">140 t x 2000 / 46,000 h</t>
  </si>
  <si>
    <t xml:space="preserve">minor_source_nox_tpy</t>
  </si>
  <si>
    <t xml:space="preserve">tpy</t>
  </si>
  <si>
    <t xml:space="preserve">NJ major-source NOx threshold (ozone nonattainment) cited by Floodlight</t>
  </si>
  <si>
    <t xml:space="preserve">engines_at_minor_cap</t>
  </si>
  <si>
    <t xml:space="preserve">engines continuous</t>
  </si>
  <si>
    <t xml:space="preserve">25 tpy / (lb per engine-hr x 8760)</t>
  </si>
  <si>
    <t xml:space="preserve">it_at_minor_cap</t>
  </si>
  <si>
    <t xml:space="preserve">engines x 1.982 MW / PUE</t>
  </si>
  <si>
    <t xml:space="preserve">fy26_end</t>
  </si>
  <si>
    <t xml:space="preserve">calendar FY</t>
  </si>
  <si>
    <t xml:space="preserve">q1_27_end</t>
  </si>
  <si>
    <t xml:space="preserve">Scenario</t>
  </si>
  <si>
    <t xml:space="preserve">MW IT offline</t>
  </si>
  <si>
    <t xml:space="preserve">Outage months</t>
  </si>
  <si>
    <t xml:space="preserve">Outage start</t>
  </si>
  <si>
    <t xml:space="preserve">Outage end</t>
  </si>
  <si>
    <t xml:space="preserve">Days offline total</t>
  </si>
  <si>
    <t xml:space="preserve">Days in Q4/FY26</t>
  </si>
  <si>
    <t xml:space="preserve">Days in FY27</t>
  </si>
  <si>
    <t xml:space="preserve">Q4'26 rev at risk $M</t>
  </si>
  <si>
    <t xml:space="preserve">FY26 rev at risk $M</t>
  </si>
  <si>
    <t xml:space="preserve">FY27 rev at risk $M</t>
  </si>
  <si>
    <t xml:space="preserve">Total $M</t>
  </si>
  <si>
    <t xml:space="preserve">Total $M @ $14.5M/MW IT (sens.)</t>
  </si>
  <si>
    <t xml:space="preserve">Tranches affected</t>
  </si>
  <si>
    <t xml:space="preserve">Prob (Estimated)</t>
  </si>
  <si>
    <t xml:space="preserve">Notes</t>
  </si>
  <si>
    <t xml:space="preserve">1. No shutdown (DataOne files by deadline; DEP lets gensets run pending permit / consent order)</t>
  </si>
  <si>
    <t xml:space="preserve">No physical impact; T1-T4 bill; risk shifts to permit conditions and Bloom timing (T5-T9)</t>
  </si>
  <si>
    <t xml:space="preserve">Derived (inputs partly Estimated)</t>
  </si>
  <si>
    <t xml:space="preserve">Floodlight Oct 1: DEP allows operation during 45 days; DataOne says it will apply</t>
  </si>
  <si>
    <t xml:space="preserve">2a. Partial: gensets capped at assumed % (consent-order cap) until Bloom/grid</t>
  </si>
  <si>
    <t xml:space="preserve">T1-T4 partly (~half of genset-fed load); SLA credits likely</t>
  </si>
  <si>
    <t xml:space="preserve">Curtail % is Estimated (Inputs!B20); 2-month duration assumed</t>
  </si>
  <si>
    <t xml:space="preserve">2b. Partial: curtailed to a minor-source (25 tpy NOx) "permitted" level until Bloom/grid</t>
  </si>
  <si>
    <t xml:space="preserve">T1-T4 almost fully (only ~1 engine-equivalent allowed)</t>
  </si>
  <si>
    <t xml:space="preserve">Shows that a literal "permitted level" ≈ full shutdown</t>
  </si>
  <si>
    <t xml:space="preserve">3a. Full shutdown of genset-fed load, 1 month</t>
  </si>
  <si>
    <t xml:space="preserve">T1-T4 (all delivered tranches except ~4 MW IT on grid); possible SLA/termination rights</t>
  </si>
  <si>
    <t xml:space="preserve">Bloom/grid restores within 1 month</t>
  </si>
  <si>
    <t xml:space="preserve">3b. Full shutdown, 2 months</t>
  </si>
  <si>
    <t xml:space="preserve">T1-T4; T5-T6 start likely slips</t>
  </si>
  <si>
    <t xml:space="preserve">3c. Full shutdown, 3 months</t>
  </si>
  <si>
    <t xml:space="preserve">T1-T4; T5-T9 schedule at risk</t>
  </si>
  <si>
    <t xml:space="preserve">Probability-weighted (Estimated weights)</t>
  </si>
  <si>
    <t xml:space="preserve">Formulas: MW offline x $14.49M/MW IT/yr x days/365. Q4 days = MIN(end, 2026-12-31) - start + 1; FY27 days = total - Q4 days. Outage end = EDATE(start, months) - 1.</t>
  </si>
  <si>
    <t xml:space="preserve">Revenue at risk assumes Microsoft does not pay for undelivered capacity (take-or-pay applies to delivered capacity; SLA credits / termination rights per 20-F not quantified). Not modelled: penalty ($1.07M, DataOne-level), economic-benefit penalty, Bloom-delay knock-on to T5-T9.</t>
  </si>
  <si>
    <t xml:space="preserve">Context: team base Q4'26 Vineland energized avg 81.8 MW IT -&gt; Q4'26 Vineland revenue ≈ 81.8 x 14.49/4 = $296M (Derived; restated Oct 9 from $237M at retired $11.6M gross rate).</t>
  </si>
  <si>
    <t xml:space="preserve">Item</t>
  </si>
  <si>
    <t xml:space="preserve">Finding</t>
  </si>
  <si>
    <t xml:space="preserve">URL</t>
  </si>
  <si>
    <t xml:space="preserve">Date</t>
  </si>
  <si>
    <t xml:space="preserve">Confidence</t>
  </si>
  <si>
    <t xml:space="preserve">NJDEP order</t>
  </si>
  <si>
    <t xml:space="preserve">AONOCAPA dated Sep 22 2026; 62 unpermitted CAT G3516H; $1,072,000; 45 days from receipt to submit and obtain permits/certificates or cease</t>
  </si>
  <si>
    <t xml:space="preserve">https://dep.nj.gov/wp-content/uploads/newsrel/2026/dataone75894-aonocapa.pdf (Incapsula-blocked; text via search snippets) ; https://www.nj.gov/governor/news/2026/20260922a.shtml</t>
  </si>
  <si>
    <t xml:space="preserve">High</t>
  </si>
  <si>
    <t xml:space="preserve">Receipt date</t>
  </si>
  <si>
    <t xml:space="preserve">Not disclosed</t>
  </si>
  <si>
    <t xml:space="preserve">45-day deadline</t>
  </si>
  <si>
    <t xml:space="preserve">Nov 6 2026 (receipt Sep 22) to ~Nov 9 (receipt Sep 25); before Nebius Q3 report Nov 10</t>
  </si>
  <si>
    <t xml:space="preserve">Medium</t>
  </si>
  <si>
    <t xml:space="preserve">DataOne response</t>
  </si>
  <si>
    <t xml:space="preserve">"we will apply for the air permits for the temporary generators"</t>
  </si>
  <si>
    <t xml:space="preserve">https://whyy.org/articles/vineland-data-center-fined/</t>
  </si>
  <si>
    <t xml:space="preserve">DEP lets gensets run in window; genset ramp 16 (Oct-25) -&gt; 32 (Feb-26) -&gt; 62 (Jun-26); &gt;46,000 run-hours; ~140 t NOx</t>
  </si>
  <si>
    <t xml:space="preserve">Medium-High</t>
  </si>
  <si>
    <t xml:space="preserve">Air-permit public notice/comment</t>
  </si>
  <si>
    <t xml:space="preserve">None found for gensets or Bloom; earlier Bergen-engine application withdrawn May 27 2026; NJDEP BOSS public-notice page bot-blocked</t>
  </si>
  <si>
    <t xml:space="preserve">Reported (absence)</t>
  </si>
  <si>
    <t xml:space="preserve">https://dep.nj.gov/boss/public-notices/</t>
  </si>
  <si>
    <t xml:space="preserve">2026-10-04</t>
  </si>
  <si>
    <t xml:space="preserve">Bloom energized</t>
  </si>
  <si>
    <t xml:space="preserve">No evidence; stop-construction order Aug 10 2026; no public record of lift; S2 10 m / Landsat 100 m cannot resolve units</t>
  </si>
  <si>
    <t xml:space="preserve">https://hntrbrk.com/breaking-news/vineland</t>
  </si>
  <si>
    <t xml:space="preserve">2026-08-13</t>
  </si>
  <si>
    <t xml:space="preserve">Planning Board</t>
  </si>
  <si>
    <t xml:space="preserve">Next meeting Oct 14 2026 6:30pm; agenda not posted as of Oct 4; latest minutes posted Aug 12 (no DataOne item)</t>
  </si>
  <si>
    <t xml:space="preserve">https://www.vinelandcity.org/event/planning-board-meeting-60/</t>
  </si>
  <si>
    <t xml:space="preserve">City Council</t>
  </si>
  <si>
    <t xml:space="preserve">Oct 13 2026 agenda: no DataOne/data-center/Bloom items; Oct 27 no files yet</t>
  </si>
  <si>
    <t xml:space="preserve">https://vinelandnj.api.civicclerk.com/v1/Events</t>
  </si>
  <si>
    <t xml:space="preserve">Tranche dates</t>
  </si>
  <si>
    <t xml:space="preserve">T1 Nov-25, T2 Feb-26 (20-F); two tranches in month before Aug 12 2026 (Q2 letter) -&gt; Jul-Aug, not June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</si>
</sst>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1"/>
    <col collapsed="false" customWidth="true" hidden="false" outlineLevel="0" max="6" min="5" style="1" width="7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1" t="s">
        <v>7</v>
      </c>
      <c r="B2" s="3" t="n">
        <v>46287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5" hidden="false" customHeight="true" outlineLevel="0" collapsed="false">
      <c r="A3" s="1" t="s">
        <v>13</v>
      </c>
      <c r="B3" s="4" t="n">
        <v>46287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12</v>
      </c>
    </row>
    <row r="4" customFormat="false" ht="15" hidden="false" customHeight="true" outlineLevel="0" collapsed="false">
      <c r="A4" s="1" t="s">
        <v>17</v>
      </c>
      <c r="B4" s="3" t="n">
        <f aca="false">$B$3+45</f>
        <v>46332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21</v>
      </c>
    </row>
    <row r="5" customFormat="false" ht="15" hidden="false" customHeight="true" outlineLevel="0" collapsed="false">
      <c r="A5" s="1" t="s">
        <v>22</v>
      </c>
      <c r="B5" s="3" t="n">
        <f aca="false">$B$3+20</f>
        <v>46307</v>
      </c>
      <c r="C5" s="1" t="s">
        <v>8</v>
      </c>
      <c r="D5" s="1" t="s">
        <v>18</v>
      </c>
      <c r="E5" s="1" t="s">
        <v>23</v>
      </c>
      <c r="F5" s="1" t="s">
        <v>20</v>
      </c>
      <c r="G5" s="1" t="s">
        <v>21</v>
      </c>
    </row>
    <row r="6" customFormat="false" ht="15" hidden="false" customHeight="true" outlineLevel="0" collapsed="false">
      <c r="A6" s="1" t="s">
        <v>24</v>
      </c>
      <c r="B6" s="3" t="n">
        <f aca="false">$B$4+1</f>
        <v>46333</v>
      </c>
      <c r="C6" s="1" t="s">
        <v>8</v>
      </c>
      <c r="D6" s="1" t="s">
        <v>18</v>
      </c>
      <c r="E6" s="1" t="s">
        <v>25</v>
      </c>
      <c r="F6" s="1" t="s">
        <v>26</v>
      </c>
      <c r="G6" s="1" t="s">
        <v>26</v>
      </c>
    </row>
    <row r="7" customFormat="false" ht="15" hidden="false" customHeight="true" outlineLevel="0" collapsed="false">
      <c r="A7" s="1" t="s">
        <v>27</v>
      </c>
      <c r="B7" s="1" t="n">
        <v>1072000</v>
      </c>
      <c r="C7" s="1" t="s">
        <v>28</v>
      </c>
      <c r="D7" s="1" t="s">
        <v>9</v>
      </c>
      <c r="E7" s="1" t="s">
        <v>29</v>
      </c>
      <c r="F7" s="1" t="s">
        <v>30</v>
      </c>
      <c r="G7" s="1" t="s">
        <v>12</v>
      </c>
    </row>
    <row r="8" customFormat="false" ht="15" hidden="false" customHeight="true" outlineLevel="0" collapsed="false">
      <c r="A8" s="1" t="s">
        <v>31</v>
      </c>
      <c r="B8" s="1" t="n">
        <v>62</v>
      </c>
      <c r="C8" s="1" t="s">
        <v>32</v>
      </c>
      <c r="D8" s="1" t="s">
        <v>9</v>
      </c>
      <c r="E8" s="1" t="s">
        <v>33</v>
      </c>
      <c r="F8" s="1" t="s">
        <v>20</v>
      </c>
      <c r="G8" s="1" t="s">
        <v>21</v>
      </c>
    </row>
    <row r="9" customFormat="false" ht="15" hidden="false" customHeight="true" outlineLevel="0" collapsed="false">
      <c r="A9" s="1" t="s">
        <v>34</v>
      </c>
      <c r="B9" s="1" t="n">
        <v>1982</v>
      </c>
      <c r="C9" s="1" t="s">
        <v>35</v>
      </c>
      <c r="D9" s="1" t="s">
        <v>9</v>
      </c>
      <c r="E9" s="1" t="s">
        <v>36</v>
      </c>
      <c r="F9" s="1" t="s">
        <v>20</v>
      </c>
      <c r="G9" s="1" t="s">
        <v>21</v>
      </c>
    </row>
    <row r="10" customFormat="false" ht="15" hidden="false" customHeight="true" outlineLevel="0" collapsed="false">
      <c r="A10" s="1" t="s">
        <v>37</v>
      </c>
      <c r="B10" s="1" t="n">
        <f aca="false">$B$8*$B$9/1000</f>
        <v>122.884</v>
      </c>
      <c r="C10" s="1" t="s">
        <v>38</v>
      </c>
      <c r="D10" s="1" t="s">
        <v>18</v>
      </c>
      <c r="E10" s="1" t="s">
        <v>39</v>
      </c>
      <c r="F10" s="1" t="s">
        <v>26</v>
      </c>
      <c r="G10" s="1" t="s">
        <v>26</v>
      </c>
    </row>
    <row r="11" customFormat="false" ht="15" hidden="false" customHeight="true" outlineLevel="0" collapsed="false">
      <c r="A11" s="1" t="s">
        <v>40</v>
      </c>
      <c r="B11" s="5" t="n">
        <v>1.2</v>
      </c>
      <c r="C11" s="1" t="s">
        <v>41</v>
      </c>
      <c r="D11" s="1" t="s">
        <v>14</v>
      </c>
      <c r="E11" s="1" t="s">
        <v>42</v>
      </c>
      <c r="F11" s="1" t="s">
        <v>43</v>
      </c>
      <c r="G11" s="1" t="s">
        <v>44</v>
      </c>
    </row>
    <row r="12" customFormat="false" ht="15" hidden="false" customHeight="true" outlineLevel="0" collapsed="false">
      <c r="A12" s="1" t="s">
        <v>45</v>
      </c>
      <c r="B12" s="5" t="n">
        <v>5</v>
      </c>
      <c r="C12" s="1" t="s">
        <v>38</v>
      </c>
      <c r="D12" s="1" t="s">
        <v>14</v>
      </c>
      <c r="E12" s="1" t="s">
        <v>46</v>
      </c>
      <c r="F12" s="1" t="s">
        <v>43</v>
      </c>
      <c r="G12" s="1" t="s">
        <v>44</v>
      </c>
    </row>
    <row r="13" customFormat="false" ht="15" hidden="false" customHeight="true" outlineLevel="0" collapsed="false">
      <c r="A13" s="1" t="s">
        <v>47</v>
      </c>
      <c r="B13" s="5" t="n">
        <v>107</v>
      </c>
      <c r="C13" s="1" t="s">
        <v>48</v>
      </c>
      <c r="D13" s="1" t="s">
        <v>14</v>
      </c>
      <c r="E13" s="1" t="s">
        <v>49</v>
      </c>
      <c r="F13" s="1" t="s">
        <v>43</v>
      </c>
      <c r="G13" s="1" t="s">
        <v>44</v>
      </c>
    </row>
    <row r="14" customFormat="false" ht="15" hidden="false" customHeight="true" outlineLevel="0" collapsed="false">
      <c r="A14" s="1" t="s">
        <v>50</v>
      </c>
      <c r="B14" s="5" t="n">
        <f aca="false">MIN($B$13,4*$B$17)</f>
        <v>106.666666666667</v>
      </c>
      <c r="C14" s="1" t="s">
        <v>48</v>
      </c>
      <c r="D14" s="1" t="s">
        <v>14</v>
      </c>
      <c r="E14" s="1" t="s">
        <v>51</v>
      </c>
      <c r="F14" s="1" t="s">
        <v>52</v>
      </c>
      <c r="G14" s="1" t="s">
        <v>53</v>
      </c>
    </row>
    <row r="15" customFormat="false" ht="15" hidden="false" customHeight="true" outlineLevel="0" collapsed="false">
      <c r="A15" s="1" t="s">
        <v>54</v>
      </c>
      <c r="B15" s="1" t="n">
        <f aca="false">$B$12/$B$11</f>
        <v>4.16666666666667</v>
      </c>
      <c r="C15" s="1" t="s">
        <v>48</v>
      </c>
      <c r="D15" s="1" t="s">
        <v>18</v>
      </c>
      <c r="E15" s="1" t="s">
        <v>55</v>
      </c>
      <c r="F15" s="1" t="s">
        <v>26</v>
      </c>
      <c r="G15" s="1" t="s">
        <v>26</v>
      </c>
    </row>
    <row r="16" customFormat="false" ht="15" hidden="false" customHeight="true" outlineLevel="0" collapsed="false">
      <c r="A16" s="1" t="s">
        <v>56</v>
      </c>
      <c r="B16" s="1" t="n">
        <f aca="false">MAX(0,$B$14-$B$15)</f>
        <v>102.5</v>
      </c>
      <c r="C16" s="1" t="s">
        <v>48</v>
      </c>
      <c r="D16" s="1" t="s">
        <v>18</v>
      </c>
      <c r="E16" s="1" t="s">
        <v>57</v>
      </c>
      <c r="F16" s="1" t="s">
        <v>26</v>
      </c>
      <c r="G16" s="1" t="s">
        <v>26</v>
      </c>
    </row>
    <row r="17" customFormat="false" ht="15" hidden="false" customHeight="true" outlineLevel="0" collapsed="false">
      <c r="A17" s="1" t="s">
        <v>58</v>
      </c>
      <c r="B17" s="5" t="n">
        <f aca="false">240/9</f>
        <v>26.6666666666667</v>
      </c>
      <c r="C17" s="1" t="s">
        <v>48</v>
      </c>
      <c r="D17" s="1" t="s">
        <v>14</v>
      </c>
      <c r="E17" s="1" t="s">
        <v>59</v>
      </c>
      <c r="F17" s="1" t="s">
        <v>60</v>
      </c>
      <c r="G17" s="1" t="s">
        <v>44</v>
      </c>
    </row>
    <row r="18" customFormat="false" ht="15" hidden="false" customHeight="true" outlineLevel="0" collapsed="false">
      <c r="A18" s="1" t="s">
        <v>61</v>
      </c>
      <c r="B18" s="5" t="n">
        <v>14.49</v>
      </c>
      <c r="C18" s="1" t="s">
        <v>62</v>
      </c>
      <c r="D18" s="1" t="s">
        <v>14</v>
      </c>
      <c r="E18" s="1" t="s">
        <v>63</v>
      </c>
      <c r="F18" s="1" t="s">
        <v>64</v>
      </c>
      <c r="G18" s="1" t="s">
        <v>65</v>
      </c>
    </row>
    <row r="19" customFormat="false" ht="15" hidden="false" customHeight="true" outlineLevel="0" collapsed="false">
      <c r="A19" s="1" t="s">
        <v>66</v>
      </c>
      <c r="B19" s="1" t="n">
        <f aca="false">17392.9/5/240</f>
        <v>14.4940833333333</v>
      </c>
      <c r="C19" s="1" t="s">
        <v>62</v>
      </c>
      <c r="D19" s="1" t="s">
        <v>18</v>
      </c>
      <c r="E19" s="1" t="s">
        <v>67</v>
      </c>
      <c r="F19" s="1" t="s">
        <v>60</v>
      </c>
      <c r="G19" s="1" t="s">
        <v>44</v>
      </c>
    </row>
    <row r="20" customFormat="false" ht="15" hidden="false" customHeight="true" outlineLevel="0" collapsed="false">
      <c r="A20" s="1" t="s">
        <v>68</v>
      </c>
      <c r="B20" s="1" t="n">
        <f aca="false">$B$18*1000000/8760</f>
        <v>1654.1095890411</v>
      </c>
      <c r="C20" s="1" t="s">
        <v>69</v>
      </c>
      <c r="D20" s="1" t="s">
        <v>18</v>
      </c>
      <c r="E20" s="1" t="s">
        <v>70</v>
      </c>
      <c r="F20" s="1" t="s">
        <v>26</v>
      </c>
      <c r="G20" s="1" t="s">
        <v>26</v>
      </c>
    </row>
    <row r="21" customFormat="false" ht="15" hidden="false" customHeight="true" outlineLevel="0" collapsed="false">
      <c r="A21" s="1" t="s">
        <v>71</v>
      </c>
      <c r="B21" s="5" t="n">
        <v>0.5</v>
      </c>
      <c r="C21" s="1" t="s">
        <v>72</v>
      </c>
      <c r="D21" s="1" t="s">
        <v>14</v>
      </c>
      <c r="E21" s="1" t="s">
        <v>73</v>
      </c>
      <c r="F21" s="1" t="s">
        <v>26</v>
      </c>
      <c r="G21" s="1" t="s">
        <v>26</v>
      </c>
    </row>
    <row r="22" customFormat="false" ht="15" hidden="false" customHeight="true" outlineLevel="0" collapsed="false">
      <c r="A22" s="1" t="s">
        <v>74</v>
      </c>
      <c r="B22" s="1" t="n">
        <v>140</v>
      </c>
      <c r="C22" s="1" t="s">
        <v>75</v>
      </c>
      <c r="D22" s="1" t="s">
        <v>9</v>
      </c>
      <c r="E22" s="1" t="s">
        <v>76</v>
      </c>
      <c r="F22" s="1" t="s">
        <v>77</v>
      </c>
      <c r="G22" s="1" t="s">
        <v>78</v>
      </c>
    </row>
    <row r="23" customFormat="false" ht="15" hidden="false" customHeight="true" outlineLevel="0" collapsed="false">
      <c r="A23" s="1" t="s">
        <v>79</v>
      </c>
      <c r="B23" s="1" t="n">
        <v>46000</v>
      </c>
      <c r="C23" s="1" t="s">
        <v>80</v>
      </c>
      <c r="D23" s="1" t="s">
        <v>9</v>
      </c>
      <c r="E23" s="1" t="s">
        <v>81</v>
      </c>
      <c r="F23" s="1" t="s">
        <v>77</v>
      </c>
      <c r="G23" s="1" t="s">
        <v>78</v>
      </c>
    </row>
    <row r="24" customFormat="false" ht="15" hidden="false" customHeight="true" outlineLevel="0" collapsed="false">
      <c r="A24" s="1" t="s">
        <v>82</v>
      </c>
      <c r="B24" s="1" t="n">
        <f aca="false">$B$22*2000/$B$23</f>
        <v>6.08695652173913</v>
      </c>
      <c r="C24" s="1" t="s">
        <v>83</v>
      </c>
      <c r="D24" s="1" t="s">
        <v>18</v>
      </c>
      <c r="E24" s="1" t="s">
        <v>84</v>
      </c>
      <c r="F24" s="1" t="s">
        <v>26</v>
      </c>
      <c r="G24" s="1" t="s">
        <v>26</v>
      </c>
    </row>
    <row r="25" customFormat="false" ht="15" hidden="false" customHeight="true" outlineLevel="0" collapsed="false">
      <c r="A25" s="1" t="s">
        <v>85</v>
      </c>
      <c r="B25" s="1" t="n">
        <v>25</v>
      </c>
      <c r="C25" s="1" t="s">
        <v>86</v>
      </c>
      <c r="D25" s="1" t="s">
        <v>9</v>
      </c>
      <c r="E25" s="1" t="s">
        <v>87</v>
      </c>
      <c r="F25" s="1" t="s">
        <v>77</v>
      </c>
      <c r="G25" s="1" t="s">
        <v>78</v>
      </c>
    </row>
    <row r="26" customFormat="false" ht="15" hidden="false" customHeight="true" outlineLevel="0" collapsed="false">
      <c r="A26" s="1" t="s">
        <v>88</v>
      </c>
      <c r="B26" s="1" t="n">
        <f aca="false">$B$25*2000/$B$24/8760</f>
        <v>0.937703848662753</v>
      </c>
      <c r="C26" s="1" t="s">
        <v>89</v>
      </c>
      <c r="D26" s="1" t="s">
        <v>18</v>
      </c>
      <c r="E26" s="1" t="s">
        <v>90</v>
      </c>
      <c r="F26" s="1" t="s">
        <v>26</v>
      </c>
      <c r="G26" s="1" t="s">
        <v>26</v>
      </c>
    </row>
    <row r="27" customFormat="false" ht="15" hidden="false" customHeight="true" outlineLevel="0" collapsed="false">
      <c r="A27" s="1" t="s">
        <v>91</v>
      </c>
      <c r="B27" s="1" t="n">
        <f aca="false">$B$26*$B$9/1000/$B$11</f>
        <v>1.54877419004131</v>
      </c>
      <c r="C27" s="1" t="s">
        <v>48</v>
      </c>
      <c r="D27" s="1" t="s">
        <v>18</v>
      </c>
      <c r="E27" s="1" t="s">
        <v>92</v>
      </c>
      <c r="F27" s="1" t="s">
        <v>26</v>
      </c>
      <c r="G27" s="1" t="s">
        <v>26</v>
      </c>
    </row>
    <row r="28" customFormat="false" ht="15" hidden="false" customHeight="true" outlineLevel="0" collapsed="false">
      <c r="A28" s="1" t="s">
        <v>93</v>
      </c>
      <c r="B28" s="3" t="n">
        <v>46387</v>
      </c>
      <c r="C28" s="1" t="s">
        <v>8</v>
      </c>
      <c r="D28" s="1" t="s">
        <v>9</v>
      </c>
      <c r="E28" s="1" t="s">
        <v>94</v>
      </c>
      <c r="F28" s="1" t="s">
        <v>26</v>
      </c>
      <c r="G28" s="1" t="s">
        <v>26</v>
      </c>
    </row>
    <row r="29" customFormat="false" ht="15" hidden="false" customHeight="true" outlineLevel="0" collapsed="false">
      <c r="A29" s="1" t="s">
        <v>95</v>
      </c>
      <c r="B29" s="3" t="n">
        <v>46477</v>
      </c>
      <c r="C29" s="1" t="s">
        <v>8</v>
      </c>
      <c r="D29" s="1" t="s">
        <v>9</v>
      </c>
      <c r="E29" s="1" t="s">
        <v>26</v>
      </c>
      <c r="F29" s="1" t="s">
        <v>26</v>
      </c>
      <c r="G29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1"/>
    <col collapsed="false" customWidth="true" hidden="false" outlineLevel="0" max="8" min="6" style="1" width="9"/>
    <col collapsed="false" customWidth="true" hidden="false" outlineLevel="0" max="11" min="9" style="1" width="11"/>
    <col collapsed="false" customWidth="true" hidden="false" outlineLevel="0" max="12" min="12" style="1" width="10"/>
    <col collapsed="false" customWidth="true" hidden="false" outlineLevel="0" max="13" min="13" style="1" width="13"/>
    <col collapsed="false" customWidth="true" hidden="false" outlineLevel="0" max="14" min="14" style="1" width="55"/>
    <col collapsed="false" customWidth="true" hidden="false" outlineLevel="0" max="15" min="15" style="1" width="9"/>
    <col collapsed="false" customWidth="true" hidden="false" outlineLevel="0" max="16" min="16" style="1" width="22"/>
    <col collapsed="false" customWidth="true" hidden="false" outlineLevel="0" max="17" min="17" style="1" width="55"/>
  </cols>
  <sheetData>
    <row r="1" customFormat="false" ht="41.25" hidden="false" customHeight="true" outlineLevel="0" collapsed="false">
      <c r="A1" s="6" t="s">
        <v>96</v>
      </c>
      <c r="B1" s="6" t="s">
        <v>97</v>
      </c>
      <c r="C1" s="6" t="s">
        <v>98</v>
      </c>
      <c r="D1" s="6" t="s">
        <v>99</v>
      </c>
      <c r="E1" s="6" t="s">
        <v>100</v>
      </c>
      <c r="F1" s="6" t="s">
        <v>101</v>
      </c>
      <c r="G1" s="6" t="s">
        <v>102</v>
      </c>
      <c r="H1" s="6" t="s">
        <v>103</v>
      </c>
      <c r="I1" s="6" t="s">
        <v>104</v>
      </c>
      <c r="J1" s="6" t="s">
        <v>105</v>
      </c>
      <c r="K1" s="6" t="s">
        <v>106</v>
      </c>
      <c r="L1" s="6" t="s">
        <v>107</v>
      </c>
      <c r="M1" s="6" t="s">
        <v>108</v>
      </c>
      <c r="N1" s="6" t="s">
        <v>109</v>
      </c>
      <c r="O1" s="6" t="s">
        <v>110</v>
      </c>
      <c r="P1" s="6" t="s">
        <v>3</v>
      </c>
      <c r="Q1" s="6" t="s">
        <v>111</v>
      </c>
    </row>
    <row r="2" customFormat="false" ht="15" hidden="false" customHeight="true" outlineLevel="0" collapsed="false">
      <c r="A2" s="1" t="s">
        <v>112</v>
      </c>
      <c r="B2" s="7" t="n">
        <f aca="false">0</f>
        <v>0</v>
      </c>
      <c r="C2" s="1" t="n">
        <v>0</v>
      </c>
      <c r="D2" s="3" t="n">
        <f aca="false">Inputs!$B$6</f>
        <v>46333</v>
      </c>
      <c r="E2" s="3" t="n">
        <f aca="false">IF(C2=0,D2,EDATE(D2,C2)-1)</f>
        <v>46333</v>
      </c>
      <c r="F2" s="1" t="n">
        <f aca="false">IF(C2=0,0,E2-D2+1)</f>
        <v>0</v>
      </c>
      <c r="G2" s="1" t="n">
        <f aca="false">IF(C2=0,0,MIN(E2,Inputs!$B$28)-D2+1)</f>
        <v>0</v>
      </c>
      <c r="H2" s="1" t="n">
        <f aca="false">F2-G2</f>
        <v>0</v>
      </c>
      <c r="I2" s="7" t="n">
        <f aca="false">B2*Inputs!$B$18*G2/365</f>
        <v>0</v>
      </c>
      <c r="J2" s="7" t="n">
        <f aca="false">I2</f>
        <v>0</v>
      </c>
      <c r="K2" s="7" t="n">
        <f aca="false">B2*Inputs!$B$18*H2/365</f>
        <v>0</v>
      </c>
      <c r="L2" s="7" t="n">
        <f aca="false">J2+K2</f>
        <v>0</v>
      </c>
      <c r="M2" s="7" t="n">
        <f aca="false">B2*Inputs!$B$19*F2/365</f>
        <v>0</v>
      </c>
      <c r="N2" s="1" t="s">
        <v>113</v>
      </c>
      <c r="O2" s="8" t="n">
        <v>0.55</v>
      </c>
      <c r="P2" s="1" t="s">
        <v>114</v>
      </c>
      <c r="Q2" s="1" t="s">
        <v>115</v>
      </c>
    </row>
    <row r="3" customFormat="false" ht="15" hidden="false" customHeight="true" outlineLevel="0" collapsed="false">
      <c r="A3" s="1" t="s">
        <v>116</v>
      </c>
      <c r="B3" s="7" t="n">
        <f aca="false">Inputs!$B$16*Inputs!$B$21</f>
        <v>51.25</v>
      </c>
      <c r="C3" s="1" t="n">
        <v>2</v>
      </c>
      <c r="D3" s="3" t="n">
        <f aca="false">Inputs!$B$6</f>
        <v>46333</v>
      </c>
      <c r="E3" s="3" t="n">
        <f aca="false">IF(C3=0,D3,EDATE(D3,C3)-1)</f>
        <v>46393</v>
      </c>
      <c r="F3" s="1" t="n">
        <f aca="false">IF(C3=0,0,E3-D3+1)</f>
        <v>61</v>
      </c>
      <c r="G3" s="1" t="n">
        <f aca="false">IF(C3=0,0,MIN(E3,Inputs!$B$28)-D3+1)</f>
        <v>55</v>
      </c>
      <c r="H3" s="1" t="n">
        <f aca="false">F3-G3</f>
        <v>6</v>
      </c>
      <c r="I3" s="7" t="n">
        <f aca="false">B3*Inputs!$B$18*G3/365</f>
        <v>111.90051369863</v>
      </c>
      <c r="J3" s="7" t="n">
        <f aca="false">I3</f>
        <v>111.90051369863</v>
      </c>
      <c r="K3" s="7" t="n">
        <f aca="false">B3*Inputs!$B$18*H3/365</f>
        <v>12.2073287671233</v>
      </c>
      <c r="L3" s="7" t="n">
        <f aca="false">J3+K3</f>
        <v>124.107842465753</v>
      </c>
      <c r="M3" s="7" t="n">
        <f aca="false">B3*Inputs!$B$19*F3/365</f>
        <v>124.142816495434</v>
      </c>
      <c r="N3" s="1" t="s">
        <v>117</v>
      </c>
      <c r="O3" s="8" t="n">
        <v>0.2</v>
      </c>
      <c r="P3" s="1" t="s">
        <v>114</v>
      </c>
      <c r="Q3" s="1" t="s">
        <v>118</v>
      </c>
    </row>
    <row r="4" customFormat="false" ht="15" hidden="false" customHeight="true" outlineLevel="0" collapsed="false">
      <c r="A4" s="1" t="s">
        <v>119</v>
      </c>
      <c r="B4" s="7" t="n">
        <f aca="false">MAX(0,Inputs!$B$16-Inputs!$B$27)</f>
        <v>100.951225809959</v>
      </c>
      <c r="C4" s="1" t="n">
        <v>2</v>
      </c>
      <c r="D4" s="3" t="n">
        <f aca="false">Inputs!$B$6</f>
        <v>46333</v>
      </c>
      <c r="E4" s="3" t="n">
        <f aca="false">IF(C4=0,D4,EDATE(D4,C4)-1)</f>
        <v>46393</v>
      </c>
      <c r="F4" s="1" t="n">
        <f aca="false">IF(C4=0,0,E4-D4+1)</f>
        <v>61</v>
      </c>
      <c r="G4" s="1" t="n">
        <f aca="false">IF(C4=0,0,MIN(E4,Inputs!$B$28)-D4+1)</f>
        <v>55</v>
      </c>
      <c r="H4" s="1" t="n">
        <f aca="false">F4-G4</f>
        <v>6</v>
      </c>
      <c r="I4" s="7" t="n">
        <f aca="false">B4*Inputs!$B$18*G4/365</f>
        <v>220.419395641771</v>
      </c>
      <c r="J4" s="7" t="n">
        <f aca="false">I4</f>
        <v>220.419395641771</v>
      </c>
      <c r="K4" s="7" t="n">
        <f aca="false">B4*Inputs!$B$18*H4/365</f>
        <v>24.0457522518296</v>
      </c>
      <c r="L4" s="7" t="n">
        <f aca="false">J4+K4</f>
        <v>244.465147893601</v>
      </c>
      <c r="M4" s="7" t="n">
        <f aca="false">B4*Inputs!$B$19*F4/365</f>
        <v>244.534039038338</v>
      </c>
      <c r="N4" s="1" t="s">
        <v>120</v>
      </c>
      <c r="O4" s="8" t="n">
        <v>0.05</v>
      </c>
      <c r="P4" s="1" t="s">
        <v>114</v>
      </c>
      <c r="Q4" s="1" t="s">
        <v>121</v>
      </c>
    </row>
    <row r="5" customFormat="false" ht="15" hidden="false" customHeight="true" outlineLevel="0" collapsed="false">
      <c r="A5" s="1" t="s">
        <v>122</v>
      </c>
      <c r="B5" s="7" t="n">
        <f aca="false">Inputs!$B$16</f>
        <v>102.5</v>
      </c>
      <c r="C5" s="1" t="n">
        <v>1</v>
      </c>
      <c r="D5" s="3" t="n">
        <f aca="false">Inputs!$B$6</f>
        <v>46333</v>
      </c>
      <c r="E5" s="3" t="n">
        <f aca="false">IF(C5=0,D5,EDATE(D5,C5)-1)</f>
        <v>46362</v>
      </c>
      <c r="F5" s="1" t="n">
        <f aca="false">IF(C5=0,0,E5-D5+1)</f>
        <v>30</v>
      </c>
      <c r="G5" s="1" t="n">
        <f aca="false">IF(C5=0,0,MIN(E5,Inputs!$B$28)-D5+1)</f>
        <v>30</v>
      </c>
      <c r="H5" s="1" t="n">
        <f aca="false">F5-G5</f>
        <v>0</v>
      </c>
      <c r="I5" s="7" t="n">
        <f aca="false">B5*Inputs!$B$18*G5/365</f>
        <v>122.073287671233</v>
      </c>
      <c r="J5" s="7" t="n">
        <f aca="false">I5</f>
        <v>122.073287671233</v>
      </c>
      <c r="K5" s="7" t="n">
        <f aca="false">B5*Inputs!$B$18*H5/365</f>
        <v>0</v>
      </c>
      <c r="L5" s="7" t="n">
        <f aca="false">J5+K5</f>
        <v>122.073287671233</v>
      </c>
      <c r="M5" s="7" t="n">
        <f aca="false">B5*Inputs!$B$19*F5/365</f>
        <v>122.107688356164</v>
      </c>
      <c r="N5" s="1" t="s">
        <v>123</v>
      </c>
      <c r="O5" s="8" t="n">
        <v>0.1</v>
      </c>
      <c r="P5" s="1" t="s">
        <v>114</v>
      </c>
      <c r="Q5" s="1" t="s">
        <v>124</v>
      </c>
    </row>
    <row r="6" customFormat="false" ht="15" hidden="false" customHeight="true" outlineLevel="0" collapsed="false">
      <c r="A6" s="1" t="s">
        <v>125</v>
      </c>
      <c r="B6" s="7" t="n">
        <f aca="false">Inputs!$B$16</f>
        <v>102.5</v>
      </c>
      <c r="C6" s="1" t="n">
        <v>2</v>
      </c>
      <c r="D6" s="3" t="n">
        <f aca="false">Inputs!$B$6</f>
        <v>46333</v>
      </c>
      <c r="E6" s="3" t="n">
        <f aca="false">IF(C6=0,D6,EDATE(D6,C6)-1)</f>
        <v>46393</v>
      </c>
      <c r="F6" s="1" t="n">
        <f aca="false">IF(C6=0,0,E6-D6+1)</f>
        <v>61</v>
      </c>
      <c r="G6" s="1" t="n">
        <f aca="false">IF(C6=0,0,MIN(E6,Inputs!$B$28)-D6+1)</f>
        <v>55</v>
      </c>
      <c r="H6" s="1" t="n">
        <f aca="false">F6-G6</f>
        <v>6</v>
      </c>
      <c r="I6" s="7" t="n">
        <f aca="false">B6*Inputs!$B$18*G6/365</f>
        <v>223.80102739726</v>
      </c>
      <c r="J6" s="7" t="n">
        <f aca="false">I6</f>
        <v>223.80102739726</v>
      </c>
      <c r="K6" s="7" t="n">
        <f aca="false">B6*Inputs!$B$18*H6/365</f>
        <v>24.4146575342466</v>
      </c>
      <c r="L6" s="7" t="n">
        <f aca="false">J6+K6</f>
        <v>248.215684931507</v>
      </c>
      <c r="M6" s="7" t="n">
        <f aca="false">B6*Inputs!$B$19*F6/365</f>
        <v>248.285632990868</v>
      </c>
      <c r="N6" s="1" t="s">
        <v>126</v>
      </c>
      <c r="O6" s="8" t="n">
        <v>0.06</v>
      </c>
      <c r="P6" s="1" t="s">
        <v>114</v>
      </c>
    </row>
    <row r="7" customFormat="false" ht="15" hidden="false" customHeight="true" outlineLevel="0" collapsed="false">
      <c r="A7" s="1" t="s">
        <v>127</v>
      </c>
      <c r="B7" s="7" t="n">
        <f aca="false">Inputs!$B$16</f>
        <v>102.5</v>
      </c>
      <c r="C7" s="1" t="n">
        <v>3</v>
      </c>
      <c r="D7" s="3" t="n">
        <f aca="false">Inputs!$B$6</f>
        <v>46333</v>
      </c>
      <c r="E7" s="3" t="n">
        <f aca="false">IF(C7=0,D7,EDATE(D7,C7)-1)</f>
        <v>46424</v>
      </c>
      <c r="F7" s="1" t="n">
        <f aca="false">IF(C7=0,0,E7-D7+1)</f>
        <v>92</v>
      </c>
      <c r="G7" s="1" t="n">
        <f aca="false">IF(C7=0,0,MIN(E7,Inputs!$B$28)-D7+1)</f>
        <v>55</v>
      </c>
      <c r="H7" s="1" t="n">
        <f aca="false">F7-G7</f>
        <v>37</v>
      </c>
      <c r="I7" s="7" t="n">
        <f aca="false">B7*Inputs!$B$18*G7/365</f>
        <v>223.80102739726</v>
      </c>
      <c r="J7" s="7" t="n">
        <f aca="false">I7</f>
        <v>223.80102739726</v>
      </c>
      <c r="K7" s="7" t="n">
        <f aca="false">B7*Inputs!$B$18*H7/365</f>
        <v>150.557054794521</v>
      </c>
      <c r="L7" s="7" t="n">
        <f aca="false">J7+K7</f>
        <v>374.358082191781</v>
      </c>
      <c r="M7" s="7" t="n">
        <f aca="false">B7*Inputs!$B$19*F7/365</f>
        <v>374.463577625571</v>
      </c>
      <c r="N7" s="1" t="s">
        <v>128</v>
      </c>
      <c r="O7" s="8" t="n">
        <v>0.04</v>
      </c>
      <c r="P7" s="1" t="s">
        <v>114</v>
      </c>
    </row>
    <row r="8" customFormat="false" ht="15" hidden="false" customHeight="true" outlineLevel="0" collapsed="false">
      <c r="A8" s="2" t="s">
        <v>129</v>
      </c>
      <c r="I8" s="7" t="n">
        <f aca="false">SUMPRODUCT(I2:I7,$O$2:$O$7)</f>
        <v>67.9885040286639</v>
      </c>
      <c r="J8" s="7" t="n">
        <f aca="false">SUMPRODUCT(J2:J7,$O$2:$O$7)</f>
        <v>67.9885040286639</v>
      </c>
      <c r="K8" s="7" t="n">
        <f aca="false">SUMPRODUCT(K2:K7,$O$2:$O$7)</f>
        <v>11.1309150098518</v>
      </c>
      <c r="L8" s="7" t="n">
        <f aca="false">SUMPRODUCT(L2:L7,$O$2:$O$7)</f>
        <v>79.1194190385157</v>
      </c>
      <c r="O8" s="8" t="n">
        <f aca="false">SUM(O2:O7)</f>
        <v>1</v>
      </c>
    </row>
    <row r="10" customFormat="false" ht="15" hidden="false" customHeight="true" outlineLevel="0" collapsed="false">
      <c r="A10" s="9" t="s">
        <v>130</v>
      </c>
    </row>
    <row r="11" customFormat="false" ht="15" hidden="false" customHeight="true" outlineLevel="0" collapsed="false">
      <c r="A11" s="9" t="s">
        <v>131</v>
      </c>
    </row>
    <row r="12" customFormat="false" ht="15" hidden="false" customHeight="true" outlineLevel="0" collapsed="false">
      <c r="A12" s="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  <col collapsed="false" customWidth="true" hidden="false" outlineLevel="0" max="3" min="3" style="1" width="16"/>
    <col collapsed="false" customWidth="true" hidden="false" outlineLevel="0" max="4" min="4" style="1" width="90"/>
    <col collapsed="false" customWidth="true" hidden="false" outlineLevel="0" max="6" min="5" style="1" width="12"/>
  </cols>
  <sheetData>
    <row r="1" customFormat="false" ht="15" hidden="false" customHeight="true" outlineLevel="0" collapsed="false">
      <c r="A1" s="2" t="s">
        <v>133</v>
      </c>
      <c r="B1" s="2" t="s">
        <v>134</v>
      </c>
      <c r="C1" s="2" t="s">
        <v>3</v>
      </c>
      <c r="D1" s="2" t="s">
        <v>135</v>
      </c>
      <c r="E1" s="2" t="s">
        <v>136</v>
      </c>
      <c r="F1" s="2" t="s">
        <v>137</v>
      </c>
    </row>
    <row r="2" customFormat="false" ht="15" hidden="false" customHeight="true" outlineLevel="0" collapsed="false">
      <c r="A2" s="1" t="s">
        <v>138</v>
      </c>
      <c r="B2" s="1" t="s">
        <v>139</v>
      </c>
      <c r="C2" s="1" t="s">
        <v>9</v>
      </c>
      <c r="D2" s="1" t="s">
        <v>140</v>
      </c>
      <c r="E2" s="1" t="s">
        <v>12</v>
      </c>
      <c r="F2" s="1" t="s">
        <v>141</v>
      </c>
    </row>
    <row r="3" customFormat="false" ht="15" hidden="false" customHeight="true" outlineLevel="0" collapsed="false">
      <c r="A3" s="1" t="s">
        <v>142</v>
      </c>
      <c r="B3" s="1" t="s">
        <v>143</v>
      </c>
      <c r="C3" s="1" t="s">
        <v>26</v>
      </c>
      <c r="D3" s="1" t="s">
        <v>16</v>
      </c>
      <c r="E3" s="1" t="s">
        <v>12</v>
      </c>
      <c r="F3" s="1" t="s">
        <v>26</v>
      </c>
    </row>
    <row r="4" customFormat="false" ht="15" hidden="false" customHeight="true" outlineLevel="0" collapsed="false">
      <c r="A4" s="1" t="s">
        <v>144</v>
      </c>
      <c r="B4" s="1" t="s">
        <v>145</v>
      </c>
      <c r="C4" s="1" t="s">
        <v>18</v>
      </c>
      <c r="D4" s="1" t="s">
        <v>20</v>
      </c>
      <c r="E4" s="1" t="s">
        <v>21</v>
      </c>
      <c r="F4" s="1" t="s">
        <v>146</v>
      </c>
    </row>
    <row r="5" customFormat="false" ht="15" hidden="false" customHeight="true" outlineLevel="0" collapsed="false">
      <c r="A5" s="1" t="s">
        <v>147</v>
      </c>
      <c r="B5" s="1" t="s">
        <v>148</v>
      </c>
      <c r="C5" s="1" t="s">
        <v>9</v>
      </c>
      <c r="D5" s="1" t="s">
        <v>149</v>
      </c>
      <c r="E5" s="1" t="s">
        <v>21</v>
      </c>
      <c r="F5" s="1" t="s">
        <v>141</v>
      </c>
    </row>
    <row r="6" customFormat="false" ht="15" hidden="false" customHeight="true" outlineLevel="0" collapsed="false">
      <c r="A6" s="1" t="s">
        <v>150</v>
      </c>
      <c r="C6" s="1" t="s">
        <v>9</v>
      </c>
      <c r="D6" s="1" t="s">
        <v>77</v>
      </c>
      <c r="E6" s="1" t="s">
        <v>78</v>
      </c>
      <c r="F6" s="1" t="s">
        <v>151</v>
      </c>
    </row>
    <row r="7" customFormat="false" ht="15" hidden="false" customHeight="true" outlineLevel="0" collapsed="false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146</v>
      </c>
    </row>
    <row r="8" customFormat="false" ht="15" hidden="false" customHeight="true" outlineLevel="0" collapsed="false">
      <c r="A8" s="1" t="s">
        <v>157</v>
      </c>
      <c r="B8" s="1" t="s">
        <v>158</v>
      </c>
      <c r="C8" s="1" t="s">
        <v>26</v>
      </c>
      <c r="D8" s="1" t="s">
        <v>159</v>
      </c>
      <c r="E8" s="1" t="s">
        <v>160</v>
      </c>
      <c r="F8" s="1" t="s">
        <v>26</v>
      </c>
    </row>
    <row r="9" customFormat="false" ht="15" hidden="false" customHeight="true" outlineLevel="0" collapsed="false">
      <c r="A9" s="1" t="s">
        <v>161</v>
      </c>
      <c r="B9" s="1" t="s">
        <v>162</v>
      </c>
      <c r="C9" s="1" t="s">
        <v>9</v>
      </c>
      <c r="D9" s="1" t="s">
        <v>163</v>
      </c>
      <c r="E9" s="1" t="s">
        <v>156</v>
      </c>
      <c r="F9" s="1" t="s">
        <v>141</v>
      </c>
    </row>
    <row r="10" customFormat="false" ht="15" hidden="false" customHeight="true" outlineLevel="0" collapsed="false">
      <c r="A10" s="1" t="s">
        <v>164</v>
      </c>
      <c r="B10" s="1" t="s">
        <v>165</v>
      </c>
      <c r="C10" s="1" t="s">
        <v>9</v>
      </c>
      <c r="D10" s="1" t="s">
        <v>166</v>
      </c>
      <c r="E10" s="1" t="s">
        <v>156</v>
      </c>
      <c r="F10" s="1" t="s">
        <v>141</v>
      </c>
    </row>
    <row r="11" customFormat="false" ht="15" hidden="false" customHeight="true" outlineLevel="0" collapsed="false">
      <c r="A11" s="1" t="s">
        <v>167</v>
      </c>
      <c r="B11" s="1" t="s">
        <v>168</v>
      </c>
      <c r="C11" s="1" t="s">
        <v>9</v>
      </c>
      <c r="D11" s="1" t="s">
        <v>52</v>
      </c>
      <c r="E11" s="1" t="s">
        <v>53</v>
      </c>
      <c r="F11" s="1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2026-10-05T00:39:19Z</dcterms:created>
  <dc:creator>openpyxl</dc:creator>
  <dc:description/>
  <dc:language>en-US</dc:language>
  <cp:lastModifiedBy/>
  <dcterms:modified xsi:type="dcterms:W3CDTF">2026-10-09T20:37:56Z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