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1" customWidth="1" min="4" max="4"/>
    <col width="70" customWidth="1" min="5" max="5"/>
    <col width="70" customWidth="1" min="6" max="6"/>
    <col width="12" customWidth="1" min="7" max="7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Basis / formula</t>
        </is>
      </c>
      <c r="F1" s="1" t="inlineStr">
        <is>
          <t>Source URL</t>
        </is>
      </c>
      <c r="G1" s="1" t="inlineStr">
        <is>
          <t>Source date</t>
        </is>
      </c>
    </row>
    <row r="2">
      <c r="A2" t="inlineStr">
        <is>
          <t>order_date</t>
        </is>
      </c>
      <c r="B2" s="2" t="n">
        <v>46287</v>
      </c>
      <c r="C2" t="inlineStr">
        <is>
          <t>date</t>
        </is>
      </c>
      <c r="D2" t="inlineStr">
        <is>
          <t>Reported</t>
        </is>
      </c>
      <c r="E2" t="inlineStr">
        <is>
          <t>NJDEP AONOCAPA dated Sep 22 2026 (Facility 75894)</t>
        </is>
      </c>
      <c r="F2" t="inlineStr">
        <is>
          <t>https://dep.nj.gov/wp-content/uploads/newsrel/2026/dataone75894-aonocapa.pdf</t>
        </is>
      </c>
      <c r="G2" t="inlineStr">
        <is>
          <t>2026-09-22</t>
        </is>
      </c>
    </row>
    <row r="3">
      <c r="A3" t="inlineStr">
        <is>
          <t>receipt_date</t>
        </is>
      </c>
      <c r="B3" s="3" t="n">
        <v>46287</v>
      </c>
      <c r="C3" t="inlineStr">
        <is>
          <t>date</t>
        </is>
      </c>
      <c r="D3" t="inlineStr">
        <is>
          <t>Estimated</t>
        </is>
      </c>
      <c r="E3" t="inlineStr">
        <is>
          <t>Receipt date not disclosed; assume same-day (email/hand) receipt. Change to 2026-09-25 for mail receipt.</t>
        </is>
      </c>
      <c r="F3" t="inlineStr">
        <is>
          <t>https://morristownminute.org/1-07-million-penalty-vineland-data-center/</t>
        </is>
      </c>
      <c r="G3" t="inlineStr">
        <is>
          <t>2026-09-22</t>
        </is>
      </c>
    </row>
    <row r="4">
      <c r="A4" t="inlineStr">
        <is>
          <t>deadline_45d</t>
        </is>
      </c>
      <c r="B4" s="2">
        <f>$B$3+45</f>
        <v/>
      </c>
      <c r="C4" t="inlineStr">
        <is>
          <t>date</t>
        </is>
      </c>
      <c r="D4" t="inlineStr">
        <is>
          <t>Derived</t>
        </is>
      </c>
      <c r="E4" t="inlineStr">
        <is>
          <t>receipt + 45 calendar days (Nov 6 if receipt Sep 22; Nov 9 if Sep 25)</t>
        </is>
      </c>
      <c r="F4" t="inlineStr">
        <is>
          <t>https://www.enr.com/articles/63694-nj-fines-data-center-1m-over-123-mw-of-unpermitted-generation</t>
        </is>
      </c>
      <c r="G4" t="inlineStr">
        <is>
          <t>2026-09-23</t>
        </is>
      </c>
    </row>
    <row r="5">
      <c r="A5" t="inlineStr">
        <is>
          <t>hearing_req_deadline</t>
        </is>
      </c>
      <c r="B5" s="2">
        <f>$B$3+20</f>
        <v/>
      </c>
      <c r="C5" t="inlineStr">
        <is>
          <t>date</t>
        </is>
      </c>
      <c r="D5" t="inlineStr">
        <is>
          <t>Derived</t>
        </is>
      </c>
      <c r="E5" t="inlineStr">
        <is>
          <t>receipt + 20 days; penalty final day 21 if no hearing request</t>
        </is>
      </c>
      <c r="F5" t="inlineStr">
        <is>
          <t>https://www.enr.com/articles/63694-nj-fines-data-center-1m-over-123-mw-of-unpermitted-generation</t>
        </is>
      </c>
      <c r="G5" t="inlineStr">
        <is>
          <t>2026-09-23</t>
        </is>
      </c>
    </row>
    <row r="6">
      <c r="A6" t="inlineStr">
        <is>
          <t>outage_start</t>
        </is>
      </c>
      <c r="B6" s="2">
        <f>$B$4+1</f>
        <v/>
      </c>
      <c r="C6" t="inlineStr">
        <is>
          <t>date</t>
        </is>
      </c>
      <c r="D6" t="inlineStr">
        <is>
          <t>Derived</t>
        </is>
      </c>
      <c r="E6" t="inlineStr">
        <is>
          <t>first day after the 45-day window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penalty</t>
        </is>
      </c>
      <c r="B7" t="n">
        <v>1072000</v>
      </c>
      <c r="C7" t="inlineStr">
        <is>
          <t>$</t>
        </is>
      </c>
      <c r="D7" t="inlineStr">
        <is>
          <t>Reported</t>
        </is>
      </c>
      <c r="E7" t="inlineStr">
        <is>
          <t>civil administrative penalty</t>
        </is>
      </c>
      <c r="F7" t="inlineStr">
        <is>
          <t>https://www.nj.gov/governor/news/2026/20260922a.shtml</t>
        </is>
      </c>
      <c r="G7" t="inlineStr">
        <is>
          <t>2026-09-22</t>
        </is>
      </c>
    </row>
    <row r="8">
      <c r="A8" t="inlineStr">
        <is>
          <t>genset_count</t>
        </is>
      </c>
      <c r="B8" t="n">
        <v>62</v>
      </c>
      <c r="C8" t="inlineStr">
        <is>
          <t>units</t>
        </is>
      </c>
      <c r="D8" t="inlineStr">
        <is>
          <t>Reported</t>
        </is>
      </c>
      <c r="E8" t="inlineStr">
        <is>
          <t>Caterpillar G3516H</t>
        </is>
      </c>
      <c r="F8" t="inlineStr">
        <is>
          <t>https://www.enr.com/articles/63694-nj-fines-data-center-1m-over-123-mw-of-unpermitted-generation</t>
        </is>
      </c>
      <c r="G8" t="inlineStr">
        <is>
          <t>2026-09-23</t>
        </is>
      </c>
    </row>
    <row r="9">
      <c r="A9" t="inlineStr">
        <is>
          <t>genset_kw</t>
        </is>
      </c>
      <c r="B9" t="n">
        <v>1982</v>
      </c>
      <c r="C9" t="inlineStr">
        <is>
          <t>kW each</t>
        </is>
      </c>
      <c r="D9" t="inlineStr">
        <is>
          <t>Reported</t>
        </is>
      </c>
      <c r="E9" t="inlineStr">
        <is>
          <t>nameplate</t>
        </is>
      </c>
      <c r="F9" t="inlineStr">
        <is>
          <t>https://www.enr.com/articles/63694-nj-fines-data-center-1m-over-123-mw-of-unpermitted-generation</t>
        </is>
      </c>
      <c r="G9" t="inlineStr">
        <is>
          <t>2026-09-23</t>
        </is>
      </c>
    </row>
    <row r="10">
      <c r="A10" t="inlineStr">
        <is>
          <t>genset_mw_gross</t>
        </is>
      </c>
      <c r="B10">
        <f>$B$8*$B$9/1000</f>
        <v/>
      </c>
      <c r="C10" t="inlineStr">
        <is>
          <t>MW gross</t>
        </is>
      </c>
      <c r="D10" t="inlineStr">
        <is>
          <t>Derived</t>
        </is>
      </c>
      <c r="E10" t="inlineStr">
        <is>
          <t>62 x 1.982 = 122.9 MW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pue</t>
        </is>
      </c>
      <c r="B11" s="4" t="n">
        <v>1.2</v>
      </c>
      <c r="C11" t="inlineStr">
        <is>
          <t>x</t>
        </is>
      </c>
      <c r="D11" t="inlineStr">
        <is>
          <t>Estimated</t>
        </is>
      </c>
      <c r="E11" t="inlineStr">
        <is>
          <t>team assumption (nebius_capacity.xlsx Vineland high formula uses /1.2)</t>
        </is>
      </c>
      <c r="F11" t="inlineStr">
        <is>
          <t>nebius_capacity.xlsx</t>
        </is>
      </c>
      <c r="G11" t="inlineStr">
        <is>
          <t>2026-10</t>
        </is>
      </c>
    </row>
    <row r="12">
      <c r="A12" t="inlineStr">
        <is>
          <t>grid_mw_gross</t>
        </is>
      </c>
      <c r="B12" s="4" t="n">
        <v>5</v>
      </c>
      <c r="C12" t="inlineStr">
        <is>
          <t>MW gross</t>
        </is>
      </c>
      <c r="D12" t="inlineStr">
        <is>
          <t>Estimated</t>
        </is>
      </c>
      <c r="E12" t="inlineStr">
        <is>
          <t>team figure: ~5 MW utility feed (nebius_capacity.xlsx Vineland high formula)</t>
        </is>
      </c>
      <c r="F12" t="inlineStr">
        <is>
          <t>nebius_capacity.xlsx</t>
        </is>
      </c>
      <c r="G12" t="inlineStr">
        <is>
          <t>2026-10</t>
        </is>
      </c>
    </row>
    <row r="13">
      <c r="A13" t="inlineStr">
        <is>
          <t>it_ceiling</t>
        </is>
      </c>
      <c r="B13" s="4" t="n">
        <v>107</v>
      </c>
      <c r="C13" t="inlineStr">
        <is>
          <t>MW IT</t>
        </is>
      </c>
      <c r="D13" t="inlineStr">
        <is>
          <t>Estimated</t>
        </is>
      </c>
      <c r="E13" t="inlineStr">
        <is>
          <t>team ceiling ~107 MW IT = (5+122.9)/1.2</t>
        </is>
      </c>
      <c r="F13" t="inlineStr">
        <is>
          <t>nebius_capacity.xlsx</t>
        </is>
      </c>
      <c r="G13" t="inlineStr">
        <is>
          <t>2026-10</t>
        </is>
      </c>
    </row>
    <row r="14">
      <c r="A14" t="inlineStr">
        <is>
          <t>it_energized_at_deadline</t>
        </is>
      </c>
      <c r="B14" s="4">
        <f>MIN($B$13,4*$B$17)</f>
        <v/>
      </c>
      <c r="C14" t="inlineStr">
        <is>
          <t>MW IT</t>
        </is>
      </c>
      <c r="D14" t="inlineStr">
        <is>
          <t>Estimated</t>
        </is>
      </c>
      <c r="E14" t="inlineStr">
        <is>
          <t>4 tranches delivered (T1 Nov-25, T2 Feb-26, T3-T4 Jul-Aug-26) x equal-split tranche size, capped at ceiling</t>
        </is>
      </c>
      <c r="F14" t="inlineStr">
        <is>
          <t>https://assets.nebius.com/assets/a6ecfd85-a6cb-4967-8ef7-9a25bd261f9c/SHLQ226.pdf</t>
        </is>
      </c>
      <c r="G14" t="inlineStr">
        <is>
          <t>2026-08-12</t>
        </is>
      </c>
    </row>
    <row r="15">
      <c r="A15" t="inlineStr">
        <is>
          <t>grid_it</t>
        </is>
      </c>
      <c r="B15">
        <f>$B$12/$B$11</f>
        <v/>
      </c>
      <c r="C15" t="inlineStr">
        <is>
          <t>MW IT</t>
        </is>
      </c>
      <c r="D15" t="inlineStr">
        <is>
          <t>Derived</t>
        </is>
      </c>
      <c r="E15" t="inlineStr">
        <is>
          <t>grid feed / PUE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genset_fed_it</t>
        </is>
      </c>
      <c r="B16">
        <f>MAX(0,$B$14-$B$15)</f>
        <v/>
      </c>
      <c r="C16" t="inlineStr">
        <is>
          <t>MW IT</t>
        </is>
      </c>
      <c r="D16" t="inlineStr">
        <is>
          <t>Derived</t>
        </is>
      </c>
      <c r="E16" t="inlineStr">
        <is>
          <t>energized IT minus grid-fed IT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tranche_it_mw</t>
        </is>
      </c>
      <c r="B17" s="4">
        <f>240/9</f>
        <v/>
      </c>
      <c r="C17" t="inlineStr">
        <is>
          <t>MW IT</t>
        </is>
      </c>
      <c r="D17" t="inlineStr">
        <is>
          <t>Estimated</t>
        </is>
      </c>
      <c r="E17" t="inlineStr">
        <is>
          <t>equal split of 240 MW IT over 9 tranches (sizes not disclosed)</t>
        </is>
      </c>
      <c r="F17" t="inlineStr">
        <is>
          <t>nebius_capacity.xlsx (Vineland tranches tab)</t>
        </is>
      </c>
      <c r="G17" t="inlineStr">
        <is>
          <t>2026-10</t>
        </is>
      </c>
    </row>
    <row r="18">
      <c r="A18" t="inlineStr">
        <is>
          <t>rev_per_mw_yr</t>
        </is>
      </c>
      <c r="B18" s="4" t="n">
        <v>11.6</v>
      </c>
      <c r="C18" t="inlineStr">
        <is>
          <t>$M/MW/yr</t>
        </is>
      </c>
      <c r="D18" t="inlineStr">
        <is>
          <t>Estimated</t>
        </is>
      </c>
      <c r="E18" t="inlineStr">
        <is>
          <t>team: $17.4B / 5 yrs / 300 MW (per GROSS MW)</t>
        </is>
      </c>
      <c r="F18" t="inlineStr">
        <is>
          <t>https://www.sec.gov/ (Nebius 6-K, Sep 2025 Microsoft agreement)</t>
        </is>
      </c>
      <c r="G18" t="inlineStr">
        <is>
          <t>2025-09-08</t>
        </is>
      </c>
    </row>
    <row r="19">
      <c r="A19" t="inlineStr">
        <is>
          <t>rev_per_mw_it_yr</t>
        </is>
      </c>
      <c r="B19">
        <f>17392.9/5/240</f>
        <v/>
      </c>
      <c r="C19" t="inlineStr">
        <is>
          <t>$M/MW IT/yr</t>
        </is>
      </c>
      <c r="D19" t="inlineStr">
        <is>
          <t>Derived</t>
        </is>
      </c>
      <c r="E19" t="inlineStr">
        <is>
          <t>sensitivity: same TCV per IT MW (240 MW IT) = $14.5M</t>
        </is>
      </c>
      <c r="F19" t="inlineStr">
        <is>
          <t>nebius_capacity.xlsx (Vineland tranches tab)</t>
        </is>
      </c>
      <c r="G19" t="inlineStr">
        <is>
          <t>2026-10</t>
        </is>
      </c>
    </row>
    <row r="20">
      <c r="A20" t="inlineStr">
        <is>
          <t>usd_per_mwh_check</t>
        </is>
      </c>
      <c r="B20">
        <f>$B$18*1000000/8760</f>
        <v/>
      </c>
      <c r="C20" t="inlineStr">
        <is>
          <t>$/MWh</t>
        </is>
      </c>
      <c r="D20" t="inlineStr">
        <is>
          <t>Derived</t>
        </is>
      </c>
      <c r="E20" t="inlineStr">
        <is>
          <t>cross-check vs team $1,324/MWh (identical by construction)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partial_curtail_pct</t>
        </is>
      </c>
      <c r="B21" s="4" t="n">
        <v>0.5</v>
      </c>
      <c r="C21" t="inlineStr">
        <is>
          <t>%</t>
        </is>
      </c>
      <c r="D21" t="inlineStr">
        <is>
          <t>Estimated</t>
        </is>
      </c>
      <c r="E21" t="inlineStr">
        <is>
          <t>consent-order style cap on genset output (no permit exists, so "permitted level" is undefined); flex 25-75%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nox_tons_to_date</t>
        </is>
      </c>
      <c r="B22" t="n">
        <v>140</v>
      </c>
      <c r="C22" t="inlineStr">
        <is>
          <t>short tons</t>
        </is>
      </c>
      <c r="D22" t="inlineStr">
        <is>
          <t>Reported</t>
        </is>
      </c>
      <c r="E22" t="inlineStr">
        <is>
          <t>approx NOx emitted to date per Floodlight analysis of DataOne letter</t>
        </is>
      </c>
      <c r="F22" t="inlineStr">
        <is>
          <t>https://floodlightnews.org/vineland-nj-data-center-air-pollution/</t>
        </is>
      </c>
      <c r="G22" t="inlineStr">
        <is>
          <t>2026-10-01</t>
        </is>
      </c>
    </row>
    <row r="23">
      <c r="A23" t="inlineStr">
        <is>
          <t>engine_hours_to_date</t>
        </is>
      </c>
      <c r="B23" t="n">
        <v>46000</v>
      </c>
      <c r="C23" t="inlineStr">
        <is>
          <t>engine-hours</t>
        </is>
      </c>
      <c r="D23" t="inlineStr">
        <is>
          <t>Reported</t>
        </is>
      </c>
      <c r="E23" t="inlineStr">
        <is>
          <t>&gt;46,000 run-hours per DataOne letter (Floodlight)</t>
        </is>
      </c>
      <c r="F23" t="inlineStr">
        <is>
          <t>https://floodlightnews.org/vineland-nj-data-center-air-pollution/</t>
        </is>
      </c>
      <c r="G23" t="inlineStr">
        <is>
          <t>2026-10-01</t>
        </is>
      </c>
    </row>
    <row r="24">
      <c r="A24" t="inlineStr">
        <is>
          <t>nox_lb_per_engine_hr</t>
        </is>
      </c>
      <c r="B24">
        <f>$B$22*2000/$B$23</f>
        <v/>
      </c>
      <c r="C24" t="inlineStr">
        <is>
          <t>lb/engine-hr</t>
        </is>
      </c>
      <c r="D24" t="inlineStr">
        <is>
          <t>Derived</t>
        </is>
      </c>
      <c r="E24" t="inlineStr">
        <is>
          <t>140 t x 2000 / 46,000 h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minor_source_nox_tpy</t>
        </is>
      </c>
      <c r="B25" t="n">
        <v>25</v>
      </c>
      <c r="C25" t="inlineStr">
        <is>
          <t>tpy</t>
        </is>
      </c>
      <c r="D25" t="inlineStr">
        <is>
          <t>Reported</t>
        </is>
      </c>
      <c r="E25" t="inlineStr">
        <is>
          <t>NJ major-source NOx threshold (ozone nonattainment) cited by Floodlight</t>
        </is>
      </c>
      <c r="F25" t="inlineStr">
        <is>
          <t>https://floodlightnews.org/vineland-nj-data-center-air-pollution/</t>
        </is>
      </c>
      <c r="G25" t="inlineStr">
        <is>
          <t>2026-10-01</t>
        </is>
      </c>
    </row>
    <row r="26">
      <c r="A26" t="inlineStr">
        <is>
          <t>engines_at_minor_cap</t>
        </is>
      </c>
      <c r="B26">
        <f>$B$25*2000/$B$24/8760</f>
        <v/>
      </c>
      <c r="C26" t="inlineStr">
        <is>
          <t>engines continuous</t>
        </is>
      </c>
      <c r="D26" t="inlineStr">
        <is>
          <t>Derived</t>
        </is>
      </c>
      <c r="E26" t="inlineStr">
        <is>
          <t>25 tpy / (lb per engine-hr x 8760)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it_at_minor_cap</t>
        </is>
      </c>
      <c r="B27">
        <f>$B$26*$B$9/1000/$B$11</f>
        <v/>
      </c>
      <c r="C27" t="inlineStr">
        <is>
          <t>MW IT</t>
        </is>
      </c>
      <c r="D27" t="inlineStr">
        <is>
          <t>Derived</t>
        </is>
      </c>
      <c r="E27" t="inlineStr">
        <is>
          <t>engines x 1.982 MW / PUE</t>
        </is>
      </c>
      <c r="F27" t="inlineStr">
        <is>
          <t>—</t>
        </is>
      </c>
      <c r="G27" t="inlineStr">
        <is>
          <t>—</t>
        </is>
      </c>
    </row>
    <row r="28">
      <c r="A28" t="inlineStr">
        <is>
          <t>fy26_end</t>
        </is>
      </c>
      <c r="B28" s="2" t="n">
        <v>46387</v>
      </c>
      <c r="C28" t="inlineStr">
        <is>
          <t>date</t>
        </is>
      </c>
      <c r="D28" t="inlineStr">
        <is>
          <t>Reported</t>
        </is>
      </c>
      <c r="E28" t="inlineStr">
        <is>
          <t>calendar FY</t>
        </is>
      </c>
      <c r="F28" t="inlineStr">
        <is>
          <t>—</t>
        </is>
      </c>
      <c r="G28" t="inlineStr">
        <is>
          <t>—</t>
        </is>
      </c>
    </row>
    <row r="29">
      <c r="A29" t="inlineStr">
        <is>
          <t>q1_27_end</t>
        </is>
      </c>
      <c r="B29" s="2" t="n">
        <v>46477</v>
      </c>
      <c r="C29" t="inlineStr">
        <is>
          <t>date</t>
        </is>
      </c>
      <c r="D29" t="inlineStr">
        <is>
          <t>Reported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9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0" customWidth="1" min="12" max="12"/>
    <col width="13" customWidth="1" min="13" max="13"/>
    <col width="55" customWidth="1" min="14" max="14"/>
    <col width="9" customWidth="1" min="15" max="15"/>
    <col width="22" customWidth="1" min="16" max="16"/>
    <col width="55" customWidth="1" min="17" max="17"/>
  </cols>
  <sheetData>
    <row r="1">
      <c r="A1" s="5" t="inlineStr">
        <is>
          <t>Scenario</t>
        </is>
      </c>
      <c r="B1" s="5" t="inlineStr">
        <is>
          <t>MW IT offline</t>
        </is>
      </c>
      <c r="C1" s="5" t="inlineStr">
        <is>
          <t>Outage months</t>
        </is>
      </c>
      <c r="D1" s="5" t="inlineStr">
        <is>
          <t>Outage start</t>
        </is>
      </c>
      <c r="E1" s="5" t="inlineStr">
        <is>
          <t>Outage end</t>
        </is>
      </c>
      <c r="F1" s="5" t="inlineStr">
        <is>
          <t>Days offline total</t>
        </is>
      </c>
      <c r="G1" s="5" t="inlineStr">
        <is>
          <t>Days in Q4/FY26</t>
        </is>
      </c>
      <c r="H1" s="5" t="inlineStr">
        <is>
          <t>Days in FY27</t>
        </is>
      </c>
      <c r="I1" s="5" t="inlineStr">
        <is>
          <t>Q4'26 rev at risk $M</t>
        </is>
      </c>
      <c r="J1" s="5" t="inlineStr">
        <is>
          <t>FY26 rev at risk $M</t>
        </is>
      </c>
      <c r="K1" s="5" t="inlineStr">
        <is>
          <t>FY27 rev at risk $M</t>
        </is>
      </c>
      <c r="L1" s="5" t="inlineStr">
        <is>
          <t>Total $M</t>
        </is>
      </c>
      <c r="M1" s="5" t="inlineStr">
        <is>
          <t>Total $M @ $14.5M/MW IT (sens.)</t>
        </is>
      </c>
      <c r="N1" s="5" t="inlineStr">
        <is>
          <t>Tranches affected</t>
        </is>
      </c>
      <c r="O1" s="5" t="inlineStr">
        <is>
          <t>Prob (Estimated)</t>
        </is>
      </c>
      <c r="P1" s="5" t="inlineStr">
        <is>
          <t>Tag</t>
        </is>
      </c>
      <c r="Q1" s="5" t="inlineStr">
        <is>
          <t>Notes</t>
        </is>
      </c>
    </row>
    <row r="2">
      <c r="A2" t="inlineStr">
        <is>
          <t>1. No shutdown (DataOne files by deadline; DEP lets gensets run pending permit / consent order)</t>
        </is>
      </c>
      <c r="B2" s="6">
        <f>0</f>
        <v/>
      </c>
      <c r="C2" t="n">
        <v>0</v>
      </c>
      <c r="D2" s="2">
        <f>Inputs!$B$6</f>
        <v/>
      </c>
      <c r="E2" s="2">
        <f>IF(C2=0,D2,EDATE(D2,C2)-1)</f>
        <v/>
      </c>
      <c r="F2">
        <f>IF(C2=0,0,E2-D2+1)</f>
        <v/>
      </c>
      <c r="G2">
        <f>IF(C2=0,0,MIN(E2,Inputs!$B$28)-D2+1)</f>
        <v/>
      </c>
      <c r="H2">
        <f>F2-G2</f>
        <v/>
      </c>
      <c r="I2" s="6">
        <f>B2*Inputs!$B$18*G2/365</f>
        <v/>
      </c>
      <c r="J2" s="6">
        <f>I2</f>
        <v/>
      </c>
      <c r="K2" s="6">
        <f>B2*Inputs!$B$18*H2/365</f>
        <v/>
      </c>
      <c r="L2" s="6">
        <f>J2+K2</f>
        <v/>
      </c>
      <c r="M2" s="6">
        <f>B2*Inputs!$B$19*F2/365</f>
        <v/>
      </c>
      <c r="N2" t="inlineStr">
        <is>
          <t>No physical impact; T1-T4 bill; risk shifts to permit conditions and Bloom timing (T5-T9)</t>
        </is>
      </c>
      <c r="O2" s="7" t="n">
        <v>0.55</v>
      </c>
      <c r="P2" t="inlineStr">
        <is>
          <t>Derived (inputs partly Estimated)</t>
        </is>
      </c>
      <c r="Q2" t="inlineStr">
        <is>
          <t>Floodlight Oct 1: DEP allows operation during 45 days; DataOne says it will apply</t>
        </is>
      </c>
    </row>
    <row r="3">
      <c r="A3" t="inlineStr">
        <is>
          <t>2a. Partial: gensets capped at assumed % (consent-order cap) until Bloom/grid</t>
        </is>
      </c>
      <c r="B3" s="6">
        <f>Inputs!$B$16*Inputs!$B$21</f>
        <v/>
      </c>
      <c r="C3" t="n">
        <v>2</v>
      </c>
      <c r="D3" s="2">
        <f>Inputs!$B$6</f>
        <v/>
      </c>
      <c r="E3" s="2">
        <f>IF(C3=0,D3,EDATE(D3,C3)-1)</f>
        <v/>
      </c>
      <c r="F3">
        <f>IF(C3=0,0,E3-D3+1)</f>
        <v/>
      </c>
      <c r="G3">
        <f>IF(C3=0,0,MIN(E3,Inputs!$B$28)-D3+1)</f>
        <v/>
      </c>
      <c r="H3">
        <f>F3-G3</f>
        <v/>
      </c>
      <c r="I3" s="6">
        <f>B3*Inputs!$B$18*G3/365</f>
        <v/>
      </c>
      <c r="J3" s="6">
        <f>I3</f>
        <v/>
      </c>
      <c r="K3" s="6">
        <f>B3*Inputs!$B$18*H3/365</f>
        <v/>
      </c>
      <c r="L3" s="6">
        <f>J3+K3</f>
        <v/>
      </c>
      <c r="M3" s="6">
        <f>B3*Inputs!$B$19*F3/365</f>
        <v/>
      </c>
      <c r="N3" t="inlineStr">
        <is>
          <t>T1-T4 partly (~half of genset-fed load); SLA credits likely</t>
        </is>
      </c>
      <c r="O3" s="7" t="n">
        <v>0.2</v>
      </c>
      <c r="P3" t="inlineStr">
        <is>
          <t>Derived (inputs partly Estimated)</t>
        </is>
      </c>
      <c r="Q3" t="inlineStr">
        <is>
          <t>Curtail % is Estimated (Inputs!B20); 2-month duration assumed</t>
        </is>
      </c>
    </row>
    <row r="4">
      <c r="A4" t="inlineStr">
        <is>
          <t>2b. Partial: curtailed to a minor-source (25 tpy NOx) "permitted" level until Bloom/grid</t>
        </is>
      </c>
      <c r="B4" s="6">
        <f>MAX(0,Inputs!$B$16-Inputs!$B$27)</f>
        <v/>
      </c>
      <c r="C4" t="n">
        <v>2</v>
      </c>
      <c r="D4" s="2">
        <f>Inputs!$B$6</f>
        <v/>
      </c>
      <c r="E4" s="2">
        <f>IF(C4=0,D4,EDATE(D4,C4)-1)</f>
        <v/>
      </c>
      <c r="F4">
        <f>IF(C4=0,0,E4-D4+1)</f>
        <v/>
      </c>
      <c r="G4">
        <f>IF(C4=0,0,MIN(E4,Inputs!$B$28)-D4+1)</f>
        <v/>
      </c>
      <c r="H4">
        <f>F4-G4</f>
        <v/>
      </c>
      <c r="I4" s="6">
        <f>B4*Inputs!$B$18*G4/365</f>
        <v/>
      </c>
      <c r="J4" s="6">
        <f>I4</f>
        <v/>
      </c>
      <c r="K4" s="6">
        <f>B4*Inputs!$B$18*H4/365</f>
        <v/>
      </c>
      <c r="L4" s="6">
        <f>J4+K4</f>
        <v/>
      </c>
      <c r="M4" s="6">
        <f>B4*Inputs!$B$19*F4/365</f>
        <v/>
      </c>
      <c r="N4" t="inlineStr">
        <is>
          <t>T1-T4 almost fully (only ~1 engine-equivalent allowed)</t>
        </is>
      </c>
      <c r="O4" s="7" t="n">
        <v>0.05</v>
      </c>
      <c r="P4" t="inlineStr">
        <is>
          <t>Derived (inputs partly Estimated)</t>
        </is>
      </c>
      <c r="Q4" t="inlineStr">
        <is>
          <t>Shows that a literal "permitted level" ≈ full shutdown</t>
        </is>
      </c>
    </row>
    <row r="5">
      <c r="A5" t="inlineStr">
        <is>
          <t>3a. Full shutdown of genset-fed load, 1 month</t>
        </is>
      </c>
      <c r="B5" s="6">
        <f>Inputs!$B$16</f>
        <v/>
      </c>
      <c r="C5" t="n">
        <v>1</v>
      </c>
      <c r="D5" s="2">
        <f>Inputs!$B$6</f>
        <v/>
      </c>
      <c r="E5" s="2">
        <f>IF(C5=0,D5,EDATE(D5,C5)-1)</f>
        <v/>
      </c>
      <c r="F5">
        <f>IF(C5=0,0,E5-D5+1)</f>
        <v/>
      </c>
      <c r="G5">
        <f>IF(C5=0,0,MIN(E5,Inputs!$B$28)-D5+1)</f>
        <v/>
      </c>
      <c r="H5">
        <f>F5-G5</f>
        <v/>
      </c>
      <c r="I5" s="6">
        <f>B5*Inputs!$B$18*G5/365</f>
        <v/>
      </c>
      <c r="J5" s="6">
        <f>I5</f>
        <v/>
      </c>
      <c r="K5" s="6">
        <f>B5*Inputs!$B$18*H5/365</f>
        <v/>
      </c>
      <c r="L5" s="6">
        <f>J5+K5</f>
        <v/>
      </c>
      <c r="M5" s="6">
        <f>B5*Inputs!$B$19*F5/365</f>
        <v/>
      </c>
      <c r="N5" t="inlineStr">
        <is>
          <t>T1-T4 (all delivered tranches except ~4 MW IT on grid); possible SLA/termination rights</t>
        </is>
      </c>
      <c r="O5" s="7" t="n">
        <v>0.1</v>
      </c>
      <c r="P5" t="inlineStr">
        <is>
          <t>Derived (inputs partly Estimated)</t>
        </is>
      </c>
      <c r="Q5" t="inlineStr">
        <is>
          <t>Bloom/grid restores within 1 month</t>
        </is>
      </c>
    </row>
    <row r="6">
      <c r="A6" t="inlineStr">
        <is>
          <t>3b. Full shutdown, 2 months</t>
        </is>
      </c>
      <c r="B6" s="6">
        <f>Inputs!$B$16</f>
        <v/>
      </c>
      <c r="C6" t="n">
        <v>2</v>
      </c>
      <c r="D6" s="2">
        <f>Inputs!$B$6</f>
        <v/>
      </c>
      <c r="E6" s="2">
        <f>IF(C6=0,D6,EDATE(D6,C6)-1)</f>
        <v/>
      </c>
      <c r="F6">
        <f>IF(C6=0,0,E6-D6+1)</f>
        <v/>
      </c>
      <c r="G6">
        <f>IF(C6=0,0,MIN(E6,Inputs!$B$28)-D6+1)</f>
        <v/>
      </c>
      <c r="H6">
        <f>F6-G6</f>
        <v/>
      </c>
      <c r="I6" s="6">
        <f>B6*Inputs!$B$18*G6/365</f>
        <v/>
      </c>
      <c r="J6" s="6">
        <f>I6</f>
        <v/>
      </c>
      <c r="K6" s="6">
        <f>B6*Inputs!$B$18*H6/365</f>
        <v/>
      </c>
      <c r="L6" s="6">
        <f>J6+K6</f>
        <v/>
      </c>
      <c r="M6" s="6">
        <f>B6*Inputs!$B$19*F6/365</f>
        <v/>
      </c>
      <c r="N6" t="inlineStr">
        <is>
          <t>T1-T4; T5-T6 start likely slips</t>
        </is>
      </c>
      <c r="O6" s="7" t="n">
        <v>0.06</v>
      </c>
      <c r="P6" t="inlineStr">
        <is>
          <t>Derived (inputs partly Estimated)</t>
        </is>
      </c>
      <c r="Q6" t="inlineStr"/>
    </row>
    <row r="7">
      <c r="A7" t="inlineStr">
        <is>
          <t>3c. Full shutdown, 3 months</t>
        </is>
      </c>
      <c r="B7" s="6">
        <f>Inputs!$B$16</f>
        <v/>
      </c>
      <c r="C7" t="n">
        <v>3</v>
      </c>
      <c r="D7" s="2">
        <f>Inputs!$B$6</f>
        <v/>
      </c>
      <c r="E7" s="2">
        <f>IF(C7=0,D7,EDATE(D7,C7)-1)</f>
        <v/>
      </c>
      <c r="F7">
        <f>IF(C7=0,0,E7-D7+1)</f>
        <v/>
      </c>
      <c r="G7">
        <f>IF(C7=0,0,MIN(E7,Inputs!$B$28)-D7+1)</f>
        <v/>
      </c>
      <c r="H7">
        <f>F7-G7</f>
        <v/>
      </c>
      <c r="I7" s="6">
        <f>B7*Inputs!$B$18*G7/365</f>
        <v/>
      </c>
      <c r="J7" s="6">
        <f>I7</f>
        <v/>
      </c>
      <c r="K7" s="6">
        <f>B7*Inputs!$B$18*H7/365</f>
        <v/>
      </c>
      <c r="L7" s="6">
        <f>J7+K7</f>
        <v/>
      </c>
      <c r="M7" s="6">
        <f>B7*Inputs!$B$19*F7/365</f>
        <v/>
      </c>
      <c r="N7" t="inlineStr">
        <is>
          <t>T1-T4; T5-T9 schedule at risk</t>
        </is>
      </c>
      <c r="O7" s="7" t="n">
        <v>0.04</v>
      </c>
      <c r="P7" t="inlineStr">
        <is>
          <t>Derived (inputs partly Estimated)</t>
        </is>
      </c>
      <c r="Q7" t="inlineStr"/>
    </row>
    <row r="8">
      <c r="A8" s="1" t="inlineStr">
        <is>
          <t>Probability-weighted (Estimated weights)</t>
        </is>
      </c>
      <c r="I8" s="6">
        <f>SUMPRODUCT(I2:I7,$O$2:$O$7)</f>
        <v/>
      </c>
      <c r="J8" s="6">
        <f>SUMPRODUCT(J2:J7,$O$2:$O$7)</f>
        <v/>
      </c>
      <c r="K8" s="6">
        <f>SUMPRODUCT(K2:K7,$O$2:$O$7)</f>
        <v/>
      </c>
      <c r="L8" s="6">
        <f>SUMPRODUCT(L2:L7,$O$2:$O$7)</f>
        <v/>
      </c>
      <c r="O8" s="7">
        <f>SUM(O2:O7)</f>
        <v/>
      </c>
    </row>
    <row r="10">
      <c r="A10" s="8" t="inlineStr">
        <is>
          <t>Formulas: MW offline x $11.6M/MW/yr x days/365. Q4 days = MIN(end, 2026-12-31) - start + 1; FY27 days = total - Q4 days. Outage end = EDATE(start, months) - 1.</t>
        </is>
      </c>
    </row>
    <row r="11">
      <c r="A11" s="8" t="inlineStr">
        <is>
          <t>Revenue at risk assumes Microsoft does not pay for undelivered capacity (take-or-pay applies to delivered capacity; SLA credits / termination rights per 20-F not quantified). Not modelled: penalty ($1.07M, DataOne-level), economic-benefit penalty, Bloom-delay knock-on to T5-T9.</t>
        </is>
      </c>
    </row>
    <row r="12">
      <c r="A12" s="8" t="inlineStr">
        <is>
          <t>Context: team base Q4'26 Vineland energized avg 81.8 MW IT -&gt; Q4'26 Vineland revenue ≈ 81.8 x 11.6/4 = $237M (Derived).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6" customWidth="1" min="3" max="3"/>
    <col width="90" customWidth="1" min="4" max="4"/>
    <col width="12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Finding</t>
        </is>
      </c>
      <c r="C1" s="1" t="inlineStr">
        <is>
          <t>Tag</t>
        </is>
      </c>
      <c r="D1" s="1" t="inlineStr">
        <is>
          <t>URL</t>
        </is>
      </c>
      <c r="E1" s="1" t="inlineStr">
        <is>
          <t>Date</t>
        </is>
      </c>
      <c r="F1" s="1" t="inlineStr">
        <is>
          <t>Confidence</t>
        </is>
      </c>
    </row>
    <row r="2">
      <c r="A2" t="inlineStr">
        <is>
          <t>NJDEP order</t>
        </is>
      </c>
      <c r="B2" t="inlineStr">
        <is>
          <t>AONOCAPA dated Sep 22 2026; 62 unpermitted CAT G3516H; $1,072,000; 45 days from receipt to submit and obtain permits/certificates or cease</t>
        </is>
      </c>
      <c r="C2" t="inlineStr">
        <is>
          <t>Reported</t>
        </is>
      </c>
      <c r="D2" t="inlineStr">
        <is>
          <t>https://dep.nj.gov/wp-content/uploads/newsrel/2026/dataone75894-aonocapa.pdf (Incapsula-blocked; text via search snippets) ; https://www.nj.gov/governor/news/2026/20260922a.shtml</t>
        </is>
      </c>
      <c r="E2" t="inlineStr">
        <is>
          <t>2026-09-22</t>
        </is>
      </c>
      <c r="F2" t="inlineStr">
        <is>
          <t>High</t>
        </is>
      </c>
    </row>
    <row r="3">
      <c r="A3" t="inlineStr">
        <is>
          <t>Receipt date</t>
        </is>
      </c>
      <c r="B3" t="inlineStr">
        <is>
          <t>Not disclosed</t>
        </is>
      </c>
      <c r="C3" t="inlineStr">
        <is>
          <t>—</t>
        </is>
      </c>
      <c r="D3" t="inlineStr">
        <is>
          <t>https://morristownminute.org/1-07-million-penalty-vineland-data-center/</t>
        </is>
      </c>
      <c r="E3" t="inlineStr">
        <is>
          <t>2026-09-22</t>
        </is>
      </c>
      <c r="F3" t="inlineStr">
        <is>
          <t>—</t>
        </is>
      </c>
    </row>
    <row r="4">
      <c r="A4" t="inlineStr">
        <is>
          <t>45-day deadline</t>
        </is>
      </c>
      <c r="B4" t="inlineStr">
        <is>
          <t>Nov 6 2026 (receipt Sep 22) to ~Nov 9 (receipt Sep 25); before Nebius Q3 report Nov 10</t>
        </is>
      </c>
      <c r="C4" t="inlineStr">
        <is>
          <t>Derived</t>
        </is>
      </c>
      <c r="D4" t="inlineStr">
        <is>
          <t>https://www.enr.com/articles/63694-nj-fines-data-center-1m-over-123-mw-of-unpermitted-generation</t>
        </is>
      </c>
      <c r="E4" t="inlineStr">
        <is>
          <t>2026-09-23</t>
        </is>
      </c>
      <c r="F4" t="inlineStr">
        <is>
          <t>Medium</t>
        </is>
      </c>
    </row>
    <row r="5">
      <c r="A5" t="inlineStr">
        <is>
          <t>DataOne response</t>
        </is>
      </c>
      <c r="B5" t="inlineStr">
        <is>
          <t>"we will apply for the air permits for the temporary generators"</t>
        </is>
      </c>
      <c r="C5" t="inlineStr">
        <is>
          <t>Reported</t>
        </is>
      </c>
      <c r="D5" t="inlineStr">
        <is>
          <t>https://whyy.org/articles/vineland-data-center-fined/</t>
        </is>
      </c>
      <c r="E5" t="inlineStr">
        <is>
          <t>2026-09-23</t>
        </is>
      </c>
      <c r="F5" t="inlineStr">
        <is>
          <t>High</t>
        </is>
      </c>
    </row>
    <row r="6">
      <c r="A6" t="inlineStr">
        <is>
          <t>DEP lets gensets run in window; genset ramp 16 (Oct-25) -&gt; 32 (Feb-26) -&gt; 62 (Jun-26); &gt;46,000 run-hours; ~140 t NOx</t>
        </is>
      </c>
      <c r="B6" t="inlineStr"/>
      <c r="C6" t="inlineStr">
        <is>
          <t>Reported</t>
        </is>
      </c>
      <c r="D6" t="inlineStr">
        <is>
          <t>https://floodlightnews.org/vineland-nj-data-center-air-pollution/</t>
        </is>
      </c>
      <c r="E6" t="inlineStr">
        <is>
          <t>2026-10-01</t>
        </is>
      </c>
      <c r="F6" t="inlineStr">
        <is>
          <t>Medium-High</t>
        </is>
      </c>
    </row>
    <row r="7">
      <c r="A7" t="inlineStr">
        <is>
          <t>Air-permit public notice/comment</t>
        </is>
      </c>
      <c r="B7" t="inlineStr">
        <is>
          <t>None found for gensets or Bloom; earlier Bergen-engine application withdrawn May 27 2026; NJDEP BOSS public-notice page bot-blocked</t>
        </is>
      </c>
      <c r="C7" t="inlineStr">
        <is>
          <t>Reported (absence)</t>
        </is>
      </c>
      <c r="D7" t="inlineStr">
        <is>
          <t>https://dep.nj.gov/boss/public-notices/</t>
        </is>
      </c>
      <c r="E7" t="inlineStr">
        <is>
          <t>2026-10-04</t>
        </is>
      </c>
      <c r="F7" t="inlineStr">
        <is>
          <t>Medium</t>
        </is>
      </c>
    </row>
    <row r="8">
      <c r="A8" t="inlineStr">
        <is>
          <t>Bloom energized</t>
        </is>
      </c>
      <c r="B8" t="inlineStr">
        <is>
          <t>No evidence; stop-construction order Aug 10 2026; no public record of lift; S2 10 m / Landsat 100 m cannot resolve units</t>
        </is>
      </c>
      <c r="C8" t="inlineStr">
        <is>
          <t>—</t>
        </is>
      </c>
      <c r="D8" t="inlineStr">
        <is>
          <t>https://hntrbrk.com/breaking-news/vineland</t>
        </is>
      </c>
      <c r="E8" t="inlineStr">
        <is>
          <t>2026-08-13</t>
        </is>
      </c>
      <c r="F8" t="inlineStr">
        <is>
          <t>—</t>
        </is>
      </c>
    </row>
    <row r="9">
      <c r="A9" t="inlineStr">
        <is>
          <t>Planning Board</t>
        </is>
      </c>
      <c r="B9" t="inlineStr">
        <is>
          <t>Next meeting Oct 14 2026 6:30pm; agenda not posted as of Oct 4; latest minutes posted Aug 12 (no DataOne item)</t>
        </is>
      </c>
      <c r="C9" t="inlineStr">
        <is>
          <t>Reported</t>
        </is>
      </c>
      <c r="D9" t="inlineStr">
        <is>
          <t>https://www.vinelandcity.org/event/planning-board-meeting-60/</t>
        </is>
      </c>
      <c r="E9" t="inlineStr">
        <is>
          <t>2026-10-04</t>
        </is>
      </c>
      <c r="F9" t="inlineStr">
        <is>
          <t>High</t>
        </is>
      </c>
    </row>
    <row r="10">
      <c r="A10" t="inlineStr">
        <is>
          <t>City Council</t>
        </is>
      </c>
      <c r="B10" t="inlineStr">
        <is>
          <t>Oct 13 2026 agenda: no DataOne/data-center/Bloom items; Oct 27 no files yet</t>
        </is>
      </c>
      <c r="C10" t="inlineStr">
        <is>
          <t>Reported</t>
        </is>
      </c>
      <c r="D10" t="inlineStr">
        <is>
          <t>https://vinelandnj.api.civicclerk.com/v1/Events</t>
        </is>
      </c>
      <c r="E10" t="inlineStr">
        <is>
          <t>2026-10-04</t>
        </is>
      </c>
      <c r="F10" t="inlineStr">
        <is>
          <t>High</t>
        </is>
      </c>
    </row>
    <row r="11">
      <c r="A11" t="inlineStr">
        <is>
          <t>Tranche dates</t>
        </is>
      </c>
      <c r="B11" t="inlineStr">
        <is>
          <t>T1 Nov-25, T2 Feb-26 (20-F); two tranches in month before Aug 12 2026 (Q2 letter) -&gt; Jul-Aug, not June</t>
        </is>
      </c>
      <c r="C11" t="inlineStr">
        <is>
          <t>Reported</t>
        </is>
      </c>
      <c r="D11" t="inlineStr">
        <is>
          <t>https://assets.nebius.com/assets/a6ecfd85-a6cb-4967-8ef7-9a25bd261f9c/SHLQ226.pdf</t>
        </is>
      </c>
      <c r="E11" t="inlineStr">
        <is>
          <t>2026-08-12</t>
        </is>
      </c>
      <c r="F11" t="inlineStr">
        <is>
          <t>Medium-High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2026-10-05T00:39:19Z</dcterms:created>
  <dcterms:modified xmlns:dcterms="http://purl.org/dc/terms/" xmlns:xsi="http://www.w3.org/2001/XMLSchema-instance" xsi:type="dcterms:W3CDTF">2026-10-05T00:39:19Z</dcterms:modified>
</cp:coreProperties>
</file>