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s" sheetId="1" state="visible" r:id="rId3"/>
    <sheet name="EV_Bridge" sheetId="2" state="visible" r:id="rId4"/>
    <sheet name="Comps_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<sst xmlns="http://schemas.openxmlformats.org/spreadsheetml/2006/main" count="766" uniqueCount="437">
  <si>
    <t xml:space="preserve">Company</t>
  </si>
  <si>
    <t xml:space="preserve">Ticker / status</t>
  </si>
  <si>
    <t xml:space="preserve">Latest period used</t>
  </si>
  <si>
    <t xml:space="preserve">Period end</t>
  </si>
  <si>
    <t xml:space="preserve">Revenue backlog / RPO ($M)</t>
  </si>
  <si>
    <t xml:space="preserve">Backlog basis</t>
  </si>
  <si>
    <t xml:space="preserve">Contracted power (MW)</t>
  </si>
  <si>
    <t xml:space="preserve">Active / billing power (MW)</t>
  </si>
  <si>
    <t xml:space="preserve">MW basis / date</t>
  </si>
  <si>
    <t xml:space="preserve">Revenue LTM ($M)</t>
  </si>
  <si>
    <t xml:space="preserve">Revenue latest Q ($M)</t>
  </si>
  <si>
    <t xml:space="preserve">Revenue latest Q annualized ($M)</t>
  </si>
  <si>
    <t xml:space="preserve">Revenue YoY latest Q (%)</t>
  </si>
  <si>
    <t xml:space="preserve">Revenue per active MW (annualized Q, $M/MW)</t>
  </si>
  <si>
    <t xml:space="preserve">Adj. EBITDA LTM ($M)</t>
  </si>
  <si>
    <t xml:space="preserve">Adj. EBITDA latest Q ($M)</t>
  </si>
  <si>
    <t xml:space="preserve">Adj. EBITDA margin LTM (%)</t>
  </si>
  <si>
    <t xml:space="preserve">Adj. EBITDA margin latest Q (%)</t>
  </si>
  <si>
    <t xml:space="preserve">Adj. EBITDA NTM consensus ($M)</t>
  </si>
  <si>
    <t xml:space="preserve">Forward revenue: FY guide / cons / reported est. ($M)</t>
  </si>
  <si>
    <t xml:space="preserve">Forward revenue basis</t>
  </si>
  <si>
    <t xml:space="preserve">Wtd avg effective cost of debt (%)</t>
  </si>
  <si>
    <t xml:space="preserve">Recent issuance coupons / spreads</t>
  </si>
  <si>
    <t xml:space="preserve">Total debt, latest BS ($M, ex-leases)</t>
  </si>
  <si>
    <t xml:space="preserve">Cash &amp; equivalents, latest BS ($M, ex-restricted)</t>
  </si>
  <si>
    <t xml:space="preserve">Preferred stock ($M)</t>
  </si>
  <si>
    <t xml:space="preserve">Pro forma debt adj. after BS date ($M)</t>
  </si>
  <si>
    <t xml:space="preserve">Pro forma cash adj. after BS date ($M)</t>
  </si>
  <si>
    <t xml:space="preserve">Pro forma bridge</t>
  </si>
  <si>
    <t xml:space="preserve">Pro forma total debt ($M)</t>
  </si>
  <si>
    <t xml:space="preserve">Pro forma cash ($M)</t>
  </si>
  <si>
    <t xml:space="preserve">Top customer (% of revenue, latest period)</t>
  </si>
  <si>
    <t xml:space="preserve">Named anchor customers</t>
  </si>
  <si>
    <t xml:space="preserve">Share price ($)</t>
  </si>
  <si>
    <t xml:space="preserve">Price date</t>
  </si>
  <si>
    <t xml:space="preserve">Shares, latest reported basis (M)</t>
  </si>
  <si>
    <t xml:space="preserve">Shares, pro forma economic (M)</t>
  </si>
  <si>
    <t xml:space="preserve">Market cap / equity value, reported basis ($M)</t>
  </si>
  <si>
    <t xml:space="preserve">Market cap / equity value, pro forma ($M)</t>
  </si>
  <si>
    <t xml:space="preserve">Aggregator EV ($M, StockAnalysis; incl. leases)</t>
  </si>
  <si>
    <t xml:space="preserve">EV, reported basis ($M)</t>
  </si>
  <si>
    <t xml:space="preserve">EV, pro forma ($M) [used for multiples]</t>
  </si>
  <si>
    <t xml:space="preserve">EV / contracted MW ($M/MW)</t>
  </si>
  <si>
    <t xml:space="preserve">EV / active MW ($M/MW)</t>
  </si>
  <si>
    <t xml:space="preserve">EV / LTM adj. EBITDA (x)</t>
  </si>
  <si>
    <t xml:space="preserve">EV / annualized Q adj. EBITDA (x)</t>
  </si>
  <si>
    <t xml:space="preserve">EV / NTM adj. EBITDA consensus (x)</t>
  </si>
  <si>
    <t xml:space="preserve">EV / LTM revenue (x)</t>
  </si>
  <si>
    <t xml:space="preserve">EV / annualized Q revenue (x)</t>
  </si>
  <si>
    <t xml:space="preserve">EV / forward revenue (x)</t>
  </si>
  <si>
    <t xml:space="preserve">Reported vs estimate</t>
  </si>
  <si>
    <t xml:space="preserve">Notes / gaps</t>
  </si>
  <si>
    <t xml:space="preserve">Nebius Group</t>
  </si>
  <si>
    <t xml:space="preserve">NBIS (Nasdaq)</t>
  </si>
  <si>
    <t xml:space="preserve">Q2 2026 (6-K filed 2026-08-12)</t>
  </si>
  <si>
    <t xml:space="preserve">2026-06-30</t>
  </si>
  <si>
    <t xml:space="preserve">ASC 606 RPO</t>
  </si>
  <si>
    <t xml:space="preserve">Contracted '&gt;3.5 GW' (Q1'26 letter, 2026-05-13; YE26 target 5 GW). Active ~170 MW at YE2025 (latest actual disclosed)</t>
  </si>
  <si>
    <t xml:space="preserve">FY26 guidance midpoint $3.0-3.4B (reaffirmed Q2)</t>
  </si>
  <si>
    <t xml:space="preserve">Aug-26 converts: 0.50% 2030 ($3.45B) &amp; 4.50% 2034 ($2.3B); Jul-26 $775M GPU-backed facility SOFR+2.50%; Mar-26 converts 1.25% 2031 / 2.63% 2033</t>
  </si>
  <si>
    <t xml:space="preserve">+$775M secured facility (assumed fully drawn; drawn amount not disclosed); +$5,750M Aug converts; -$800M 2029/31 notes exchanged (face; carrying ~= $802M); cash +$775M +~$5,680M est. net convert proceeds (Skeptic sheet basis). Ignores Q3 op. cash flow/capex/ATM</t>
  </si>
  <si>
    <t xml:space="preserve">Microsoft, Meta (strategic LT contracts); Reflection, Cohere (Q2 deals); Customer C = 24%, D = 21%, E = 14% of Q2 rev (unnamed)</t>
  </si>
  <si>
    <t xml:space="preserve">2026-10-02 (close)</t>
  </si>
  <si>
    <t xml:space="preserve">Reported (filings); NTM = consensus estimate; MW = company disclosure</t>
  </si>
  <si>
    <t xml:space="preserve">LTM = H1'26 + (FY25 529.8 - H1'25 156.0); LTM EBITDA = 365.7 + (-64.9 - -74.7). Reported-basis shares = 271.86M + 21.07M NVIDIA pre-funded warrants. Active MW is stale (YE25) so EV/active MW and rev/MW overstate; no period-end active/connected MW disclosed for Q2. YE26 connected guidance 800MW-1GW. NTM consensus = Q4'26-Q3'27 quarterly cons (MarketScreener via Skeptic sheet).</t>
  </si>
  <si>
    <t xml:space="preserve">CoreWeave</t>
  </si>
  <si>
    <t xml:space="preserve">CRWV (Nasdaq)</t>
  </si>
  <si>
    <t xml:space="preserve">Q2 2026 (10-Q filed 2026-08-12)</t>
  </si>
  <si>
    <t xml:space="preserve">ASC 606 RPO $103.7B (company 'revenue backlog' $104.2B; excl. &gt;$25B added early Q3)</t>
  </si>
  <si>
    <t xml:space="preserve">~3.7 GW contracted / 1.5 GW active at 2026-06-30 (Q2 PR); YE26 active guide &gt;1.85 GW</t>
  </si>
  <si>
    <t xml:space="preserve">FY26 guidance midpoint $12.4-13.2B (Q2 call)</t>
  </si>
  <si>
    <t xml:space="preserve">Sep-26 2.875% converts 2033 ($4.2B incl. option); Aug-26 DDTL 5.5 $2.6B (Ba2/BB+); Jun-26 9.625% notes 2032, 8.50% EUR notes 2032; Apr-26 9.75% notes 2031, 1.75% converts 2032; DDTL 5.0 SOFR+4.50%</t>
  </si>
  <si>
    <t xml:space="preserve">+$4,200M Sep-22 2.875% converts (option exercised); cash +$4,137.0M est. net proceeds - $498.8M base capped call (additional capped call cost not disclosed). DDTL 5.5 undrawn: excluded. Shares already at 2026-07-31 count</t>
  </si>
  <si>
    <t xml:space="preserve">Customer A 36% (historically Microsoft; unnamed in 10-Q), B 26%, C 10% of Q2 rev; OpenAI (up to ~$6.5B order + earlier), Meta (~$21.0B Mar-26 order)</t>
  </si>
  <si>
    <t xml:space="preserve">Reported (filings); NTM = calendarized consensus estimate</t>
  </si>
  <si>
    <t xml:space="preserve">LTM = FY25 5,131 - H1'25 2,194 + H1'26 4,653. LTM adj. EBITDA = FY25 3,093 - 1,360 + 2,667. Debt = recourse + non-recourse carrying (ex leases). Cash incl. $15M marketable securities. NTM EBITDA = 0.25xFY26 cons 7,569 + 0.75xFY27 cons 16,640 (Skeptic sheet: Yahoo/MarketScreener). Aggregator EV $95.46B includes ~$16.5B lease liabilities -&gt; not comparable.</t>
  </si>
  <si>
    <t xml:space="preserve">IREN</t>
  </si>
  <si>
    <t xml:space="preserve">IREN (Nasdaq)</t>
  </si>
  <si>
    <t xml:space="preserve">Q4 FY26 / FY ended 2026-06-30 (10-K filed 2026-08-27)</t>
  </si>
  <si>
    <t xml:space="preserve">RPO $5.1B + contracted lease value $11.4B (ASC 842)</t>
  </si>
  <si>
    <t xml:space="preserve">~5 GW grid connection agreements (10-K); operating = ~380 MW Bitcoin + ~40 MW AI Cloud at 2026-06-30</t>
  </si>
  <si>
    <t xml:space="preserve">No revenue guidance; $4bn contracted ARR target for YE26 capacity (ARR, not revenue)</t>
  </si>
  <si>
    <t xml:space="preserve">May-26 1.00% converts 2033 ($3.0B); USPP 5.96% fixed; DDTL SOFR+2.25% (swapped ~3.80%+spread); Aug-26 $2.4B Blue Owl/PIMCO GPU financing at 9.0% fixed (staged, undrawn at 10-K)</t>
  </si>
  <si>
    <t xml:space="preserve">Shares 380.19M (6/30) -&gt; 394.06M (8/14), incl. 12.6M for Mirantis acquisition; post-6/30 ATM proceeds not separately disclosed -&gt; no cash adj.; Aug-26 $2.4B financing undrawn -&gt; excluded</t>
  </si>
  <si>
    <t xml:space="preserve">Microsoft ($9.7B, 5-yr), NVIDIA ($3.4B, 5-yr) = 'substantial majority' of contracted revenue; also Perplexity, Cohere, Figure AI, Together AI, Fluidstack</t>
  </si>
  <si>
    <t xml:space="preserve">Reported (filings)</t>
  </si>
  <si>
    <t xml:space="preserve">Top-customer % of revenue not disclosed (FY26 revenue 82% Bitcoin mining, no customer). Revenue/EBITDA still Bitcoin-heavy, so revenue- and EBITDA-based multiples are not comparable to AI-cloud peers. AI-only Q4 rev $70.5M / 40 MW = ~$7.1M per MW annualized. Contracted MW is grid power (gross), not IT MW.</t>
  </si>
  <si>
    <t xml:space="preserve">Oracle (consolidated)</t>
  </si>
  <si>
    <t xml:space="preserve">ORCL (NYSE)</t>
  </si>
  <si>
    <t xml:space="preserve">Q1 FY27 (10-Q filed 2026-09-11)</t>
  </si>
  <si>
    <t xml:space="preserve">2026-08-31</t>
  </si>
  <si>
    <t xml:space="preserve">ASC 606 RPO (company-wide; predominantly OCI per mgmt)</t>
  </si>
  <si>
    <t xml:space="preserve">Not disclosed in filings (Q1 PR: delivered 850 MW additional capacity in the quarter)</t>
  </si>
  <si>
    <t xml:space="preserve">FY27 (May-27) revenue guidance 'at least $90B'</t>
  </si>
  <si>
    <t xml:space="preserve">Feb-26 $25B notes: 4.55% 2029 ... 6.85% 2066 (fixed-tranche wtd coupon 5.82%) + FRN 2029; 6.50% Series D mandatory convertible preferred</t>
  </si>
  <si>
    <t xml:space="preserve">Share count already 2026-09-07 (post $20B ATM); no material post-BS debt events found</t>
  </si>
  <si>
    <t xml:space="preserve">OpenAI (Stargate) and other AI labs; customer % not disclosed</t>
  </si>
  <si>
    <t xml:space="preserve">Reported (filings); EBITDA derived</t>
  </si>
  <si>
    <t xml:space="preserve">Adj. EBITDA (derived, not company-reported) = GAAP op. income + depreciation + amortization + SBC; LTM = FY26 - Q1FY26 + Q1FY27 (XBRL). Cost of debt = annualized Q1 interest expense / avg debt (net of capitalized interest -&gt; understated). EV includes $4,954M preferred. Whole-company EV; OCI not separable.</t>
  </si>
  <si>
    <t xml:space="preserve">Oracle - OCI segment (memo)</t>
  </si>
  <si>
    <t xml:space="preserve">ORCL segment</t>
  </si>
  <si>
    <t xml:space="preserve">Q1 FY27</t>
  </si>
  <si>
    <t xml:space="preserve">RPO not split by segment</t>
  </si>
  <si>
    <t xml:space="preserve">n/d</t>
  </si>
  <si>
    <t xml:space="preserve">Reported (cloud infrastructure revenue line)</t>
  </si>
  <si>
    <t xml:space="preserve">Cloud infrastructure (IaaS) revenue only. LTM = FY26 18,101 - Q1FY26 3,347 + Q1FY27 7,388. No segment EBITDA, debt or EV -&gt; valuation multiples left blank.</t>
  </si>
  <si>
    <t xml:space="preserve">Nscale</t>
  </si>
  <si>
    <t xml:space="preserve">Private (S-1 filed 2026-09-18)</t>
  </si>
  <si>
    <t xml:space="preserve">H1 2026 (S-1)</t>
  </si>
  <si>
    <t xml:space="preserve">TCV of signed contracts at 2026-08-31 (not ASC 606 RPO); ~$2.6B active</t>
  </si>
  <si>
    <t xml:space="preserve">~1.37 GW active + contracted at 2026-08-31; active MW not split out (~25k active GPUs of 461k)</t>
  </si>
  <si>
    <t xml:space="preserve">Macquarie senior facility SOFR+7.50% (eff. 21.5%); Iceland DDTL SOFR+5.50%; Sep-26 $3.36B pre-IPO convertible notes (terms not disclosed)</t>
  </si>
  <si>
    <t xml:space="preserve">Sep-26 $2.36B convertible notes funded (+$1B NVIDIA Nov) not added: convert to equity at IPO; valuation basis stale vs that round</t>
  </si>
  <si>
    <t xml:space="preserve">Microsoft (up to $43.8B through 2033), Anthropic (up to $44.6B, Aug-26) = ~85% of TCV; OpenAI</t>
  </si>
  <si>
    <t xml:space="preserve">Series C 2026-03-09</t>
  </si>
  <si>
    <t xml:space="preserve">Reported (S-1) for financials; valuation = last private round</t>
  </si>
  <si>
    <t xml:space="preserve">Equity value = Series C valuation $14.6B (Mar-26), pre-convert; FT-reported IPO target ~$35B not used. LTM = H1'26 140.6 + FY25 33.0 - H1'25 10.4; LTM adj. EBITDA = -199.2 + -81.7 - (-15.3). YoY is H1/H1 (no quarterly split). Weighted avg cost of debt not computable (debt small, mixed).</t>
  </si>
  <si>
    <t xml:space="preserve">Crusoe</t>
  </si>
  <si>
    <t xml:space="preserve">Private</t>
  </si>
  <si>
    <t xml:space="preserve">Series F (2026-09-17)</t>
  </si>
  <si>
    <t xml:space="preserve">2026-09-17</t>
  </si>
  <si>
    <t xml:space="preserve">'$140B+' total contract value (company PR; term not disclosed)</t>
  </si>
  <si>
    <t xml:space="preserve">'6GW+ gross contracted', '~1 GW gross delivered and operational' (Series F PR)</t>
  </si>
  <si>
    <t xml:space="preserve">'On track for $2B' 2026 revenue (Newcomer, from financials obtained) - ESTIMATE</t>
  </si>
  <si>
    <t xml:space="preserve">Not disclosed</t>
  </si>
  <si>
    <t xml:space="preserve">No balance sheet disclosed</t>
  </si>
  <si>
    <t xml:space="preserve">OpenAI, Microsoft, Meta (Bloomberg)</t>
  </si>
  <si>
    <t xml:space="preserve">Series F 2026-09-17</t>
  </si>
  <si>
    <t xml:space="preserve">Company PR / press; revenue = press estimate</t>
  </si>
  <si>
    <t xml:space="preserve">EV proxy = $30.9B post-money equity only (debt/cash not disclosed) -&gt; EV understated vs. levered peers. Gross MW (not IT MW); revenue includes data-center development mix.</t>
  </si>
  <si>
    <t xml:space="preserve">Lambda</t>
  </si>
  <si>
    <t xml:space="preserve">Series E (Nov-2025); press Aug-2026</t>
  </si>
  <si>
    <t xml:space="preserve">2025-11 / 2026-08</t>
  </si>
  <si>
    <t xml:space="preserve">Not disclosed (target '3GW' liquid-cooled capacity; ~15 US data centers)</t>
  </si>
  <si>
    <t xml:space="preserve">'&gt;$1.5B' 2026 revenue (Bloomberg-reported expectation) - ESTIMATE; $760M ARR end-2025 (Sacra estimate)</t>
  </si>
  <si>
    <t xml:space="preserve">Oct-26 $1B IG fixed-rate DDTL (Baa1/A(low); rate n/d); Aug-26 ~$1B broadly syndicated loan; earlier $917M GPU-backed debt</t>
  </si>
  <si>
    <t xml:space="preserve">Microsoft (multi-billion, multi-year GB300 deal), NVIDIA (~$1.5B / 18k GPU leaseback)</t>
  </si>
  <si>
    <t xml:space="preserve">Series E 2025-11</t>
  </si>
  <si>
    <t xml:space="preserve">Press / estimates only</t>
  </si>
  <si>
    <t xml:space="preserve">Equity value = $5.9B Series E post-money (PitchBook cites $5.43B); in talks for up to $3B at $12B+ (Bloomberg, not closed). No MW, EBITDA, or debt totals -&gt; most multiples blank.</t>
  </si>
  <si>
    <t xml:space="preserve">Legend: blue-shaded cells are Excel formulas; others are sourced inputs (see Comps_Sources). Multiples use PRO FORMA EV. EV = equity value + debt (ex-leases, carrying) - unrestricted cash + preferred. Private-company 'EV' = last post-money equity value only (no net debt). Prices: Yahoo Finance close 2026-10-02 (close).</t>
  </si>
  <si>
    <t xml:space="preserve">Blank = not disclosed / not found (reason in Notes). 'n/m' = negative EBITDA. MW definitions differ (IT vs gross/grid power); see MW basis column.</t>
  </si>
  <si>
    <t xml:space="preserve">Revenue per MW block (latest-quarter annualized revenue / active billing MW)</t>
  </si>
  <si>
    <t xml:space="preserve">Annualized Q revenue ($M)</t>
  </si>
  <si>
    <t xml:space="preserve">Active MW</t>
  </si>
  <si>
    <t xml:space="preserve">Revenue per active MW ($M/MW)</t>
  </si>
  <si>
    <t xml:space="preserve">Basis / caveat</t>
  </si>
  <si>
    <t xml:space="preserve">Source</t>
  </si>
  <si>
    <t xml:space="preserve">CoreWeave (period-end MW)</t>
  </si>
  <si>
    <t xml:space="preserve">Q2'26 rev x4 / 1.5 GW active at 6/30 (understates: MW ramped ~1.0-&gt;1.5 GW in Q2)</t>
  </si>
  <si>
    <t xml:space="preserve">https://www.sec.gov/Archives/edgar/data/1769628/000176962826000362/coreweave2q26earningspress.htm</t>
  </si>
  <si>
    <t xml:space="preserve">CoreWeave (avg Q2 MW est.)</t>
  </si>
  <si>
    <t xml:space="preserve">ESTIMATE: avg of ~1.0 GW (1.5 GW less 'nearly 500 MW' added) and 1.5 GW</t>
  </si>
  <si>
    <t xml:space="preserve">IREN - AI Cloud only</t>
  </si>
  <si>
    <t xml:space="preserve">Q4 FY26 AI Cloud rev x4 / ~40 MW operating AI capacity at 6/30</t>
  </si>
  <si>
    <t xml:space="preserve">https://www.sec.gov/Archives/edgar/data/1878848/000187884826000052/iren-20260630.htm</t>
  </si>
  <si>
    <t xml:space="preserve">IREN - total</t>
  </si>
  <si>
    <t xml:space="preserve">Includes Bitcoin mining (~380 MW); not comparable</t>
  </si>
  <si>
    <t xml:space="preserve">https://www.sec.gov/Archives/edgar/data/1878848/000187884826000051/irenreportsfy26results.htm</t>
  </si>
  <si>
    <t xml:space="preserve">Nebius (stale MW)</t>
  </si>
  <si>
    <t xml:space="preserve">Q2'26 rev x4 / ~170 MW active at YE2025 (latest disclosed) -&gt; OVERSTATES; Q2 active MW not disclosed</t>
  </si>
  <si>
    <t xml:space="preserve">https://www.sec.gov/Archives/edgar/data/1513845/000110465926013946/tm266173d1_ex99-2.htm</t>
  </si>
  <si>
    <t xml:space="preserve">Crusoe (estimate)</t>
  </si>
  <si>
    <t xml:space="preserve">ESTIMATE: 2026E $2B (press) / ~1 GW gross operational; gross not IT MW</t>
  </si>
  <si>
    <t xml:space="preserve">https://www.globenewswire.com/news-release/2026/09/17/3364326/0/en/crusoe-raises-3-9-billion-series-f-for-its-vertically-integrated-ai-infrastructure-platform.html</t>
  </si>
  <si>
    <t xml:space="preserve">Company-disclosed contracted yields (new deals, not realized): Nebius Q2 deals $20-25M ACV per MW (Q2 letter); IREN recent 3-yr contracts &gt;$20M revenue per IT MW (FY26 PR). Test vs ~$12M/MW implied by price (Skeptic).</t>
  </si>
  <si>
    <t xml:space="preserve">Basis</t>
  </si>
  <si>
    <t xml:space="preserve">Market cap ($M)</t>
  </si>
  <si>
    <t xml:space="preserve">+ Debt ($M)</t>
  </si>
  <si>
    <t xml:space="preserve">- Cash ($M)</t>
  </si>
  <si>
    <t xml:space="preserve">+ Preferred ($M)</t>
  </si>
  <si>
    <t xml:space="preserve">EV ($M)</t>
  </si>
  <si>
    <t xml:space="preserve">Shares (M)</t>
  </si>
  <si>
    <t xml:space="preserve">Notes</t>
  </si>
  <si>
    <t xml:space="preserve">Aggregator (StockAnalysis, incl. leases)</t>
  </si>
  <si>
    <t xml:space="preserve">From Skeptic sheet; debt incl. operating/finance leases</t>
  </si>
  <si>
    <t xml:space="preserve">https://stockanalysis.com/stocks/nbis/statistics/</t>
  </si>
  <si>
    <t xml:space="preserve">Reported basis (latest BS)</t>
  </si>
  <si>
    <t xml:space="preserve">Pro forma (post-BS events)</t>
  </si>
  <si>
    <t xml:space="preserve">https://stockanalysis.com/stocks/crwv/statistics/</t>
  </si>
  <si>
    <t xml:space="preserve">Not retrieved (site blocks automated fetch)</t>
  </si>
  <si>
    <t xml:space="preserve">Reconciliation vs Skeptic sheet (/workspace/nebius/skeptic/01_priced_in.xlsx)</t>
  </si>
  <si>
    <t xml:space="preserve">Nebius pro forma EV: this file 74734 vs Skeptic $74,730M - same bridge (308.72M sh, debt 14,270.7, cash 14,497.1); difference = rounding.</t>
  </si>
  <si>
    <t xml:space="preserve">Nebius $775M facility: 6-K FS note dates agreement 2026-07-10; Skeptic cites 2026-07-17 press release (announcement date). Same facility.</t>
  </si>
  <si>
    <t xml:space="preserve">Nebius exchanged notes: Skeptic deducts $800M face; 6/30 carrying of 80% of 2029/2031 series = 0.8x(504.1+498.4) = $802M -&gt; immaterial.</t>
  </si>
  <si>
    <t xml:space="preserve">CoreWeave EV: Skeptic uses aggregator $95.46B (debt incl. ~$16.5B leases, pre-Sep converts). This file: pro forma ex-leases 79520. Skeptic's 3.6x FY27 rev / 5.7x FY27 EBITDA multiples are on the lease-inclusive EV; on this file's EV: 3.03x FY27 rev / 4.78x FY27 EBITDA.</t>
  </si>
  <si>
    <t xml:space="preserve">Nebius shares: StockAnalysis 274.1M vs company 271.86M (6/30) - aggregator basis undisclosed; this file uses company count + warrants.</t>
  </si>
  <si>
    <t xml:space="preserve">Nebius row reconciled vs Filings &amp; Capital fact base (/workspace/nebius/filings/nebius_fact_base.md): revenue, adj. EBITDA, RPO 37,490.6, debt 8,545.7, cash 8,042.1, customers C/D/E 24/21/14%, shares, warrants, MW (&gt;3.5 GW May-26; ~170 MW active YE25) all match. Fact base notes $775M drawn amount not disclosed.</t>
  </si>
  <si>
    <t xml:space="preserve">Nebius aggregator EV ($68.71B) uses 6/30 BS incl. leases, excludes warrants/Aug converts/exchange shares -&gt; understated vs pro forma.</t>
  </si>
  <si>
    <t xml:space="preserve">company</t>
  </si>
  <si>
    <t xml:space="preserve">metric</t>
  </si>
  <si>
    <t xml:space="preserve">value</t>
  </si>
  <si>
    <t xml:space="preserve">period</t>
  </si>
  <si>
    <t xml:space="preserve">source_url</t>
  </si>
  <si>
    <t xml:space="preserve">note</t>
  </si>
  <si>
    <t xml:space="preserve">tag</t>
  </si>
  <si>
    <t xml:space="preserve">Nebius</t>
  </si>
  <si>
    <t xml:space="preserve">RPO</t>
  </si>
  <si>
    <t xml:space="preserve">https://www.sec.gov/Archives/edgar/data/1513845/000110465926094844/nbis-20260812xex99d2.htm</t>
  </si>
  <si>
    <t xml:space="preserve">Note: Revenue - RPO $37,490.6M; 36% within 24 months</t>
  </si>
  <si>
    <t xml:space="preserve">Reported</t>
  </si>
  <si>
    <t xml:space="preserve">as of 2026-05-13</t>
  </si>
  <si>
    <t xml:space="preserve">https://www.sec.gov/Archives/edgar/data/1513845/000110465926059872/tm2614392d1_ex99-2.htm</t>
  </si>
  <si>
    <t xml:space="preserve">'Contracted capacity already exceeds 3.5 GW'; Q2 letter raises YE26 target to 5 GW (current figure not stated)</t>
  </si>
  <si>
    <t xml:space="preserve">Reported (floor)</t>
  </si>
  <si>
    <t xml:space="preserve">YE26 contracted target / connected guidance</t>
  </si>
  <si>
    <t xml:space="preserve">5,000 MW / 800-1,000 MW</t>
  </si>
  <si>
    <t xml:space="preserve">FY2026 guidance</t>
  </si>
  <si>
    <t xml:space="preserve">https://www.sec.gov/Archives/edgar/data/1513845/000110465926094568/tm2622968d1_ex99-2.htm</t>
  </si>
  <si>
    <t xml:space="preserve">Connected 800MW-1GW reaffirmed on Q2 call: https://www.fool.com/earnings/call-transcripts/2026/08/19/nebius-nbis-q2-2026-earnings-call-transcript/</t>
  </si>
  <si>
    <t xml:space="preserve">Guidance</t>
  </si>
  <si>
    <t xml:space="preserve">Active power (MW)</t>
  </si>
  <si>
    <t xml:space="preserve">2025-12-31</t>
  </si>
  <si>
    <t xml:space="preserve">'~170 MW of active power' at YE25; no later actual disclosed</t>
  </si>
  <si>
    <t xml:space="preserve">Reported (stale)</t>
  </si>
  <si>
    <t xml:space="preserve">Revenue Q2'26</t>
  </si>
  <si>
    <t xml:space="preserve">Q2 2026</t>
  </si>
  <si>
    <t xml:space="preserve">https://www.sec.gov/Archives/edgar/data/1513845/000110465926094568/tm2622968d1_ex99-1.htm</t>
  </si>
  <si>
    <t xml:space="preserve">Revenue H1'26 / H1'25</t>
  </si>
  <si>
    <t xml:space="preserve">981.3 / 156.0</t>
  </si>
  <si>
    <t xml:space="preserve">H1</t>
  </si>
  <si>
    <t xml:space="preserve">Revenue FY2025</t>
  </si>
  <si>
    <t xml:space="preserve">FY2025</t>
  </si>
  <si>
    <t xml:space="preserve">https://www.sec.gov/Archives/edgar/data/1513845/000110465926052948/nbis-20251231x20f.htm</t>
  </si>
  <si>
    <t xml:space="preserve">XBRL Revenues CY2025 (data.sec.gov companyfacts CIK0001513845)</t>
  </si>
  <si>
    <t xml:space="preserve">Revenue LTM</t>
  </si>
  <si>
    <t xml:space="preserve">LTM to 2026-06-30</t>
  </si>
  <si>
    <t xml:space="preserve">derived</t>
  </si>
  <si>
    <t xml:space="preserve">981.3 + 529.8 - 156.0</t>
  </si>
  <si>
    <t xml:space="preserve">Derived</t>
  </si>
  <si>
    <t xml:space="preserve">Revenue YoY Q2</t>
  </si>
  <si>
    <t xml:space="preserve">Adj. EBITDA Q2'26 / H1'26 / H1'25</t>
  </si>
  <si>
    <t xml:space="preserve">236.2 / 365.7 / -74.7</t>
  </si>
  <si>
    <t xml:space="preserve">Adj. EBITDA FY2025</t>
  </si>
  <si>
    <t xml:space="preserve">Q4'25 letter table</t>
  </si>
  <si>
    <t xml:space="preserve">Adj. EBITDA LTM</t>
  </si>
  <si>
    <t xml:space="preserve">LTM</t>
  </si>
  <si>
    <t xml:space="preserve">365.7 + (-64.9 - -74.7)</t>
  </si>
  <si>
    <t xml:space="preserve">NTM adj. EBITDA consensus</t>
  </si>
  <si>
    <t xml:space="preserve">Q4'26-Q3'27</t>
  </si>
  <si>
    <t xml:space="preserve">https://www.marketscreener.com/quote/stock/NEBIUS-GROUP-8037501/finances/</t>
  </si>
  <si>
    <t xml:space="preserve">Sum of quarterly cons 670.7+1277+1581+1883 as captured in Skeptic sheet 2026-10-04</t>
  </si>
  <si>
    <t xml:space="preserve">Estimate (consensus)</t>
  </si>
  <si>
    <t xml:space="preserve">FY26 revenue guidance</t>
  </si>
  <si>
    <t xml:space="preserve">3,000-3,400</t>
  </si>
  <si>
    <t xml:space="preserve">FY2026</t>
  </si>
  <si>
    <t xml:space="preserve">https://www.tradingkey.com/news/transcripts/262106466-tradingkey</t>
  </si>
  <si>
    <t xml:space="preserve">Reaffirmed Q2; adj. EBITDA margin ~40%</t>
  </si>
  <si>
    <t xml:space="preserve">Wtd effective cost of debt (%)</t>
  </si>
  <si>
    <t xml:space="preserve">Principal-weighted effective rates of 6 convert series (Note 12)</t>
  </si>
  <si>
    <t xml:space="preserve">Aug-26 converts 0.50% 2030 / 4.50% 2034</t>
  </si>
  <si>
    <t xml:space="preserve">3,450 / 2,300</t>
  </si>
  <si>
    <t xml:space="preserve">2026-08-24</t>
  </si>
  <si>
    <t xml:space="preserve">https://www.sec.gov/Archives/edgar/data/1513845/000110465926100347/tm2623863d1_ex99-1.htm</t>
  </si>
  <si>
    <t xml:space="preserve">Secured facility SOFR+2.50%</t>
  </si>
  <si>
    <t xml:space="preserve">2026-07-10</t>
  </si>
  <si>
    <t xml:space="preserve">Subsequent events note</t>
  </si>
  <si>
    <t xml:space="preserve">Debt (current + non-current, carrying)</t>
  </si>
  <si>
    <t xml:space="preserve">46.7 + 8,499.0</t>
  </si>
  <si>
    <t xml:space="preserve">Cash &amp; equivalents</t>
  </si>
  <si>
    <t xml:space="preserve">Excl. restricted cash 1,056.0</t>
  </si>
  <si>
    <t xml:space="preserve">Est. net proceeds Aug converts</t>
  </si>
  <si>
    <t xml:space="preserve">2026-08</t>
  </si>
  <si>
    <t xml:space="preserve">https://www.sec.gov/Archives/edgar/data/1513845/000110465926098924/tm2623617d1_ex99-1.htm</t>
  </si>
  <si>
    <t xml:space="preserve">Per Skeptic sheet (company estimate incl. option)</t>
  </si>
  <si>
    <t xml:space="preserve">Estimate (company)</t>
  </si>
  <si>
    <t xml:space="preserve">Top customer % revenue</t>
  </si>
  <si>
    <t xml:space="preserve">Customer C 24%, D 21%, E 14% (unnamed)</t>
  </si>
  <si>
    <t xml:space="preserve">Anchors Microsoft/Meta</t>
  </si>
  <si>
    <t xml:space="preserve">Q1 letter names Microsoft, Meta strategic contracts; Q2 letter names Reflection, Cohere</t>
  </si>
  <si>
    <t xml:space="preserve">Shares outstanding</t>
  </si>
  <si>
    <t xml:space="preserve">NVIDIA pre-funded warrant shares</t>
  </si>
  <si>
    <t xml:space="preserve">2026-03-11</t>
  </si>
  <si>
    <t xml:space="preserve">Note 14; exercise price $0.0001</t>
  </si>
  <si>
    <t xml:space="preserve">Exchange shares</t>
  </si>
  <si>
    <t xml:space="preserve">~15.8M Class A for $800M of 2029/2031 notes</t>
  </si>
  <si>
    <t xml:space="preserve">Share price</t>
  </si>
  <si>
    <t xml:space="preserve">https://query1.finance.yahoo.com/v8/finance/chart/NBIS?range=10d&amp;interval=1d</t>
  </si>
  <si>
    <t xml:space="preserve">Matches Skeptic sheet</t>
  </si>
  <si>
    <t xml:space="preserve">Market</t>
  </si>
  <si>
    <t xml:space="preserve">Aggregator EV</t>
  </si>
  <si>
    <t xml:space="preserve">2026-10-04</t>
  </si>
  <si>
    <t xml:space="preserve">Via Skeptic sheet</t>
  </si>
  <si>
    <t xml:space="preserve">Aggregator</t>
  </si>
  <si>
    <t xml:space="preserve">https://data.sec.gov/api/xbrl/companyfacts/CIK0001769628.json</t>
  </si>
  <si>
    <t xml:space="preserve">XBRL RevenueRemainingPerformanceObligation; PR 'revenue backlog' ~$104B ($104.2B deck)</t>
  </si>
  <si>
    <t xml:space="preserve">Contracted / active power (MW)</t>
  </si>
  <si>
    <t xml:space="preserve">3,700 / 1,500</t>
  </si>
  <si>
    <t xml:space="preserve">'approximately 3.7 GW' contracted; active 'reach 1.5 GW'</t>
  </si>
  <si>
    <t xml:space="preserve">Revenue Q2'26 / Q2'25</t>
  </si>
  <si>
    <t xml:space="preserve">2,575 / 1,212</t>
  </si>
  <si>
    <t xml:space="preserve">Q2</t>
  </si>
  <si>
    <t xml:space="preserve">5,131 - 2,194 + 4,653</t>
  </si>
  <si>
    <t xml:space="preserve">Adj. EBITDA Q2 / H1'26 / H1'25</t>
  </si>
  <si>
    <t xml:space="preserve">1,510 / 2,667 / 1,360</t>
  </si>
  <si>
    <t xml:space="preserve">https://www.sec.gov/Archives/edgar/data/1769628/000176962826000094/coreweave4q25earningspress.htm</t>
  </si>
  <si>
    <t xml:space="preserve">3,093 - 1,360 + 2,667</t>
  </si>
  <si>
    <t xml:space="preserve">NTM adj. EBITDA (calendarized cons)</t>
  </si>
  <si>
    <t xml:space="preserve">Oct-26-Sep-27</t>
  </si>
  <si>
    <t xml:space="preserve">https://finance.yahoo.com/quote/CRWV/analysis/</t>
  </si>
  <si>
    <t xml:space="preserve">0.25 x FY26 7,569 + 0.75 x FY27 16,640 (Skeptic sheet; MarketScreener/Yahoo)</t>
  </si>
  <si>
    <t xml:space="preserve">12,400-13,200</t>
  </si>
  <si>
    <t xml:space="preserve">https://s205.q4cdn.com/133937190/files/doc_financials/2026/q2/CRWV-US-CORRECTED-TRANSCRIPT-CoreWeave-Q2-2026-Earnings-Call-11August2026.pdf</t>
  </si>
  <si>
    <t xml:space="preserve">https://www.sec.gov/Archives/edgar/data/1769628/000176962826000366/crwv-20260630.htm</t>
  </si>
  <si>
    <t xml:space="preserve">Principal-weighted effective rates, Note 10 debt table</t>
  </si>
  <si>
    <t xml:space="preserve">Sep-26 2.875% converts 2033</t>
  </si>
  <si>
    <t xml:space="preserve">2026-09-22</t>
  </si>
  <si>
    <t xml:space="preserve">https://www.sec.gov/Archives/edgar/data/1769628/000176962826000432/crwv-20260917.htm</t>
  </si>
  <si>
    <t xml:space="preserve">$3.7B + $0.5B option exercised; net proceeds est. $3,644.5M/$4,137.0M; capped call $498.8M (base): https://www.sec.gov/Archives/edgar/data/1769628/000176962826000432/ex991pricing.htm</t>
  </si>
  <si>
    <t xml:space="preserve">DDTL 5.5</t>
  </si>
  <si>
    <t xml:space="preserve">2026-08-10</t>
  </si>
  <si>
    <t xml:space="preserve">https://www.sec.gov/Archives/edgar/data/1769628/000176962826000357/ex991pr.htm</t>
  </si>
  <si>
    <t xml:space="preserve">Delayed draw; excluded from pro forma</t>
  </si>
  <si>
    <t xml:space="preserve">Debt (carrying, recourse + non-recourse)</t>
  </si>
  <si>
    <t xml:space="preserve">6,235+1,278+25,170+2,385; excl. finance leases 221</t>
  </si>
  <si>
    <t xml:space="preserve">Cash + marketable securities</t>
  </si>
  <si>
    <t xml:space="preserve">5,524 + 15; excl. restricted 1,380</t>
  </si>
  <si>
    <t xml:space="preserve">A 36%, B 26%, C 10%; OpenAI &amp; Meta orders named in risk factors</t>
  </si>
  <si>
    <t xml:space="preserve">Shares (A+B)</t>
  </si>
  <si>
    <t xml:space="preserve">2026-07-31</t>
  </si>
  <si>
    <t xml:space="preserve">458,871,690 A + 92,664,912 B</t>
  </si>
  <si>
    <t xml:space="preserve">https://query1.finance.yahoo.com/v8/finance/chart/CRWV?range=10d&amp;interval=1d</t>
  </si>
  <si>
    <t xml:space="preserve">2026-10-02</t>
  </si>
  <si>
    <t xml:space="preserve">Via Skeptic sheet; incl. leases</t>
  </si>
  <si>
    <t xml:space="preserve">RPO + contracted lease value</t>
  </si>
  <si>
    <t xml:space="preserve">RPO $5.1B + lease $11.4B</t>
  </si>
  <si>
    <t xml:space="preserve">Grid-connected power agreements (MW)</t>
  </si>
  <si>
    <t xml:space="preserve">'approximately 5GW of total power capacity'</t>
  </si>
  <si>
    <t xml:space="preserve">Operating capacity (MW)</t>
  </si>
  <si>
    <t xml:space="preserve">~380 BTC + ~40 AI</t>
  </si>
  <si>
    <t xml:space="preserve">Revenue FY26 / Q4 FY26</t>
  </si>
  <si>
    <t xml:space="preserve">707.0 / 137.2</t>
  </si>
  <si>
    <t xml:space="preserve">FY26</t>
  </si>
  <si>
    <t xml:space="preserve">Revenue Q4 FY25</t>
  </si>
  <si>
    <t xml:space="preserve">Q4 FY25</t>
  </si>
  <si>
    <t xml:space="preserve">https://data.sec.gov/api/xbrl/companyfacts/CIK0001878848.json</t>
  </si>
  <si>
    <t xml:space="preserve">FY25 501.023 - 9M FY25 313.731</t>
  </si>
  <si>
    <t xml:space="preserve">Adj. EBITDA FY26 / Q4</t>
  </si>
  <si>
    <t xml:space="preserve">245.7 / 19.2</t>
  </si>
  <si>
    <t xml:space="preserve">Principal-weighted effective rates, Note 23 (converts 0.37%-4.22%, DDTL 7.12%, USPP 7.05%)</t>
  </si>
  <si>
    <t xml:space="preserve">Microsoft GPU financing wtd rate (%)</t>
  </si>
  <si>
    <t xml:space="preserve">USPP + DDTL excl. fees; Blue Owl/PIMCO $2.4B at 9.0% fixed</t>
  </si>
  <si>
    <t xml:space="preserve">Debt (carrying)</t>
  </si>
  <si>
    <t xml:space="preserve">169.4 + 7,423.6; excl. finance leases 243.8</t>
  </si>
  <si>
    <t xml:space="preserve">Excl. restricted 1,724.0</t>
  </si>
  <si>
    <t xml:space="preserve">Anchors</t>
  </si>
  <si>
    <t xml:space="preserve">Microsoft $9.7B, NVIDIA $3.4B = substantial majority of contracted revenue; customer list: https://www.sec.gov/Archives/edgar/data/1878848/000114036126028871/ef20078253_ex99-1.htm</t>
  </si>
  <si>
    <t xml:space="preserve">Shares 6/30 / 8/14</t>
  </si>
  <si>
    <t xml:space="preserve">380.19 / 394.06</t>
  </si>
  <si>
    <t xml:space="preserve">https://query1.finance.yahoo.com/v8/finance/chart/IREN?range=10d&amp;interval=1d</t>
  </si>
  <si>
    <t xml:space="preserve">Oracle</t>
  </si>
  <si>
    <t xml:space="preserve">https://www.sec.gov/Archives/edgar/data/1341439/000119312526389274/orcl-20260831.htm</t>
  </si>
  <si>
    <t xml:space="preserve">13% within 12 months</t>
  </si>
  <si>
    <t xml:space="preserve">Revenue Q1 FY27 / Q1 FY26 / FY26</t>
  </si>
  <si>
    <t xml:space="preserve">19,345 / 14,926 / 67,357</t>
  </si>
  <si>
    <t xml:space="preserve">https://www.sec.gov/Archives/edgar/data/1341439/000119312526387905/orcl-ex99_1.htm</t>
  </si>
  <si>
    <t xml:space="preserve">OCI revenue Q1FY27 / Q1FY26 / FY26</t>
  </si>
  <si>
    <t xml:space="preserve">7,388 / 3,347 / 18,101</t>
  </si>
  <si>
    <t xml:space="preserve">Cloud infrastructure line</t>
  </si>
  <si>
    <t xml:space="preserve">Adj. EBITDA LTM (derived)</t>
  </si>
  <si>
    <t xml:space="preserve">LTM to 2026-08-31</t>
  </si>
  <si>
    <t xml:space="preserve">https://data.sec.gov/api/xbrl/companyfacts/CIK0001341439.json</t>
  </si>
  <si>
    <t xml:space="preserve">Op inc 23,057 + dep 9,428 + amort 1,453 + SBC 4,814 (FY26 - Q1FY26 + Q1FY27)</t>
  </si>
  <si>
    <t xml:space="preserve">Adj. EBITDA Q1 FY27 (derived)</t>
  </si>
  <si>
    <t xml:space="preserve">6,728 + 3,156 + 202 + 1,127</t>
  </si>
  <si>
    <t xml:space="preserve">Cost of debt (%)</t>
  </si>
  <si>
    <t xml:space="preserve">Interest exp 1,428 x4 / avg debt (net of capitalized interest)</t>
  </si>
  <si>
    <t xml:space="preserve">Feb-26 notes wtd fixed coupon (%)</t>
  </si>
  <si>
    <t xml:space="preserve">2026-02-04</t>
  </si>
  <si>
    <t xml:space="preserve">https://www.sec.gov/Archives/edgar/data/1341439/000119312526037840/d23732d8k.htm</t>
  </si>
  <si>
    <t xml:space="preserve">$25B issue: 4.55%-6.85% + FRN</t>
  </si>
  <si>
    <t xml:space="preserve">Debt</t>
  </si>
  <si>
    <t xml:space="preserve">7,625 + 117,712</t>
  </si>
  <si>
    <t xml:space="preserve">36,369 + 708</t>
  </si>
  <si>
    <t xml:space="preserve">Preferred (6.50% Series D mandatory convertible)</t>
  </si>
  <si>
    <t xml:space="preserve">Shares</t>
  </si>
  <si>
    <t xml:space="preserve">2026-09-07</t>
  </si>
  <si>
    <t xml:space="preserve">dei:EntityCommonStockSharesOutstanding (10-Q cover)</t>
  </si>
  <si>
    <t xml:space="preserve">FY27 revenue guidance</t>
  </si>
  <si>
    <t xml:space="preserve">FY27</t>
  </si>
  <si>
    <t xml:space="preserve">'at least $90 billion'</t>
  </si>
  <si>
    <t xml:space="preserve">https://query1.finance.yahoo.com/v8/finance/chart/ORCL?range=10d&amp;interval=1d</t>
  </si>
  <si>
    <t xml:space="preserve">TCV</t>
  </si>
  <si>
    <t xml:space="preserve">https://www.sec.gov/Archives/edgar/data/2110365/000119312526395475/ck0002110365-20260918.htm</t>
  </si>
  <si>
    <t xml:space="preserve">TCV, not RPO; ~$2.6B active</t>
  </si>
  <si>
    <t xml:space="preserve">Reported (S-1)</t>
  </si>
  <si>
    <t xml:space="preserve">Active + contracted capacity (MW)</t>
  </si>
  <si>
    <t xml:space="preserve">1 GW owned, 200 MW leased, 165 MW colo</t>
  </si>
  <si>
    <t xml:space="preserve">Revenue H1'26 / H1'25 / FY25</t>
  </si>
  <si>
    <t xml:space="preserve">140.6 / 10.4 / 33.0</t>
  </si>
  <si>
    <t xml:space="preserve">Adj. EBITDA H1'26 / H1'25 / FY25</t>
  </si>
  <si>
    <t xml:space="preserve">-199.2 / -15.3 / -81.7</t>
  </si>
  <si>
    <t xml:space="preserve">Largest customer % revenue</t>
  </si>
  <si>
    <t xml:space="preserve">H1 2026</t>
  </si>
  <si>
    <t xml:space="preserve">73% in FY25</t>
  </si>
  <si>
    <t xml:space="preserve">Debt / cash</t>
  </si>
  <si>
    <t xml:space="preserve">137.4 / 1,478.4</t>
  </si>
  <si>
    <t xml:space="preserve">Valuation (Series C)</t>
  </si>
  <si>
    <t xml:space="preserve">2026-03-09</t>
  </si>
  <si>
    <t xml:space="preserve">https://www.nscale.tech/press-releases/nscale-series-c</t>
  </si>
  <si>
    <t xml:space="preserve">Reported (company)</t>
  </si>
  <si>
    <t xml:space="preserve">Pre-IPO convertible notes</t>
  </si>
  <si>
    <t xml:space="preserve">2026-09-25</t>
  </si>
  <si>
    <t xml:space="preserve">https://www.prnewswire.com/news-releases/nscale-raises-3-36b-in-pre-ipo-convertible-financing-302890199.html</t>
  </si>
  <si>
    <t xml:space="preserve">$2.36B funded + $1B NVIDIA (Nov)</t>
  </si>
  <si>
    <t xml:space="preserve">Post-money valuation</t>
  </si>
  <si>
    <t xml:space="preserve">Series F initial close $3.9B</t>
  </si>
  <si>
    <t xml:space="preserve">Contracted / operational capacity (MW)</t>
  </si>
  <si>
    <t xml:space="preserve">6,000+ / ~1,000 (gross)</t>
  </si>
  <si>
    <t xml:space="preserve">140,000+</t>
  </si>
  <si>
    <t xml:space="preserve">2026 revenue</t>
  </si>
  <si>
    <t xml:space="preserve">~2,000</t>
  </si>
  <si>
    <t xml:space="preserve">2026E</t>
  </si>
  <si>
    <t xml:space="preserve">https://www.newcomer.co/p/crusoe-is-on-track-for-2-billion</t>
  </si>
  <si>
    <t xml:space="preserve">'on track for $2 billion' (financials obtained by Newcomer)</t>
  </si>
  <si>
    <t xml:space="preserve">Estimate (press)</t>
  </si>
  <si>
    <t xml:space="preserve">https://www.bloomberg.com/news/articles/2026-09-03/crusoe-raises-over-3-billion-in-funding-at-30-billion-valuation</t>
  </si>
  <si>
    <t xml:space="preserve">OpenAI, Microsoft, Meta</t>
  </si>
  <si>
    <t xml:space="preserve">Press</t>
  </si>
  <si>
    <t xml:space="preserve">2025-11</t>
  </si>
  <si>
    <t xml:space="preserve">https://techfundingnews.com/lambda-eyes-12b-valuation-with-3b-pre-ipo-raise-as-ai-cloud-race-heats-up/</t>
  </si>
  <si>
    <t xml:space="preserve">Series E $1.5B; PitchBook cites $5.43B; talks at $12B+: https://www.bloomberg.com/news/articles/2026-08-24/ai-cloud-provider-lambda-in-talks-for-3-billion-pre-ipo-round</t>
  </si>
  <si>
    <t xml:space="preserve">2026 revenue expectation</t>
  </si>
  <si>
    <t xml:space="preserve">1,500+</t>
  </si>
  <si>
    <t xml:space="preserve">https://www.bloomberg.com/news/articles/2026-08-24/ai-cloud-provider-lambda-in-talks-for-3-billion-pre-ipo-round</t>
  </si>
  <si>
    <t xml:space="preserve">Bloomberg-reported</t>
  </si>
  <si>
    <t xml:space="preserve">ARR end-2025</t>
  </si>
  <si>
    <t xml:space="preserve">2025-12</t>
  </si>
  <si>
    <t xml:space="preserve">https://sacra.com/research/no-side-quests-for-lambda/</t>
  </si>
  <si>
    <t xml:space="preserve">Sacra estimate</t>
  </si>
  <si>
    <t xml:space="preserve">Estimate (third party)</t>
  </si>
  <si>
    <t xml:space="preserve">Debt financings</t>
  </si>
  <si>
    <t xml:space="preserve">2026</t>
  </si>
  <si>
    <t xml:space="preserve">https://lambda.ai/blog/lambda-closes-1-billion-senior-secured-fixed-rate-financing</t>
  </si>
  <si>
    <t xml:space="preserve">$1B IG DDTL (Oct-26); ~$1B BSL (Aug-26); rates/total not disclosed</t>
  </si>
  <si>
    <t xml:space="preserve">https://www.datacenterdynamics.com/en/news/microsoft-signs-multi-billion-dollar-cloud-capacity-deal-with-lambda/</t>
  </si>
  <si>
    <t xml:space="preserve">Microsoft multi-billion deal; NVIDIA ~$1.5B leaseback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</si>
</sst>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2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8" min="7" style="0" width="14"/>
    <col collapsed="false" customWidth="true" hidden="false" outlineLevel="0" max="9" min="9" style="0" width="60"/>
    <col collapsed="false" customWidth="true" hidden="false" outlineLevel="0" max="20" min="10" style="0" width="14"/>
    <col collapsed="false" customWidth="true" hidden="false" outlineLevel="0" max="21" min="21" style="0" width="28"/>
    <col collapsed="false" customWidth="true" hidden="false" outlineLevel="0" max="22" min="22" style="0" width="14"/>
    <col collapsed="false" customWidth="true" hidden="false" outlineLevel="0" max="23" min="23" style="0" width="60"/>
    <col collapsed="false" customWidth="true" hidden="false" outlineLevel="0" max="28" min="24" style="0" width="14"/>
    <col collapsed="false" customWidth="true" hidden="false" outlineLevel="0" max="29" min="29" style="0" width="60"/>
    <col collapsed="false" customWidth="true" hidden="false" outlineLevel="0" max="32" min="30" style="0" width="14"/>
    <col collapsed="false" customWidth="true" hidden="false" outlineLevel="0" max="33" min="33" style="0" width="60"/>
    <col collapsed="false" customWidth="true" hidden="false" outlineLevel="0" max="34" min="34" style="0" width="14"/>
    <col collapsed="false" customWidth="true" hidden="false" outlineLevel="0" max="35" min="35" style="0" width="28"/>
    <col collapsed="false" customWidth="true" hidden="false" outlineLevel="0" max="50" min="36" style="0" width="14"/>
    <col collapsed="false" customWidth="true" hidden="false" outlineLevel="0" max="51" min="51" style="0" width="28"/>
    <col collapsed="false" customWidth="true" hidden="false" outlineLevel="0" max="52" min="52" style="0" width="60"/>
  </cols>
  <sheetData>
    <row r="1" customFormat="false" ht="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customFormat="false" ht="15" hidden="false" customHeight="false" outlineLevel="0" collapsed="false">
      <c r="A2" s="0" t="s">
        <v>52</v>
      </c>
      <c r="B2" s="0" t="s">
        <v>53</v>
      </c>
      <c r="C2" s="0" t="s">
        <v>54</v>
      </c>
      <c r="D2" s="0" t="s">
        <v>55</v>
      </c>
      <c r="E2" s="2" t="n">
        <v>37490.6</v>
      </c>
      <c r="F2" s="0" t="s">
        <v>56</v>
      </c>
      <c r="G2" s="2" t="n">
        <v>3500</v>
      </c>
      <c r="H2" s="2" t="n">
        <v>170</v>
      </c>
      <c r="I2" s="0" t="s">
        <v>57</v>
      </c>
      <c r="J2" s="2" t="n">
        <v>1355.1</v>
      </c>
      <c r="K2" s="2" t="n">
        <v>582.3</v>
      </c>
      <c r="L2" s="3" t="n">
        <f aca="false">IF(K2="","",K2*4)</f>
        <v>2329.2</v>
      </c>
      <c r="M2" s="2" t="n">
        <v>454</v>
      </c>
      <c r="N2" s="3" t="n">
        <f aca="false">IF(OR(K2="",H2=""),"",K2*4/H2)</f>
        <v>13.7011764705882</v>
      </c>
      <c r="O2" s="2" t="n">
        <v>375.5</v>
      </c>
      <c r="P2" s="2" t="n">
        <v>236.2</v>
      </c>
      <c r="Q2" s="3" t="n">
        <f aca="false">IF(OR(O2="",J2=""),"",O2/J2*100)</f>
        <v>27.7101320935724</v>
      </c>
      <c r="R2" s="3" t="n">
        <f aca="false">IF(OR(P2="",K2=""),"",P2/K2*100)</f>
        <v>40.563283530826</v>
      </c>
      <c r="S2" s="2" t="n">
        <v>5411.7</v>
      </c>
      <c r="T2" s="2" t="n">
        <v>3200</v>
      </c>
      <c r="U2" s="0" t="s">
        <v>58</v>
      </c>
      <c r="V2" s="2" t="n">
        <v>5.09</v>
      </c>
      <c r="W2" s="0" t="s">
        <v>59</v>
      </c>
      <c r="X2" s="2" t="n">
        <v>8545.7</v>
      </c>
      <c r="Y2" s="2" t="n">
        <v>8042.1</v>
      </c>
      <c r="Z2" s="2" t="n">
        <v>0</v>
      </c>
      <c r="AA2" s="2" t="n">
        <v>5725</v>
      </c>
      <c r="AB2" s="2" t="n">
        <v>6455</v>
      </c>
      <c r="AC2" s="0" t="s">
        <v>60</v>
      </c>
      <c r="AD2" s="3" t="n">
        <f aca="false">IF(X2="","",X2+N(AA2))</f>
        <v>14270.7</v>
      </c>
      <c r="AE2" s="3" t="n">
        <f aca="false">IF(Y2="","",Y2+N(AB2))</f>
        <v>14497.1</v>
      </c>
      <c r="AF2" s="2" t="n">
        <v>24</v>
      </c>
      <c r="AG2" s="0" t="s">
        <v>61</v>
      </c>
      <c r="AH2" s="2" t="n">
        <v>242.81</v>
      </c>
      <c r="AI2" s="0" t="s">
        <v>62</v>
      </c>
      <c r="AJ2" s="2" t="n">
        <v>292.921154</v>
      </c>
      <c r="AK2" s="2" t="n">
        <v>308.72</v>
      </c>
      <c r="AL2" s="3" t="n">
        <f aca="false">IF(AH2="","",AH2*AJ2)</f>
        <v>71124.18540274</v>
      </c>
      <c r="AM2" s="3" t="n">
        <f aca="false">IF(AH2="","",AH2*AK2)</f>
        <v>74960.3032</v>
      </c>
      <c r="AN2" s="2" t="n">
        <v>68710</v>
      </c>
      <c r="AO2" s="3" t="n">
        <f aca="false">IF(AL2="","",AL2+N(X2)-N(Y2)+N(Z2))</f>
        <v>71627.78540274</v>
      </c>
      <c r="AP2" s="3" t="n">
        <f aca="false">IF(AM2="","",AM2+N(AD2)-N(AE2)+N(Z2))</f>
        <v>74733.9032</v>
      </c>
      <c r="AQ2" s="3" t="n">
        <f aca="false">IF(OR(AP2="",G2=""),"",AP2/G2)</f>
        <v>21.3525437714286</v>
      </c>
      <c r="AR2" s="3" t="n">
        <f aca="false">IF(OR(AP2="",H2=""),"",AP2/H2)</f>
        <v>439.611195294118</v>
      </c>
      <c r="AS2" s="3" t="n">
        <f aca="false">IF(OR(AP2="",O2=""),"",IF(O2&lt;=0,"n/m",AP2/O2))</f>
        <v>199.025041810919</v>
      </c>
      <c r="AT2" s="3" t="n">
        <f aca="false">IF(OR(AP2="",P2=""),"",IF(P2&lt;=0,"n/m",AP2/(P2*4)))</f>
        <v>79.1002362404742</v>
      </c>
      <c r="AU2" s="3" t="n">
        <f aca="false">IF(OR(AP2="",S2=""),"",AP2/S2)</f>
        <v>13.8096907071715</v>
      </c>
      <c r="AV2" s="3" t="n">
        <f aca="false">IF(OR(AP2="",J2=""),"",AP2/J2)</f>
        <v>55.1501019850934</v>
      </c>
      <c r="AW2" s="3" t="n">
        <f aca="false">IF(OR(AP2="",K2=""),"",AP2/(K2*4))</f>
        <v>32.0856530997768</v>
      </c>
      <c r="AX2" s="3" t="n">
        <f aca="false">IF(OR(AP2="",T2=""),"",AP2/T2)</f>
        <v>23.35434475</v>
      </c>
      <c r="AY2" s="0" t="s">
        <v>63</v>
      </c>
      <c r="AZ2" s="0" t="s">
        <v>64</v>
      </c>
    </row>
    <row r="3" customFormat="false" ht="15" hidden="false" customHeight="false" outlineLevel="0" collapsed="false">
      <c r="A3" s="0" t="s">
        <v>65</v>
      </c>
      <c r="B3" s="0" t="s">
        <v>66</v>
      </c>
      <c r="C3" s="0" t="s">
        <v>67</v>
      </c>
      <c r="D3" s="0" t="s">
        <v>55</v>
      </c>
      <c r="E3" s="2" t="n">
        <v>103700</v>
      </c>
      <c r="F3" s="0" t="s">
        <v>68</v>
      </c>
      <c r="G3" s="2" t="n">
        <v>3700</v>
      </c>
      <c r="H3" s="2" t="n">
        <v>1500</v>
      </c>
      <c r="I3" s="0" t="s">
        <v>69</v>
      </c>
      <c r="J3" s="2" t="n">
        <v>7590</v>
      </c>
      <c r="K3" s="2" t="n">
        <v>2575</v>
      </c>
      <c r="L3" s="3" t="n">
        <f aca="false">IF(K3="","",K3*4)</f>
        <v>10300</v>
      </c>
      <c r="M3" s="2" t="n">
        <v>112.5</v>
      </c>
      <c r="N3" s="3" t="n">
        <f aca="false">IF(OR(K3="",H3=""),"",K3*4/H3)</f>
        <v>6.86666666666667</v>
      </c>
      <c r="O3" s="2" t="n">
        <v>4400</v>
      </c>
      <c r="P3" s="2" t="n">
        <v>1510</v>
      </c>
      <c r="Q3" s="3" t="n">
        <f aca="false">IF(OR(O3="",J3=""),"",O3/J3*100)</f>
        <v>57.9710144927536</v>
      </c>
      <c r="R3" s="3" t="n">
        <f aca="false">IF(OR(P3="",K3=""),"",P3/K3*100)</f>
        <v>58.6407766990291</v>
      </c>
      <c r="S3" s="2" t="n">
        <v>14372</v>
      </c>
      <c r="T3" s="2" t="n">
        <v>12800</v>
      </c>
      <c r="U3" s="0" t="s">
        <v>70</v>
      </c>
      <c r="V3" s="2" t="n">
        <v>8.41</v>
      </c>
      <c r="W3" s="0" t="s">
        <v>71</v>
      </c>
      <c r="X3" s="2" t="n">
        <v>35068</v>
      </c>
      <c r="Y3" s="2" t="n">
        <v>5539</v>
      </c>
      <c r="Z3" s="2" t="n">
        <v>0</v>
      </c>
      <c r="AA3" s="2" t="n">
        <v>4200</v>
      </c>
      <c r="AB3" s="2" t="n">
        <v>3638.2</v>
      </c>
      <c r="AC3" s="0" t="s">
        <v>72</v>
      </c>
      <c r="AD3" s="3" t="n">
        <f aca="false">IF(X3="","",X3+N(AA3))</f>
        <v>39268</v>
      </c>
      <c r="AE3" s="3" t="n">
        <f aca="false">IF(Y3="","",Y3+N(AB3))</f>
        <v>9177.2</v>
      </c>
      <c r="AF3" s="2" t="n">
        <v>36</v>
      </c>
      <c r="AG3" s="0" t="s">
        <v>73</v>
      </c>
      <c r="AH3" s="2" t="n">
        <v>89.62</v>
      </c>
      <c r="AI3" s="0" t="s">
        <v>62</v>
      </c>
      <c r="AJ3" s="2" t="n">
        <v>551.536602</v>
      </c>
      <c r="AK3" s="2" t="n">
        <v>551.536602</v>
      </c>
      <c r="AL3" s="3" t="n">
        <f aca="false">IF(AH3="","",AH3*AJ3)</f>
        <v>49428.71027124</v>
      </c>
      <c r="AM3" s="3" t="n">
        <f aca="false">IF(AH3="","",AH3*AK3)</f>
        <v>49428.71027124</v>
      </c>
      <c r="AN3" s="2" t="n">
        <v>95460</v>
      </c>
      <c r="AO3" s="3" t="n">
        <f aca="false">IF(AL3="","",AL3+N(X3)-N(Y3)+N(Z3))</f>
        <v>78957.71027124</v>
      </c>
      <c r="AP3" s="3" t="n">
        <f aca="false">IF(AM3="","",AM3+N(AD3)-N(AE3)+N(Z3))</f>
        <v>79519.51027124</v>
      </c>
      <c r="AQ3" s="3" t="n">
        <f aca="false">IF(OR(AP3="",G3=""),"",AP3/G3)</f>
        <v>21.4917595327676</v>
      </c>
      <c r="AR3" s="3" t="n">
        <f aca="false">IF(OR(AP3="",H3=""),"",AP3/H3)</f>
        <v>53.0130068474933</v>
      </c>
      <c r="AS3" s="3" t="n">
        <f aca="false">IF(OR(AP3="",O3=""),"",IF(O3&lt;=0,"n/m",AP3/O3))</f>
        <v>18.0726159707364</v>
      </c>
      <c r="AT3" s="3" t="n">
        <f aca="false">IF(OR(AP3="",P3=""),"",IF(P3&lt;=0,"n/m",AP3/(P3*4)))</f>
        <v>13.1654818329868</v>
      </c>
      <c r="AU3" s="3" t="n">
        <f aca="false">IF(OR(AP3="",S3=""),"",AP3/S3)</f>
        <v>5.53294672079321</v>
      </c>
      <c r="AV3" s="3" t="n">
        <f aca="false">IF(OR(AP3="",J3=""),"",AP3/J3)</f>
        <v>10.4768788236153</v>
      </c>
      <c r="AW3" s="3" t="n">
        <f aca="false">IF(OR(AP3="",K3=""),"",AP3/(K3*4))</f>
        <v>7.72034080303301</v>
      </c>
      <c r="AX3" s="3" t="n">
        <f aca="false">IF(OR(AP3="",T3=""),"",AP3/T3)</f>
        <v>6.21246173994063</v>
      </c>
      <c r="AY3" s="0" t="s">
        <v>74</v>
      </c>
      <c r="AZ3" s="0" t="s">
        <v>75</v>
      </c>
    </row>
    <row r="4" customFormat="false" ht="15" hidden="false" customHeight="false" outlineLevel="0" collapsed="false">
      <c r="A4" s="0" t="s">
        <v>76</v>
      </c>
      <c r="B4" s="0" t="s">
        <v>77</v>
      </c>
      <c r="C4" s="0" t="s">
        <v>78</v>
      </c>
      <c r="D4" s="0" t="s">
        <v>55</v>
      </c>
      <c r="E4" s="2" t="n">
        <v>16600</v>
      </c>
      <c r="F4" s="0" t="s">
        <v>79</v>
      </c>
      <c r="G4" s="2" t="n">
        <v>5000</v>
      </c>
      <c r="H4" s="2" t="n">
        <v>420</v>
      </c>
      <c r="I4" s="0" t="s">
        <v>80</v>
      </c>
      <c r="J4" s="2" t="n">
        <v>707</v>
      </c>
      <c r="K4" s="2" t="n">
        <v>137.2</v>
      </c>
      <c r="L4" s="3" t="n">
        <f aca="false">IF(K4="","",K4*4)</f>
        <v>548.8</v>
      </c>
      <c r="M4" s="2" t="n">
        <v>-26.7</v>
      </c>
      <c r="N4" s="3" t="n">
        <f aca="false">IF(OR(K4="",H4=""),"",K4*4/H4)</f>
        <v>1.30666666666667</v>
      </c>
      <c r="O4" s="2" t="n">
        <v>245.7</v>
      </c>
      <c r="P4" s="2" t="n">
        <v>19.2</v>
      </c>
      <c r="Q4" s="3" t="n">
        <f aca="false">IF(OR(O4="",J4=""),"",O4/J4*100)</f>
        <v>34.7524752475248</v>
      </c>
      <c r="R4" s="3" t="n">
        <f aca="false">IF(OR(P4="",K4=""),"",P4/K4*100)</f>
        <v>13.9941690962099</v>
      </c>
      <c r="U4" s="0" t="s">
        <v>81</v>
      </c>
      <c r="V4" s="2" t="n">
        <v>1.85</v>
      </c>
      <c r="W4" s="0" t="s">
        <v>82</v>
      </c>
      <c r="X4" s="2" t="n">
        <v>7593</v>
      </c>
      <c r="Y4" s="2" t="n">
        <v>5895.6</v>
      </c>
      <c r="Z4" s="2" t="n">
        <v>0</v>
      </c>
      <c r="AA4" s="2" t="n">
        <v>0</v>
      </c>
      <c r="AB4" s="2" t="n">
        <v>0</v>
      </c>
      <c r="AC4" s="0" t="s">
        <v>83</v>
      </c>
      <c r="AD4" s="3" t="n">
        <f aca="false">IF(X4="","",X4+N(AA4))</f>
        <v>7593</v>
      </c>
      <c r="AE4" s="3" t="n">
        <f aca="false">IF(Y4="","",Y4+N(AB4))</f>
        <v>5895.6</v>
      </c>
      <c r="AG4" s="0" t="s">
        <v>84</v>
      </c>
      <c r="AH4" s="2" t="n">
        <v>41.76</v>
      </c>
      <c r="AI4" s="0" t="s">
        <v>62</v>
      </c>
      <c r="AJ4" s="2" t="n">
        <v>380.193608</v>
      </c>
      <c r="AK4" s="2" t="n">
        <v>394.058648</v>
      </c>
      <c r="AL4" s="3" t="n">
        <f aca="false">IF(AH4="","",AH4*AJ4)</f>
        <v>15876.88507008</v>
      </c>
      <c r="AM4" s="3" t="n">
        <f aca="false">IF(AH4="","",AH4*AK4)</f>
        <v>16455.88914048</v>
      </c>
      <c r="AO4" s="3" t="n">
        <f aca="false">IF(AL4="","",AL4+N(X4)-N(Y4)+N(Z4))</f>
        <v>17574.28507008</v>
      </c>
      <c r="AP4" s="3" t="n">
        <f aca="false">IF(AM4="","",AM4+N(AD4)-N(AE4)+N(Z4))</f>
        <v>18153.28914048</v>
      </c>
      <c r="AQ4" s="3" t="n">
        <f aca="false">IF(OR(AP4="",G4=""),"",AP4/G4)</f>
        <v>3.630657828096</v>
      </c>
      <c r="AR4" s="3" t="n">
        <f aca="false">IF(OR(AP4="",H4=""),"",AP4/H4)</f>
        <v>43.2221170011429</v>
      </c>
      <c r="AS4" s="3" t="n">
        <f aca="false">IF(OR(AP4="",O4=""),"",IF(O4&lt;=0,"n/m",AP4/O4))</f>
        <v>73.8839606857143</v>
      </c>
      <c r="AT4" s="3" t="n">
        <f aca="false">IF(OR(AP4="",P4=""),"",IF(P4&lt;=0,"n/m",AP4/(P4*4)))</f>
        <v>236.37095235</v>
      </c>
      <c r="AU4" s="3" t="str">
        <f aca="false">IF(OR(AP4="",S4=""),"",AP4/S4)</f>
        <v/>
      </c>
      <c r="AV4" s="3" t="n">
        <f aca="false">IF(OR(AP4="",J4=""),"",AP4/J4)</f>
        <v>25.6765051491938</v>
      </c>
      <c r="AW4" s="3" t="n">
        <f aca="false">IF(OR(AP4="",K4=""),"",AP4/(K4*4))</f>
        <v>33.0781507661808</v>
      </c>
      <c r="AX4" s="3" t="str">
        <f aca="false">IF(OR(AP4="",T4=""),"",AP4/T4)</f>
        <v/>
      </c>
      <c r="AY4" s="0" t="s">
        <v>85</v>
      </c>
      <c r="AZ4" s="0" t="s">
        <v>86</v>
      </c>
    </row>
    <row r="5" customFormat="false" ht="15" hidden="false" customHeight="false" outlineLevel="0" collapsed="false">
      <c r="A5" s="0" t="s">
        <v>87</v>
      </c>
      <c r="B5" s="0" t="s">
        <v>88</v>
      </c>
      <c r="C5" s="0" t="s">
        <v>89</v>
      </c>
      <c r="D5" s="0" t="s">
        <v>90</v>
      </c>
      <c r="E5" s="2" t="n">
        <v>664000</v>
      </c>
      <c r="F5" s="0" t="s">
        <v>91</v>
      </c>
      <c r="I5" s="0" t="s">
        <v>92</v>
      </c>
      <c r="J5" s="2" t="n">
        <v>71776</v>
      </c>
      <c r="K5" s="2" t="n">
        <v>19345</v>
      </c>
      <c r="L5" s="3" t="n">
        <f aca="false">IF(K5="","",K5*4)</f>
        <v>77380</v>
      </c>
      <c r="M5" s="2" t="n">
        <v>29.6</v>
      </c>
      <c r="N5" s="3" t="str">
        <f aca="false">IF(OR(K5="",H5=""),"",K5*4/H5)</f>
        <v/>
      </c>
      <c r="O5" s="2" t="n">
        <v>38752</v>
      </c>
      <c r="P5" s="2" t="n">
        <v>11213</v>
      </c>
      <c r="Q5" s="3" t="n">
        <f aca="false">IF(OR(O5="",J5=""),"",O5/J5*100)</f>
        <v>53.9901917075346</v>
      </c>
      <c r="R5" s="3" t="n">
        <f aca="false">IF(OR(P5="",K5=""),"",P5/K5*100)</f>
        <v>57.9632980098217</v>
      </c>
      <c r="T5" s="2" t="n">
        <v>90000</v>
      </c>
      <c r="U5" s="0" t="s">
        <v>93</v>
      </c>
      <c r="V5" s="2" t="n">
        <v>4.48</v>
      </c>
      <c r="W5" s="0" t="s">
        <v>94</v>
      </c>
      <c r="X5" s="2" t="n">
        <v>125337</v>
      </c>
      <c r="Y5" s="2" t="n">
        <v>37077</v>
      </c>
      <c r="Z5" s="2" t="n">
        <v>4954</v>
      </c>
      <c r="AA5" s="2" t="n">
        <v>0</v>
      </c>
      <c r="AB5" s="2" t="n">
        <v>0</v>
      </c>
      <c r="AC5" s="0" t="s">
        <v>95</v>
      </c>
      <c r="AD5" s="3" t="n">
        <f aca="false">IF(X5="","",X5+N(AA5))</f>
        <v>125337</v>
      </c>
      <c r="AE5" s="3" t="n">
        <f aca="false">IF(Y5="","",Y5+N(AB5))</f>
        <v>37077</v>
      </c>
      <c r="AG5" s="0" t="s">
        <v>96</v>
      </c>
      <c r="AH5" s="2" t="n">
        <v>142.3</v>
      </c>
      <c r="AI5" s="0" t="s">
        <v>62</v>
      </c>
      <c r="AJ5" s="2" t="n">
        <v>3023.736</v>
      </c>
      <c r="AK5" s="2" t="n">
        <v>3023.736</v>
      </c>
      <c r="AL5" s="3" t="n">
        <f aca="false">IF(AH5="","",AH5*AJ5)</f>
        <v>430277.6328</v>
      </c>
      <c r="AM5" s="3" t="n">
        <f aca="false">IF(AH5="","",AH5*AK5)</f>
        <v>430277.6328</v>
      </c>
      <c r="AO5" s="3" t="n">
        <f aca="false">IF(AL5="","",AL5+N(X5)-N(Y5)+N(Z5))</f>
        <v>523491.6328</v>
      </c>
      <c r="AP5" s="3" t="n">
        <f aca="false">IF(AM5="","",AM5+N(AD5)-N(AE5)+N(Z5))</f>
        <v>523491.6328</v>
      </c>
      <c r="AQ5" s="3" t="str">
        <f aca="false">IF(OR(AP5="",G5=""),"",AP5/G5)</f>
        <v/>
      </c>
      <c r="AR5" s="3" t="str">
        <f aca="false">IF(OR(AP5="",H5=""),"",AP5/H5)</f>
        <v/>
      </c>
      <c r="AS5" s="3" t="n">
        <f aca="false">IF(OR(AP5="",O5=""),"",IF(O5&lt;=0,"n/m",AP5/O5))</f>
        <v>13.5087642650702</v>
      </c>
      <c r="AT5" s="3" t="n">
        <f aca="false">IF(OR(AP5="",P5=""),"",IF(P5&lt;=0,"n/m",AP5/(P5*4)))</f>
        <v>11.6715337732989</v>
      </c>
      <c r="AU5" s="3" t="str">
        <f aca="false">IF(OR(AP5="",S5=""),"",AP5/S5)</f>
        <v/>
      </c>
      <c r="AV5" s="3" t="n">
        <f aca="false">IF(OR(AP5="",J5=""),"",AP5/J5)</f>
        <v>7.29340772403032</v>
      </c>
      <c r="AW5" s="3" t="n">
        <f aca="false">IF(OR(AP5="",K5=""),"",AP5/(K5*4))</f>
        <v>6.7652059033342</v>
      </c>
      <c r="AX5" s="3" t="n">
        <f aca="false">IF(OR(AP5="",T5=""),"",AP5/T5)</f>
        <v>5.81657369777778</v>
      </c>
      <c r="AY5" s="0" t="s">
        <v>97</v>
      </c>
      <c r="AZ5" s="0" t="s">
        <v>98</v>
      </c>
    </row>
    <row r="6" customFormat="false" ht="15" hidden="false" customHeight="false" outlineLevel="0" collapsed="false">
      <c r="A6" s="0" t="s">
        <v>99</v>
      </c>
      <c r="B6" s="0" t="s">
        <v>100</v>
      </c>
      <c r="C6" s="0" t="s">
        <v>101</v>
      </c>
      <c r="D6" s="0" t="s">
        <v>90</v>
      </c>
      <c r="F6" s="0" t="s">
        <v>102</v>
      </c>
      <c r="I6" s="0" t="s">
        <v>103</v>
      </c>
      <c r="J6" s="2" t="n">
        <v>22142</v>
      </c>
      <c r="K6" s="2" t="n">
        <v>7388</v>
      </c>
      <c r="L6" s="3" t="n">
        <f aca="false">IF(K6="","",K6*4)</f>
        <v>29552</v>
      </c>
      <c r="M6" s="2" t="n">
        <v>120.7</v>
      </c>
      <c r="N6" s="3" t="str">
        <f aca="false">IF(OR(K6="",H6=""),"",K6*4/H6)</f>
        <v/>
      </c>
      <c r="Q6" s="3" t="str">
        <f aca="false">IF(OR(O6="",J6=""),"",O6/J6*100)</f>
        <v/>
      </c>
      <c r="R6" s="3" t="str">
        <f aca="false">IF(OR(P6="",K6=""),"",P6/K6*100)</f>
        <v/>
      </c>
      <c r="AD6" s="3" t="str">
        <f aca="false">IF(X6="","",X6+N(AA6))</f>
        <v/>
      </c>
      <c r="AE6" s="3" t="str">
        <f aca="false">IF(Y6="","",Y6+N(AB6))</f>
        <v/>
      </c>
      <c r="AL6" s="3" t="str">
        <f aca="false">IF(AH6="","",AH6*AJ6)</f>
        <v/>
      </c>
      <c r="AM6" s="3" t="str">
        <f aca="false">IF(AH6="","",AH6*AK6)</f>
        <v/>
      </c>
      <c r="AO6" s="3" t="str">
        <f aca="false">IF(AL6="","",AL6+N(X6)-N(Y6)+N(Z6))</f>
        <v/>
      </c>
      <c r="AP6" s="3" t="str">
        <f aca="false">IF(AM6="","",AM6+N(AD6)-N(AE6)+N(Z6))</f>
        <v/>
      </c>
      <c r="AQ6" s="3" t="str">
        <f aca="false">IF(OR(AP6="",G6=""),"",AP6/G6)</f>
        <v/>
      </c>
      <c r="AR6" s="3" t="str">
        <f aca="false">IF(OR(AP6="",H6=""),"",AP6/H6)</f>
        <v/>
      </c>
      <c r="AS6" s="3" t="str">
        <f aca="false">IF(OR(AP6="",O6=""),"",IF(O6&lt;=0,"n/m",AP6/O6))</f>
        <v/>
      </c>
      <c r="AT6" s="3" t="str">
        <f aca="false">IF(OR(AP6="",P6=""),"",IF(P6&lt;=0,"n/m",AP6/(P6*4)))</f>
        <v/>
      </c>
      <c r="AU6" s="3" t="str">
        <f aca="false">IF(OR(AP6="",S6=""),"",AP6/S6)</f>
        <v/>
      </c>
      <c r="AV6" s="3" t="str">
        <f aca="false">IF(OR(AP6="",J6=""),"",AP6/J6)</f>
        <v/>
      </c>
      <c r="AW6" s="3" t="str">
        <f aca="false">IF(OR(AP6="",K6=""),"",AP6/(K6*4))</f>
        <v/>
      </c>
      <c r="AX6" s="3" t="str">
        <f aca="false">IF(OR(AP6="",T6=""),"",AP6/T6)</f>
        <v/>
      </c>
      <c r="AY6" s="0" t="s">
        <v>104</v>
      </c>
      <c r="AZ6" s="0" t="s">
        <v>105</v>
      </c>
    </row>
    <row r="7" customFormat="false" ht="15" hidden="false" customHeight="false" outlineLevel="0" collapsed="false">
      <c r="A7" s="0" t="s">
        <v>106</v>
      </c>
      <c r="B7" s="0" t="s">
        <v>107</v>
      </c>
      <c r="C7" s="0" t="s">
        <v>108</v>
      </c>
      <c r="D7" s="0" t="s">
        <v>55</v>
      </c>
      <c r="E7" s="2" t="n">
        <v>103400</v>
      </c>
      <c r="F7" s="0" t="s">
        <v>109</v>
      </c>
      <c r="G7" s="2" t="n">
        <v>1370</v>
      </c>
      <c r="I7" s="0" t="s">
        <v>110</v>
      </c>
      <c r="J7" s="2" t="n">
        <v>163.2</v>
      </c>
      <c r="L7" s="3" t="str">
        <f aca="false">IF(K7="","",K7*4)</f>
        <v/>
      </c>
      <c r="M7" s="2" t="n">
        <v>1252</v>
      </c>
      <c r="N7" s="3" t="str">
        <f aca="false">IF(OR(K7="",H7=""),"",K7*4/H7)</f>
        <v/>
      </c>
      <c r="O7" s="2" t="n">
        <v>-265.6</v>
      </c>
      <c r="Q7" s="3" t="n">
        <f aca="false">IF(OR(O7="",J7=""),"",O7/J7*100)</f>
        <v>-162.745098039216</v>
      </c>
      <c r="R7" s="3" t="str">
        <f aca="false">IF(OR(P7="",K7=""),"",P7/K7*100)</f>
        <v/>
      </c>
      <c r="W7" s="0" t="s">
        <v>111</v>
      </c>
      <c r="X7" s="2" t="n">
        <v>137.4</v>
      </c>
      <c r="Y7" s="2" t="n">
        <v>1478.4</v>
      </c>
      <c r="Z7" s="2" t="n">
        <v>0</v>
      </c>
      <c r="AA7" s="2" t="n">
        <v>0</v>
      </c>
      <c r="AB7" s="2" t="n">
        <v>0</v>
      </c>
      <c r="AC7" s="0" t="s">
        <v>112</v>
      </c>
      <c r="AD7" s="3" t="n">
        <f aca="false">IF(X7="","",X7+N(AA7))</f>
        <v>137.4</v>
      </c>
      <c r="AE7" s="3" t="n">
        <f aca="false">IF(Y7="","",Y7+N(AB7))</f>
        <v>1478.4</v>
      </c>
      <c r="AF7" s="2" t="n">
        <v>52</v>
      </c>
      <c r="AG7" s="0" t="s">
        <v>113</v>
      </c>
      <c r="AI7" s="0" t="s">
        <v>114</v>
      </c>
      <c r="AL7" s="2" t="n">
        <v>14600</v>
      </c>
      <c r="AM7" s="2" t="n">
        <v>14600</v>
      </c>
      <c r="AO7" s="3" t="n">
        <f aca="false">IF(AL7="","",AL7+N(X7)-N(Y7)+N(Z7))</f>
        <v>13259</v>
      </c>
      <c r="AP7" s="3" t="n">
        <f aca="false">IF(AM7="","",AM7+N(AD7)-N(AE7)+N(Z7))</f>
        <v>13259</v>
      </c>
      <c r="AQ7" s="3" t="n">
        <f aca="false">IF(OR(AP7="",G7=""),"",AP7/G7)</f>
        <v>9.67810218978102</v>
      </c>
      <c r="AR7" s="3" t="str">
        <f aca="false">IF(OR(AP7="",H7=""),"",AP7/H7)</f>
        <v/>
      </c>
      <c r="AS7" s="3" t="str">
        <f aca="false">IF(OR(AP7="",O7=""),"",IF(O7&lt;=0,"n/m",AP7/O7))</f>
        <v>n/m</v>
      </c>
      <c r="AT7" s="3" t="str">
        <f aca="false">IF(OR(AP7="",P7=""),"",IF(P7&lt;=0,"n/m",AP7/(P7*4)))</f>
        <v/>
      </c>
      <c r="AU7" s="3" t="str">
        <f aca="false">IF(OR(AP7="",S7=""),"",AP7/S7)</f>
        <v/>
      </c>
      <c r="AV7" s="3" t="n">
        <f aca="false">IF(OR(AP7="",J7=""),"",AP7/J7)</f>
        <v>81.2438725490196</v>
      </c>
      <c r="AW7" s="3" t="str">
        <f aca="false">IF(OR(AP7="",K7=""),"",AP7/(K7*4))</f>
        <v/>
      </c>
      <c r="AX7" s="3" t="str">
        <f aca="false">IF(OR(AP7="",T7=""),"",AP7/T7)</f>
        <v/>
      </c>
      <c r="AY7" s="0" t="s">
        <v>115</v>
      </c>
      <c r="AZ7" s="0" t="s">
        <v>116</v>
      </c>
    </row>
    <row r="8" customFormat="false" ht="15" hidden="false" customHeight="false" outlineLevel="0" collapsed="false">
      <c r="A8" s="0" t="s">
        <v>117</v>
      </c>
      <c r="B8" s="0" t="s">
        <v>118</v>
      </c>
      <c r="C8" s="0" t="s">
        <v>119</v>
      </c>
      <c r="D8" s="0" t="s">
        <v>120</v>
      </c>
      <c r="E8" s="2" t="n">
        <v>140000</v>
      </c>
      <c r="F8" s="0" t="s">
        <v>121</v>
      </c>
      <c r="G8" s="2" t="n">
        <v>6000</v>
      </c>
      <c r="H8" s="2" t="n">
        <v>1000</v>
      </c>
      <c r="I8" s="0" t="s">
        <v>122</v>
      </c>
      <c r="L8" s="3" t="str">
        <f aca="false">IF(K8="","",K8*4)</f>
        <v/>
      </c>
      <c r="N8" s="3" t="str">
        <f aca="false">IF(OR(K8="",H8=""),"",K8*4/H8)</f>
        <v/>
      </c>
      <c r="Q8" s="3" t="str">
        <f aca="false">IF(OR(O8="",J8=""),"",O8/J8*100)</f>
        <v/>
      </c>
      <c r="R8" s="3" t="str">
        <f aca="false">IF(OR(P8="",K8=""),"",P8/K8*100)</f>
        <v/>
      </c>
      <c r="T8" s="2" t="n">
        <v>2000</v>
      </c>
      <c r="U8" s="0" t="s">
        <v>123</v>
      </c>
      <c r="W8" s="0" t="s">
        <v>124</v>
      </c>
      <c r="AC8" s="0" t="s">
        <v>125</v>
      </c>
      <c r="AD8" s="3" t="str">
        <f aca="false">IF(X8="","",X8+N(AA8))</f>
        <v/>
      </c>
      <c r="AE8" s="3" t="str">
        <f aca="false">IF(Y8="","",Y8+N(AB8))</f>
        <v/>
      </c>
      <c r="AG8" s="0" t="s">
        <v>126</v>
      </c>
      <c r="AI8" s="0" t="s">
        <v>127</v>
      </c>
      <c r="AL8" s="2" t="n">
        <v>30900</v>
      </c>
      <c r="AM8" s="2" t="n">
        <v>30900</v>
      </c>
      <c r="AO8" s="3" t="n">
        <f aca="false">IF(AL8="","",AL8+N(X8)-N(Y8)+N(Z8))</f>
        <v>30900</v>
      </c>
      <c r="AP8" s="3" t="n">
        <f aca="false">IF(AM8="","",AM8+N(AD8)-N(AE8)+N(Z8))</f>
        <v>30900</v>
      </c>
      <c r="AQ8" s="3" t="n">
        <f aca="false">IF(OR(AP8="",G8=""),"",AP8/G8)</f>
        <v>5.15</v>
      </c>
      <c r="AR8" s="3" t="n">
        <f aca="false">IF(OR(AP8="",H8=""),"",AP8/H8)</f>
        <v>30.9</v>
      </c>
      <c r="AS8" s="3" t="str">
        <f aca="false">IF(OR(AP8="",O8=""),"",IF(O8&lt;=0,"n/m",AP8/O8))</f>
        <v/>
      </c>
      <c r="AT8" s="3" t="str">
        <f aca="false">IF(OR(AP8="",P8=""),"",IF(P8&lt;=0,"n/m",AP8/(P8*4)))</f>
        <v/>
      </c>
      <c r="AU8" s="3" t="str">
        <f aca="false">IF(OR(AP8="",S8=""),"",AP8/S8)</f>
        <v/>
      </c>
      <c r="AV8" s="3" t="str">
        <f aca="false">IF(OR(AP8="",J8=""),"",AP8/J8)</f>
        <v/>
      </c>
      <c r="AW8" s="3" t="str">
        <f aca="false">IF(OR(AP8="",K8=""),"",AP8/(K8*4))</f>
        <v/>
      </c>
      <c r="AX8" s="3" t="n">
        <f aca="false">IF(OR(AP8="",T8=""),"",AP8/T8)</f>
        <v>15.45</v>
      </c>
      <c r="AY8" s="0" t="s">
        <v>128</v>
      </c>
      <c r="AZ8" s="0" t="s">
        <v>129</v>
      </c>
    </row>
    <row r="9" customFormat="false" ht="15" hidden="false" customHeight="false" outlineLevel="0" collapsed="false">
      <c r="A9" s="0" t="s">
        <v>130</v>
      </c>
      <c r="B9" s="0" t="s">
        <v>118</v>
      </c>
      <c r="C9" s="0" t="s">
        <v>131</v>
      </c>
      <c r="D9" s="0" t="s">
        <v>132</v>
      </c>
      <c r="F9" s="0" t="s">
        <v>124</v>
      </c>
      <c r="I9" s="0" t="s">
        <v>133</v>
      </c>
      <c r="L9" s="3" t="str">
        <f aca="false">IF(K9="","",K9*4)</f>
        <v/>
      </c>
      <c r="N9" s="3" t="str">
        <f aca="false">IF(OR(K9="",H9=""),"",K9*4/H9)</f>
        <v/>
      </c>
      <c r="Q9" s="3" t="str">
        <f aca="false">IF(OR(O9="",J9=""),"",O9/J9*100)</f>
        <v/>
      </c>
      <c r="R9" s="3" t="str">
        <f aca="false">IF(OR(P9="",K9=""),"",P9/K9*100)</f>
        <v/>
      </c>
      <c r="T9" s="2" t="n">
        <v>1500</v>
      </c>
      <c r="U9" s="0" t="s">
        <v>134</v>
      </c>
      <c r="W9" s="0" t="s">
        <v>135</v>
      </c>
      <c r="AC9" s="0" t="s">
        <v>125</v>
      </c>
      <c r="AD9" s="3" t="str">
        <f aca="false">IF(X9="","",X9+N(AA9))</f>
        <v/>
      </c>
      <c r="AE9" s="3" t="str">
        <f aca="false">IF(Y9="","",Y9+N(AB9))</f>
        <v/>
      </c>
      <c r="AG9" s="0" t="s">
        <v>136</v>
      </c>
      <c r="AI9" s="0" t="s">
        <v>137</v>
      </c>
      <c r="AL9" s="2" t="n">
        <v>5900</v>
      </c>
      <c r="AM9" s="2" t="n">
        <v>5900</v>
      </c>
      <c r="AO9" s="3" t="n">
        <f aca="false">IF(AL9="","",AL9+N(X9)-N(Y9)+N(Z9))</f>
        <v>5900</v>
      </c>
      <c r="AP9" s="3" t="n">
        <f aca="false">IF(AM9="","",AM9+N(AD9)-N(AE9)+N(Z9))</f>
        <v>5900</v>
      </c>
      <c r="AQ9" s="3" t="str">
        <f aca="false">IF(OR(AP9="",G9=""),"",AP9/G9)</f>
        <v/>
      </c>
      <c r="AR9" s="3" t="str">
        <f aca="false">IF(OR(AP9="",H9=""),"",AP9/H9)</f>
        <v/>
      </c>
      <c r="AS9" s="3" t="str">
        <f aca="false">IF(OR(AP9="",O9=""),"",IF(O9&lt;=0,"n/m",AP9/O9))</f>
        <v/>
      </c>
      <c r="AT9" s="3" t="str">
        <f aca="false">IF(OR(AP9="",P9=""),"",IF(P9&lt;=0,"n/m",AP9/(P9*4)))</f>
        <v/>
      </c>
      <c r="AU9" s="3" t="str">
        <f aca="false">IF(OR(AP9="",S9=""),"",AP9/S9)</f>
        <v/>
      </c>
      <c r="AV9" s="3" t="str">
        <f aca="false">IF(OR(AP9="",J9=""),"",AP9/J9)</f>
        <v/>
      </c>
      <c r="AW9" s="3" t="str">
        <f aca="false">IF(OR(AP9="",K9=""),"",AP9/(K9*4))</f>
        <v/>
      </c>
      <c r="AX9" s="3" t="n">
        <f aca="false">IF(OR(AP9="",T9=""),"",AP9/T9)</f>
        <v>3.93333333333333</v>
      </c>
      <c r="AY9" s="0" t="s">
        <v>138</v>
      </c>
      <c r="AZ9" s="0" t="s">
        <v>139</v>
      </c>
    </row>
    <row r="11" customFormat="false" ht="15" hidden="false" customHeight="false" outlineLevel="0" collapsed="false">
      <c r="A11" s="0" t="s">
        <v>140</v>
      </c>
    </row>
    <row r="12" customFormat="false" ht="15" hidden="false" customHeight="false" outlineLevel="0" collapsed="false">
      <c r="A12" s="0" t="s">
        <v>141</v>
      </c>
    </row>
    <row r="14" customFormat="false" ht="15" hidden="false" customHeight="false" outlineLevel="0" collapsed="false">
      <c r="A14" s="4" t="s">
        <v>142</v>
      </c>
    </row>
    <row r="15" customFormat="false" ht="15" hidden="false" customHeight="false" outlineLevel="0" collapsed="false">
      <c r="A15" s="4" t="s">
        <v>0</v>
      </c>
      <c r="B15" s="4" t="s">
        <v>143</v>
      </c>
      <c r="C15" s="4" t="s">
        <v>144</v>
      </c>
      <c r="D15" s="4" t="s">
        <v>145</v>
      </c>
      <c r="E15" s="4" t="s">
        <v>146</v>
      </c>
      <c r="F15" s="4" t="s">
        <v>147</v>
      </c>
    </row>
    <row r="16" customFormat="false" ht="15" hidden="false" customHeight="false" outlineLevel="0" collapsed="false">
      <c r="A16" s="0" t="s">
        <v>148</v>
      </c>
      <c r="B16" s="0" t="n">
        <v>10300</v>
      </c>
      <c r="C16" s="0" t="n">
        <v>1500</v>
      </c>
      <c r="D16" s="5" t="n">
        <f aca="false">B16/C16</f>
        <v>6.86666666666667</v>
      </c>
      <c r="E16" s="0" t="s">
        <v>149</v>
      </c>
      <c r="F16" s="0" t="s">
        <v>150</v>
      </c>
    </row>
    <row r="17" customFormat="false" ht="15" hidden="false" customHeight="false" outlineLevel="0" collapsed="false">
      <c r="A17" s="0" t="s">
        <v>151</v>
      </c>
      <c r="B17" s="0" t="n">
        <v>10300</v>
      </c>
      <c r="C17" s="0" t="n">
        <v>1250</v>
      </c>
      <c r="D17" s="5" t="n">
        <f aca="false">B17/C17</f>
        <v>8.24</v>
      </c>
      <c r="E17" s="0" t="s">
        <v>152</v>
      </c>
      <c r="F17" s="0" t="s">
        <v>150</v>
      </c>
    </row>
    <row r="18" customFormat="false" ht="15" hidden="false" customHeight="false" outlineLevel="0" collapsed="false">
      <c r="A18" s="0" t="s">
        <v>153</v>
      </c>
      <c r="B18" s="0" t="n">
        <v>282</v>
      </c>
      <c r="C18" s="0" t="n">
        <v>40</v>
      </c>
      <c r="D18" s="5" t="n">
        <f aca="false">B18/C18</f>
        <v>7.05</v>
      </c>
      <c r="E18" s="0" t="s">
        <v>154</v>
      </c>
      <c r="F18" s="0" t="s">
        <v>155</v>
      </c>
    </row>
    <row r="19" customFormat="false" ht="15" hidden="false" customHeight="false" outlineLevel="0" collapsed="false">
      <c r="A19" s="0" t="s">
        <v>156</v>
      </c>
      <c r="B19" s="0" t="n">
        <v>548.8</v>
      </c>
      <c r="C19" s="0" t="n">
        <v>420</v>
      </c>
      <c r="D19" s="5" t="n">
        <f aca="false">B19/C19</f>
        <v>1.30666666666667</v>
      </c>
      <c r="E19" s="0" t="s">
        <v>157</v>
      </c>
      <c r="F19" s="0" t="s">
        <v>158</v>
      </c>
    </row>
    <row r="20" customFormat="false" ht="15" hidden="false" customHeight="false" outlineLevel="0" collapsed="false">
      <c r="A20" s="0" t="s">
        <v>159</v>
      </c>
      <c r="B20" s="0" t="n">
        <v>2329.2</v>
      </c>
      <c r="C20" s="0" t="n">
        <v>170</v>
      </c>
      <c r="D20" s="5" t="n">
        <f aca="false">B20/C20</f>
        <v>13.7011764705882</v>
      </c>
      <c r="E20" s="0" t="s">
        <v>160</v>
      </c>
      <c r="F20" s="0" t="s">
        <v>161</v>
      </c>
    </row>
    <row r="21" customFormat="false" ht="15" hidden="false" customHeight="false" outlineLevel="0" collapsed="false">
      <c r="A21" s="0" t="s">
        <v>162</v>
      </c>
      <c r="B21" s="0" t="n">
        <v>2000</v>
      </c>
      <c r="C21" s="0" t="n">
        <v>1000</v>
      </c>
      <c r="D21" s="5" t="n">
        <f aca="false">B21/C21</f>
        <v>2</v>
      </c>
      <c r="E21" s="0" t="s">
        <v>163</v>
      </c>
      <c r="F21" s="0" t="s">
        <v>164</v>
      </c>
    </row>
    <row r="23" customFormat="false" ht="15" hidden="false" customHeight="false" outlineLevel="0" collapsed="false">
      <c r="A23" s="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90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4" t="s">
        <v>0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171</v>
      </c>
      <c r="H1" s="4" t="s">
        <v>172</v>
      </c>
      <c r="I1" s="4" t="s">
        <v>173</v>
      </c>
      <c r="J1" s="4" t="s">
        <v>147</v>
      </c>
    </row>
    <row r="2" customFormat="false" ht="15" hidden="false" customHeight="false" outlineLevel="0" collapsed="false">
      <c r="A2" s="0" t="s">
        <v>52</v>
      </c>
      <c r="B2" s="0" t="s">
        <v>174</v>
      </c>
      <c r="G2" s="0" t="n">
        <v>68710</v>
      </c>
      <c r="I2" s="0" t="s">
        <v>175</v>
      </c>
      <c r="J2" s="0" t="s">
        <v>176</v>
      </c>
    </row>
    <row r="3" customFormat="false" ht="15" hidden="false" customHeight="false" outlineLevel="0" collapsed="false">
      <c r="A3" s="0" t="s">
        <v>52</v>
      </c>
      <c r="B3" s="0" t="s">
        <v>177</v>
      </c>
      <c r="C3" s="2" t="n">
        <f aca="false">Comps!AL2</f>
        <v>71124.18540274</v>
      </c>
      <c r="D3" s="2" t="n">
        <f aca="false">Comps!X2</f>
        <v>8545.7</v>
      </c>
      <c r="E3" s="2" t="n">
        <f aca="false">Comps!Y2</f>
        <v>8042.1</v>
      </c>
      <c r="F3" s="0" t="n">
        <f aca="false">N(Comps!Z2)</f>
        <v>0</v>
      </c>
      <c r="G3" s="2" t="n">
        <f aca="false">Comps!AO2</f>
        <v>71627.78540274</v>
      </c>
      <c r="H3" s="2" t="n">
        <f aca="false">Comps!AJ2</f>
        <v>292.921154</v>
      </c>
      <c r="I3" s="0" t="s">
        <v>54</v>
      </c>
    </row>
    <row r="4" customFormat="false" ht="15" hidden="false" customHeight="false" outlineLevel="0" collapsed="false">
      <c r="A4" s="0" t="s">
        <v>52</v>
      </c>
      <c r="B4" s="0" t="s">
        <v>178</v>
      </c>
      <c r="C4" s="2" t="n">
        <f aca="false">Comps!AM2</f>
        <v>74960.3032</v>
      </c>
      <c r="D4" s="2" t="n">
        <f aca="false">Comps!AD2</f>
        <v>14270.7</v>
      </c>
      <c r="E4" s="2" t="n">
        <f aca="false">Comps!AE2</f>
        <v>14497.1</v>
      </c>
      <c r="F4" s="0" t="n">
        <f aca="false">N(Comps!Z2)</f>
        <v>0</v>
      </c>
      <c r="G4" s="2" t="n">
        <f aca="false">Comps!AP2</f>
        <v>74733.9032</v>
      </c>
      <c r="H4" s="2" t="n">
        <f aca="false">Comps!AK2</f>
        <v>308.72</v>
      </c>
      <c r="I4" s="0" t="s">
        <v>60</v>
      </c>
    </row>
    <row r="5" customFormat="false" ht="15" hidden="false" customHeight="false" outlineLevel="0" collapsed="false">
      <c r="A5" s="0" t="s">
        <v>65</v>
      </c>
      <c r="B5" s="0" t="s">
        <v>174</v>
      </c>
      <c r="G5" s="0" t="n">
        <v>95460</v>
      </c>
      <c r="I5" s="0" t="s">
        <v>175</v>
      </c>
      <c r="J5" s="0" t="s">
        <v>179</v>
      </c>
    </row>
    <row r="6" customFormat="false" ht="15" hidden="false" customHeight="false" outlineLevel="0" collapsed="false">
      <c r="A6" s="0" t="s">
        <v>65</v>
      </c>
      <c r="B6" s="0" t="s">
        <v>177</v>
      </c>
      <c r="C6" s="2" t="n">
        <f aca="false">Comps!AL3</f>
        <v>49428.71027124</v>
      </c>
      <c r="D6" s="2" t="n">
        <f aca="false">Comps!X3</f>
        <v>35068</v>
      </c>
      <c r="E6" s="2" t="n">
        <f aca="false">Comps!Y3</f>
        <v>5539</v>
      </c>
      <c r="F6" s="0" t="n">
        <f aca="false">N(Comps!Z3)</f>
        <v>0</v>
      </c>
      <c r="G6" s="2" t="n">
        <f aca="false">Comps!AO3</f>
        <v>78957.71027124</v>
      </c>
      <c r="H6" s="2" t="n">
        <f aca="false">Comps!AJ3</f>
        <v>551.536602</v>
      </c>
      <c r="I6" s="0" t="s">
        <v>67</v>
      </c>
    </row>
    <row r="7" customFormat="false" ht="15" hidden="false" customHeight="false" outlineLevel="0" collapsed="false">
      <c r="A7" s="0" t="s">
        <v>65</v>
      </c>
      <c r="B7" s="0" t="s">
        <v>178</v>
      </c>
      <c r="C7" s="2" t="n">
        <f aca="false">Comps!AM3</f>
        <v>49428.71027124</v>
      </c>
      <c r="D7" s="2" t="n">
        <f aca="false">Comps!AD3</f>
        <v>39268</v>
      </c>
      <c r="E7" s="2" t="n">
        <f aca="false">Comps!AE3</f>
        <v>9177.2</v>
      </c>
      <c r="F7" s="0" t="n">
        <f aca="false">N(Comps!Z3)</f>
        <v>0</v>
      </c>
      <c r="G7" s="2" t="n">
        <f aca="false">Comps!AP3</f>
        <v>79519.51027124</v>
      </c>
      <c r="H7" s="2" t="n">
        <f aca="false">Comps!AK3</f>
        <v>551.536602</v>
      </c>
      <c r="I7" s="0" t="s">
        <v>72</v>
      </c>
    </row>
    <row r="8" customFormat="false" ht="15" hidden="false" customHeight="false" outlineLevel="0" collapsed="false">
      <c r="A8" s="0" t="s">
        <v>76</v>
      </c>
      <c r="B8" s="0" t="s">
        <v>174</v>
      </c>
      <c r="I8" s="0" t="s">
        <v>180</v>
      </c>
    </row>
    <row r="9" customFormat="false" ht="15" hidden="false" customHeight="false" outlineLevel="0" collapsed="false">
      <c r="A9" s="0" t="s">
        <v>76</v>
      </c>
      <c r="B9" s="0" t="s">
        <v>177</v>
      </c>
      <c r="C9" s="2" t="n">
        <f aca="false">Comps!AL4</f>
        <v>15876.88507008</v>
      </c>
      <c r="D9" s="2" t="n">
        <f aca="false">Comps!X4</f>
        <v>7593</v>
      </c>
      <c r="E9" s="2" t="n">
        <f aca="false">Comps!Y4</f>
        <v>5895.6</v>
      </c>
      <c r="F9" s="0" t="n">
        <f aca="false">N(Comps!Z4)</f>
        <v>0</v>
      </c>
      <c r="G9" s="2" t="n">
        <f aca="false">Comps!AO4</f>
        <v>17574.28507008</v>
      </c>
      <c r="H9" s="2" t="n">
        <f aca="false">Comps!AJ4</f>
        <v>380.193608</v>
      </c>
      <c r="I9" s="0" t="s">
        <v>78</v>
      </c>
    </row>
    <row r="10" customFormat="false" ht="15" hidden="false" customHeight="false" outlineLevel="0" collapsed="false">
      <c r="A10" s="0" t="s">
        <v>76</v>
      </c>
      <c r="B10" s="0" t="s">
        <v>178</v>
      </c>
      <c r="C10" s="2" t="n">
        <f aca="false">Comps!AM4</f>
        <v>16455.88914048</v>
      </c>
      <c r="D10" s="2" t="n">
        <f aca="false">Comps!AD4</f>
        <v>7593</v>
      </c>
      <c r="E10" s="2" t="n">
        <f aca="false">Comps!AE4</f>
        <v>5895.6</v>
      </c>
      <c r="F10" s="0" t="n">
        <f aca="false">N(Comps!Z4)</f>
        <v>0</v>
      </c>
      <c r="G10" s="2" t="n">
        <f aca="false">Comps!AP4</f>
        <v>18153.28914048</v>
      </c>
      <c r="H10" s="2" t="n">
        <f aca="false">Comps!AK4</f>
        <v>394.058648</v>
      </c>
      <c r="I10" s="0" t="s">
        <v>83</v>
      </c>
    </row>
    <row r="11" customFormat="false" ht="15" hidden="false" customHeight="false" outlineLevel="0" collapsed="false">
      <c r="A11" s="0" t="s">
        <v>87</v>
      </c>
      <c r="B11" s="0" t="s">
        <v>174</v>
      </c>
      <c r="I11" s="0" t="s">
        <v>180</v>
      </c>
    </row>
    <row r="12" customFormat="false" ht="15" hidden="false" customHeight="false" outlineLevel="0" collapsed="false">
      <c r="A12" s="0" t="s">
        <v>87</v>
      </c>
      <c r="B12" s="0" t="s">
        <v>177</v>
      </c>
      <c r="C12" s="2" t="n">
        <f aca="false">Comps!AL5</f>
        <v>430277.6328</v>
      </c>
      <c r="D12" s="2" t="n">
        <f aca="false">Comps!X5</f>
        <v>125337</v>
      </c>
      <c r="E12" s="2" t="n">
        <f aca="false">Comps!Y5</f>
        <v>37077</v>
      </c>
      <c r="F12" s="0" t="n">
        <f aca="false">N(Comps!Z5)</f>
        <v>4954</v>
      </c>
      <c r="G12" s="2" t="n">
        <f aca="false">Comps!AO5</f>
        <v>523491.6328</v>
      </c>
      <c r="H12" s="2" t="n">
        <f aca="false">Comps!AJ5</f>
        <v>3023.736</v>
      </c>
      <c r="I12" s="0" t="s">
        <v>89</v>
      </c>
    </row>
    <row r="13" customFormat="false" ht="15" hidden="false" customHeight="false" outlineLevel="0" collapsed="false">
      <c r="A13" s="0" t="s">
        <v>87</v>
      </c>
      <c r="B13" s="0" t="s">
        <v>178</v>
      </c>
      <c r="C13" s="2" t="n">
        <f aca="false">Comps!AM5</f>
        <v>430277.6328</v>
      </c>
      <c r="D13" s="2" t="n">
        <f aca="false">Comps!AD5</f>
        <v>125337</v>
      </c>
      <c r="E13" s="2" t="n">
        <f aca="false">Comps!AE5</f>
        <v>37077</v>
      </c>
      <c r="F13" s="0" t="n">
        <f aca="false">N(Comps!Z5)</f>
        <v>4954</v>
      </c>
      <c r="G13" s="2" t="n">
        <f aca="false">Comps!AP5</f>
        <v>523491.6328</v>
      </c>
      <c r="H13" s="2" t="n">
        <f aca="false">Comps!AK5</f>
        <v>3023.736</v>
      </c>
      <c r="I13" s="0" t="s">
        <v>95</v>
      </c>
    </row>
    <row r="15" customFormat="false" ht="15" hidden="false" customHeight="false" outlineLevel="0" collapsed="false">
      <c r="A15" s="0" t="s">
        <v>181</v>
      </c>
    </row>
    <row r="16" customFormat="false" ht="15" hidden="false" customHeight="false" outlineLevel="0" collapsed="false">
      <c r="A16" s="0" t="s">
        <v>182</v>
      </c>
    </row>
    <row r="17" customFormat="false" ht="15" hidden="false" customHeight="false" outlineLevel="0" collapsed="false">
      <c r="A17" s="0" t="s">
        <v>183</v>
      </c>
    </row>
    <row r="18" customFormat="false" ht="15" hidden="false" customHeight="false" outlineLevel="0" collapsed="false">
      <c r="A18" s="0" t="s">
        <v>184</v>
      </c>
    </row>
    <row r="19" customFormat="false" ht="15" hidden="false" customHeight="false" outlineLevel="0" collapsed="false">
      <c r="A19" s="0" t="s">
        <v>185</v>
      </c>
    </row>
    <row r="20" customFormat="false" ht="15" hidden="false" customHeight="false" outlineLevel="0" collapsed="false">
      <c r="A20" s="0" t="s">
        <v>186</v>
      </c>
    </row>
    <row r="21" customFormat="false" ht="15" hidden="false" customHeight="false" outlineLevel="0" collapsed="false">
      <c r="A21" s="0" t="s">
        <v>187</v>
      </c>
    </row>
    <row r="22" customFormat="false" ht="15" hidden="false" customHeight="false" outlineLevel="0" collapsed="false">
      <c r="A22" s="0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40"/>
    <col collapsed="false" customWidth="true" hidden="false" outlineLevel="0" max="5" min="5" style="0" width="90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4" t="s">
        <v>189</v>
      </c>
      <c r="B1" s="4" t="s">
        <v>190</v>
      </c>
      <c r="C1" s="4" t="s">
        <v>191</v>
      </c>
      <c r="D1" s="4" t="s">
        <v>192</v>
      </c>
      <c r="E1" s="4" t="s">
        <v>193</v>
      </c>
      <c r="F1" s="4" t="s">
        <v>194</v>
      </c>
      <c r="G1" s="4" t="s">
        <v>195</v>
      </c>
    </row>
    <row r="2" customFormat="false" ht="15" hidden="false" customHeight="false" outlineLevel="0" collapsed="false">
      <c r="A2" s="0" t="s">
        <v>196</v>
      </c>
      <c r="B2" s="0" t="s">
        <v>197</v>
      </c>
      <c r="C2" s="0" t="n">
        <v>37490.6</v>
      </c>
      <c r="D2" s="0" t="s">
        <v>55</v>
      </c>
      <c r="E2" s="0" t="s">
        <v>198</v>
      </c>
      <c r="F2" s="0" t="s">
        <v>199</v>
      </c>
      <c r="G2" s="0" t="s">
        <v>200</v>
      </c>
    </row>
    <row r="3" customFormat="false" ht="15" hidden="false" customHeight="false" outlineLevel="0" collapsed="false">
      <c r="A3" s="0" t="s">
        <v>196</v>
      </c>
      <c r="B3" s="0" t="s">
        <v>6</v>
      </c>
      <c r="C3" s="0" t="n">
        <v>3500</v>
      </c>
      <c r="D3" s="0" t="s">
        <v>201</v>
      </c>
      <c r="E3" s="0" t="s">
        <v>202</v>
      </c>
      <c r="F3" s="0" t="s">
        <v>203</v>
      </c>
      <c r="G3" s="0" t="s">
        <v>204</v>
      </c>
    </row>
    <row r="4" customFormat="false" ht="15" hidden="false" customHeight="false" outlineLevel="0" collapsed="false">
      <c r="A4" s="0" t="s">
        <v>196</v>
      </c>
      <c r="B4" s="0" t="s">
        <v>205</v>
      </c>
      <c r="C4" s="0" t="s">
        <v>206</v>
      </c>
      <c r="D4" s="0" t="s">
        <v>207</v>
      </c>
      <c r="E4" s="0" t="s">
        <v>208</v>
      </c>
      <c r="F4" s="0" t="s">
        <v>209</v>
      </c>
      <c r="G4" s="0" t="s">
        <v>210</v>
      </c>
    </row>
    <row r="5" customFormat="false" ht="15" hidden="false" customHeight="false" outlineLevel="0" collapsed="false">
      <c r="A5" s="0" t="s">
        <v>196</v>
      </c>
      <c r="B5" s="0" t="s">
        <v>211</v>
      </c>
      <c r="C5" s="0" t="n">
        <v>170</v>
      </c>
      <c r="D5" s="0" t="s">
        <v>212</v>
      </c>
      <c r="E5" s="0" t="s">
        <v>161</v>
      </c>
      <c r="F5" s="0" t="s">
        <v>213</v>
      </c>
      <c r="G5" s="0" t="s">
        <v>214</v>
      </c>
    </row>
    <row r="6" customFormat="false" ht="15" hidden="false" customHeight="false" outlineLevel="0" collapsed="false">
      <c r="A6" s="0" t="s">
        <v>196</v>
      </c>
      <c r="B6" s="0" t="s">
        <v>215</v>
      </c>
      <c r="C6" s="0" t="n">
        <v>582.3</v>
      </c>
      <c r="D6" s="0" t="s">
        <v>216</v>
      </c>
      <c r="E6" s="0" t="s">
        <v>217</v>
      </c>
      <c r="G6" s="0" t="s">
        <v>200</v>
      </c>
    </row>
    <row r="7" customFormat="false" ht="15" hidden="false" customHeight="false" outlineLevel="0" collapsed="false">
      <c r="A7" s="0" t="s">
        <v>196</v>
      </c>
      <c r="B7" s="0" t="s">
        <v>218</v>
      </c>
      <c r="C7" s="0" t="s">
        <v>219</v>
      </c>
      <c r="D7" s="0" t="s">
        <v>220</v>
      </c>
      <c r="E7" s="0" t="s">
        <v>217</v>
      </c>
      <c r="G7" s="0" t="s">
        <v>200</v>
      </c>
    </row>
    <row r="8" customFormat="false" ht="15" hidden="false" customHeight="false" outlineLevel="0" collapsed="false">
      <c r="A8" s="0" t="s">
        <v>196</v>
      </c>
      <c r="B8" s="0" t="s">
        <v>221</v>
      </c>
      <c r="C8" s="0" t="n">
        <v>529.8</v>
      </c>
      <c r="D8" s="0" t="s">
        <v>222</v>
      </c>
      <c r="E8" s="0" t="s">
        <v>223</v>
      </c>
      <c r="F8" s="0" t="s">
        <v>224</v>
      </c>
      <c r="G8" s="0" t="s">
        <v>200</v>
      </c>
    </row>
    <row r="9" customFormat="false" ht="15" hidden="false" customHeight="false" outlineLevel="0" collapsed="false">
      <c r="A9" s="0" t="s">
        <v>196</v>
      </c>
      <c r="B9" s="0" t="s">
        <v>225</v>
      </c>
      <c r="C9" s="0" t="n">
        <v>1355.1</v>
      </c>
      <c r="D9" s="0" t="s">
        <v>226</v>
      </c>
      <c r="E9" s="0" t="s">
        <v>227</v>
      </c>
      <c r="F9" s="0" t="s">
        <v>228</v>
      </c>
      <c r="G9" s="0" t="s">
        <v>229</v>
      </c>
    </row>
    <row r="10" customFormat="false" ht="15" hidden="false" customHeight="false" outlineLevel="0" collapsed="false">
      <c r="A10" s="0" t="s">
        <v>196</v>
      </c>
      <c r="B10" s="0" t="s">
        <v>230</v>
      </c>
      <c r="C10" s="0" t="n">
        <v>454</v>
      </c>
      <c r="D10" s="0" t="s">
        <v>216</v>
      </c>
      <c r="E10" s="0" t="s">
        <v>217</v>
      </c>
      <c r="G10" s="0" t="s">
        <v>200</v>
      </c>
    </row>
    <row r="11" customFormat="false" ht="15" hidden="false" customHeight="false" outlineLevel="0" collapsed="false">
      <c r="A11" s="0" t="s">
        <v>196</v>
      </c>
      <c r="B11" s="0" t="s">
        <v>231</v>
      </c>
      <c r="C11" s="0" t="s">
        <v>232</v>
      </c>
      <c r="E11" s="0" t="s">
        <v>217</v>
      </c>
      <c r="G11" s="0" t="s">
        <v>200</v>
      </c>
    </row>
    <row r="12" customFormat="false" ht="15" hidden="false" customHeight="false" outlineLevel="0" collapsed="false">
      <c r="A12" s="0" t="s">
        <v>196</v>
      </c>
      <c r="B12" s="0" t="s">
        <v>233</v>
      </c>
      <c r="C12" s="0" t="n">
        <v>-64.9</v>
      </c>
      <c r="D12" s="0" t="s">
        <v>222</v>
      </c>
      <c r="E12" s="0" t="s">
        <v>161</v>
      </c>
      <c r="F12" s="0" t="s">
        <v>234</v>
      </c>
      <c r="G12" s="0" t="s">
        <v>200</v>
      </c>
    </row>
    <row r="13" customFormat="false" ht="15" hidden="false" customHeight="false" outlineLevel="0" collapsed="false">
      <c r="A13" s="0" t="s">
        <v>196</v>
      </c>
      <c r="B13" s="0" t="s">
        <v>235</v>
      </c>
      <c r="C13" s="0" t="n">
        <v>375.5</v>
      </c>
      <c r="D13" s="0" t="s">
        <v>236</v>
      </c>
      <c r="E13" s="0" t="s">
        <v>227</v>
      </c>
      <c r="F13" s="0" t="s">
        <v>237</v>
      </c>
      <c r="G13" s="0" t="s">
        <v>229</v>
      </c>
    </row>
    <row r="14" customFormat="false" ht="15" hidden="false" customHeight="false" outlineLevel="0" collapsed="false">
      <c r="A14" s="0" t="s">
        <v>196</v>
      </c>
      <c r="B14" s="0" t="s">
        <v>238</v>
      </c>
      <c r="C14" s="0" t="n">
        <v>5411.7</v>
      </c>
      <c r="D14" s="0" t="s">
        <v>239</v>
      </c>
      <c r="E14" s="0" t="s">
        <v>240</v>
      </c>
      <c r="F14" s="0" t="s">
        <v>241</v>
      </c>
      <c r="G14" s="0" t="s">
        <v>242</v>
      </c>
    </row>
    <row r="15" customFormat="false" ht="15" hidden="false" customHeight="false" outlineLevel="0" collapsed="false">
      <c r="A15" s="0" t="s">
        <v>196</v>
      </c>
      <c r="B15" s="0" t="s">
        <v>243</v>
      </c>
      <c r="C15" s="0" t="s">
        <v>244</v>
      </c>
      <c r="D15" s="0" t="s">
        <v>245</v>
      </c>
      <c r="E15" s="0" t="s">
        <v>246</v>
      </c>
      <c r="F15" s="0" t="s">
        <v>247</v>
      </c>
      <c r="G15" s="0" t="s">
        <v>210</v>
      </c>
    </row>
    <row r="16" customFormat="false" ht="15" hidden="false" customHeight="false" outlineLevel="0" collapsed="false">
      <c r="A16" s="0" t="s">
        <v>196</v>
      </c>
      <c r="B16" s="0" t="s">
        <v>248</v>
      </c>
      <c r="C16" s="0" t="n">
        <v>5.09</v>
      </c>
      <c r="D16" s="0" t="s">
        <v>55</v>
      </c>
      <c r="E16" s="0" t="s">
        <v>198</v>
      </c>
      <c r="F16" s="0" t="s">
        <v>249</v>
      </c>
      <c r="G16" s="0" t="s">
        <v>229</v>
      </c>
    </row>
    <row r="17" customFormat="false" ht="15" hidden="false" customHeight="false" outlineLevel="0" collapsed="false">
      <c r="A17" s="0" t="s">
        <v>196</v>
      </c>
      <c r="B17" s="0" t="s">
        <v>250</v>
      </c>
      <c r="C17" s="0" t="s">
        <v>251</v>
      </c>
      <c r="D17" s="0" t="s">
        <v>252</v>
      </c>
      <c r="E17" s="0" t="s">
        <v>253</v>
      </c>
      <c r="G17" s="0" t="s">
        <v>200</v>
      </c>
    </row>
    <row r="18" customFormat="false" ht="15" hidden="false" customHeight="false" outlineLevel="0" collapsed="false">
      <c r="A18" s="0" t="s">
        <v>196</v>
      </c>
      <c r="B18" s="0" t="s">
        <v>254</v>
      </c>
      <c r="C18" s="0" t="n">
        <v>775</v>
      </c>
      <c r="D18" s="0" t="s">
        <v>255</v>
      </c>
      <c r="E18" s="0" t="s">
        <v>198</v>
      </c>
      <c r="F18" s="0" t="s">
        <v>256</v>
      </c>
      <c r="G18" s="0" t="s">
        <v>200</v>
      </c>
    </row>
    <row r="19" customFormat="false" ht="15" hidden="false" customHeight="false" outlineLevel="0" collapsed="false">
      <c r="A19" s="0" t="s">
        <v>196</v>
      </c>
      <c r="B19" s="0" t="s">
        <v>257</v>
      </c>
      <c r="C19" s="0" t="n">
        <v>8545.7</v>
      </c>
      <c r="D19" s="0" t="s">
        <v>55</v>
      </c>
      <c r="E19" s="0" t="s">
        <v>217</v>
      </c>
      <c r="F19" s="0" t="s">
        <v>258</v>
      </c>
      <c r="G19" s="0" t="s">
        <v>200</v>
      </c>
    </row>
    <row r="20" customFormat="false" ht="15" hidden="false" customHeight="false" outlineLevel="0" collapsed="false">
      <c r="A20" s="0" t="s">
        <v>196</v>
      </c>
      <c r="B20" s="0" t="s">
        <v>259</v>
      </c>
      <c r="C20" s="0" t="n">
        <v>8042.1</v>
      </c>
      <c r="D20" s="0" t="s">
        <v>55</v>
      </c>
      <c r="E20" s="0" t="s">
        <v>217</v>
      </c>
      <c r="F20" s="0" t="s">
        <v>260</v>
      </c>
      <c r="G20" s="0" t="s">
        <v>200</v>
      </c>
    </row>
    <row r="21" customFormat="false" ht="15" hidden="false" customHeight="false" outlineLevel="0" collapsed="false">
      <c r="A21" s="0" t="s">
        <v>196</v>
      </c>
      <c r="B21" s="0" t="s">
        <v>261</v>
      </c>
      <c r="C21" s="0" t="n">
        <v>5680</v>
      </c>
      <c r="D21" s="0" t="s">
        <v>262</v>
      </c>
      <c r="E21" s="0" t="s">
        <v>263</v>
      </c>
      <c r="F21" s="0" t="s">
        <v>264</v>
      </c>
      <c r="G21" s="0" t="s">
        <v>265</v>
      </c>
    </row>
    <row r="22" customFormat="false" ht="15" hidden="false" customHeight="false" outlineLevel="0" collapsed="false">
      <c r="A22" s="0" t="s">
        <v>196</v>
      </c>
      <c r="B22" s="0" t="s">
        <v>266</v>
      </c>
      <c r="C22" s="0" t="n">
        <v>24</v>
      </c>
      <c r="D22" s="0" t="s">
        <v>216</v>
      </c>
      <c r="E22" s="0" t="s">
        <v>198</v>
      </c>
      <c r="F22" s="0" t="s">
        <v>267</v>
      </c>
      <c r="G22" s="0" t="s">
        <v>200</v>
      </c>
    </row>
    <row r="23" customFormat="false" ht="15" hidden="false" customHeight="false" outlineLevel="0" collapsed="false">
      <c r="A23" s="0" t="s">
        <v>196</v>
      </c>
      <c r="B23" s="0" t="s">
        <v>268</v>
      </c>
      <c r="E23" s="0" t="s">
        <v>202</v>
      </c>
      <c r="F23" s="0" t="s">
        <v>269</v>
      </c>
      <c r="G23" s="0" t="s">
        <v>200</v>
      </c>
    </row>
    <row r="24" customFormat="false" ht="15" hidden="false" customHeight="false" outlineLevel="0" collapsed="false">
      <c r="A24" s="0" t="s">
        <v>196</v>
      </c>
      <c r="B24" s="0" t="s">
        <v>270</v>
      </c>
      <c r="C24" s="0" t="n">
        <v>271.855218</v>
      </c>
      <c r="D24" s="0" t="s">
        <v>55</v>
      </c>
      <c r="E24" s="0" t="s">
        <v>217</v>
      </c>
      <c r="G24" s="0" t="s">
        <v>200</v>
      </c>
    </row>
    <row r="25" customFormat="false" ht="15" hidden="false" customHeight="false" outlineLevel="0" collapsed="false">
      <c r="A25" s="0" t="s">
        <v>196</v>
      </c>
      <c r="B25" s="0" t="s">
        <v>271</v>
      </c>
      <c r="C25" s="0" t="n">
        <v>21.065936</v>
      </c>
      <c r="D25" s="0" t="s">
        <v>272</v>
      </c>
      <c r="E25" s="0" t="s">
        <v>198</v>
      </c>
      <c r="F25" s="0" t="s">
        <v>273</v>
      </c>
      <c r="G25" s="0" t="s">
        <v>200</v>
      </c>
    </row>
    <row r="26" customFormat="false" ht="15" hidden="false" customHeight="false" outlineLevel="0" collapsed="false">
      <c r="A26" s="0" t="s">
        <v>196</v>
      </c>
      <c r="B26" s="0" t="s">
        <v>274</v>
      </c>
      <c r="C26" s="0" t="n">
        <v>15.8</v>
      </c>
      <c r="D26" s="0" t="s">
        <v>252</v>
      </c>
      <c r="E26" s="0" t="s">
        <v>253</v>
      </c>
      <c r="F26" s="0" t="s">
        <v>275</v>
      </c>
      <c r="G26" s="0" t="s">
        <v>200</v>
      </c>
    </row>
    <row r="27" customFormat="false" ht="15" hidden="false" customHeight="false" outlineLevel="0" collapsed="false">
      <c r="A27" s="0" t="s">
        <v>196</v>
      </c>
      <c r="B27" s="0" t="s">
        <v>276</v>
      </c>
      <c r="C27" s="0" t="n">
        <v>242.81</v>
      </c>
      <c r="D27" s="0" t="s">
        <v>62</v>
      </c>
      <c r="E27" s="0" t="s">
        <v>277</v>
      </c>
      <c r="F27" s="0" t="s">
        <v>278</v>
      </c>
      <c r="G27" s="0" t="s">
        <v>279</v>
      </c>
    </row>
    <row r="28" customFormat="false" ht="15" hidden="false" customHeight="false" outlineLevel="0" collapsed="false">
      <c r="A28" s="0" t="s">
        <v>196</v>
      </c>
      <c r="B28" s="0" t="s">
        <v>280</v>
      </c>
      <c r="C28" s="0" t="n">
        <v>68710</v>
      </c>
      <c r="D28" s="0" t="s">
        <v>281</v>
      </c>
      <c r="E28" s="0" t="s">
        <v>176</v>
      </c>
      <c r="F28" s="0" t="s">
        <v>282</v>
      </c>
      <c r="G28" s="0" t="s">
        <v>283</v>
      </c>
    </row>
    <row r="29" customFormat="false" ht="15" hidden="false" customHeight="false" outlineLevel="0" collapsed="false">
      <c r="A29" s="0" t="s">
        <v>65</v>
      </c>
      <c r="B29" s="0" t="s">
        <v>197</v>
      </c>
      <c r="C29" s="0" t="n">
        <v>103700</v>
      </c>
      <c r="D29" s="0" t="s">
        <v>55</v>
      </c>
      <c r="E29" s="0" t="s">
        <v>284</v>
      </c>
      <c r="F29" s="0" t="s">
        <v>285</v>
      </c>
      <c r="G29" s="0" t="s">
        <v>200</v>
      </c>
    </row>
    <row r="30" customFormat="false" ht="15" hidden="false" customHeight="false" outlineLevel="0" collapsed="false">
      <c r="A30" s="0" t="s">
        <v>65</v>
      </c>
      <c r="B30" s="0" t="s">
        <v>286</v>
      </c>
      <c r="C30" s="0" t="s">
        <v>287</v>
      </c>
      <c r="D30" s="0" t="s">
        <v>55</v>
      </c>
      <c r="E30" s="0" t="s">
        <v>150</v>
      </c>
      <c r="F30" s="0" t="s">
        <v>288</v>
      </c>
      <c r="G30" s="0" t="s">
        <v>200</v>
      </c>
    </row>
    <row r="31" customFormat="false" ht="15" hidden="false" customHeight="false" outlineLevel="0" collapsed="false">
      <c r="A31" s="0" t="s">
        <v>65</v>
      </c>
      <c r="B31" s="0" t="s">
        <v>289</v>
      </c>
      <c r="C31" s="0" t="s">
        <v>290</v>
      </c>
      <c r="D31" s="0" t="s">
        <v>291</v>
      </c>
      <c r="E31" s="0" t="s">
        <v>150</v>
      </c>
      <c r="G31" s="0" t="s">
        <v>200</v>
      </c>
    </row>
    <row r="32" customFormat="false" ht="15" hidden="false" customHeight="false" outlineLevel="0" collapsed="false">
      <c r="A32" s="0" t="s">
        <v>65</v>
      </c>
      <c r="B32" s="0" t="s">
        <v>221</v>
      </c>
      <c r="C32" s="0" t="n">
        <v>5131</v>
      </c>
      <c r="D32" s="0" t="s">
        <v>222</v>
      </c>
      <c r="E32" s="0" t="s">
        <v>284</v>
      </c>
      <c r="G32" s="0" t="s">
        <v>200</v>
      </c>
    </row>
    <row r="33" customFormat="false" ht="15" hidden="false" customHeight="false" outlineLevel="0" collapsed="false">
      <c r="A33" s="0" t="s">
        <v>65</v>
      </c>
      <c r="B33" s="0" t="s">
        <v>225</v>
      </c>
      <c r="C33" s="0" t="n">
        <v>7590</v>
      </c>
      <c r="D33" s="0" t="s">
        <v>236</v>
      </c>
      <c r="E33" s="0" t="s">
        <v>227</v>
      </c>
      <c r="F33" s="0" t="s">
        <v>292</v>
      </c>
      <c r="G33" s="0" t="s">
        <v>229</v>
      </c>
    </row>
    <row r="34" customFormat="false" ht="15" hidden="false" customHeight="false" outlineLevel="0" collapsed="false">
      <c r="A34" s="0" t="s">
        <v>65</v>
      </c>
      <c r="B34" s="0" t="s">
        <v>293</v>
      </c>
      <c r="C34" s="0" t="s">
        <v>294</v>
      </c>
      <c r="E34" s="0" t="s">
        <v>150</v>
      </c>
      <c r="G34" s="0" t="s">
        <v>200</v>
      </c>
    </row>
    <row r="35" customFormat="false" ht="15" hidden="false" customHeight="false" outlineLevel="0" collapsed="false">
      <c r="A35" s="0" t="s">
        <v>65</v>
      </c>
      <c r="B35" s="0" t="s">
        <v>233</v>
      </c>
      <c r="C35" s="0" t="n">
        <v>3093</v>
      </c>
      <c r="D35" s="0" t="s">
        <v>222</v>
      </c>
      <c r="E35" s="0" t="s">
        <v>295</v>
      </c>
      <c r="G35" s="0" t="s">
        <v>200</v>
      </c>
    </row>
    <row r="36" customFormat="false" ht="15" hidden="false" customHeight="false" outlineLevel="0" collapsed="false">
      <c r="A36" s="0" t="s">
        <v>65</v>
      </c>
      <c r="B36" s="0" t="s">
        <v>235</v>
      </c>
      <c r="C36" s="0" t="n">
        <v>4400</v>
      </c>
      <c r="D36" s="0" t="s">
        <v>236</v>
      </c>
      <c r="E36" s="0" t="s">
        <v>227</v>
      </c>
      <c r="F36" s="0" t="s">
        <v>296</v>
      </c>
      <c r="G36" s="0" t="s">
        <v>229</v>
      </c>
    </row>
    <row r="37" customFormat="false" ht="15" hidden="false" customHeight="false" outlineLevel="0" collapsed="false">
      <c r="A37" s="0" t="s">
        <v>65</v>
      </c>
      <c r="B37" s="0" t="s">
        <v>297</v>
      </c>
      <c r="C37" s="0" t="n">
        <v>14372</v>
      </c>
      <c r="D37" s="0" t="s">
        <v>298</v>
      </c>
      <c r="E37" s="0" t="s">
        <v>299</v>
      </c>
      <c r="F37" s="0" t="s">
        <v>300</v>
      </c>
      <c r="G37" s="0" t="s">
        <v>242</v>
      </c>
    </row>
    <row r="38" customFormat="false" ht="15" hidden="false" customHeight="false" outlineLevel="0" collapsed="false">
      <c r="A38" s="0" t="s">
        <v>65</v>
      </c>
      <c r="B38" s="0" t="s">
        <v>243</v>
      </c>
      <c r="C38" s="0" t="s">
        <v>301</v>
      </c>
      <c r="D38" s="0" t="s">
        <v>245</v>
      </c>
      <c r="E38" s="0" t="s">
        <v>302</v>
      </c>
      <c r="G38" s="0" t="s">
        <v>210</v>
      </c>
    </row>
    <row r="39" customFormat="false" ht="15" hidden="false" customHeight="false" outlineLevel="0" collapsed="false">
      <c r="A39" s="0" t="s">
        <v>65</v>
      </c>
      <c r="B39" s="0" t="s">
        <v>248</v>
      </c>
      <c r="C39" s="0" t="n">
        <v>8.41</v>
      </c>
      <c r="D39" s="0" t="s">
        <v>55</v>
      </c>
      <c r="E39" s="0" t="s">
        <v>303</v>
      </c>
      <c r="F39" s="0" t="s">
        <v>304</v>
      </c>
      <c r="G39" s="0" t="s">
        <v>229</v>
      </c>
    </row>
    <row r="40" customFormat="false" ht="15" hidden="false" customHeight="false" outlineLevel="0" collapsed="false">
      <c r="A40" s="0" t="s">
        <v>65</v>
      </c>
      <c r="B40" s="0" t="s">
        <v>305</v>
      </c>
      <c r="C40" s="0" t="n">
        <v>4200</v>
      </c>
      <c r="D40" s="0" t="s">
        <v>306</v>
      </c>
      <c r="E40" s="0" t="s">
        <v>307</v>
      </c>
      <c r="F40" s="0" t="s">
        <v>308</v>
      </c>
      <c r="G40" s="0" t="s">
        <v>200</v>
      </c>
    </row>
    <row r="41" customFormat="false" ht="15" hidden="false" customHeight="false" outlineLevel="0" collapsed="false">
      <c r="A41" s="0" t="s">
        <v>65</v>
      </c>
      <c r="B41" s="0" t="s">
        <v>309</v>
      </c>
      <c r="C41" s="0" t="n">
        <v>2600</v>
      </c>
      <c r="D41" s="0" t="s">
        <v>310</v>
      </c>
      <c r="E41" s="0" t="s">
        <v>311</v>
      </c>
      <c r="F41" s="0" t="s">
        <v>312</v>
      </c>
      <c r="G41" s="0" t="s">
        <v>200</v>
      </c>
    </row>
    <row r="42" customFormat="false" ht="15" hidden="false" customHeight="false" outlineLevel="0" collapsed="false">
      <c r="A42" s="0" t="s">
        <v>65</v>
      </c>
      <c r="B42" s="0" t="s">
        <v>313</v>
      </c>
      <c r="C42" s="0" t="n">
        <v>35068</v>
      </c>
      <c r="D42" s="0" t="s">
        <v>55</v>
      </c>
      <c r="E42" s="0" t="s">
        <v>150</v>
      </c>
      <c r="F42" s="0" t="s">
        <v>314</v>
      </c>
      <c r="G42" s="0" t="s">
        <v>200</v>
      </c>
    </row>
    <row r="43" customFormat="false" ht="15" hidden="false" customHeight="false" outlineLevel="0" collapsed="false">
      <c r="A43" s="0" t="s">
        <v>65</v>
      </c>
      <c r="B43" s="0" t="s">
        <v>315</v>
      </c>
      <c r="C43" s="0" t="n">
        <v>5539</v>
      </c>
      <c r="D43" s="0" t="s">
        <v>55</v>
      </c>
      <c r="E43" s="0" t="s">
        <v>150</v>
      </c>
      <c r="F43" s="0" t="s">
        <v>316</v>
      </c>
      <c r="G43" s="0" t="s">
        <v>200</v>
      </c>
    </row>
    <row r="44" customFormat="false" ht="15" hidden="false" customHeight="false" outlineLevel="0" collapsed="false">
      <c r="A44" s="0" t="s">
        <v>65</v>
      </c>
      <c r="B44" s="0" t="s">
        <v>266</v>
      </c>
      <c r="C44" s="0" t="n">
        <v>36</v>
      </c>
      <c r="D44" s="0" t="s">
        <v>216</v>
      </c>
      <c r="E44" s="0" t="s">
        <v>303</v>
      </c>
      <c r="F44" s="0" t="s">
        <v>317</v>
      </c>
      <c r="G44" s="0" t="s">
        <v>200</v>
      </c>
    </row>
    <row r="45" customFormat="false" ht="15" hidden="false" customHeight="false" outlineLevel="0" collapsed="false">
      <c r="A45" s="0" t="s">
        <v>65</v>
      </c>
      <c r="B45" s="0" t="s">
        <v>318</v>
      </c>
      <c r="C45" s="0" t="n">
        <v>551.536602</v>
      </c>
      <c r="D45" s="0" t="s">
        <v>319</v>
      </c>
      <c r="E45" s="0" t="s">
        <v>303</v>
      </c>
      <c r="F45" s="0" t="s">
        <v>320</v>
      </c>
      <c r="G45" s="0" t="s">
        <v>200</v>
      </c>
    </row>
    <row r="46" customFormat="false" ht="15" hidden="false" customHeight="false" outlineLevel="0" collapsed="false">
      <c r="A46" s="0" t="s">
        <v>65</v>
      </c>
      <c r="B46" s="0" t="s">
        <v>276</v>
      </c>
      <c r="C46" s="0" t="n">
        <v>89.62</v>
      </c>
      <c r="D46" s="0" t="s">
        <v>62</v>
      </c>
      <c r="E46" s="0" t="s">
        <v>321</v>
      </c>
      <c r="G46" s="0" t="s">
        <v>279</v>
      </c>
    </row>
    <row r="47" customFormat="false" ht="15" hidden="false" customHeight="false" outlineLevel="0" collapsed="false">
      <c r="A47" s="0" t="s">
        <v>65</v>
      </c>
      <c r="B47" s="0" t="s">
        <v>280</v>
      </c>
      <c r="C47" s="0" t="n">
        <v>95460</v>
      </c>
      <c r="D47" s="0" t="s">
        <v>322</v>
      </c>
      <c r="E47" s="0" t="s">
        <v>179</v>
      </c>
      <c r="F47" s="0" t="s">
        <v>323</v>
      </c>
      <c r="G47" s="0" t="s">
        <v>283</v>
      </c>
    </row>
    <row r="48" customFormat="false" ht="15" hidden="false" customHeight="false" outlineLevel="0" collapsed="false">
      <c r="A48" s="0" t="s">
        <v>76</v>
      </c>
      <c r="B48" s="0" t="s">
        <v>324</v>
      </c>
      <c r="C48" s="0" t="n">
        <v>16600</v>
      </c>
      <c r="D48" s="0" t="s">
        <v>55</v>
      </c>
      <c r="E48" s="0" t="s">
        <v>155</v>
      </c>
      <c r="F48" s="0" t="s">
        <v>325</v>
      </c>
      <c r="G48" s="0" t="s">
        <v>200</v>
      </c>
    </row>
    <row r="49" customFormat="false" ht="15" hidden="false" customHeight="false" outlineLevel="0" collapsed="false">
      <c r="A49" s="0" t="s">
        <v>76</v>
      </c>
      <c r="B49" s="0" t="s">
        <v>326</v>
      </c>
      <c r="C49" s="0" t="n">
        <v>5000</v>
      </c>
      <c r="D49" s="0" t="s">
        <v>55</v>
      </c>
      <c r="E49" s="0" t="s">
        <v>155</v>
      </c>
      <c r="F49" s="0" t="s">
        <v>327</v>
      </c>
      <c r="G49" s="0" t="s">
        <v>200</v>
      </c>
    </row>
    <row r="50" customFormat="false" ht="15" hidden="false" customHeight="false" outlineLevel="0" collapsed="false">
      <c r="A50" s="0" t="s">
        <v>76</v>
      </c>
      <c r="B50" s="0" t="s">
        <v>328</v>
      </c>
      <c r="C50" s="0" t="s">
        <v>329</v>
      </c>
      <c r="D50" s="0" t="s">
        <v>55</v>
      </c>
      <c r="E50" s="0" t="s">
        <v>155</v>
      </c>
      <c r="G50" s="0" t="s">
        <v>200</v>
      </c>
    </row>
    <row r="51" customFormat="false" ht="15" hidden="false" customHeight="false" outlineLevel="0" collapsed="false">
      <c r="A51" s="0" t="s">
        <v>76</v>
      </c>
      <c r="B51" s="0" t="s">
        <v>330</v>
      </c>
      <c r="C51" s="0" t="s">
        <v>331</v>
      </c>
      <c r="D51" s="0" t="s">
        <v>332</v>
      </c>
      <c r="E51" s="0" t="s">
        <v>158</v>
      </c>
      <c r="G51" s="0" t="s">
        <v>200</v>
      </c>
    </row>
    <row r="52" customFormat="false" ht="15" hidden="false" customHeight="false" outlineLevel="0" collapsed="false">
      <c r="A52" s="0" t="s">
        <v>76</v>
      </c>
      <c r="B52" s="0" t="s">
        <v>333</v>
      </c>
      <c r="C52" s="0" t="n">
        <v>187.292</v>
      </c>
      <c r="D52" s="0" t="s">
        <v>334</v>
      </c>
      <c r="E52" s="0" t="s">
        <v>335</v>
      </c>
      <c r="F52" s="0" t="s">
        <v>336</v>
      </c>
      <c r="G52" s="0" t="s">
        <v>229</v>
      </c>
    </row>
    <row r="53" customFormat="false" ht="15" hidden="false" customHeight="false" outlineLevel="0" collapsed="false">
      <c r="A53" s="0" t="s">
        <v>76</v>
      </c>
      <c r="B53" s="0" t="s">
        <v>337</v>
      </c>
      <c r="C53" s="0" t="s">
        <v>338</v>
      </c>
      <c r="D53" s="0" t="s">
        <v>332</v>
      </c>
      <c r="E53" s="0" t="s">
        <v>158</v>
      </c>
      <c r="G53" s="0" t="s">
        <v>200</v>
      </c>
    </row>
    <row r="54" customFormat="false" ht="15" hidden="false" customHeight="false" outlineLevel="0" collapsed="false">
      <c r="A54" s="0" t="s">
        <v>76</v>
      </c>
      <c r="B54" s="0" t="s">
        <v>248</v>
      </c>
      <c r="C54" s="0" t="n">
        <v>1.85</v>
      </c>
      <c r="D54" s="0" t="s">
        <v>55</v>
      </c>
      <c r="E54" s="0" t="s">
        <v>155</v>
      </c>
      <c r="F54" s="0" t="s">
        <v>339</v>
      </c>
      <c r="G54" s="0" t="s">
        <v>229</v>
      </c>
    </row>
    <row r="55" customFormat="false" ht="15" hidden="false" customHeight="false" outlineLevel="0" collapsed="false">
      <c r="A55" s="0" t="s">
        <v>76</v>
      </c>
      <c r="B55" s="0" t="s">
        <v>340</v>
      </c>
      <c r="C55" s="0" t="n">
        <v>6</v>
      </c>
      <c r="D55" s="0" t="s">
        <v>332</v>
      </c>
      <c r="E55" s="0" t="s">
        <v>158</v>
      </c>
      <c r="F55" s="0" t="s">
        <v>341</v>
      </c>
      <c r="G55" s="0" t="s">
        <v>200</v>
      </c>
    </row>
    <row r="56" customFormat="false" ht="15" hidden="false" customHeight="false" outlineLevel="0" collapsed="false">
      <c r="A56" s="0" t="s">
        <v>76</v>
      </c>
      <c r="B56" s="0" t="s">
        <v>342</v>
      </c>
      <c r="C56" s="0" t="n">
        <v>7593</v>
      </c>
      <c r="D56" s="0" t="s">
        <v>55</v>
      </c>
      <c r="E56" s="0" t="s">
        <v>158</v>
      </c>
      <c r="F56" s="0" t="s">
        <v>343</v>
      </c>
      <c r="G56" s="0" t="s">
        <v>200</v>
      </c>
    </row>
    <row r="57" customFormat="false" ht="15" hidden="false" customHeight="false" outlineLevel="0" collapsed="false">
      <c r="A57" s="0" t="s">
        <v>76</v>
      </c>
      <c r="B57" s="0" t="s">
        <v>259</v>
      </c>
      <c r="C57" s="0" t="n">
        <v>5895.6</v>
      </c>
      <c r="D57" s="0" t="s">
        <v>55</v>
      </c>
      <c r="E57" s="0" t="s">
        <v>158</v>
      </c>
      <c r="F57" s="0" t="s">
        <v>344</v>
      </c>
      <c r="G57" s="0" t="s">
        <v>200</v>
      </c>
    </row>
    <row r="58" customFormat="false" ht="15" hidden="false" customHeight="false" outlineLevel="0" collapsed="false">
      <c r="A58" s="0" t="s">
        <v>76</v>
      </c>
      <c r="B58" s="0" t="s">
        <v>345</v>
      </c>
      <c r="E58" s="0" t="s">
        <v>155</v>
      </c>
      <c r="F58" s="0" t="s">
        <v>346</v>
      </c>
      <c r="G58" s="0" t="s">
        <v>200</v>
      </c>
    </row>
    <row r="59" customFormat="false" ht="15" hidden="false" customHeight="false" outlineLevel="0" collapsed="false">
      <c r="A59" s="0" t="s">
        <v>76</v>
      </c>
      <c r="B59" s="0" t="s">
        <v>347</v>
      </c>
      <c r="C59" s="0" t="s">
        <v>348</v>
      </c>
      <c r="E59" s="0" t="s">
        <v>155</v>
      </c>
      <c r="G59" s="0" t="s">
        <v>200</v>
      </c>
    </row>
    <row r="60" customFormat="false" ht="15" hidden="false" customHeight="false" outlineLevel="0" collapsed="false">
      <c r="A60" s="0" t="s">
        <v>76</v>
      </c>
      <c r="B60" s="0" t="s">
        <v>276</v>
      </c>
      <c r="C60" s="0" t="n">
        <v>41.76</v>
      </c>
      <c r="D60" s="0" t="s">
        <v>62</v>
      </c>
      <c r="E60" s="0" t="s">
        <v>349</v>
      </c>
      <c r="G60" s="0" t="s">
        <v>279</v>
      </c>
    </row>
    <row r="61" customFormat="false" ht="15" hidden="false" customHeight="false" outlineLevel="0" collapsed="false">
      <c r="A61" s="0" t="s">
        <v>350</v>
      </c>
      <c r="B61" s="0" t="s">
        <v>197</v>
      </c>
      <c r="C61" s="0" t="n">
        <v>664000</v>
      </c>
      <c r="D61" s="0" t="s">
        <v>90</v>
      </c>
      <c r="E61" s="0" t="s">
        <v>351</v>
      </c>
      <c r="F61" s="0" t="s">
        <v>352</v>
      </c>
      <c r="G61" s="0" t="s">
        <v>200</v>
      </c>
    </row>
    <row r="62" customFormat="false" ht="15" hidden="false" customHeight="false" outlineLevel="0" collapsed="false">
      <c r="A62" s="0" t="s">
        <v>350</v>
      </c>
      <c r="B62" s="0" t="s">
        <v>353</v>
      </c>
      <c r="C62" s="0" t="s">
        <v>354</v>
      </c>
      <c r="E62" s="0" t="s">
        <v>355</v>
      </c>
      <c r="G62" s="0" t="s">
        <v>200</v>
      </c>
    </row>
    <row r="63" customFormat="false" ht="15" hidden="false" customHeight="false" outlineLevel="0" collapsed="false">
      <c r="A63" s="0" t="s">
        <v>350</v>
      </c>
      <c r="B63" s="0" t="s">
        <v>356</v>
      </c>
      <c r="C63" s="0" t="s">
        <v>357</v>
      </c>
      <c r="E63" s="0" t="s">
        <v>355</v>
      </c>
      <c r="F63" s="0" t="s">
        <v>358</v>
      </c>
      <c r="G63" s="0" t="s">
        <v>200</v>
      </c>
    </row>
    <row r="64" customFormat="false" ht="15" hidden="false" customHeight="false" outlineLevel="0" collapsed="false">
      <c r="A64" s="0" t="s">
        <v>350</v>
      </c>
      <c r="B64" s="0" t="s">
        <v>359</v>
      </c>
      <c r="C64" s="0" t="n">
        <v>38752</v>
      </c>
      <c r="D64" s="0" t="s">
        <v>360</v>
      </c>
      <c r="E64" s="0" t="s">
        <v>361</v>
      </c>
      <c r="F64" s="0" t="s">
        <v>362</v>
      </c>
      <c r="G64" s="0" t="s">
        <v>229</v>
      </c>
    </row>
    <row r="65" customFormat="false" ht="15" hidden="false" customHeight="false" outlineLevel="0" collapsed="false">
      <c r="A65" s="0" t="s">
        <v>350</v>
      </c>
      <c r="B65" s="0" t="s">
        <v>363</v>
      </c>
      <c r="C65" s="0" t="n">
        <v>11213</v>
      </c>
      <c r="D65" s="0" t="s">
        <v>101</v>
      </c>
      <c r="E65" s="0" t="s">
        <v>355</v>
      </c>
      <c r="F65" s="0" t="s">
        <v>364</v>
      </c>
      <c r="G65" s="0" t="s">
        <v>229</v>
      </c>
    </row>
    <row r="66" customFormat="false" ht="15" hidden="false" customHeight="false" outlineLevel="0" collapsed="false">
      <c r="A66" s="0" t="s">
        <v>350</v>
      </c>
      <c r="B66" s="0" t="s">
        <v>365</v>
      </c>
      <c r="C66" s="0" t="n">
        <v>4.48</v>
      </c>
      <c r="D66" s="0" t="s">
        <v>101</v>
      </c>
      <c r="E66" s="0" t="s">
        <v>355</v>
      </c>
      <c r="F66" s="0" t="s">
        <v>366</v>
      </c>
      <c r="G66" s="0" t="s">
        <v>229</v>
      </c>
    </row>
    <row r="67" customFormat="false" ht="15" hidden="false" customHeight="false" outlineLevel="0" collapsed="false">
      <c r="A67" s="0" t="s">
        <v>350</v>
      </c>
      <c r="B67" s="0" t="s">
        <v>367</v>
      </c>
      <c r="C67" s="0" t="n">
        <v>5.82</v>
      </c>
      <c r="D67" s="0" t="s">
        <v>368</v>
      </c>
      <c r="E67" s="0" t="s">
        <v>369</v>
      </c>
      <c r="F67" s="0" t="s">
        <v>370</v>
      </c>
      <c r="G67" s="0" t="s">
        <v>200</v>
      </c>
    </row>
    <row r="68" customFormat="false" ht="15" hidden="false" customHeight="false" outlineLevel="0" collapsed="false">
      <c r="A68" s="0" t="s">
        <v>350</v>
      </c>
      <c r="B68" s="0" t="s">
        <v>371</v>
      </c>
      <c r="C68" s="0" t="n">
        <v>125337</v>
      </c>
      <c r="D68" s="0" t="s">
        <v>90</v>
      </c>
      <c r="E68" s="0" t="s">
        <v>355</v>
      </c>
      <c r="F68" s="0" t="s">
        <v>372</v>
      </c>
      <c r="G68" s="0" t="s">
        <v>200</v>
      </c>
    </row>
    <row r="69" customFormat="false" ht="15" hidden="false" customHeight="false" outlineLevel="0" collapsed="false">
      <c r="A69" s="0" t="s">
        <v>350</v>
      </c>
      <c r="B69" s="0" t="s">
        <v>315</v>
      </c>
      <c r="C69" s="0" t="n">
        <v>37077</v>
      </c>
      <c r="D69" s="0" t="s">
        <v>90</v>
      </c>
      <c r="E69" s="0" t="s">
        <v>355</v>
      </c>
      <c r="F69" s="0" t="s">
        <v>373</v>
      </c>
      <c r="G69" s="0" t="s">
        <v>200</v>
      </c>
    </row>
    <row r="70" customFormat="false" ht="15" hidden="false" customHeight="false" outlineLevel="0" collapsed="false">
      <c r="A70" s="0" t="s">
        <v>350</v>
      </c>
      <c r="B70" s="0" t="s">
        <v>374</v>
      </c>
      <c r="C70" s="0" t="n">
        <v>4954</v>
      </c>
      <c r="D70" s="0" t="s">
        <v>90</v>
      </c>
      <c r="E70" s="0" t="s">
        <v>351</v>
      </c>
      <c r="G70" s="0" t="s">
        <v>200</v>
      </c>
    </row>
    <row r="71" customFormat="false" ht="15" hidden="false" customHeight="false" outlineLevel="0" collapsed="false">
      <c r="A71" s="0" t="s">
        <v>350</v>
      </c>
      <c r="B71" s="0" t="s">
        <v>375</v>
      </c>
      <c r="C71" s="0" t="n">
        <v>3023.736</v>
      </c>
      <c r="D71" s="0" t="s">
        <v>376</v>
      </c>
      <c r="E71" s="0" t="s">
        <v>361</v>
      </c>
      <c r="F71" s="0" t="s">
        <v>377</v>
      </c>
      <c r="G71" s="0" t="s">
        <v>200</v>
      </c>
    </row>
    <row r="72" customFormat="false" ht="15" hidden="false" customHeight="false" outlineLevel="0" collapsed="false">
      <c r="A72" s="0" t="s">
        <v>350</v>
      </c>
      <c r="B72" s="0" t="s">
        <v>378</v>
      </c>
      <c r="C72" s="0" t="n">
        <v>90000</v>
      </c>
      <c r="D72" s="0" t="s">
        <v>379</v>
      </c>
      <c r="E72" s="0" t="s">
        <v>355</v>
      </c>
      <c r="F72" s="0" t="s">
        <v>380</v>
      </c>
      <c r="G72" s="0" t="s">
        <v>210</v>
      </c>
    </row>
    <row r="73" customFormat="false" ht="15" hidden="false" customHeight="false" outlineLevel="0" collapsed="false">
      <c r="A73" s="0" t="s">
        <v>350</v>
      </c>
      <c r="B73" s="0" t="s">
        <v>276</v>
      </c>
      <c r="C73" s="0" t="n">
        <v>142.3</v>
      </c>
      <c r="D73" s="0" t="s">
        <v>62</v>
      </c>
      <c r="E73" s="0" t="s">
        <v>381</v>
      </c>
      <c r="G73" s="0" t="s">
        <v>279</v>
      </c>
    </row>
    <row r="74" customFormat="false" ht="15" hidden="false" customHeight="false" outlineLevel="0" collapsed="false">
      <c r="A74" s="0" t="s">
        <v>106</v>
      </c>
      <c r="B74" s="0" t="s">
        <v>382</v>
      </c>
      <c r="C74" s="0" t="n">
        <v>103400</v>
      </c>
      <c r="D74" s="0" t="s">
        <v>90</v>
      </c>
      <c r="E74" s="0" t="s">
        <v>383</v>
      </c>
      <c r="F74" s="0" t="s">
        <v>384</v>
      </c>
      <c r="G74" s="0" t="s">
        <v>385</v>
      </c>
    </row>
    <row r="75" customFormat="false" ht="15" hidden="false" customHeight="false" outlineLevel="0" collapsed="false">
      <c r="A75" s="0" t="s">
        <v>106</v>
      </c>
      <c r="B75" s="0" t="s">
        <v>386</v>
      </c>
      <c r="C75" s="0" t="n">
        <v>1370</v>
      </c>
      <c r="D75" s="0" t="s">
        <v>90</v>
      </c>
      <c r="E75" s="0" t="s">
        <v>383</v>
      </c>
      <c r="F75" s="0" t="s">
        <v>387</v>
      </c>
      <c r="G75" s="0" t="s">
        <v>385</v>
      </c>
    </row>
    <row r="76" customFormat="false" ht="15" hidden="false" customHeight="false" outlineLevel="0" collapsed="false">
      <c r="A76" s="0" t="s">
        <v>106</v>
      </c>
      <c r="B76" s="0" t="s">
        <v>388</v>
      </c>
      <c r="C76" s="0" t="s">
        <v>389</v>
      </c>
      <c r="E76" s="0" t="s">
        <v>383</v>
      </c>
      <c r="G76" s="0" t="s">
        <v>385</v>
      </c>
    </row>
    <row r="77" customFormat="false" ht="15" hidden="false" customHeight="false" outlineLevel="0" collapsed="false">
      <c r="A77" s="0" t="s">
        <v>106</v>
      </c>
      <c r="B77" s="0" t="s">
        <v>390</v>
      </c>
      <c r="C77" s="0" t="s">
        <v>391</v>
      </c>
      <c r="E77" s="0" t="s">
        <v>383</v>
      </c>
      <c r="G77" s="0" t="s">
        <v>385</v>
      </c>
    </row>
    <row r="78" customFormat="false" ht="15" hidden="false" customHeight="false" outlineLevel="0" collapsed="false">
      <c r="A78" s="0" t="s">
        <v>106</v>
      </c>
      <c r="B78" s="0" t="s">
        <v>392</v>
      </c>
      <c r="C78" s="0" t="n">
        <v>52</v>
      </c>
      <c r="D78" s="0" t="s">
        <v>393</v>
      </c>
      <c r="E78" s="0" t="s">
        <v>383</v>
      </c>
      <c r="F78" s="0" t="s">
        <v>394</v>
      </c>
      <c r="G78" s="0" t="s">
        <v>385</v>
      </c>
    </row>
    <row r="79" customFormat="false" ht="15" hidden="false" customHeight="false" outlineLevel="0" collapsed="false">
      <c r="A79" s="0" t="s">
        <v>106</v>
      </c>
      <c r="B79" s="0" t="s">
        <v>395</v>
      </c>
      <c r="C79" s="0" t="s">
        <v>396</v>
      </c>
      <c r="D79" s="0" t="s">
        <v>55</v>
      </c>
      <c r="E79" s="0" t="s">
        <v>383</v>
      </c>
      <c r="G79" s="0" t="s">
        <v>385</v>
      </c>
    </row>
    <row r="80" customFormat="false" ht="15" hidden="false" customHeight="false" outlineLevel="0" collapsed="false">
      <c r="A80" s="0" t="s">
        <v>106</v>
      </c>
      <c r="B80" s="0" t="s">
        <v>397</v>
      </c>
      <c r="C80" s="0" t="n">
        <v>14600</v>
      </c>
      <c r="D80" s="0" t="s">
        <v>398</v>
      </c>
      <c r="E80" s="0" t="s">
        <v>399</v>
      </c>
      <c r="G80" s="0" t="s">
        <v>400</v>
      </c>
    </row>
    <row r="81" customFormat="false" ht="15" hidden="false" customHeight="false" outlineLevel="0" collapsed="false">
      <c r="A81" s="0" t="s">
        <v>106</v>
      </c>
      <c r="B81" s="0" t="s">
        <v>401</v>
      </c>
      <c r="C81" s="0" t="n">
        <v>3360</v>
      </c>
      <c r="D81" s="0" t="s">
        <v>402</v>
      </c>
      <c r="E81" s="0" t="s">
        <v>403</v>
      </c>
      <c r="F81" s="0" t="s">
        <v>404</v>
      </c>
      <c r="G81" s="0" t="s">
        <v>400</v>
      </c>
    </row>
    <row r="82" customFormat="false" ht="15" hidden="false" customHeight="false" outlineLevel="0" collapsed="false">
      <c r="A82" s="0" t="s">
        <v>117</v>
      </c>
      <c r="B82" s="0" t="s">
        <v>405</v>
      </c>
      <c r="C82" s="0" t="n">
        <v>30900</v>
      </c>
      <c r="D82" s="0" t="s">
        <v>120</v>
      </c>
      <c r="E82" s="0" t="s">
        <v>164</v>
      </c>
      <c r="F82" s="0" t="s">
        <v>406</v>
      </c>
      <c r="G82" s="0" t="s">
        <v>400</v>
      </c>
    </row>
    <row r="83" customFormat="false" ht="15" hidden="false" customHeight="false" outlineLevel="0" collapsed="false">
      <c r="A83" s="0" t="s">
        <v>117</v>
      </c>
      <c r="B83" s="0" t="s">
        <v>407</v>
      </c>
      <c r="C83" s="0" t="s">
        <v>408</v>
      </c>
      <c r="D83" s="0" t="s">
        <v>120</v>
      </c>
      <c r="E83" s="0" t="s">
        <v>164</v>
      </c>
      <c r="G83" s="0" t="s">
        <v>400</v>
      </c>
    </row>
    <row r="84" customFormat="false" ht="15" hidden="false" customHeight="false" outlineLevel="0" collapsed="false">
      <c r="A84" s="0" t="s">
        <v>117</v>
      </c>
      <c r="B84" s="0" t="s">
        <v>382</v>
      </c>
      <c r="C84" s="0" t="s">
        <v>409</v>
      </c>
      <c r="D84" s="0" t="s">
        <v>120</v>
      </c>
      <c r="E84" s="0" t="s">
        <v>164</v>
      </c>
      <c r="G84" s="0" t="s">
        <v>400</v>
      </c>
    </row>
    <row r="85" customFormat="false" ht="15" hidden="false" customHeight="false" outlineLevel="0" collapsed="false">
      <c r="A85" s="0" t="s">
        <v>117</v>
      </c>
      <c r="B85" s="0" t="s">
        <v>410</v>
      </c>
      <c r="C85" s="0" t="s">
        <v>411</v>
      </c>
      <c r="D85" s="0" t="s">
        <v>412</v>
      </c>
      <c r="E85" s="0" t="s">
        <v>413</v>
      </c>
      <c r="F85" s="0" t="s">
        <v>414</v>
      </c>
      <c r="G85" s="0" t="s">
        <v>415</v>
      </c>
    </row>
    <row r="86" customFormat="false" ht="15" hidden="false" customHeight="false" outlineLevel="0" collapsed="false">
      <c r="A86" s="0" t="s">
        <v>117</v>
      </c>
      <c r="B86" s="0" t="s">
        <v>345</v>
      </c>
      <c r="E86" s="0" t="s">
        <v>416</v>
      </c>
      <c r="F86" s="0" t="s">
        <v>417</v>
      </c>
      <c r="G86" s="0" t="s">
        <v>418</v>
      </c>
    </row>
    <row r="87" customFormat="false" ht="15" hidden="false" customHeight="false" outlineLevel="0" collapsed="false">
      <c r="A87" s="0" t="s">
        <v>130</v>
      </c>
      <c r="B87" s="0" t="s">
        <v>405</v>
      </c>
      <c r="C87" s="0" t="n">
        <v>5900</v>
      </c>
      <c r="D87" s="0" t="s">
        <v>419</v>
      </c>
      <c r="E87" s="0" t="s">
        <v>420</v>
      </c>
      <c r="F87" s="0" t="s">
        <v>421</v>
      </c>
      <c r="G87" s="0" t="s">
        <v>418</v>
      </c>
    </row>
    <row r="88" customFormat="false" ht="15" hidden="false" customHeight="false" outlineLevel="0" collapsed="false">
      <c r="A88" s="0" t="s">
        <v>130</v>
      </c>
      <c r="B88" s="0" t="s">
        <v>422</v>
      </c>
      <c r="C88" s="0" t="s">
        <v>423</v>
      </c>
      <c r="D88" s="0" t="s">
        <v>412</v>
      </c>
      <c r="E88" s="0" t="s">
        <v>424</v>
      </c>
      <c r="F88" s="0" t="s">
        <v>425</v>
      </c>
      <c r="G88" s="0" t="s">
        <v>415</v>
      </c>
    </row>
    <row r="89" customFormat="false" ht="15" hidden="false" customHeight="false" outlineLevel="0" collapsed="false">
      <c r="A89" s="0" t="s">
        <v>130</v>
      </c>
      <c r="B89" s="0" t="s">
        <v>426</v>
      </c>
      <c r="C89" s="0" t="n">
        <v>760</v>
      </c>
      <c r="D89" s="0" t="s">
        <v>427</v>
      </c>
      <c r="E89" s="0" t="s">
        <v>428</v>
      </c>
      <c r="F89" s="0" t="s">
        <v>429</v>
      </c>
      <c r="G89" s="0" t="s">
        <v>430</v>
      </c>
    </row>
    <row r="90" customFormat="false" ht="15" hidden="false" customHeight="false" outlineLevel="0" collapsed="false">
      <c r="A90" s="0" t="s">
        <v>130</v>
      </c>
      <c r="B90" s="0" t="s">
        <v>431</v>
      </c>
      <c r="D90" s="0" t="s">
        <v>432</v>
      </c>
      <c r="E90" s="0" t="s">
        <v>433</v>
      </c>
      <c r="F90" s="0" t="s">
        <v>434</v>
      </c>
      <c r="G90" s="0" t="s">
        <v>400</v>
      </c>
    </row>
    <row r="91" customFormat="false" ht="15" hidden="false" customHeight="false" outlineLevel="0" collapsed="false">
      <c r="A91" s="0" t="s">
        <v>130</v>
      </c>
      <c r="B91" s="0" t="s">
        <v>345</v>
      </c>
      <c r="E91" s="0" t="s">
        <v>435</v>
      </c>
      <c r="F91" s="0" t="s">
        <v>436</v>
      </c>
      <c r="G91" s="0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2026-10-04T22:03:17Z</dcterms:created>
  <dc:creator>openpyxl</dc:creator>
  <dc:description/>
  <dc:language>en-US</dc:language>
  <cp:lastModifiedBy/>
  <dcterms:modified xsi:type="dcterms:W3CDTF">2026-10-04T22:03:17Z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