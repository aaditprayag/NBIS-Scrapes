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p_Milestones" sheetId="1" state="visible" r:id="rId1"/>
    <sheet xmlns:r="http://schemas.openxmlformats.org/officeDocument/2006/relationships" name="Provider_Availability" sheetId="2" state="visible" r:id="rId2"/>
    <sheet xmlns:r="http://schemas.openxmlformats.org/officeDocument/2006/relationships" name="Lag_Ranking" sheetId="3" state="visible" r:id="rId3"/>
    <sheet xmlns:r="http://schemas.openxmlformats.org/officeDocument/2006/relationships" name="Launch_Premium_Decay" sheetId="4" state="visible" r:id="rId4"/>
    <sheet xmlns:r="http://schemas.openxmlformats.org/officeDocument/2006/relationships" name="Pricing_Page_Changes" sheetId="5" state="visible" r:id="rId5"/>
    <sheet xmlns:r="http://schemas.openxmlformats.org/officeDocument/2006/relationships"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i val="1"/>
      <sz val="9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164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34" customWidth="1" min="2" max="2"/>
    <col width="12" customWidth="1" min="3" max="3"/>
    <col width="12" customWidth="1" min="4" max="4"/>
    <col width="70" customWidth="1" min="5" max="5"/>
    <col width="60" customWidth="1" min="6" max="6"/>
    <col width="24" customWidth="1" min="7" max="7"/>
  </cols>
  <sheetData>
    <row r="1">
      <c r="A1" s="1" t="inlineStr">
        <is>
          <t>NVIDIA milestones; multiple definitions kept where they differ. Dates = public announcement/earnings-call statements. Tag: Reported / Derived / Estimated.</t>
        </is>
      </c>
    </row>
    <row r="2">
      <c r="A2" s="2" t="inlineStr">
        <is>
          <t>Chip / generation</t>
        </is>
      </c>
      <c r="B2" s="2" t="inlineStr">
        <is>
          <t>Milestone</t>
        </is>
      </c>
      <c r="C2" s="2" t="inlineStr">
        <is>
          <t>Date</t>
        </is>
      </c>
      <c r="D2" s="2" t="inlineStr">
        <is>
          <t>Tag</t>
        </is>
      </c>
      <c r="E2" s="2" t="inlineStr">
        <is>
          <t>Definition / method</t>
        </is>
      </c>
      <c r="F2" s="2" t="inlineStr">
        <is>
          <t>Source URL</t>
        </is>
      </c>
      <c r="G2" s="2" t="inlineStr">
        <is>
          <t>Used as lag reference?</t>
        </is>
      </c>
    </row>
    <row r="3">
      <c r="A3" t="inlineStr">
        <is>
          <t>H100</t>
        </is>
      </c>
      <c r="B3" t="inlineStr">
        <is>
          <t>Announced</t>
        </is>
      </c>
      <c r="C3" s="3" t="n">
        <v>44642</v>
      </c>
      <c r="D3" t="inlineStr">
        <is>
          <t>Reported</t>
        </is>
      </c>
      <c r="E3" t="inlineStr">
        <is>
          <t>GTC 2022 Hopper/H100 announcement</t>
        </is>
      </c>
      <c r="F3" t="inlineStr">
        <is>
          <t>https://nvidianews.nvidia.com/news/nvidia-announces-hopper-architecture-the-next-generation-of-accelerated-computing</t>
        </is>
      </c>
      <c r="G3" t="inlineStr"/>
    </row>
    <row r="4">
      <c r="A4" t="inlineStr">
        <is>
          <t>H100</t>
        </is>
      </c>
      <c r="B4" t="inlineStr">
        <is>
          <t>Full production</t>
        </is>
      </c>
      <c r="C4" s="3" t="n">
        <v>44824</v>
      </c>
      <c r="D4" t="inlineStr">
        <is>
          <t>Reported</t>
        </is>
      </c>
      <c r="E4" t="inlineStr">
        <is>
          <t>NVIDIA: H100 "in full production"; partner systems ship from October 2022; PCIe first, HGX later in year</t>
        </is>
      </c>
      <c r="F4" t="inlineStr">
        <is>
          <t>https://nvidianews.nvidia.com/news/nvidia-hopper-in-full-production</t>
        </is>
      </c>
      <c r="G4" t="inlineStr"/>
    </row>
    <row r="5">
      <c r="A5" t="inlineStr">
        <is>
          <t>H100</t>
        </is>
      </c>
      <c r="B5" t="inlineStr">
        <is>
          <t>DGX H100 delivery (alt definition)</t>
        </is>
      </c>
      <c r="C5" s="3" t="n">
        <v>44927</v>
      </c>
      <c r="D5" t="inlineStr">
        <is>
          <t>Estimated</t>
        </is>
      </c>
      <c r="E5" t="inlineStr">
        <is>
          <t>HPCwire: DGX H100 slipped to Q1 2023 orders -&gt; date = start of Q1 2023</t>
        </is>
      </c>
      <c r="F5" t="inlineStr">
        <is>
          <t>https://www.hpcwire.com/2022/09/20/nvidias-hopper-gpus-enter-full-production-dgxs-delayed-until-q1/</t>
        </is>
      </c>
      <c r="G5" t="inlineStr"/>
    </row>
    <row r="6">
      <c r="A6" t="inlineStr">
        <is>
          <t>H200</t>
        </is>
      </c>
      <c r="B6" t="inlineStr">
        <is>
          <t>Announced</t>
        </is>
      </c>
      <c r="C6" s="3" t="n">
        <v>45243</v>
      </c>
      <c r="D6" t="inlineStr">
        <is>
          <t>Reported</t>
        </is>
      </c>
      <c r="E6" t="inlineStr">
        <is>
          <t>SC23 HGX H200 announcement</t>
        </is>
      </c>
      <c r="F6" t="inlineStr">
        <is>
          <t>https://nvidianews.nvidia.com/news/nvidia-supercharges-hopper-the-worlds-leading-ai-computing-platform</t>
        </is>
      </c>
      <c r="G6" t="inlineStr"/>
    </row>
    <row r="7">
      <c r="A7" t="inlineStr">
        <is>
          <t>H200</t>
        </is>
      </c>
      <c r="B7" t="inlineStr">
        <is>
          <t>NVIDIA-stated availability start</t>
        </is>
      </c>
      <c r="C7" s="3" t="n">
        <v>45383</v>
      </c>
      <c r="D7" t="inlineStr">
        <is>
          <t>Estimated</t>
        </is>
      </c>
      <c r="E7" t="inlineStr">
        <is>
          <t>PR: available from system makers and CSPs "starting in Q2 2024" -&gt; first day of Q2 2024</t>
        </is>
      </c>
      <c r="F7" t="inlineStr">
        <is>
          <t>https://nvidianews.nvidia.com/news/nvidia-supercharges-hopper-the-worlds-leading-ai-computing-platform</t>
        </is>
      </c>
      <c r="G7" t="inlineStr"/>
    </row>
    <row r="8">
      <c r="A8" t="inlineStr">
        <is>
          <t>H200</t>
        </is>
      </c>
      <c r="B8" t="inlineStr">
        <is>
          <t>Volume deliveries (alt definition)</t>
        </is>
      </c>
      <c r="C8" s="3" t="n">
        <v>45474</v>
      </c>
      <c r="D8" t="inlineStr">
        <is>
          <t>Estimated</t>
        </is>
      </c>
      <c r="E8" t="inlineStr">
        <is>
          <t>TrendForce: first DGX H200 hand-delivered to OpenAI late March 2024; large-scale deliveries from Q3 2024 -&gt; first day of Q3</t>
        </is>
      </c>
      <c r="F8" t="inlineStr">
        <is>
          <t>https://www.trendforce.com/news/2024/07/02/news-nvidias-h200-order-delivered-from-q3-boosting-server-supply-chain-with-strong-demand/</t>
        </is>
      </c>
      <c r="G8" t="inlineStr"/>
    </row>
    <row r="9">
      <c r="A9" t="inlineStr">
        <is>
          <t>B200 (HGX)</t>
        </is>
      </c>
      <c r="B9" t="inlineStr">
        <is>
          <t>Announced</t>
        </is>
      </c>
      <c r="C9" s="3" t="n">
        <v>45369</v>
      </c>
      <c r="D9" t="inlineStr">
        <is>
          <t>Reported</t>
        </is>
      </c>
      <c r="E9" t="inlineStr">
        <is>
          <t>GTC 2024 Blackwell platform announcement (B200, GB200 NVL72)</t>
        </is>
      </c>
      <c r="F9" t="inlineStr">
        <is>
          <t>https://nvidianews.nvidia.com/news/nvidia-blackwell-platform-arrives-to-power-a-new-era-of-computing</t>
        </is>
      </c>
      <c r="G9" t="inlineStr"/>
    </row>
    <row r="10">
      <c r="A10" t="inlineStr">
        <is>
          <t>B200 (HGX)</t>
        </is>
      </c>
      <c r="B10" t="inlineStr">
        <is>
          <t>Volume shipments (first revenue quarter)</t>
        </is>
      </c>
      <c r="C10" s="3" t="n">
        <v>45593</v>
      </c>
      <c r="D10" t="inlineStr">
        <is>
          <t>Estimated</t>
        </is>
      </c>
      <c r="E10" t="inlineStr">
        <is>
          <t>NVIDIA Q4 FY25 (Oct 28 2024-Jan 26 2025): "Blackwell ramp commenced", $11B Blackwell revenue -&gt; start date of that fiscal quarter</t>
        </is>
      </c>
      <c r="F10" t="inlineStr">
        <is>
          <t>https://www.fool.com/earnings/call-transcripts/2025/02/26/nvidia-nvda-q4-2025-earnings-call-transcript/</t>
        </is>
      </c>
      <c r="G10" t="inlineStr"/>
    </row>
    <row r="11">
      <c r="A11" t="inlineStr">
        <is>
          <t>GB200 NVL72</t>
        </is>
      </c>
      <c r="B11" t="inlineStr">
        <is>
          <t>Announced</t>
        </is>
      </c>
      <c r="C11" s="3" t="n">
        <v>45369</v>
      </c>
      <c r="D11" t="inlineStr">
        <is>
          <t>Reported</t>
        </is>
      </c>
      <c r="E11" t="inlineStr">
        <is>
          <t>GTC 2024 Blackwell platform announcement</t>
        </is>
      </c>
      <c r="F11" t="inlineStr">
        <is>
          <t>https://nvidianews.nvidia.com/news/nvidia-blackwell-platform-arrives-to-power-a-new-era-of-computing</t>
        </is>
      </c>
      <c r="G11" t="inlineStr"/>
    </row>
    <row r="12">
      <c r="A12" t="inlineStr">
        <is>
          <t>GB200 NVL72</t>
        </is>
      </c>
      <c r="B12" t="inlineStr">
        <is>
          <t>Volume shipments (Blackwell first revenue quarter)</t>
        </is>
      </c>
      <c r="C12" s="3" t="n">
        <v>45593</v>
      </c>
      <c r="D12" t="inlineStr">
        <is>
          <t>Estimated</t>
        </is>
      </c>
      <c r="E12" t="inlineStr">
        <is>
          <t>Same Blackwell ramp quarter as B200 (Q4 FY25 start); used as lag reference</t>
        </is>
      </c>
      <c r="F12" t="inlineStr">
        <is>
          <t>https://www.fool.com/earnings/call-transcripts/2025/02/26/nvidia-nvda-q4-2025-earnings-call-transcript/</t>
        </is>
      </c>
      <c r="G12" t="inlineStr"/>
    </row>
    <row r="13">
      <c r="A13" t="inlineStr">
        <is>
          <t>GB200 NVL72</t>
        </is>
      </c>
      <c r="B13" t="inlineStr">
        <is>
          <t>Racks "generally available" (alt definition)</t>
        </is>
      </c>
      <c r="C13" s="3" t="n">
        <v>45805</v>
      </c>
      <c r="D13" t="inlineStr">
        <is>
          <t>Reported</t>
        </is>
      </c>
      <c r="E13" t="inlineStr">
        <is>
          <t>NVIDIA Q1 FY26 call (May 28 2025): "GB200 NVL racks are now generally available" (per DIGITIMES summary of call)</t>
        </is>
      </c>
      <c r="F13" t="inlineStr">
        <is>
          <t>https://www.digitimes.com/news/a20250529VL205/performance-blackwell-revenue-growth-2026.html</t>
        </is>
      </c>
      <c r="G13" t="inlineStr"/>
    </row>
    <row r="14">
      <c r="A14" t="inlineStr">
        <is>
          <t>B300 / GB300 NVL72</t>
        </is>
      </c>
      <c r="B14" t="inlineStr">
        <is>
          <t>Announced</t>
        </is>
      </c>
      <c r="C14" s="3" t="n">
        <v>45734</v>
      </c>
      <c r="D14" t="inlineStr">
        <is>
          <t>Reported</t>
        </is>
      </c>
      <c r="E14" t="inlineStr">
        <is>
          <t>GTC 2025 Blackwell Ultra (GB300 NVL72, HGX B300) announcement; partners from H2 2025</t>
        </is>
      </c>
      <c r="F14" t="inlineStr">
        <is>
          <t>https://nvidianews.nvidia.com/news/nvidia-blackwell-ultra-ai-factory-platform-paves-way-for-age-of-ai-reasoning</t>
        </is>
      </c>
      <c r="G14" t="inlineStr"/>
    </row>
    <row r="15">
      <c r="A15" t="inlineStr">
        <is>
          <t>B300 / GB300 NVL72</t>
        </is>
      </c>
      <c r="B15" t="inlineStr">
        <is>
          <t>Production shipments began (quarter start)</t>
        </is>
      </c>
      <c r="C15" s="3" t="n">
        <v>45775</v>
      </c>
      <c r="D15" t="inlineStr">
        <is>
          <t>Estimated</t>
        </is>
      </c>
      <c r="E15" t="inlineStr">
        <is>
          <t>NVIDIA Q2 FY26 call (Aug 27 2025): "We began production shipments of GB300 in Q2" (Q2 FY26 = Apr 28-Jul 27 2025) -&gt; quarter start</t>
        </is>
      </c>
      <c r="F15" t="inlineStr">
        <is>
          <t>https://www.roic.ai/quote/NVD.F/transcripts/2026-year/2-quarter</t>
        </is>
      </c>
      <c r="G15" t="inlineStr"/>
    </row>
    <row r="16">
      <c r="A16" t="inlineStr">
        <is>
          <t>B300 / GB300 NVL72</t>
        </is>
      </c>
      <c r="B16" t="inlineStr">
        <is>
          <t>First cloud deployment (alt definition)</t>
        </is>
      </c>
      <c r="C16" s="3" t="n">
        <v>45841</v>
      </c>
      <c r="D16" t="inlineStr">
        <is>
          <t>Reported</t>
        </is>
      </c>
      <c r="E16" t="inlineStr">
        <is>
          <t>CoreWeave first to deploy GB300 NVL72 (Dell-built)</t>
        </is>
      </c>
      <c r="F16" t="inlineStr">
        <is>
          <t>https://www.coreweave.com/news/coreweave-becomes-first-cloud-provider-to-deploy-nvidia-gb300-nvl72-platform</t>
        </is>
      </c>
      <c r="G16" t="inlineStr"/>
    </row>
    <row r="17">
      <c r="A17" t="inlineStr">
        <is>
          <t>Vera Rubin NVL72</t>
        </is>
      </c>
      <c r="B17" t="inlineStr">
        <is>
          <t>Announced / "in full production" (CES)</t>
        </is>
      </c>
      <c r="C17" s="3" t="n">
        <v>46027</v>
      </c>
      <c r="D17" t="inlineStr">
        <is>
          <t>Reported</t>
        </is>
      </c>
      <c r="E17" t="inlineStr">
        <is>
          <t>CES 2026: Rubin "in full production", partner products H2 2026; first clouds named</t>
        </is>
      </c>
      <c r="F17" t="inlineStr">
        <is>
          <t>https://nvidianews.nvidia.com/news/rubin-platform-ai-supercomputer</t>
        </is>
      </c>
      <c r="G17" t="inlineStr"/>
    </row>
    <row r="18">
      <c r="A18" t="inlineStr">
        <is>
          <t>Vera Rubin NVL72</t>
        </is>
      </c>
      <c r="B18" t="inlineStr">
        <is>
          <t>Ramping full production (GTC Taipei)</t>
        </is>
      </c>
      <c r="C18" s="3" t="n">
        <v>46173</v>
      </c>
      <c r="D18" t="inlineStr">
        <is>
          <t>Reported</t>
        </is>
      </c>
      <c r="E18" t="inlineStr">
        <is>
          <t>"Production shipments of Vera Rubin are set to begin starting this fall"</t>
        </is>
      </c>
      <c r="F18" t="inlineStr">
        <is>
          <t>https://nvidianews.nvidia.com/news/vera-rubin-full-production-agentic-ai-factory</t>
        </is>
      </c>
      <c r="G18" t="inlineStr"/>
    </row>
    <row r="19">
      <c r="A19" t="inlineStr">
        <is>
          <t>Vera Rubin NVL72</t>
        </is>
      </c>
      <c r="B19" t="inlineStr">
        <is>
          <t>Production shipments commenced</t>
        </is>
      </c>
      <c r="C19" s="3" t="n">
        <v>46235</v>
      </c>
      <c r="D19" t="inlineStr">
        <is>
          <t>Estimated</t>
        </is>
      </c>
      <c r="E19" t="inlineStr">
        <is>
          <t>NVIDIA Q2 FY27 call (Aug 26 2026): "We commenced production shipments of Vera Rubin earlier this month" -&gt; first day of Aug 2026 (true date Aug 1-26)</t>
        </is>
      </c>
      <c r="F19" t="inlineStr">
        <is>
          <t>https://s201.q4cdn.com/141608511/files/content_files/TRANSCRIPT_-NVIDIA-Corp-NVDA-US-Q2-2027-Earnings-Call-26-August-2026-5_00-PM-ET.pdf</t>
        </is>
      </c>
      <c r="G19" t="inlineStr"/>
    </row>
    <row r="20">
      <c r="A20" t="inlineStr">
        <is>
          <t>H100</t>
        </is>
      </c>
      <c r="B20" t="inlineStr">
        <is>
          <t>REFERENCE "NVIDIA GA" used for lags</t>
        </is>
      </c>
      <c r="C20" s="3" t="n">
        <v>44824</v>
      </c>
      <c r="D20" t="inlineStr">
        <is>
          <t>Reported</t>
        </is>
      </c>
      <c r="E20" t="inlineStr">
        <is>
          <t>See milestone rows above for this chip; alternate definitions in Lag_Ranking</t>
        </is>
      </c>
      <c r="F20" t="inlineStr">
        <is>
          <t>https://nvidianews.nvidia.com/news/nvidia-hopper-in-full-production</t>
        </is>
      </c>
      <c r="G20" t="inlineStr">
        <is>
          <t>YES</t>
        </is>
      </c>
    </row>
    <row r="21">
      <c r="A21" t="inlineStr">
        <is>
          <t>H200</t>
        </is>
      </c>
      <c r="B21" t="inlineStr">
        <is>
          <t>REFERENCE "NVIDIA GA" used for lags</t>
        </is>
      </c>
      <c r="C21" s="3" t="n">
        <v>45383</v>
      </c>
      <c r="D21" t="inlineStr">
        <is>
          <t>Estimated</t>
        </is>
      </c>
      <c r="E21" t="inlineStr">
        <is>
          <t>See milestone rows above for this chip; alternate definitions in Lag_Ranking</t>
        </is>
      </c>
      <c r="F21" t="inlineStr">
        <is>
          <t>https://nvidianews.nvidia.com/news/nvidia-supercharges-hopper-the-worlds-leading-ai-computing-platform</t>
        </is>
      </c>
      <c r="G21" t="inlineStr">
        <is>
          <t>YES</t>
        </is>
      </c>
    </row>
    <row r="22">
      <c r="A22" t="inlineStr">
        <is>
          <t>B200 (HGX)</t>
        </is>
      </c>
      <c r="B22" t="inlineStr">
        <is>
          <t>REFERENCE "NVIDIA GA" used for lags</t>
        </is>
      </c>
      <c r="C22" s="3" t="n">
        <v>45593</v>
      </c>
      <c r="D22" t="inlineStr">
        <is>
          <t>Estimated</t>
        </is>
      </c>
      <c r="E22" t="inlineStr">
        <is>
          <t>See milestone rows above for this chip; alternate definitions in Lag_Ranking</t>
        </is>
      </c>
      <c r="F22" t="inlineStr">
        <is>
          <t>https://www.fool.com/earnings/call-transcripts/2025/02/26/nvidia-nvda-q4-2025-earnings-call-transcript/</t>
        </is>
      </c>
      <c r="G22" t="inlineStr">
        <is>
          <t>YES</t>
        </is>
      </c>
    </row>
    <row r="23">
      <c r="A23" t="inlineStr">
        <is>
          <t>GB200 NVL72</t>
        </is>
      </c>
      <c r="B23" t="inlineStr">
        <is>
          <t>REFERENCE "NVIDIA GA" used for lags</t>
        </is>
      </c>
      <c r="C23" s="3" t="n">
        <v>45593</v>
      </c>
      <c r="D23" t="inlineStr">
        <is>
          <t>Estimated</t>
        </is>
      </c>
      <c r="E23" t="inlineStr">
        <is>
          <t>See milestone rows above for this chip; alternate definitions in Lag_Ranking</t>
        </is>
      </c>
      <c r="F23" t="inlineStr">
        <is>
          <t>https://www.fool.com/earnings/call-transcripts/2025/02/26/nvidia-nvda-q4-2025-earnings-call-transcript/</t>
        </is>
      </c>
      <c r="G23" t="inlineStr">
        <is>
          <t>YES</t>
        </is>
      </c>
    </row>
    <row r="24">
      <c r="A24" t="inlineStr">
        <is>
          <t>B300 / GB300 NVL72</t>
        </is>
      </c>
      <c r="B24" t="inlineStr">
        <is>
          <t>REFERENCE "NVIDIA GA" used for lags</t>
        </is>
      </c>
      <c r="C24" s="3" t="n">
        <v>45775</v>
      </c>
      <c r="D24" t="inlineStr">
        <is>
          <t>Estimated</t>
        </is>
      </c>
      <c r="E24" t="inlineStr">
        <is>
          <t>See milestone rows above for this chip; alternate definitions in Lag_Ranking</t>
        </is>
      </c>
      <c r="F24" t="inlineStr">
        <is>
          <t>https://www.roic.ai/quote/NVD.F/transcripts/2026-year/2-quarter</t>
        </is>
      </c>
      <c r="G24" t="inlineStr">
        <is>
          <t>YES</t>
        </is>
      </c>
    </row>
    <row r="25">
      <c r="A25" t="inlineStr">
        <is>
          <t>Vera Rubin NVL72</t>
        </is>
      </c>
      <c r="B25" t="inlineStr">
        <is>
          <t>REFERENCE "NVIDIA GA" used for lags</t>
        </is>
      </c>
      <c r="C25" s="3" t="n">
        <v>46235</v>
      </c>
      <c r="D25" t="inlineStr">
        <is>
          <t>Estimated</t>
        </is>
      </c>
      <c r="E25" t="inlineStr">
        <is>
          <t>See milestone rows above for this chip; alternate definitions in Lag_Ranking</t>
        </is>
      </c>
      <c r="F25" t="inlineStr">
        <is>
          <t>https://s201.q4cdn.com/141608511/files/content_files/TRANSCRIPT_-NVIDIA-Corp-NVDA-US-Q2-2027-Earnings-Call-26-August-2026-5_00-PM-ET.pdf</t>
        </is>
      </c>
      <c r="G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9" customWidth="1" min="3" max="3"/>
    <col width="45" customWidth="1" min="4" max="4"/>
    <col width="33" customWidth="1" min="5" max="5"/>
    <col width="40" customWidth="1" min="6" max="6"/>
    <col width="45" customWidth="1" min="7" max="7"/>
    <col width="40" customWidth="1" min="8" max="8"/>
    <col width="12" customWidth="1" min="9" max="9"/>
    <col width="45" customWidth="1" min="10" max="10"/>
    <col width="50" customWidth="1" min="11" max="11"/>
    <col width="19" customWidth="1" min="12" max="12"/>
    <col width="40" customWidth="1" min="13" max="13"/>
    <col width="50" customWidth="1" min="14" max="14"/>
    <col width="37" customWidth="1" min="15" max="15"/>
    <col width="25" customWidth="1" min="16" max="16"/>
    <col width="50" customWidth="1" min="17" max="17"/>
    <col width="60" customWidth="1" min="18" max="18"/>
  </cols>
  <sheetData>
    <row r="1">
      <c r="A1" s="1" t="inlineStr">
        <is>
          <t>Dates are earliest public evidence found. Wayback dates are upper bounds (capture cadence ~monthly). Blank = not found in public sources (gap), not necessarily unavailable.</t>
        </is>
      </c>
    </row>
    <row r="2">
      <c r="A2" s="2" t="inlineStr">
        <is>
          <t>Provider</t>
        </is>
      </c>
      <c r="B2" s="2" t="inlineStr">
        <is>
          <t>Generation</t>
        </is>
      </c>
      <c r="C2" s="2" t="inlineStr">
        <is>
          <t>(a) First announcement date</t>
        </is>
      </c>
      <c r="D2" s="2" t="inlineStr">
        <is>
          <t>(a) Source</t>
        </is>
      </c>
      <c r="E2" s="2" t="inlineStr">
        <is>
          <t>(b) Preview / early access date</t>
        </is>
      </c>
      <c r="F2" s="2" t="inlineStr">
        <is>
          <t>(b) Note</t>
        </is>
      </c>
      <c r="G2" s="2" t="inlineStr">
        <is>
          <t>(b) Source</t>
        </is>
      </c>
      <c r="H2" s="2" t="inlineStr">
        <is>
          <t>(c) GA / first public price date (used for lag)</t>
        </is>
      </c>
      <c r="I2" s="2" t="inlineStr">
        <is>
          <t>(c) Tag</t>
        </is>
      </c>
      <c r="J2" s="2" t="inlineStr">
        <is>
          <t>(c) Definition</t>
        </is>
      </c>
      <c r="K2" s="2" t="inlineStr">
        <is>
          <t>(c) Source</t>
        </is>
      </c>
      <c r="L2" s="2" t="inlineStr">
        <is>
          <t>Wayback: chip key</t>
        </is>
      </c>
      <c r="M2" s="2" t="inlineStr">
        <is>
          <t>Wayback: first capture listing chip (upper bound)</t>
        </is>
      </c>
      <c r="N2" s="2" t="inlineStr">
        <is>
          <t>Wayback: archive URL</t>
        </is>
      </c>
      <c r="O2" s="2" t="inlineStr">
        <is>
          <t>Wayback: first capture with $ price</t>
        </is>
      </c>
      <c r="P2" s="2" t="inlineStr">
        <is>
          <t>Wayback: first $/GPU-hr</t>
        </is>
      </c>
      <c r="Q2" s="2" t="inlineStr">
        <is>
          <t>Wayback: price archive URL</t>
        </is>
      </c>
      <c r="R2" s="2" t="inlineStr">
        <is>
          <t>Notes</t>
        </is>
      </c>
    </row>
    <row r="3">
      <c r="A3" s="4" t="inlineStr">
        <is>
          <t>Nebius</t>
        </is>
      </c>
      <c r="B3" s="4" t="inlineStr">
        <is>
          <t>H100</t>
        </is>
      </c>
      <c r="C3" s="4" t="n"/>
      <c r="D3" s="4" t="inlineStr"/>
      <c r="E3" s="5" t="n">
        <v>45231</v>
      </c>
      <c r="F3" s="4" t="inlineStr">
        <is>
          <t>Early access opened (access after confirmation by Nebius team); H100 PAYG $4.85 published</t>
        </is>
      </c>
      <c r="G3" s="4" t="inlineStr">
        <is>
          <t>https://nebius.com/blog/posts/early-access-unlocked</t>
        </is>
      </c>
      <c r="H3" s="5" t="n">
        <v>45231</v>
      </c>
      <c r="I3" s="4" t="inlineStr">
        <is>
          <t>Reported</t>
        </is>
      </c>
      <c r="J3" s="4" t="inlineStr">
        <is>
          <t>First public price + early access (self-service followed Apr 2024)</t>
        </is>
      </c>
      <c r="K3" s="4" t="inlineStr">
        <is>
          <t>https://nebius.com/blog/posts/early-access-unlocked</t>
        </is>
      </c>
      <c r="L3" s="4" t="inlineStr">
        <is>
          <t>H100</t>
        </is>
      </c>
      <c r="M3" s="5" t="n">
        <v>45231</v>
      </c>
      <c r="N3" s="4" t="inlineStr">
        <is>
          <t>https://web.archive.org/web/20231101230422/https://nebius.ai/prices</t>
        </is>
      </c>
      <c r="O3" s="5" t="n">
        <v>45231</v>
      </c>
      <c r="P3" s="4" t="n">
        <v>4.85</v>
      </c>
      <c r="Q3" s="4" t="inlineStr">
        <is>
          <t>https://web.archive.org/web/20231101230422/https://nebius.ai/prices</t>
        </is>
      </c>
      <c r="R3" s="4" t="inlineStr">
        <is>
          <t>Nebius AI was still part of Yandex N.V. in 2023; self-service access launched Apr 2024 per https://nebius.com/blog/posts/extending-immediate-access-to-nvidia-hopper-gpus</t>
        </is>
      </c>
    </row>
    <row r="4">
      <c r="A4" t="inlineStr">
        <is>
          <t>CoreWeave</t>
        </is>
      </c>
      <c r="B4" t="inlineStr">
        <is>
          <t>H100</t>
        </is>
      </c>
      <c r="C4" s="3" t="n">
        <v>44872</v>
      </c>
      <c r="D4" t="inlineStr">
        <is>
          <t>https://www.businesswire.com/news/home/20221107005057/en/CoreWeave-Among-First-Cloud-Providers-to-Offer-NVIDIA-HGX-H100-Supercomputers-Set-to-Transform-AI-Landscape</t>
        </is>
      </c>
      <c r="E4" s="3" t="n">
        <v>44958</v>
      </c>
      <c r="F4" t="inlineStr">
        <is>
          <t>Offered to select customers in Feb 2023 (Estimated: month start)</t>
        </is>
      </c>
      <c r="G4" t="inlineStr">
        <is>
          <t>https://www.businesswire.com/news/home/20230321005245/en</t>
        </is>
      </c>
      <c r="H4" s="3" t="n">
        <v>45006</v>
      </c>
      <c r="I4" t="inlineStr">
        <is>
          <t>Reported</t>
        </is>
      </c>
      <c r="J4" t="inlineStr">
        <is>
          <t>GA of HGX H100 instances</t>
        </is>
      </c>
      <c r="K4" t="inlineStr">
        <is>
          <t>https://www.businesswire.com/news/home/20230321005245/en</t>
        </is>
      </c>
      <c r="L4" t="inlineStr">
        <is>
          <t>H100</t>
        </is>
      </c>
      <c r="M4" s="3" t="n">
        <v>45017</v>
      </c>
      <c r="N4" t="inlineStr">
        <is>
          <t>https://web.archive.org/web/20230401134901/https://www.coreweave.com/gpu-cloud-pricing</t>
        </is>
      </c>
      <c r="O4" s="3" t="n">
        <v>45017</v>
      </c>
      <c r="P4" t="n">
        <v>4.76</v>
      </c>
      <c r="Q4" t="inlineStr">
        <is>
          <t>https://web.archive.org/web/20230401134901/https://www.coreweave.com/gpu-cloud-pricing</t>
        </is>
      </c>
      <c r="R4" t="inlineStr"/>
    </row>
    <row r="5">
      <c r="A5" t="inlineStr">
        <is>
          <t>Lambda</t>
        </is>
      </c>
      <c r="B5" t="inlineStr">
        <is>
          <t>H100</t>
        </is>
      </c>
      <c r="D5" t="inlineStr"/>
      <c r="F5" t="inlineStr"/>
      <c r="G5" t="inlineStr"/>
      <c r="H5" s="3" t="n">
        <v>45056</v>
      </c>
      <c r="I5" t="inlineStr">
        <is>
          <t>Reported</t>
        </is>
      </c>
      <c r="J5" t="inlineStr">
        <is>
          <t>GA on-demand 1x H100 PCIe at $2.40/GPU-hr (HGX SXM followed)</t>
        </is>
      </c>
      <c r="K5" t="inlineStr">
        <is>
          <t>https://lambda.ai/blog/lambda-cloud-deploys-nvidia-h100-tensor-core-gpus</t>
        </is>
      </c>
      <c r="L5" t="inlineStr">
        <is>
          <t>H100</t>
        </is>
      </c>
      <c r="M5" s="3" t="n">
        <v>45257</v>
      </c>
      <c r="N5" t="inlineStr">
        <is>
          <t>https://web.archive.org/web/20231127144712/https://lambdalabs.com/service/gpu-cloud</t>
        </is>
      </c>
      <c r="O5" s="3" t="n">
        <v>45257</v>
      </c>
      <c r="P5" t="n">
        <v>2.59</v>
      </c>
      <c r="Q5" t="inlineStr">
        <is>
          <t>https://web.archive.org/web/20231127144712/https://lambdalabs.com/service/gpu-cloud</t>
        </is>
      </c>
      <c r="R5" t="inlineStr">
        <is>
          <t>Cut to $1.99/GPU-hr Jun 16 2023 (LinkedIn post id-decoded date) https://www.linkedin.com/posts/lambda-cloud_lambda-cloud-is-now-offering-nvidia-h100-activity-7075488127666024448-Sj7g</t>
        </is>
      </c>
    </row>
    <row r="6">
      <c r="A6" t="inlineStr">
        <is>
          <t>Crusoe</t>
        </is>
      </c>
      <c r="B6" t="inlineStr">
        <is>
          <t>H100</t>
        </is>
      </c>
      <c r="D6" t="inlineStr"/>
      <c r="F6" t="inlineStr"/>
      <c r="G6" t="inlineStr"/>
      <c r="H6" s="3" t="n">
        <v>45222</v>
      </c>
      <c r="I6" t="inlineStr">
        <is>
          <t>Reported</t>
        </is>
      </c>
      <c r="J6" t="inlineStr">
        <is>
          <t>"New capacity online" incl. H100 SXM (more capacity Q1 2024); no public H100 price found on Wayback until 2025-04-03</t>
        </is>
      </c>
      <c r="K6" t="inlineStr">
        <is>
          <t>https://www.crusoe.ai/resources/newsroom/crusoe-announces-significant-expansion-of-cloud-business-with-new-capacity</t>
        </is>
      </c>
      <c r="L6" t="inlineStr">
        <is>
          <t>H100</t>
        </is>
      </c>
      <c r="M6" s="3" t="n">
        <v>45750</v>
      </c>
      <c r="N6" t="inlineStr">
        <is>
          <t>https://web.archive.org/web/20250403030503/https://crusoe.ai/cloud/pricing</t>
        </is>
      </c>
      <c r="O6" s="3" t="n">
        <v>45750</v>
      </c>
      <c r="P6" t="n">
        <v>3.9</v>
      </c>
      <c r="Q6" t="inlineStr">
        <is>
          <t>https://web.archive.org/web/20250403030503/https://crusoe.ai/cloud/pricing</t>
        </is>
      </c>
      <c r="R6" t="inlineStr"/>
    </row>
    <row r="7">
      <c r="A7" t="inlineStr">
        <is>
          <t>Nscale</t>
        </is>
      </c>
      <c r="B7" t="inlineStr">
        <is>
          <t>H100</t>
        </is>
      </c>
      <c r="D7" t="inlineStr"/>
      <c r="F7" t="inlineStr"/>
      <c r="G7" t="inlineStr"/>
      <c r="H7" s="3" t="n">
        <v>45413</v>
      </c>
      <c r="I7" t="inlineStr">
        <is>
          <t>Estimated</t>
        </is>
      </c>
      <c r="J7" t="inlineStr">
        <is>
          <t>GPU cloud launch May 2024 incl. H100 (month start)</t>
        </is>
      </c>
      <c r="K7" t="inlineStr">
        <is>
          <t>https://www.datacenterdynamics.com/en/news/gpu-cloud-firm-nscale-launches-offering-access-to-amd-gpus/</t>
        </is>
      </c>
      <c r="L7" t="inlineStr"/>
      <c r="N7" t="inlineStr"/>
      <c r="Q7" t="inlineStr"/>
      <c r="R7" t="inlineStr">
        <is>
          <t>Low confidence; Nscale only launched as a cloud in 2024</t>
        </is>
      </c>
    </row>
    <row r="8">
      <c r="A8" t="inlineStr">
        <is>
          <t>Oracle OCI</t>
        </is>
      </c>
      <c r="B8" t="inlineStr">
        <is>
          <t>H100</t>
        </is>
      </c>
      <c r="D8" t="inlineStr"/>
      <c r="F8" t="inlineStr"/>
      <c r="G8" t="inlineStr"/>
      <c r="H8" s="3" t="n">
        <v>45188</v>
      </c>
      <c r="I8" t="inlineStr">
        <is>
          <t>Reported</t>
        </is>
      </c>
      <c r="J8" t="inlineStr">
        <is>
          <t>GA BM.GPU.H100.8 (list $10/GPU-hr per OCI H200 GA blog)</t>
        </is>
      </c>
      <c r="K8" t="inlineStr">
        <is>
          <t>https://blogs.oracle.com/cloud-infrastructure/general-availability-oci-compute-nvidia-h100</t>
        </is>
      </c>
      <c r="L8" t="inlineStr"/>
      <c r="N8" t="inlineStr"/>
      <c r="Q8" t="inlineStr"/>
      <c r="R8" t="inlineStr"/>
    </row>
    <row r="9">
      <c r="A9" t="inlineStr">
        <is>
          <t>AWS</t>
        </is>
      </c>
      <c r="B9" t="inlineStr">
        <is>
          <t>H100</t>
        </is>
      </c>
      <c r="D9" t="inlineStr"/>
      <c r="F9" t="inlineStr"/>
      <c r="G9" t="inlineStr"/>
      <c r="H9" s="3" t="n">
        <v>45133</v>
      </c>
      <c r="I9" t="inlineStr">
        <is>
          <t>Reported</t>
        </is>
      </c>
      <c r="J9" t="inlineStr">
        <is>
          <t>EC2 P5 GA</t>
        </is>
      </c>
      <c r="K9" t="inlineStr">
        <is>
          <t>https://aws.amazon.com/about-aws/whats-new/2023/07/amazon-ec2-p5-instances-generative-ai-hpc-generally-available/</t>
        </is>
      </c>
      <c r="L9" t="inlineStr">
        <is>
          <t>H100</t>
        </is>
      </c>
      <c r="M9" s="3" t="n">
        <v>46112</v>
      </c>
      <c r="N9" t="inlineStr">
        <is>
          <t>https://web.archive.org/web/20260331164533/https://aws.amazon.com/ec2/capacityblocks/pricing/</t>
        </is>
      </c>
      <c r="O9" s="3" t="n">
        <v>46112</v>
      </c>
      <c r="P9" t="n">
        <v>4.326</v>
      </c>
      <c r="Q9" t="inlineStr">
        <is>
          <t>https://web.archive.org/web/20260331164533/https://aws.amazon.com/ec2/capacityblocks/pricing/</t>
        </is>
      </c>
      <c r="R9" t="inlineStr"/>
    </row>
    <row r="10">
      <c r="A10" t="inlineStr">
        <is>
          <t>Azure</t>
        </is>
      </c>
      <c r="B10" t="inlineStr">
        <is>
          <t>H100</t>
        </is>
      </c>
      <c r="D10" t="inlineStr"/>
      <c r="F10" t="inlineStr"/>
      <c r="G10" t="inlineStr"/>
      <c r="H10" s="3" t="n">
        <v>45145</v>
      </c>
      <c r="I10" t="inlineStr">
        <is>
          <t>Reported</t>
        </is>
      </c>
      <c r="J10" t="inlineStr">
        <is>
          <t>ND H100 v5 GA ("available today")</t>
        </is>
      </c>
      <c r="K10" t="inlineStr">
        <is>
          <t>https://blogs.nvidia.com/blog/microsoft-azure-nd-h100-v5-instance/</t>
        </is>
      </c>
      <c r="L10" t="inlineStr"/>
      <c r="N10" t="inlineStr"/>
      <c r="Q10" t="inlineStr"/>
      <c r="R10" t="inlineStr"/>
    </row>
    <row r="11">
      <c r="A11" t="inlineStr">
        <is>
          <t>GCP</t>
        </is>
      </c>
      <c r="B11" t="inlineStr">
        <is>
          <t>H100</t>
        </is>
      </c>
      <c r="D11" t="inlineStr"/>
      <c r="E11" s="3" t="n">
        <v>45167</v>
      </c>
      <c r="F11" t="inlineStr">
        <is>
          <t>Announced A3 GA "next month"</t>
        </is>
      </c>
      <c r="G11" t="inlineStr">
        <is>
          <t>https://cloud.google.com/blog/products/compute/announcing-cloud-tpu-v5e-and-a3-gpus-in-ga</t>
        </is>
      </c>
      <c r="H11" s="3" t="n">
        <v>45170</v>
      </c>
      <c r="I11" t="inlineStr">
        <is>
          <t>Estimated</t>
        </is>
      </c>
      <c r="J11" t="inlineStr">
        <is>
          <t>Aug 29 2023 blog: A3 "generally available next month" -&gt; Sep 1 2023</t>
        </is>
      </c>
      <c r="K11" t="inlineStr">
        <is>
          <t>https://cloud.google.com/blog/products/compute/announcing-cloud-tpu-v5e-and-a3-gpus-in-ga</t>
        </is>
      </c>
      <c r="L11" t="inlineStr"/>
      <c r="N11" t="inlineStr"/>
      <c r="Q11" t="inlineStr"/>
      <c r="R11" t="inlineStr"/>
    </row>
    <row r="12">
      <c r="A12" t="inlineStr">
        <is>
          <t>Together AI</t>
        </is>
      </c>
      <c r="B12" t="inlineStr">
        <is>
          <t>H100</t>
        </is>
      </c>
      <c r="D12" t="inlineStr"/>
      <c r="E12" s="3" t="n">
        <v>45734</v>
      </c>
      <c r="F12" t="inlineStr">
        <is>
          <t>Instant GPU Clusters preview</t>
        </is>
      </c>
      <c r="G12" t="inlineStr">
        <is>
          <t>https://www.together.ai/blog/instant-gpu-clusters</t>
        </is>
      </c>
      <c r="H12" s="3" t="n">
        <v>45909</v>
      </c>
      <c r="I12" t="inlineStr">
        <is>
          <t>Reported</t>
        </is>
      </c>
      <c r="J12" t="inlineStr">
        <is>
          <t>Instant Clusters GA (self-serve H100/H200/B200)</t>
        </is>
      </c>
      <c r="K12" t="inlineStr">
        <is>
          <t>https://www.together.ai/blog/together-instant-clusters-ga</t>
        </is>
      </c>
      <c r="L12" t="inlineStr">
        <is>
          <t>H100</t>
        </is>
      </c>
      <c r="M12" s="3" t="n">
        <v>45906</v>
      </c>
      <c r="N12" t="inlineStr">
        <is>
          <t>https://web.archive.org/web/20250906000147/https://www.together.ai/pricing</t>
        </is>
      </c>
      <c r="O12" s="3" t="n">
        <v>45906</v>
      </c>
      <c r="P12" t="n">
        <v>2.99</v>
      </c>
      <c r="Q12" t="inlineStr">
        <is>
          <t>https://web.archive.org/web/20250906000147/https://www.together.ai/pricing</t>
        </is>
      </c>
      <c r="R12" t="inlineStr">
        <is>
          <t>Not like-for-like: Together sold reserved H100 clusters earlier; date is self-serve GA</t>
        </is>
      </c>
    </row>
    <row r="13">
      <c r="A13" s="4" t="inlineStr">
        <is>
          <t>Nebius</t>
        </is>
      </c>
      <c r="B13" s="4" t="inlineStr">
        <is>
          <t>H200</t>
        </is>
      </c>
      <c r="C13" s="5" t="n">
        <v>45581</v>
      </c>
      <c r="D13" s="4" t="inlineStr">
        <is>
          <t>https://www.datacenterdynamics.com/en/news/nebius-launches-ai-cloud-offering-with-nvidia-h100s-and-h200s/</t>
        </is>
      </c>
      <c r="E13" s="4" t="n"/>
      <c r="F13" s="4" t="inlineStr"/>
      <c r="G13" s="4" t="inlineStr"/>
      <c r="H13" s="5" t="n">
        <v>45611</v>
      </c>
      <c r="I13" s="4" t="inlineStr">
        <is>
          <t>Reported</t>
        </is>
      </c>
      <c r="J13" s="4" t="inlineStr">
        <is>
          <t>First public price $3.50 on nebius.com/prices ("will be available in November 2024"); self-service quota Feb 4 2025</t>
        </is>
      </c>
      <c r="K13" s="4" t="inlineStr">
        <is>
          <t>https://web.archive.org/web/20241115043809/https://nebius.com/prices</t>
        </is>
      </c>
      <c r="L13" s="4" t="inlineStr">
        <is>
          <t>H200</t>
        </is>
      </c>
      <c r="M13" s="5" t="n">
        <v>45611</v>
      </c>
      <c r="N13" s="4" t="inlineStr">
        <is>
          <t>https://web.archive.org/web/20241115043809/https://nebius.com/prices</t>
        </is>
      </c>
      <c r="O13" s="5" t="n">
        <v>45611</v>
      </c>
      <c r="P13" s="4" t="n">
        <v>3.5</v>
      </c>
      <c r="Q13" s="4" t="inlineStr">
        <is>
          <t>https://web.archive.org/web/20241115043809/https://nebius.com/prices</t>
        </is>
      </c>
      <c r="R13" s="4" t="inlineStr">
        <is>
          <t>Self-service: https://nebius.com/blog/posts/extending-immediate-access-to-nvidia-hopper-gpus</t>
        </is>
      </c>
    </row>
    <row r="14">
      <c r="A14" t="inlineStr">
        <is>
          <t>CoreWeave</t>
        </is>
      </c>
      <c r="B14" t="inlineStr">
        <is>
          <t>H200</t>
        </is>
      </c>
      <c r="C14" s="3" t="n">
        <v>45243</v>
      </c>
      <c r="D14" t="inlineStr">
        <is>
          <t>https://nvidianews.nvidia.com/news/nvidia-supercharges-hopper-the-worlds-leading-ai-computing-platform</t>
        </is>
      </c>
      <c r="F14" t="inlineStr"/>
      <c r="G14" t="inlineStr"/>
      <c r="H14" s="3" t="n">
        <v>45532</v>
      </c>
      <c r="I14" t="inlineStr">
        <is>
          <t>Reported</t>
        </is>
      </c>
      <c r="J14" t="inlineStr">
        <is>
          <t>"First to market" with H200 (GA)</t>
        </is>
      </c>
      <c r="K14" t="inlineStr">
        <is>
          <t>https://investors.coreweave.com/news/news-details/2024/CoreWeave-First-to-Market-with-NVIDIA-H200-Tensor-Core-GPUs-Ushering-in-a-New-Era-of-AI-Infrastructure-Performance/default.aspx</t>
        </is>
      </c>
      <c r="L14" t="inlineStr">
        <is>
          <t>H200</t>
        </is>
      </c>
      <c r="M14" s="3" t="n">
        <v>45658</v>
      </c>
      <c r="N14" t="inlineStr">
        <is>
          <t>https://web.archive.org/web/20250101002525/https://www.coreweave.com/pricing</t>
        </is>
      </c>
      <c r="O14" s="3" t="n">
        <v>45658</v>
      </c>
      <c r="P14" t="n">
        <v>6.305</v>
      </c>
      <c r="Q14" t="inlineStr">
        <is>
          <t>https://web.archive.org/web/20250101002525/https://www.coreweave.com/pricing</t>
        </is>
      </c>
      <c r="R14" t="inlineStr"/>
    </row>
    <row r="15">
      <c r="A15" t="inlineStr">
        <is>
          <t>Lambda</t>
        </is>
      </c>
      <c r="B15" t="inlineStr">
        <is>
          <t>H200</t>
        </is>
      </c>
      <c r="C15" s="3" t="n">
        <v>45243</v>
      </c>
      <c r="D15" t="inlineStr">
        <is>
          <t>https://lambda.ai/blog/lambda-cloud-clusters-to-support-nvidia-h200-tensor-core-gpus</t>
        </is>
      </c>
      <c r="F15" t="inlineStr"/>
      <c r="G15" t="inlineStr"/>
      <c r="I15" t="inlineStr"/>
      <c r="J15" t="inlineStr">
        <is>
          <t>No public on-demand HGX H200 listing found in 2023-2026 Wayback captures of Lambda pricing pages (only GH200)</t>
        </is>
      </c>
      <c r="K15" t="inlineStr"/>
      <c r="L15" t="inlineStr"/>
      <c r="N15" t="inlineStr"/>
      <c r="Q15" t="inlineStr"/>
      <c r="R15" t="inlineStr">
        <is>
          <t>Gap: H200 sold via Cloud Clusters/private cloud</t>
        </is>
      </c>
    </row>
    <row r="16">
      <c r="A16" t="inlineStr">
        <is>
          <t>Crusoe</t>
        </is>
      </c>
      <c r="B16" t="inlineStr">
        <is>
          <t>H200</t>
        </is>
      </c>
      <c r="C16" s="3" t="n">
        <v>45638</v>
      </c>
      <c r="D16" t="inlineStr">
        <is>
          <t>https://www.crusoe.ai/resources/blog/crusoe-empowering-the-ai-revolution</t>
        </is>
      </c>
      <c r="F16" t="inlineStr"/>
      <c r="G16" t="inlineStr"/>
      <c r="H16" s="3" t="n">
        <v>45750</v>
      </c>
      <c r="I16" t="inlineStr">
        <is>
          <t>Reported</t>
        </is>
      </c>
      <c r="J16" t="inlineStr">
        <is>
          <t>Wayback upper bound: first capture with public H200 price ($4.29); prior capture 2024-10-05 had none</t>
        </is>
      </c>
      <c r="K16" t="inlineStr">
        <is>
          <t>https://web.archive.org/web/20250403030503/https://crusoe.ai/cloud/pricing</t>
        </is>
      </c>
      <c r="L16" t="inlineStr">
        <is>
          <t>H200</t>
        </is>
      </c>
      <c r="M16" s="3" t="n">
        <v>45750</v>
      </c>
      <c r="N16" t="inlineStr">
        <is>
          <t>https://web.archive.org/web/20250403030503/https://crusoe.ai/cloud/pricing</t>
        </is>
      </c>
      <c r="O16" s="3" t="n">
        <v>45750</v>
      </c>
      <c r="P16" t="n">
        <v>4.29</v>
      </c>
      <c r="Q16" t="inlineStr">
        <is>
          <t>https://web.archive.org/web/20250403030503/https://crusoe.ai/cloud/pricing</t>
        </is>
      </c>
      <c r="R16" t="inlineStr">
        <is>
          <t>True GA between 2024-12-12 ("H200 soon") and 2025-04-03</t>
        </is>
      </c>
    </row>
    <row r="17">
      <c r="A17" t="inlineStr">
        <is>
          <t>Oracle OCI</t>
        </is>
      </c>
      <c r="B17" t="inlineStr">
        <is>
          <t>H200</t>
        </is>
      </c>
      <c r="D17" t="inlineStr"/>
      <c r="F17" t="inlineStr"/>
      <c r="G17" t="inlineStr"/>
      <c r="H17" s="3" t="n">
        <v>45614</v>
      </c>
      <c r="I17" t="inlineStr">
        <is>
          <t>Reported</t>
        </is>
      </c>
      <c r="J17" t="inlineStr">
        <is>
          <t>GA OCI Supercluster BM.GPU.H200.8, list $10/GPU-hr</t>
        </is>
      </c>
      <c r="K17" t="inlineStr">
        <is>
          <t>https://blogs.oracle.com/cloud-infrastructure/now-ga-largest-ai-supercomputer-oci-nvidia-h200</t>
        </is>
      </c>
      <c r="L17" t="inlineStr"/>
      <c r="N17" t="inlineStr"/>
      <c r="Q17" t="inlineStr"/>
      <c r="R17" t="inlineStr"/>
    </row>
    <row r="18">
      <c r="A18" t="inlineStr">
        <is>
          <t>AWS</t>
        </is>
      </c>
      <c r="B18" t="inlineStr">
        <is>
          <t>H200</t>
        </is>
      </c>
      <c r="D18" t="inlineStr"/>
      <c r="F18" t="inlineStr"/>
      <c r="G18" t="inlineStr"/>
      <c r="H18" s="3" t="n">
        <v>45544</v>
      </c>
      <c r="I18" t="inlineStr">
        <is>
          <t>Reported</t>
        </is>
      </c>
      <c r="J18" t="inlineStr">
        <is>
          <t>EC2 P5e GA (via Capacity Blocks)</t>
        </is>
      </c>
      <c r="K18" t="inlineStr">
        <is>
          <t>https://aws.amazon.com/about-aws/whats-new/2024/09/amazon-ec2-p5e-instances-ec2-capacity-blocks/</t>
        </is>
      </c>
      <c r="L18" t="inlineStr">
        <is>
          <t>H200</t>
        </is>
      </c>
      <c r="M18" s="3" t="n">
        <v>46112</v>
      </c>
      <c r="N18" t="inlineStr">
        <is>
          <t>https://web.archive.org/web/20260331164533/https://aws.amazon.com/ec2/capacityblocks/pricing/</t>
        </is>
      </c>
      <c r="O18" s="3" t="n">
        <v>46112</v>
      </c>
      <c r="P18" t="n">
        <v>5.721</v>
      </c>
      <c r="Q18" t="inlineStr">
        <is>
          <t>https://web.archive.org/web/20260331164533/https://aws.amazon.com/ec2/capacityblocks/pricing/</t>
        </is>
      </c>
      <c r="R18" t="inlineStr"/>
    </row>
    <row r="19">
      <c r="A19" t="inlineStr">
        <is>
          <t>Azure</t>
        </is>
      </c>
      <c r="B19" t="inlineStr">
        <is>
          <t>H200</t>
        </is>
      </c>
      <c r="D19" t="inlineStr"/>
      <c r="F19" t="inlineStr"/>
      <c r="G19" t="inlineStr"/>
      <c r="H19" s="3" t="n">
        <v>45567</v>
      </c>
      <c r="I19" t="inlineStr">
        <is>
          <t>Reported</t>
        </is>
      </c>
      <c r="J19" t="inlineStr">
        <is>
          <t>ND H200 v5 GA</t>
        </is>
      </c>
      <c r="K19" t="inlineStr">
        <is>
          <t>https://azure.microsoft.com/en-us/blog/microsoft-launches-latest-azure-virtual-machines-optimized-for-ai-supercomputing-the-nd-h200-v5-series/</t>
        </is>
      </c>
      <c r="L19" t="inlineStr"/>
      <c r="N19" t="inlineStr"/>
      <c r="Q19" t="inlineStr"/>
      <c r="R19" t="inlineStr"/>
    </row>
    <row r="20">
      <c r="A20" t="inlineStr">
        <is>
          <t>GCP</t>
        </is>
      </c>
      <c r="B20" t="inlineStr">
        <is>
          <t>H200</t>
        </is>
      </c>
      <c r="D20" t="inlineStr"/>
      <c r="F20" t="inlineStr"/>
      <c r="G20" t="inlineStr"/>
      <c r="H20" s="3" t="n">
        <v>45657</v>
      </c>
      <c r="I20" t="inlineStr">
        <is>
          <t>Reported</t>
        </is>
      </c>
      <c r="J20" t="inlineStr">
        <is>
          <t>A3 Ultra GA (AI Hypercomputer release notes; Jan 16 2025 blog: GA "to close out 2024")</t>
        </is>
      </c>
      <c r="K20" t="inlineStr">
        <is>
          <t>https://cloud.google.com/blog/products/compute/a3-ultra-with-nvidia-h200-gpus-are-ga-on-ai-hypercomputer</t>
        </is>
      </c>
      <c r="L20" t="inlineStr"/>
      <c r="N20" t="inlineStr"/>
      <c r="Q20" t="inlineStr"/>
      <c r="R20" t="inlineStr">
        <is>
          <t>Exact day from release notes via search summary: medium confidence</t>
        </is>
      </c>
    </row>
    <row r="21">
      <c r="A21" t="inlineStr">
        <is>
          <t>Together AI</t>
        </is>
      </c>
      <c r="B21" t="inlineStr">
        <is>
          <t>H200</t>
        </is>
      </c>
      <c r="D21" t="inlineStr"/>
      <c r="F21" t="inlineStr"/>
      <c r="G21" t="inlineStr"/>
      <c r="H21" s="3" t="n">
        <v>45909</v>
      </c>
      <c r="I21" t="inlineStr">
        <is>
          <t>Reported</t>
        </is>
      </c>
      <c r="J21" t="inlineStr">
        <is>
          <t>Instant Clusters GA</t>
        </is>
      </c>
      <c r="K21" t="inlineStr">
        <is>
          <t>https://www.together.ai/blog/together-instant-clusters-ga</t>
        </is>
      </c>
      <c r="L21" t="inlineStr">
        <is>
          <t>H200</t>
        </is>
      </c>
      <c r="M21" s="3" t="n">
        <v>45906</v>
      </c>
      <c r="N21" t="inlineStr">
        <is>
          <t>https://web.archive.org/web/20250906000147/https://www.together.ai/pricing</t>
        </is>
      </c>
      <c r="O21" s="3" t="n">
        <v>45906</v>
      </c>
      <c r="P21" t="n">
        <v>3.79</v>
      </c>
      <c r="Q21" t="inlineStr">
        <is>
          <t>https://web.archive.org/web/20250906000147/https://www.together.ai/pricing</t>
        </is>
      </c>
      <c r="R21" t="inlineStr"/>
    </row>
    <row r="22">
      <c r="A22" s="4" t="inlineStr">
        <is>
          <t>Nebius</t>
        </is>
      </c>
      <c r="B22" s="4" t="inlineStr">
        <is>
          <t>B200 (HGX)</t>
        </is>
      </c>
      <c r="C22" s="5" t="n">
        <v>45721</v>
      </c>
      <c r="D22" s="4" t="inlineStr">
        <is>
          <t>https://web.archive.org/web/20250305221703/https://nebius.com/prices</t>
        </is>
      </c>
      <c r="E22" s="5" t="n">
        <v>45819</v>
      </c>
      <c r="F22" s="4" t="inlineStr">
        <is>
          <t>PR: B200 "to be available on-demand"</t>
        </is>
      </c>
      <c r="G22" s="4" t="inlineStr">
        <is>
          <t>https://nebius.com/newsroom/nebius-delivers-first-nvidia-blackwell-general-availability-in-europe-brings-nvidia-ai-enterprise-to-nebius-ai-cloud</t>
        </is>
      </c>
      <c r="H22" s="5" t="n">
        <v>45863</v>
      </c>
      <c r="I22" s="4" t="inlineStr">
        <is>
          <t>Reported</t>
        </is>
      </c>
      <c r="J22" s="4" t="inlineStr">
        <is>
          <t>Wayback upper bound: first capture with public B200 price ($5.50); prior capture 2025-06-29 had none. Self-service GA blog Aug 12 2025</t>
        </is>
      </c>
      <c r="K22" s="4" t="inlineStr">
        <is>
          <t>https://web.archive.org/web/20250725080908/https://nebius.com/prices</t>
        </is>
      </c>
      <c r="L22" s="4" t="inlineStr">
        <is>
          <t>B200</t>
        </is>
      </c>
      <c r="M22" s="5" t="n">
        <v>45863</v>
      </c>
      <c r="N22" s="4" t="inlineStr">
        <is>
          <t>https://web.archive.org/web/20250725080908/https://nebius.com/prices</t>
        </is>
      </c>
      <c r="O22" s="5" t="n">
        <v>45863</v>
      </c>
      <c r="P22" s="4" t="n">
        <v>5.5</v>
      </c>
      <c r="Q22" s="4" t="inlineStr">
        <is>
          <t>https://web.archive.org/web/20250725080908/https://nebius.com/prices</t>
        </is>
      </c>
      <c r="R22" s="4" t="inlineStr">
        <is>
          <t>Self-service: https://nebius.com/blog/posts/introducing-self-service-nvidia-blackwell-gpus</t>
        </is>
      </c>
    </row>
    <row r="23">
      <c r="A23" t="inlineStr">
        <is>
          <t>CoreWeave</t>
        </is>
      </c>
      <c r="B23" t="inlineStr">
        <is>
          <t>B200 (HGX)</t>
        </is>
      </c>
      <c r="D23" t="inlineStr"/>
      <c r="E23" s="3" t="n">
        <v>45689</v>
      </c>
      <c r="F23" t="inlineStr">
        <is>
          <t>Strategic customer deployment Feb 2025 (Estimated: month start)</t>
        </is>
      </c>
      <c r="G23" t="inlineStr">
        <is>
          <t>https://www.coreweave.com/blog/coreweave-expands-its-nvidia-blackwell-fleet-with-generally-available-nvidia-hgx-b200-instances</t>
        </is>
      </c>
      <c r="H23" s="3" t="n">
        <v>45806</v>
      </c>
      <c r="I23" t="inlineStr">
        <is>
          <t>Reported</t>
        </is>
      </c>
      <c r="J23" t="inlineStr">
        <is>
          <t>HGX B200 instances GA (docs changelog)</t>
        </is>
      </c>
      <c r="K23" t="inlineStr">
        <is>
          <t>https://docs.coreweave.com/changelog/release-notes/b200-instances</t>
        </is>
      </c>
      <c r="L23" t="inlineStr">
        <is>
          <t>B200</t>
        </is>
      </c>
      <c r="M23" s="3" t="n">
        <v>45817</v>
      </c>
      <c r="N23" t="inlineStr">
        <is>
          <t>https://web.archive.org/web/20250609162833/https://coreweave.com/pricing</t>
        </is>
      </c>
      <c r="O23" s="3" t="n">
        <v>45817</v>
      </c>
      <c r="P23" t="n">
        <v>8.6</v>
      </c>
      <c r="Q23" t="inlineStr">
        <is>
          <t>https://web.archive.org/web/20250609162833/https://coreweave.com/pricing</t>
        </is>
      </c>
      <c r="R23" t="inlineStr"/>
    </row>
    <row r="24">
      <c r="A24" t="inlineStr">
        <is>
          <t>Lambda</t>
        </is>
      </c>
      <c r="B24" t="inlineStr">
        <is>
          <t>B200 (HGX)</t>
        </is>
      </c>
      <c r="D24" t="inlineStr"/>
      <c r="F24" t="inlineStr"/>
      <c r="G24" t="inlineStr"/>
      <c r="H24" s="3" t="n">
        <v>45734</v>
      </c>
      <c r="I24" t="inlineStr">
        <is>
          <t>Reported</t>
        </is>
      </c>
      <c r="J24" t="inlineStr">
        <is>
          <t>GA of multi-node HGX B200 1-Click Clusters (2-week clusters); 8x on-demand instances followed Aug 12 2025 at $4.99</t>
        </is>
      </c>
      <c r="K24" t="inlineStr">
        <is>
          <t>https://lambda.ai/blog/be-first-scale-fast-blackwell-clusters-now-live-on-lambda</t>
        </is>
      </c>
      <c r="L24" t="inlineStr">
        <is>
          <t>B200</t>
        </is>
      </c>
      <c r="M24" s="3" t="n">
        <v>45882</v>
      </c>
      <c r="N24" t="inlineStr">
        <is>
          <t>https://web.archive.org/web/20250813005348/https://lambda.ai/pricing</t>
        </is>
      </c>
      <c r="O24" s="3" t="n">
        <v>45882</v>
      </c>
      <c r="P24" t="n">
        <v>4.99</v>
      </c>
      <c r="Q24" t="inlineStr">
        <is>
          <t>https://web.archive.org/web/20250813005348/https://lambda.ai/pricing</t>
        </is>
      </c>
      <c r="R24" t="inlineStr">
        <is>
          <t>8x on-demand: https://lambda.ai/blog/nvidia-b200-lambda-on-demand-cloud</t>
        </is>
      </c>
    </row>
    <row r="25">
      <c r="A25" t="inlineStr">
        <is>
          <t>Crusoe</t>
        </is>
      </c>
      <c r="B25" t="inlineStr">
        <is>
          <t>B200 (HGX)</t>
        </is>
      </c>
      <c r="D25" t="inlineStr"/>
      <c r="F25" t="inlineStr"/>
      <c r="G25" t="inlineStr"/>
      <c r="H25" s="3" t="n">
        <v>45775</v>
      </c>
      <c r="I25" t="inlineStr">
        <is>
          <t>Reported</t>
        </is>
      </c>
      <c r="J25" t="inlineStr">
        <is>
          <t>"Reserve capacity for HGX B200 ... today" (LinkedIn; date decoded from post id); no public price</t>
        </is>
      </c>
      <c r="K25" t="inlineStr">
        <is>
          <t>https://www.linkedin.com/posts/crusoe_nvidia-hgx-b200-activity-7322723749722472449-r18s</t>
        </is>
      </c>
      <c r="L25" t="inlineStr">
        <is>
          <t>B200</t>
        </is>
      </c>
      <c r="M25" s="3" t="n">
        <v>45929</v>
      </c>
      <c r="N25" t="inlineStr">
        <is>
          <t>https://web.archive.org/web/20250929194310/https://www.crusoe.ai/cloud/pricing</t>
        </is>
      </c>
      <c r="Q25" t="inlineStr"/>
      <c r="R25" t="inlineStr">
        <is>
          <t>Low confidence: reserved-only</t>
        </is>
      </c>
    </row>
    <row r="26">
      <c r="A26" t="inlineStr">
        <is>
          <t>Oracle OCI</t>
        </is>
      </c>
      <c r="B26" t="inlineStr">
        <is>
          <t>B200 (HGX)</t>
        </is>
      </c>
      <c r="D26" t="inlineStr"/>
      <c r="F26" t="inlineStr"/>
      <c r="G26" t="inlineStr"/>
      <c r="I26" t="inlineStr"/>
      <c r="J26" t="inlineStr">
        <is>
          <t>No dated GA found (Oracle said H1 2025)</t>
        </is>
      </c>
      <c r="K26" t="inlineStr">
        <is>
          <t>https://blogs.oracle.com/cloud-infrastructure/worlds-largest-ai-supercomputer-in-the-cloud</t>
        </is>
      </c>
      <c r="L26" t="inlineStr"/>
      <c r="N26" t="inlineStr"/>
      <c r="Q26" t="inlineStr"/>
      <c r="R26" t="inlineStr">
        <is>
          <t>Gap</t>
        </is>
      </c>
    </row>
    <row r="27">
      <c r="A27" t="inlineStr">
        <is>
          <t>AWS</t>
        </is>
      </c>
      <c r="B27" t="inlineStr">
        <is>
          <t>B200 (HGX)</t>
        </is>
      </c>
      <c r="D27" t="inlineStr"/>
      <c r="F27" t="inlineStr"/>
      <c r="G27" t="inlineStr"/>
      <c r="H27" s="3" t="n">
        <v>45792</v>
      </c>
      <c r="I27" t="inlineStr">
        <is>
          <t>Reported</t>
        </is>
      </c>
      <c r="J27" t="inlineStr">
        <is>
          <t>EC2 P6-B200 GA</t>
        </is>
      </c>
      <c r="K27" t="inlineStr">
        <is>
          <t>https://aws.amazon.com/about-aws/whats-new/2025/05/amazon-ec2-p6-b200-instances-nvidia-b200-gpus/</t>
        </is>
      </c>
      <c r="L27" t="inlineStr">
        <is>
          <t>B200</t>
        </is>
      </c>
      <c r="M27" s="3" t="n">
        <v>46112</v>
      </c>
      <c r="N27" t="inlineStr">
        <is>
          <t>https://web.archive.org/web/20260331164533/https://aws.amazon.com/ec2/capacityblocks/pricing/</t>
        </is>
      </c>
      <c r="O27" s="3" t="n">
        <v>46112</v>
      </c>
      <c r="P27" t="n">
        <v>10.296</v>
      </c>
      <c r="Q27" t="inlineStr">
        <is>
          <t>https://web.archive.org/web/20260331164533/https://aws.amazon.com/ec2/capacityblocks/pricing/</t>
        </is>
      </c>
      <c r="R27" t="inlineStr"/>
    </row>
    <row r="28">
      <c r="A28" t="inlineStr">
        <is>
          <t>GCP</t>
        </is>
      </c>
      <c r="B28" t="inlineStr">
        <is>
          <t>B200 (HGX)</t>
        </is>
      </c>
      <c r="D28" t="inlineStr"/>
      <c r="E28" s="3" t="n">
        <v>45688</v>
      </c>
      <c r="F28" t="inlineStr">
        <is>
          <t>A4 VMs preview</t>
        </is>
      </c>
      <c r="G28" t="inlineStr">
        <is>
          <t>https://cloud.google.com/blog/products/compute/introducing-a4-vms-powered-by-nvidia-b200-gpu-aka-blackwell</t>
        </is>
      </c>
      <c r="H28" s="3" t="n">
        <v>45734</v>
      </c>
      <c r="I28" t="inlineStr">
        <is>
          <t>Reported</t>
        </is>
      </c>
      <c r="J28" t="inlineStr">
        <is>
          <t>A4 VMs GA</t>
        </is>
      </c>
      <c r="K28" t="inlineStr">
        <is>
          <t>https://cloud.google.com/blog/products/compute/google-cloud-goes-to-nvidia-gtc</t>
        </is>
      </c>
      <c r="L28" t="inlineStr"/>
      <c r="N28" t="inlineStr"/>
      <c r="Q28" t="inlineStr"/>
      <c r="R28" t="inlineStr"/>
    </row>
    <row r="29">
      <c r="A29" t="inlineStr">
        <is>
          <t>Together AI</t>
        </is>
      </c>
      <c r="B29" t="inlineStr">
        <is>
          <t>B200 (HGX)</t>
        </is>
      </c>
      <c r="D29" t="inlineStr"/>
      <c r="F29" t="inlineStr"/>
      <c r="G29" t="inlineStr"/>
      <c r="H29" s="3" t="n">
        <v>45909</v>
      </c>
      <c r="I29" t="inlineStr">
        <is>
          <t>Reported</t>
        </is>
      </c>
      <c r="J29" t="inlineStr">
        <is>
          <t>Instant Clusters GA</t>
        </is>
      </c>
      <c r="K29" t="inlineStr">
        <is>
          <t>https://www.together.ai/blog/together-instant-clusters-ga</t>
        </is>
      </c>
      <c r="L29" t="inlineStr">
        <is>
          <t>B200</t>
        </is>
      </c>
      <c r="M29" s="3" t="n">
        <v>45906</v>
      </c>
      <c r="N29" t="inlineStr">
        <is>
          <t>https://web.archive.org/web/20250906000147/https://www.together.ai/pricing</t>
        </is>
      </c>
      <c r="O29" s="3" t="n">
        <v>45906</v>
      </c>
      <c r="P29" t="n">
        <v>5.5</v>
      </c>
      <c r="Q29" t="inlineStr">
        <is>
          <t>https://web.archive.org/web/20250906000147/https://www.together.ai/pricing</t>
        </is>
      </c>
      <c r="R29" t="inlineStr"/>
    </row>
    <row r="30">
      <c r="A30" s="4" t="inlineStr">
        <is>
          <t>Nebius</t>
        </is>
      </c>
      <c r="B30" s="4" t="inlineStr">
        <is>
          <t>GB200 NVL72</t>
        </is>
      </c>
      <c r="C30" s="5" t="n">
        <v>45721</v>
      </c>
      <c r="D30" s="4" t="inlineStr">
        <is>
          <t>https://web.archive.org/web/20250305221703/https://nebius.com/prices</t>
        </is>
      </c>
      <c r="E30" s="4" t="n"/>
      <c r="F30" s="4" t="inlineStr"/>
      <c r="G30" s="4" t="inlineStr"/>
      <c r="H30" s="5" t="n">
        <v>45819</v>
      </c>
      <c r="I30" s="4" t="inlineStr">
        <is>
          <t>Reported</t>
        </is>
      </c>
      <c r="J30" s="4" t="inlineStr">
        <is>
          <t>"First general availability of GB200 NVL72 capacity in Europe" (no public price; "Contact us")</t>
        </is>
      </c>
      <c r="K30" s="4" t="inlineStr">
        <is>
          <t>https://nebius.com/newsroom/nebius-delivers-first-nvidia-blackwell-general-availability-in-europe-brings-nvidia-ai-enterprise-to-nebius-ai-cloud</t>
        </is>
      </c>
      <c r="L30" s="4" t="inlineStr">
        <is>
          <t>GB200 NVL72</t>
        </is>
      </c>
      <c r="M30" s="5" t="n">
        <v>45863</v>
      </c>
      <c r="N30" s="4" t="inlineStr">
        <is>
          <t>https://web.archive.org/web/20250725080908/https://nebius.com/prices</t>
        </is>
      </c>
      <c r="O30" s="4" t="n"/>
      <c r="P30" s="4" t="n"/>
      <c r="Q30" s="4" t="inlineStr"/>
      <c r="R30" s="4" t="inlineStr"/>
    </row>
    <row r="31">
      <c r="A31" t="inlineStr">
        <is>
          <t>CoreWeave</t>
        </is>
      </c>
      <c r="B31" t="inlineStr">
        <is>
          <t>GB200 NVL72</t>
        </is>
      </c>
      <c r="D31" t="inlineStr"/>
      <c r="F31" t="inlineStr"/>
      <c r="G31" t="inlineStr"/>
      <c r="H31" s="3" t="n">
        <v>45692</v>
      </c>
      <c r="I31" t="inlineStr">
        <is>
          <t>Reported</t>
        </is>
      </c>
      <c r="J31" t="inlineStr">
        <is>
          <t>First cloud to announce GA of GB200 NVL72 instances</t>
        </is>
      </c>
      <c r="K31" t="inlineStr">
        <is>
          <t>https://www.prnewswire.com/news-releases/coreweave-first-cloud-provider-to-announce-general-availability-of-nvidia-gb200-nvl72-instances-302367298.html</t>
        </is>
      </c>
      <c r="L31" t="inlineStr">
        <is>
          <t>GB200 NVL72</t>
        </is>
      </c>
      <c r="M31" s="3" t="n">
        <v>45697</v>
      </c>
      <c r="N31" t="inlineStr">
        <is>
          <t>https://web.archive.org/web/20250209162626/https://www.coreweave.com/pricing</t>
        </is>
      </c>
      <c r="O31" s="3" t="n">
        <v>45697</v>
      </c>
      <c r="P31" t="n">
        <v>10.5</v>
      </c>
      <c r="Q31" t="inlineStr">
        <is>
          <t>https://web.archive.org/web/20250209162626/https://www.coreweave.com/pricing</t>
        </is>
      </c>
      <c r="R31" t="inlineStr"/>
    </row>
    <row r="32">
      <c r="A32" t="inlineStr">
        <is>
          <t>Lambda</t>
        </is>
      </c>
      <c r="B32" t="inlineStr">
        <is>
          <t>GB200 NVL72</t>
        </is>
      </c>
      <c r="D32" t="inlineStr"/>
      <c r="E32" s="3" t="n">
        <v>45776</v>
      </c>
      <c r="F32" t="inlineStr">
        <is>
          <t>Had deployed "at least two NVL72 racks" (DCD)</t>
        </is>
      </c>
      <c r="G32" t="inlineStr">
        <is>
          <t>https://www.datacenterdynamics.com/en/news/nvidia-gb200-nvl72-now-available-via-oracle-cloud/</t>
        </is>
      </c>
      <c r="I32" t="inlineStr"/>
      <c r="J32" t="inlineStr">
        <is>
          <t>No dated GA found</t>
        </is>
      </c>
      <c r="K32" t="inlineStr"/>
      <c r="L32" t="inlineStr"/>
      <c r="N32" t="inlineStr"/>
      <c r="Q32" t="inlineStr"/>
      <c r="R32" t="inlineStr">
        <is>
          <t>Gap</t>
        </is>
      </c>
    </row>
    <row r="33">
      <c r="A33" t="inlineStr">
        <is>
          <t>Crusoe</t>
        </is>
      </c>
      <c r="B33" t="inlineStr">
        <is>
          <t>GB200 NVL72</t>
        </is>
      </c>
      <c r="D33" t="inlineStr"/>
      <c r="F33" t="inlineStr"/>
      <c r="G33" t="inlineStr"/>
      <c r="H33" s="3" t="n">
        <v>45896</v>
      </c>
      <c r="I33" t="inlineStr">
        <is>
          <t>Reported</t>
        </is>
      </c>
      <c r="J33" t="inlineStr">
        <is>
          <t>"Availability of NVIDIA GB200 NVL72 on Crusoe Cloud" (LinkedIn; date decoded from post id)</t>
        </is>
      </c>
      <c r="K33" t="inlineStr">
        <is>
          <t>https://www.linkedin.com/feed/update/urn:li:activity:7366592985901301762</t>
        </is>
      </c>
      <c r="L33" t="inlineStr">
        <is>
          <t>GB200 NVL72</t>
        </is>
      </c>
      <c r="M33" s="3" t="n">
        <v>46006</v>
      </c>
      <c r="N33" t="inlineStr">
        <is>
          <t>https://web.archive.org/web/20251215002446/https://www.crusoe.ai/cloud/pricing</t>
        </is>
      </c>
      <c r="Q33" t="inlineStr"/>
      <c r="R33" t="inlineStr"/>
    </row>
    <row r="34">
      <c r="A34" t="inlineStr">
        <is>
          <t>Oracle OCI</t>
        </is>
      </c>
      <c r="B34" t="inlineStr">
        <is>
          <t>GB200 NVL72</t>
        </is>
      </c>
      <c r="D34" t="inlineStr"/>
      <c r="F34" t="inlineStr"/>
      <c r="G34" t="inlineStr"/>
      <c r="H34" s="3" t="n">
        <v>45776</v>
      </c>
      <c r="I34" t="inlineStr">
        <is>
          <t>Reported</t>
        </is>
      </c>
      <c r="J34" t="inlineStr">
        <is>
          <t>GB200 NVL72 "now available via Oracle Cloud" (DCD citing NVIDIA blog)</t>
        </is>
      </c>
      <c r="K34" t="inlineStr">
        <is>
          <t>https://www.datacenterdynamics.com/en/news/nvidia-gb200-nvl72-now-available-via-oracle-cloud/</t>
        </is>
      </c>
      <c r="L34" t="inlineStr"/>
      <c r="N34" t="inlineStr"/>
      <c r="Q34" t="inlineStr"/>
      <c r="R34" t="inlineStr"/>
    </row>
    <row r="35">
      <c r="A35" t="inlineStr">
        <is>
          <t>AWS</t>
        </is>
      </c>
      <c r="B35" t="inlineStr">
        <is>
          <t>GB200 NVL72</t>
        </is>
      </c>
      <c r="D35" t="inlineStr"/>
      <c r="F35" t="inlineStr"/>
      <c r="G35" t="inlineStr"/>
      <c r="H35" s="3" t="n">
        <v>45847</v>
      </c>
      <c r="I35" t="inlineStr">
        <is>
          <t>Reported</t>
        </is>
      </c>
      <c r="J35" t="inlineStr">
        <is>
          <t>P6e-GB200 UltraServers GA</t>
        </is>
      </c>
      <c r="K35" t="inlineStr">
        <is>
          <t>https://aws.amazon.com/about-aws/whats-new/2025/07/amazon-p6e-gb200-ultraservers-gpu-performance-ec2/</t>
        </is>
      </c>
      <c r="L35" t="inlineStr"/>
      <c r="N35" t="inlineStr"/>
      <c r="Q35" t="inlineStr"/>
      <c r="R35" t="inlineStr"/>
    </row>
    <row r="36">
      <c r="A36" t="inlineStr">
        <is>
          <t>Azure</t>
        </is>
      </c>
      <c r="B36" t="inlineStr">
        <is>
          <t>GB200 NVL72</t>
        </is>
      </c>
      <c r="D36" t="inlineStr"/>
      <c r="F36" t="inlineStr"/>
      <c r="G36" t="inlineStr"/>
      <c r="H36" s="3" t="n">
        <v>45734</v>
      </c>
      <c r="I36" t="inlineStr">
        <is>
          <t>Reported</t>
        </is>
      </c>
      <c r="J36" t="inlineStr">
        <is>
          <t>ND GB200 v6 GA</t>
        </is>
      </c>
      <c r="K36" t="inlineStr">
        <is>
          <t>https://azurelook.com/azure-update/accelerating-the-intelligence-age-with-azure-ai-infrastructure-and-the-ga-of-nd-gb200-v6/</t>
        </is>
      </c>
      <c r="L36" t="inlineStr"/>
      <c r="N36" t="inlineStr"/>
      <c r="Q36" t="inlineStr"/>
      <c r="R36" t="inlineStr">
        <is>
          <t>Secondary source (Azure update mirror) - medium</t>
        </is>
      </c>
    </row>
    <row r="37">
      <c r="A37" t="inlineStr">
        <is>
          <t>GCP</t>
        </is>
      </c>
      <c r="B37" t="inlineStr">
        <is>
          <t>GB200 NVL72</t>
        </is>
      </c>
      <c r="D37" t="inlineStr"/>
      <c r="E37" s="3" t="n">
        <v>45707</v>
      </c>
      <c r="F37" t="inlineStr">
        <is>
          <t>A4X preview</t>
        </is>
      </c>
      <c r="G37" t="inlineStr">
        <is>
          <t>https://cloud.google.com/blog/products/compute/new-a4x-vms-powered-by-nvidia-gb200-gpus</t>
        </is>
      </c>
      <c r="H37" s="3" t="n">
        <v>45806</v>
      </c>
      <c r="I37" t="inlineStr">
        <is>
          <t>Reported</t>
        </is>
      </c>
      <c r="J37" t="inlineStr">
        <is>
          <t>A4X GA (update note on Feb 19 blog)</t>
        </is>
      </c>
      <c r="K37" t="inlineStr">
        <is>
          <t>https://cloud.google.com/blog/products/compute/new-a4x-vms-powered-by-nvidia-gb200-gpus</t>
        </is>
      </c>
      <c r="L37" t="inlineStr"/>
      <c r="N37" t="inlineStr"/>
      <c r="Q37" t="inlineStr"/>
      <c r="R37" t="inlineStr"/>
    </row>
    <row r="38">
      <c r="A38" t="inlineStr">
        <is>
          <t>Together AI</t>
        </is>
      </c>
      <c r="B38" t="inlineStr">
        <is>
          <t>GB200 NVL72</t>
        </is>
      </c>
      <c r="C38" s="3" t="n">
        <v>45614</v>
      </c>
      <c r="D38" t="inlineStr">
        <is>
          <t>https://www.together.ai/blog/nvidia-gb200-together-gpu-cluster-36k</t>
        </is>
      </c>
      <c r="F38" t="inlineStr"/>
      <c r="G38" t="inlineStr"/>
      <c r="I38" t="inlineStr"/>
      <c r="J38" t="inlineStr">
        <is>
          <t>No dated GA found</t>
        </is>
      </c>
      <c r="K38" t="inlineStr"/>
      <c r="L38" t="inlineStr">
        <is>
          <t>GB200 NVL72</t>
        </is>
      </c>
      <c r="M38" s="3" t="n">
        <v>46119</v>
      </c>
      <c r="N38" t="inlineStr">
        <is>
          <t>https://web.archive.org/web/20260407215358/https://www.together.ai/pricing</t>
        </is>
      </c>
      <c r="Q38" t="inlineStr"/>
      <c r="R38" t="inlineStr">
        <is>
          <t>Gap</t>
        </is>
      </c>
    </row>
    <row r="39">
      <c r="A39" s="4" t="inlineStr">
        <is>
          <t>Nebius</t>
        </is>
      </c>
      <c r="B39" s="4" t="inlineStr">
        <is>
          <t>B300 / GB300 NVL72</t>
        </is>
      </c>
      <c r="C39" s="5" t="n">
        <v>45734</v>
      </c>
      <c r="D39" s="4" t="inlineStr">
        <is>
          <t>https://nvidianews.nvidia.com/news/nvidia-blackwell-ultra-ai-factory-platform-paves-way-for-age-of-ai-reasoning</t>
        </is>
      </c>
      <c r="E39" s="4" t="n"/>
      <c r="F39" s="4" t="inlineStr"/>
      <c r="G39" s="4" t="inlineStr"/>
      <c r="H39" s="5" t="n">
        <v>46008</v>
      </c>
      <c r="I39" s="4" t="inlineStr">
        <is>
          <t>Reported</t>
        </is>
      </c>
      <c r="J39" s="4" t="inlineStr">
        <is>
          <t>GB300 NVL72 and HGX B300 "already being used by customers" (AI Cloud 3.1). HGX B300 public price first seen 2026-04-02 ($6.10)</t>
        </is>
      </c>
      <c r="K39" s="4" t="inlineStr">
        <is>
          <t>https://nebius.com/newsroom/nebius-ai-cloud-3-1-delivers-next-generation-nvidia-blackwell-ultra-compute-with-transparent-capacity-management-for-ai-at-scale</t>
        </is>
      </c>
      <c r="L39" s="4" t="inlineStr">
        <is>
          <t>GB300 NVL72</t>
        </is>
      </c>
      <c r="M39" s="5" t="n">
        <v>46114</v>
      </c>
      <c r="N39" s="4" t="inlineStr">
        <is>
          <t>https://web.archive.org/web/20260402090033/https://nebius.com/prices</t>
        </is>
      </c>
      <c r="O39" s="4" t="n"/>
      <c r="P39" s="4" t="n"/>
      <c r="Q39" s="4" t="inlineStr"/>
      <c r="R39" s="4" t="inlineStr">
        <is>
          <t>Customer use could predate PR; PR date is an upper bound</t>
        </is>
      </c>
    </row>
    <row r="40">
      <c r="A40" t="inlineStr">
        <is>
          <t>CoreWeave</t>
        </is>
      </c>
      <c r="B40" t="inlineStr">
        <is>
          <t>B300 / GB300 NVL72</t>
        </is>
      </c>
      <c r="C40" s="3" t="n">
        <v>45734</v>
      </c>
      <c r="D40" t="inlineStr">
        <is>
          <t>https://nvidianews.nvidia.com/news/nvidia-blackwell-ultra-ai-factory-platform-paves-way-for-age-of-ai-reasoning</t>
        </is>
      </c>
      <c r="F40" t="inlineStr"/>
      <c r="G40" t="inlineStr"/>
      <c r="H40" s="3" t="n">
        <v>45841</v>
      </c>
      <c r="I40" t="inlineStr">
        <is>
          <t>Reported</t>
        </is>
      </c>
      <c r="J40" t="inlineStr">
        <is>
          <t>First cloud to deploy GB300 NVL72 "for customers"</t>
        </is>
      </c>
      <c r="K40" t="inlineStr">
        <is>
          <t>https://www.coreweave.com/news/coreweave-becomes-first-cloud-provider-to-deploy-nvidia-gb300-nvl72-platform</t>
        </is>
      </c>
      <c r="L40" t="inlineStr">
        <is>
          <t>GB300 NVL72</t>
        </is>
      </c>
      <c r="M40" s="3" t="n">
        <v>45892</v>
      </c>
      <c r="N40" t="inlineStr">
        <is>
          <t>https://web.archive.org/web/20250823182906/https://www.coreweave.com/pricing</t>
        </is>
      </c>
      <c r="Q40" t="inlineStr"/>
      <c r="R40" t="inlineStr">
        <is>
          <t>GB300 shown on pricing page ("Contact sales") from 2025-09-03 capture</t>
        </is>
      </c>
    </row>
    <row r="41">
      <c r="A41" t="inlineStr">
        <is>
          <t>Lambda</t>
        </is>
      </c>
      <c r="B41" t="inlineStr">
        <is>
          <t>B300 / GB300 NVL72</t>
        </is>
      </c>
      <c r="C41" s="3" t="n">
        <v>45734</v>
      </c>
      <c r="D41" t="inlineStr">
        <is>
          <t>https://lambda.ai/blog/be-first-scale-fast-blackwell-clusters-now-live-on-lambda</t>
        </is>
      </c>
      <c r="E41" s="3" t="n">
        <v>45945</v>
      </c>
      <c r="F41" t="inlineStr">
        <is>
          <t>First GB300 NVL72 systems stood up "last week" (blog Oct 22 2025; Estimated mid-Oct)</t>
        </is>
      </c>
      <c r="G41" t="inlineStr">
        <is>
          <t>https://lambda.ai/blog/gigawatt-scale-ai-factories-nvidia-gb300-nvl72-system-on-lambda-cloud</t>
        </is>
      </c>
      <c r="I41" t="inlineStr"/>
      <c r="J41" t="inlineStr">
        <is>
          <t>No dated GA / public price found</t>
        </is>
      </c>
      <c r="K41" t="inlineStr"/>
      <c r="L41" t="inlineStr"/>
      <c r="N41" t="inlineStr"/>
      <c r="Q41" t="inlineStr"/>
      <c r="R41" t="inlineStr">
        <is>
          <t>Gap</t>
        </is>
      </c>
    </row>
    <row r="42">
      <c r="A42" t="inlineStr">
        <is>
          <t>Crusoe</t>
        </is>
      </c>
      <c r="B42" t="inlineStr">
        <is>
          <t>B300 / GB300 NVL72</t>
        </is>
      </c>
      <c r="C42" s="3" t="n">
        <v>45734</v>
      </c>
      <c r="D42" t="inlineStr">
        <is>
          <t>https://nvidianews.nvidia.com/news/nvidia-blackwell-ultra-ai-factory-platform-paves-way-for-age-of-ai-reasoning</t>
        </is>
      </c>
      <c r="E42" s="3" t="n">
        <v>46140</v>
      </c>
      <c r="F42" t="inlineStr">
        <is>
          <t>B300 VMs available for customer POCs (changelog)</t>
        </is>
      </c>
      <c r="G42" t="inlineStr">
        <is>
          <t>https://docs.crusoecloud.com/resources/changelog</t>
        </is>
      </c>
      <c r="I42" t="inlineStr"/>
      <c r="J42" t="inlineStr">
        <is>
          <t>No GA; GB300 dedicated clusters for Perplexity announced Sep 2026, not public</t>
        </is>
      </c>
      <c r="K42" t="inlineStr">
        <is>
          <t>https://www.crusoe.ai/resources/newsroom/crusoe-perplexity-partnership</t>
        </is>
      </c>
      <c r="L42" t="inlineStr"/>
      <c r="N42" t="inlineStr"/>
      <c r="Q42" t="inlineStr"/>
      <c r="R42" t="inlineStr">
        <is>
          <t>Gap</t>
        </is>
      </c>
    </row>
    <row r="43">
      <c r="A43" t="inlineStr">
        <is>
          <t>Nscale</t>
        </is>
      </c>
      <c r="B43" t="inlineStr">
        <is>
          <t>B300 / GB300 NVL72</t>
        </is>
      </c>
      <c r="C43" s="3" t="n">
        <v>45734</v>
      </c>
      <c r="D43" t="inlineStr">
        <is>
          <t>https://nvidianews.nvidia.com/news/nvidia-blackwell-ultra-ai-factory-platform-paves-way-for-age-of-ai-reasoning</t>
        </is>
      </c>
      <c r="F43" t="inlineStr"/>
      <c r="G43" t="inlineStr"/>
      <c r="I43" t="inlineStr"/>
      <c r="J43" t="inlineStr">
        <is>
          <t>GB300 live at Sines reported Q1 2026; GB300 production validated Jul 2026 (no exact GA day)</t>
        </is>
      </c>
      <c r="K43" t="inlineStr">
        <is>
          <t>https://www.nscale.com/blog/nscale-achieves-nvidia-exemplar-cloud-status-on-nvidia-gb300-nvl72</t>
        </is>
      </c>
      <c r="L43" t="inlineStr"/>
      <c r="N43" t="inlineStr"/>
      <c r="Q43" t="inlineStr"/>
      <c r="R43" t="inlineStr">
        <is>
          <t>Gap (no dated GA)</t>
        </is>
      </c>
    </row>
    <row r="44">
      <c r="A44" t="inlineStr">
        <is>
          <t>Oracle OCI</t>
        </is>
      </c>
      <c r="B44" t="inlineStr">
        <is>
          <t>B300 / GB300 NVL72</t>
        </is>
      </c>
      <c r="C44" s="3" t="n">
        <v>45820</v>
      </c>
      <c r="D44" t="inlineStr">
        <is>
          <t>https://www.oracle.com/news/announcement/oracle-and-nvidia-help-enterprises-and-developers-accelerate-ai-innovation-2025-06-12/</t>
        </is>
      </c>
      <c r="F44" t="inlineStr"/>
      <c r="G44" t="inlineStr"/>
      <c r="H44" s="3" t="n">
        <v>46100</v>
      </c>
      <c r="I44" t="inlineStr">
        <is>
          <t>Estimated</t>
        </is>
      </c>
      <c r="J44" t="inlineStr">
        <is>
          <t>Upper bound: Oracle blog describing GB300 as available for enterprise deployment by Mar 19 2026 (search summary)</t>
        </is>
      </c>
      <c r="K44" t="inlineStr">
        <is>
          <t>https://blogs.oracle.com/ai-and-datascience/scaling-the-frontier-of-multimodal-genai-for-enterprise</t>
        </is>
      </c>
      <c r="L44" t="inlineStr"/>
      <c r="N44" t="inlineStr"/>
      <c r="Q44" t="inlineStr"/>
      <c r="R44" t="inlineStr">
        <is>
          <t>Low confidence</t>
        </is>
      </c>
    </row>
    <row r="45">
      <c r="A45" t="inlineStr">
        <is>
          <t>AWS</t>
        </is>
      </c>
      <c r="B45" t="inlineStr">
        <is>
          <t>B300 / GB300 NVL72</t>
        </is>
      </c>
      <c r="D45" t="inlineStr"/>
      <c r="F45" t="inlineStr"/>
      <c r="G45" t="inlineStr"/>
      <c r="H45" s="3" t="n">
        <v>45979</v>
      </c>
      <c r="I45" t="inlineStr">
        <is>
          <t>Reported</t>
        </is>
      </c>
      <c r="J45" t="inlineStr">
        <is>
          <t>P6-B300 GA (P6e-GB300 UltraServers GA Dec 2 2025)</t>
        </is>
      </c>
      <c r="K45" t="inlineStr">
        <is>
          <t>https://aws.amazon.com/blogs/aws/accelerate-large-scale-ai-applications-with-the-new-amazon-ec2-p6-b300-instances/</t>
        </is>
      </c>
      <c r="L45" t="inlineStr">
        <is>
          <t>B300</t>
        </is>
      </c>
      <c r="M45" s="3" t="n">
        <v>46207</v>
      </c>
      <c r="N45" t="inlineStr">
        <is>
          <t>https://web.archive.org/web/20260704092824/https://aws.amazon.com/ec2/capacityblocks/pricing/</t>
        </is>
      </c>
      <c r="O45" s="3" t="n">
        <v>46207</v>
      </c>
      <c r="P45" t="n">
        <v>14.04</v>
      </c>
      <c r="Q45" t="inlineStr">
        <is>
          <t>https://web.archive.org/web/20260704092824/https://aws.amazon.com/ec2/capacityblocks/pricing/</t>
        </is>
      </c>
      <c r="R45" t="inlineStr">
        <is>
          <t>GB300: https://aws.amazon.com/about-aws/whats-new/2025/12/amazon-ec2-p6e-gb300-ultraservers-nvidia-gb300-nvl72-generally-available/</t>
        </is>
      </c>
    </row>
    <row r="46">
      <c r="A46" t="inlineStr">
        <is>
          <t>Azure</t>
        </is>
      </c>
      <c r="B46" t="inlineStr">
        <is>
          <t>B300 / GB300 NVL72</t>
        </is>
      </c>
      <c r="D46" t="inlineStr"/>
      <c r="F46" t="inlineStr"/>
      <c r="G46" t="inlineStr"/>
      <c r="H46" s="3" t="n">
        <v>45939</v>
      </c>
      <c r="I46" t="inlineStr">
        <is>
          <t>Reported</t>
        </is>
      </c>
      <c r="J46" t="inlineStr">
        <is>
          <t>First at-scale production GB300 NVL72 cluster (OpenAI); ND GB300 v6 GA blog Nov 18 2025</t>
        </is>
      </c>
      <c r="K46" t="inlineStr">
        <is>
          <t>https://azure.microsoft.com/en-us/blog/microsoft-azure-delivers-the-first-large-scale-cluster-with-nvidia-gb300-nvl72-for-openai-workloads/</t>
        </is>
      </c>
      <c r="L46" t="inlineStr"/>
      <c r="N46" t="inlineStr"/>
      <c r="Q46" t="inlineStr"/>
      <c r="R46" t="inlineStr">
        <is>
          <t>GA: https://techcommunity.microsoft.com/blog/azurehighperformancecomputingblog/azure-nd-gb300-v6-now-generally-available---hyper-optimized-for-generative-and-a/4469475</t>
        </is>
      </c>
    </row>
    <row r="47">
      <c r="A47" t="inlineStr">
        <is>
          <t>GCP</t>
        </is>
      </c>
      <c r="B47" t="inlineStr">
        <is>
          <t>B300 / GB300 NVL72</t>
        </is>
      </c>
      <c r="D47" t="inlineStr"/>
      <c r="F47" t="inlineStr"/>
      <c r="G47" t="inlineStr"/>
      <c r="H47" s="3" t="n">
        <v>45958</v>
      </c>
      <c r="I47" t="inlineStr">
        <is>
          <t>Reported</t>
        </is>
      </c>
      <c r="J47" t="inlineStr">
        <is>
          <t>A4X Max (GB300) "now shipping" in production (contact sales)</t>
        </is>
      </c>
      <c r="K47" t="inlineStr">
        <is>
          <t>https://cloud.google.com/blog/products/compute/now-shipping-a4x-max-vertex-ai-training-and-more</t>
        </is>
      </c>
      <c r="L47" t="inlineStr"/>
      <c r="N47" t="inlineStr"/>
      <c r="Q47" t="inlineStr"/>
      <c r="R47" t="inlineStr"/>
    </row>
    <row r="48">
      <c r="A48" t="inlineStr">
        <is>
          <t>Together AI</t>
        </is>
      </c>
      <c r="B48" t="inlineStr">
        <is>
          <t>B300 / GB300 NVL72</t>
        </is>
      </c>
      <c r="D48" t="inlineStr"/>
      <c r="F48" t="inlineStr"/>
      <c r="G48" t="inlineStr"/>
      <c r="H48" s="3" t="n">
        <v>46119</v>
      </c>
      <c r="I48" t="inlineStr">
        <is>
          <t>Reported</t>
        </is>
      </c>
      <c r="J48" t="inlineStr">
        <is>
          <t>Wayback upper bound: GB300 NVL72 &amp; HGX B300 first listed on pricing page ("Contact us")</t>
        </is>
      </c>
      <c r="K48" t="inlineStr">
        <is>
          <t>https://web.archive.org/web/20260407215358/https://www.together.ai/pricing</t>
        </is>
      </c>
      <c r="L48" t="inlineStr">
        <is>
          <t>GB300 NVL72</t>
        </is>
      </c>
      <c r="M48" s="3" t="n">
        <v>46119</v>
      </c>
      <c r="N48" t="inlineStr">
        <is>
          <t>https://web.archive.org/web/20260407215358/https://www.together.ai/pricing</t>
        </is>
      </c>
      <c r="Q48" t="inlineStr"/>
      <c r="R48" t="inlineStr">
        <is>
          <t>Listing only, low confidence</t>
        </is>
      </c>
    </row>
    <row r="49">
      <c r="A49" s="4" t="inlineStr">
        <is>
          <t>Nebius</t>
        </is>
      </c>
      <c r="B49" s="4" t="inlineStr">
        <is>
          <t>Vera Rubin NVL72</t>
        </is>
      </c>
      <c r="C49" s="5" t="n">
        <v>46027</v>
      </c>
      <c r="D49" s="4" t="inlineStr">
        <is>
          <t>https://nebius.com/newsroom/nebius-to-offer-nvidia-vera-rubin-nvl-72-in-us-and-europe-from-h2-2026</t>
        </is>
      </c>
      <c r="E49" s="5" t="n">
        <v>46226</v>
      </c>
      <c r="F49" s="4" t="inlineStr">
        <is>
          <t>First full VR NVL72 rack brought up/validating in Finland (LinkedIn; date from post id)</t>
        </is>
      </c>
      <c r="G49" s="4" t="inlineStr">
        <is>
          <t>https://www.linkedin.com/posts/nebius_this-is-our-first-full-nvidia-vera-rubin-activity-7485922889645469698-np1D</t>
        </is>
      </c>
      <c r="H49" s="4" t="n"/>
      <c r="I49" s="4" t="inlineStr"/>
      <c r="J49" s="4" t="inlineStr">
        <is>
          <t>Not yet available to customers as of 2026-10-04</t>
        </is>
      </c>
      <c r="K49" s="4" t="inlineStr"/>
      <c r="L49" s="4" t="inlineStr"/>
      <c r="M49" s="4" t="n"/>
      <c r="N49" s="4" t="inlineStr"/>
      <c r="O49" s="4" t="n"/>
      <c r="P49" s="4" t="n"/>
      <c r="Q49" s="4" t="inlineStr"/>
      <c r="R49" s="4" t="inlineStr">
        <is>
          <t>Censored: lag &gt;= 64 days and counting</t>
        </is>
      </c>
    </row>
    <row r="50">
      <c r="A50" t="inlineStr">
        <is>
          <t>CoreWeave</t>
        </is>
      </c>
      <c r="B50" t="inlineStr">
        <is>
          <t>Vera Rubin NVL72</t>
        </is>
      </c>
      <c r="C50" s="3" t="n">
        <v>46027</v>
      </c>
      <c r="D50" t="inlineStr">
        <is>
          <t>https://nvidianews.nvidia.com/news/rubin-platform-ai-supercomputer</t>
        </is>
      </c>
      <c r="E50" s="3" t="n">
        <v>46174</v>
      </c>
      <c r="F50" t="inlineStr">
        <is>
          <t>Industry-first bring-up &amp; validation of VR NVL72</t>
        </is>
      </c>
      <c r="G50" t="inlineStr">
        <is>
          <t>https://www.coreweave.com/news/coreweave-completes-industry-first-bring-up-of-nvidia-vera-rubin-nvl72</t>
        </is>
      </c>
      <c r="H50" s="3" t="n">
        <v>46295</v>
      </c>
      <c r="I50" t="inlineStr">
        <is>
          <t>Reported</t>
        </is>
      </c>
      <c r="J50" t="inlineStr">
        <is>
          <t>"Availability of NVIDIA Vera Rubin NVL72 on CoreWeave", Cognition first production customer</t>
        </is>
      </c>
      <c r="K50" t="inlineStr">
        <is>
          <t>https://investors.coreweave.com/news/news-details/2026/CoreWeave-Delivers-NVIDIA-Vera-Rubin-NVL72-Performance-at-Production-Scale-Starting-With-Cognition/default.aspx</t>
        </is>
      </c>
      <c r="L50" t="inlineStr"/>
      <c r="N50" t="inlineStr"/>
      <c r="Q50" t="inlineStr"/>
      <c r="R50" t="inlineStr"/>
    </row>
    <row r="51">
      <c r="A51" t="inlineStr">
        <is>
          <t>Lambda</t>
        </is>
      </c>
      <c r="B51" t="inlineStr">
        <is>
          <t>Vera Rubin NVL72</t>
        </is>
      </c>
      <c r="C51" s="3" t="n">
        <v>46029</v>
      </c>
      <c r="D51" t="inlineStr">
        <is>
          <t>https://www.linkedin.com/posts/lambda-cloud_ces2026-nvidiarubin-activity-7414655682433548288-a7TD</t>
        </is>
      </c>
      <c r="F51" t="inlineStr"/>
      <c r="G51" t="inlineStr"/>
      <c r="I51" t="inlineStr"/>
      <c r="J51" t="inlineStr">
        <is>
          <t>Not available as of 2026-10-04 (H2 2026 plan)</t>
        </is>
      </c>
      <c r="K51" t="inlineStr">
        <is>
          <t>https://lambda.ai/blog/nvidias-vera-rubin-nvl72-coming-to-lambdas-superintelligence-cloud</t>
        </is>
      </c>
      <c r="L51" t="inlineStr"/>
      <c r="N51" t="inlineStr"/>
      <c r="Q51" t="inlineStr"/>
      <c r="R51" t="inlineStr">
        <is>
          <t>Censored</t>
        </is>
      </c>
    </row>
    <row r="52">
      <c r="A52" t="inlineStr">
        <is>
          <t>Azure</t>
        </is>
      </c>
      <c r="B52" t="inlineStr">
        <is>
          <t>Vera Rubin NVL72</t>
        </is>
      </c>
      <c r="C52" s="3" t="n">
        <v>46027</v>
      </c>
      <c r="D52" t="inlineStr">
        <is>
          <t>https://nvidianews.nvidia.com/news/rubin-platform-ai-supercomputer</t>
        </is>
      </c>
      <c r="E52" s="3" t="n">
        <v>46099</v>
      </c>
      <c r="F52" t="inlineStr">
        <is>
          <t>First to power on VR NVL72 (press report)</t>
        </is>
      </c>
      <c r="G52" t="inlineStr">
        <is>
          <t>https://winbuzzer.com/2026/03/18/microsoft-foundry-agent-service-vera-rubin-nvl72-gtc-2026-xcxwbn/</t>
        </is>
      </c>
      <c r="I52" t="inlineStr"/>
      <c r="J52" t="inlineStr">
        <is>
          <t>No GA found</t>
        </is>
      </c>
      <c r="K52" t="inlineStr"/>
      <c r="L52" t="inlineStr"/>
      <c r="N52" t="inlineStr"/>
      <c r="Q52" t="inlineStr"/>
      <c r="R52" t="inlineStr">
        <is>
          <t>Censored</t>
        </is>
      </c>
    </row>
    <row r="53">
      <c r="A53" t="inlineStr">
        <is>
          <t>AWS</t>
        </is>
      </c>
      <c r="B53" t="inlineStr">
        <is>
          <t>Vera Rubin NVL72</t>
        </is>
      </c>
      <c r="C53" s="3" t="n">
        <v>46027</v>
      </c>
      <c r="D53" t="inlineStr">
        <is>
          <t>https://nvidianews.nvidia.com/news/rubin-platform-ai-supercomputer</t>
        </is>
      </c>
      <c r="F53" t="inlineStr"/>
      <c r="G53" t="inlineStr"/>
      <c r="I53" t="inlineStr"/>
      <c r="J53" t="inlineStr">
        <is>
          <t>No GA found</t>
        </is>
      </c>
      <c r="K53" t="inlineStr"/>
      <c r="L53" t="inlineStr"/>
      <c r="N53" t="inlineStr"/>
      <c r="Q53" t="inlineStr"/>
      <c r="R53" t="inlineStr">
        <is>
          <t>Censored</t>
        </is>
      </c>
    </row>
    <row r="54">
      <c r="A54" t="inlineStr">
        <is>
          <t>GCP</t>
        </is>
      </c>
      <c r="B54" t="inlineStr">
        <is>
          <t>Vera Rubin NVL72</t>
        </is>
      </c>
      <c r="C54" s="3" t="n">
        <v>46027</v>
      </c>
      <c r="D54" t="inlineStr">
        <is>
          <t>https://nvidianews.nvidia.com/news/rubin-platform-ai-supercomputer</t>
        </is>
      </c>
      <c r="F54" t="inlineStr"/>
      <c r="G54" t="inlineStr"/>
      <c r="I54" t="inlineStr"/>
      <c r="J54" t="inlineStr">
        <is>
          <t>No GA found</t>
        </is>
      </c>
      <c r="K54" t="inlineStr"/>
      <c r="L54" t="inlineStr"/>
      <c r="N54" t="inlineStr"/>
      <c r="Q54" t="inlineStr"/>
      <c r="R54" t="inlineStr">
        <is>
          <t>Censored</t>
        </is>
      </c>
    </row>
    <row r="55">
      <c r="A55" t="inlineStr">
        <is>
          <t>Oracle OCI</t>
        </is>
      </c>
      <c r="B55" t="inlineStr">
        <is>
          <t>Vera Rubin NVL72</t>
        </is>
      </c>
      <c r="C55" s="3" t="n">
        <v>46027</v>
      </c>
      <c r="D55" t="inlineStr">
        <is>
          <t>https://nvidianews.nvidia.com/news/rubin-platform-ai-supercomputer</t>
        </is>
      </c>
      <c r="F55" t="inlineStr"/>
      <c r="G55" t="inlineStr"/>
      <c r="I55" t="inlineStr"/>
      <c r="J55" t="inlineStr">
        <is>
          <t>No GA found</t>
        </is>
      </c>
      <c r="K55" t="inlineStr"/>
      <c r="L55" t="inlineStr"/>
      <c r="N55" t="inlineStr"/>
      <c r="Q55" t="inlineStr"/>
      <c r="R55" t="inlineStr">
        <is>
          <t>Censored</t>
        </is>
      </c>
    </row>
    <row r="56">
      <c r="A56" t="inlineStr">
        <is>
          <t>Nscale</t>
        </is>
      </c>
      <c r="B56" t="inlineStr">
        <is>
          <t>Vera Rubin NVL72</t>
        </is>
      </c>
      <c r="C56" s="3" t="n">
        <v>46027</v>
      </c>
      <c r="D56" t="inlineStr">
        <is>
          <t>https://nvidianews.nvidia.com/news/rubin-platform-ai-supercomputer</t>
        </is>
      </c>
      <c r="F56" t="inlineStr"/>
      <c r="G56" t="inlineStr"/>
      <c r="I56" t="inlineStr"/>
      <c r="J56" t="inlineStr">
        <is>
          <t>No GA found</t>
        </is>
      </c>
      <c r="K56" t="inlineStr"/>
      <c r="L56" t="inlineStr"/>
      <c r="N56" t="inlineStr"/>
      <c r="Q56" t="inlineStr"/>
      <c r="R56" t="inlineStr">
        <is>
          <t>Censored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3" customWidth="1" min="4" max="4"/>
    <col width="37" customWidth="1" min="5" max="5"/>
    <col width="12" customWidth="1" min="6" max="6"/>
    <col width="42" customWidth="1" min="7" max="7"/>
    <col width="36" customWidth="1" min="8" max="8"/>
    <col width="18" customWidth="1" min="9" max="9"/>
    <col width="12" customWidth="1" min="10" max="10"/>
    <col width="31" customWidth="1" min="11" max="11"/>
    <col width="34" customWidth="1" min="12" max="12"/>
    <col width="40" customWidth="1" min="13" max="13"/>
    <col width="18" customWidth="1" min="14" max="14"/>
    <col width="26" customWidth="1" min="15" max="15"/>
    <col width="30" customWidth="1" min="16" max="16"/>
    <col width="17" customWidth="1" min="17" max="17"/>
    <col width="45" customWidth="1" min="18" max="18"/>
    <col width="55" customWidth="1" min="19" max="19"/>
  </cols>
  <sheetData>
    <row r="1">
      <c r="A1" s="1" t="inlineStr">
        <is>
          <t>Lag = provider GA (or first public price) minus NVIDIA reference GA (Chip_Milestones). Negative = before NVIDIA reference date. Ranking unaffected by choice of reference (same ref for all providers in a generation).</t>
        </is>
      </c>
    </row>
    <row r="2">
      <c r="A2" s="2" t="inlineStr">
        <is>
          <t>Generation</t>
        </is>
      </c>
      <c r="B2" s="2" t="inlineStr">
        <is>
          <t>Provider</t>
        </is>
      </c>
      <c r="C2" s="2" t="inlineStr">
        <is>
          <t>NVIDIA reference GA</t>
        </is>
      </c>
      <c r="D2" s="2" t="inlineStr">
        <is>
          <t>Provider GA</t>
        </is>
      </c>
      <c r="E2" s="2" t="inlineStr">
        <is>
          <t>Lag (days) NVIDIA GA -&gt; provider GA</t>
        </is>
      </c>
      <c r="F2" s="2" t="inlineStr">
        <is>
          <t>Tag</t>
        </is>
      </c>
      <c r="G2" s="2" t="inlineStr">
        <is>
          <t>Math</t>
        </is>
      </c>
      <c r="H2" s="2" t="inlineStr">
        <is>
          <t>Censored: min lag if not GA (days)</t>
        </is>
      </c>
      <c r="I2" s="2" t="inlineStr">
        <is>
          <t>Rank (1=fastest)</t>
        </is>
      </c>
      <c r="J2" s="2" t="inlineStr">
        <is>
          <t># ranked</t>
        </is>
      </c>
      <c r="K2" s="2" t="inlineStr">
        <is>
          <t>Days from NVIDIA announcement</t>
        </is>
      </c>
      <c r="L2" s="2" t="inlineStr">
        <is>
          <t>Peer median lag ex-Nebius (days)</t>
        </is>
      </c>
      <c r="M2" s="2" t="inlineStr">
        <is>
          <t>Nebius minus peer median (days, +=slower)</t>
        </is>
      </c>
      <c r="N2" s="2" t="inlineStr">
        <is>
          <t>Fastest provider</t>
        </is>
      </c>
      <c r="O2" s="2" t="inlineStr">
        <is>
          <t>Alt NVIDIA GA definition</t>
        </is>
      </c>
      <c r="P2" s="2" t="inlineStr">
        <is>
          <t>Lag vs alt definition (days)</t>
        </is>
      </c>
      <c r="Q2" s="2" t="inlineStr">
        <is>
          <t>Provider GA tag</t>
        </is>
      </c>
      <c r="R2" s="2" t="inlineStr">
        <is>
          <t>Provider GA definition</t>
        </is>
      </c>
      <c r="S2" s="2" t="inlineStr">
        <is>
          <t>Provider GA source</t>
        </is>
      </c>
    </row>
    <row r="3">
      <c r="A3" t="inlineStr">
        <is>
          <t>H100</t>
        </is>
      </c>
      <c r="B3" t="inlineStr">
        <is>
          <t>CoreWeave</t>
        </is>
      </c>
      <c r="C3" s="3" t="n">
        <v>44824</v>
      </c>
      <c r="D3" s="3" t="n">
        <v>45006</v>
      </c>
      <c r="E3" t="n">
        <v>182</v>
      </c>
      <c r="F3" t="inlineStr">
        <is>
          <t>Derived</t>
        </is>
      </c>
      <c r="G3">
        <f> 2023-03-21 - 2022-09-20</f>
        <v/>
      </c>
      <c r="I3" t="n">
        <v>1</v>
      </c>
      <c r="J3" t="n">
        <v>10</v>
      </c>
      <c r="K3" t="n">
        <v>364</v>
      </c>
      <c r="L3" t="n">
        <v>346</v>
      </c>
      <c r="M3" t="n">
        <v>61</v>
      </c>
      <c r="N3" t="inlineStr">
        <is>
          <t>CoreWeave</t>
        </is>
      </c>
      <c r="O3" t="inlineStr"/>
      <c r="Q3" t="inlineStr">
        <is>
          <t>Reported</t>
        </is>
      </c>
      <c r="R3" t="inlineStr">
        <is>
          <t>GA of HGX H100 instances</t>
        </is>
      </c>
      <c r="S3" t="inlineStr">
        <is>
          <t>https://www.businesswire.com/news/home/20230321005245/en</t>
        </is>
      </c>
    </row>
    <row r="4">
      <c r="A4" t="inlineStr">
        <is>
          <t>H100</t>
        </is>
      </c>
      <c r="B4" t="inlineStr">
        <is>
          <t>Lambda</t>
        </is>
      </c>
      <c r="C4" s="3" t="n">
        <v>44824</v>
      </c>
      <c r="D4" s="3" t="n">
        <v>45056</v>
      </c>
      <c r="E4" t="n">
        <v>232</v>
      </c>
      <c r="F4" t="inlineStr">
        <is>
          <t>Derived</t>
        </is>
      </c>
      <c r="G4">
        <f> 2023-05-10 - 2022-09-20</f>
        <v/>
      </c>
      <c r="I4" t="n">
        <v>2</v>
      </c>
      <c r="J4" t="n">
        <v>10</v>
      </c>
      <c r="K4" t="n">
        <v>414</v>
      </c>
      <c r="L4" t="n">
        <v>346</v>
      </c>
      <c r="M4" t="n">
        <v>61</v>
      </c>
      <c r="N4" t="inlineStr">
        <is>
          <t>CoreWeave</t>
        </is>
      </c>
      <c r="O4" t="inlineStr"/>
      <c r="Q4" t="inlineStr">
        <is>
          <t>Reported</t>
        </is>
      </c>
      <c r="R4" t="inlineStr">
        <is>
          <t>GA on-demand 1x H100 PCIe at $2.40/GPU-hr (HGX SXM followed)</t>
        </is>
      </c>
      <c r="S4" t="inlineStr">
        <is>
          <t>https://lambda.ai/blog/lambda-cloud-deploys-nvidia-h100-tensor-core-gpus</t>
        </is>
      </c>
    </row>
    <row r="5">
      <c r="A5" t="inlineStr">
        <is>
          <t>H100</t>
        </is>
      </c>
      <c r="B5" t="inlineStr">
        <is>
          <t>AWS</t>
        </is>
      </c>
      <c r="C5" s="3" t="n">
        <v>44824</v>
      </c>
      <c r="D5" s="3" t="n">
        <v>45133</v>
      </c>
      <c r="E5" t="n">
        <v>309</v>
      </c>
      <c r="F5" t="inlineStr">
        <is>
          <t>Derived</t>
        </is>
      </c>
      <c r="G5">
        <f> 2023-07-26 - 2022-09-20</f>
        <v/>
      </c>
      <c r="I5" t="n">
        <v>3</v>
      </c>
      <c r="J5" t="n">
        <v>10</v>
      </c>
      <c r="K5" t="n">
        <v>491</v>
      </c>
      <c r="L5" t="n">
        <v>346</v>
      </c>
      <c r="M5" t="n">
        <v>61</v>
      </c>
      <c r="N5" t="inlineStr">
        <is>
          <t>CoreWeave</t>
        </is>
      </c>
      <c r="O5" t="inlineStr"/>
      <c r="Q5" t="inlineStr">
        <is>
          <t>Reported</t>
        </is>
      </c>
      <c r="R5" t="inlineStr">
        <is>
          <t>EC2 P5 GA</t>
        </is>
      </c>
      <c r="S5" t="inlineStr">
        <is>
          <t>https://aws.amazon.com/about-aws/whats-new/2023/07/amazon-ec2-p5-instances-generative-ai-hpc-generally-available/</t>
        </is>
      </c>
    </row>
    <row r="6">
      <c r="A6" t="inlineStr">
        <is>
          <t>H100</t>
        </is>
      </c>
      <c r="B6" t="inlineStr">
        <is>
          <t>Azure</t>
        </is>
      </c>
      <c r="C6" s="3" t="n">
        <v>44824</v>
      </c>
      <c r="D6" s="3" t="n">
        <v>45145</v>
      </c>
      <c r="E6" t="n">
        <v>321</v>
      </c>
      <c r="F6" t="inlineStr">
        <is>
          <t>Derived</t>
        </is>
      </c>
      <c r="G6">
        <f> 2023-08-07 - 2022-09-20</f>
        <v/>
      </c>
      <c r="I6" t="n">
        <v>4</v>
      </c>
      <c r="J6" t="n">
        <v>10</v>
      </c>
      <c r="K6" t="n">
        <v>503</v>
      </c>
      <c r="L6" t="n">
        <v>346</v>
      </c>
      <c r="M6" t="n">
        <v>61</v>
      </c>
      <c r="N6" t="inlineStr">
        <is>
          <t>CoreWeave</t>
        </is>
      </c>
      <c r="O6" t="inlineStr"/>
      <c r="Q6" t="inlineStr">
        <is>
          <t>Reported</t>
        </is>
      </c>
      <c r="R6" t="inlineStr">
        <is>
          <t>ND H100 v5 GA ("available today")</t>
        </is>
      </c>
      <c r="S6" t="inlineStr">
        <is>
          <t>https://blogs.nvidia.com/blog/microsoft-azure-nd-h100-v5-instance/</t>
        </is>
      </c>
    </row>
    <row r="7">
      <c r="A7" t="inlineStr">
        <is>
          <t>H100</t>
        </is>
      </c>
      <c r="B7" t="inlineStr">
        <is>
          <t>GCP</t>
        </is>
      </c>
      <c r="C7" s="3" t="n">
        <v>44824</v>
      </c>
      <c r="D7" s="3" t="n">
        <v>45170</v>
      </c>
      <c r="E7" t="n">
        <v>346</v>
      </c>
      <c r="F7" t="inlineStr">
        <is>
          <t>Derived</t>
        </is>
      </c>
      <c r="G7">
        <f> 2023-09-01 - 2022-09-20</f>
        <v/>
      </c>
      <c r="I7" t="n">
        <v>5</v>
      </c>
      <c r="J7" t="n">
        <v>10</v>
      </c>
      <c r="K7" t="n">
        <v>528</v>
      </c>
      <c r="L7" t="n">
        <v>346</v>
      </c>
      <c r="M7" t="n">
        <v>61</v>
      </c>
      <c r="N7" t="inlineStr">
        <is>
          <t>CoreWeave</t>
        </is>
      </c>
      <c r="O7" t="inlineStr"/>
      <c r="Q7" t="inlineStr">
        <is>
          <t>Estimated</t>
        </is>
      </c>
      <c r="R7" t="inlineStr">
        <is>
          <t>Aug 29 2023 blog: A3 "generally available next month" -&gt; Sep 1 2023</t>
        </is>
      </c>
      <c r="S7" t="inlineStr">
        <is>
          <t>https://cloud.google.com/blog/products/compute/announcing-cloud-tpu-v5e-and-a3-gpus-in-ga</t>
        </is>
      </c>
    </row>
    <row r="8">
      <c r="A8" t="inlineStr">
        <is>
          <t>H100</t>
        </is>
      </c>
      <c r="B8" t="inlineStr">
        <is>
          <t>Oracle OCI</t>
        </is>
      </c>
      <c r="C8" s="3" t="n">
        <v>44824</v>
      </c>
      <c r="D8" s="3" t="n">
        <v>45188</v>
      </c>
      <c r="E8" t="n">
        <v>364</v>
      </c>
      <c r="F8" t="inlineStr">
        <is>
          <t>Derived</t>
        </is>
      </c>
      <c r="G8">
        <f> 2023-09-19 - 2022-09-20</f>
        <v/>
      </c>
      <c r="I8" t="n">
        <v>6</v>
      </c>
      <c r="J8" t="n">
        <v>10</v>
      </c>
      <c r="K8" t="n">
        <v>546</v>
      </c>
      <c r="L8" t="n">
        <v>346</v>
      </c>
      <c r="M8" t="n">
        <v>61</v>
      </c>
      <c r="N8" t="inlineStr">
        <is>
          <t>CoreWeave</t>
        </is>
      </c>
      <c r="O8" t="inlineStr"/>
      <c r="Q8" t="inlineStr">
        <is>
          <t>Reported</t>
        </is>
      </c>
      <c r="R8" t="inlineStr">
        <is>
          <t>GA BM.GPU.H100.8 (list $10/GPU-hr per OCI H200 GA blog)</t>
        </is>
      </c>
      <c r="S8" t="inlineStr">
        <is>
          <t>https://blogs.oracle.com/cloud-infrastructure/general-availability-oci-compute-nvidia-h100</t>
        </is>
      </c>
    </row>
    <row r="9">
      <c r="A9" t="inlineStr">
        <is>
          <t>H100</t>
        </is>
      </c>
      <c r="B9" t="inlineStr">
        <is>
          <t>Crusoe</t>
        </is>
      </c>
      <c r="C9" s="3" t="n">
        <v>44824</v>
      </c>
      <c r="D9" s="3" t="n">
        <v>45222</v>
      </c>
      <c r="E9" t="n">
        <v>398</v>
      </c>
      <c r="F9" t="inlineStr">
        <is>
          <t>Derived</t>
        </is>
      </c>
      <c r="G9">
        <f> 2023-10-23 - 2022-09-20</f>
        <v/>
      </c>
      <c r="I9" t="n">
        <v>7</v>
      </c>
      <c r="J9" t="n">
        <v>10</v>
      </c>
      <c r="K9" t="n">
        <v>580</v>
      </c>
      <c r="L9" t="n">
        <v>346</v>
      </c>
      <c r="M9" t="n">
        <v>61</v>
      </c>
      <c r="N9" t="inlineStr">
        <is>
          <t>CoreWeave</t>
        </is>
      </c>
      <c r="O9" t="inlineStr"/>
      <c r="Q9" t="inlineStr">
        <is>
          <t>Reported</t>
        </is>
      </c>
      <c r="R9" t="inlineStr">
        <is>
          <t>"New capacity online" incl. H100 SXM (more capacity Q1 2024); no public H100 price found on Wayback until 2025-04-03</t>
        </is>
      </c>
      <c r="S9" t="inlineStr">
        <is>
          <t>https://www.crusoe.ai/resources/newsroom/crusoe-announces-significant-expansion-of-cloud-business-with-new-capacity</t>
        </is>
      </c>
    </row>
    <row r="10">
      <c r="A10" s="4" t="inlineStr">
        <is>
          <t>H100</t>
        </is>
      </c>
      <c r="B10" s="4" t="inlineStr">
        <is>
          <t>Nebius</t>
        </is>
      </c>
      <c r="C10" s="5" t="n">
        <v>44824</v>
      </c>
      <c r="D10" s="5" t="n">
        <v>45231</v>
      </c>
      <c r="E10" s="4" t="n">
        <v>407</v>
      </c>
      <c r="F10" s="4" t="inlineStr">
        <is>
          <t>Derived</t>
        </is>
      </c>
      <c r="G10" s="4">
        <f> 2023-11-01 - 2022-09-20</f>
        <v/>
      </c>
      <c r="H10" s="4" t="n"/>
      <c r="I10" s="4" t="n">
        <v>8</v>
      </c>
      <c r="J10" s="4" t="n">
        <v>10</v>
      </c>
      <c r="K10" s="4" t="n">
        <v>589</v>
      </c>
      <c r="L10" s="4" t="n">
        <v>346</v>
      </c>
      <c r="M10" s="4" t="n">
        <v>61</v>
      </c>
      <c r="N10" s="4" t="inlineStr">
        <is>
          <t>CoreWeave</t>
        </is>
      </c>
      <c r="O10" s="4" t="inlineStr"/>
      <c r="P10" s="4" t="n"/>
      <c r="Q10" s="4" t="inlineStr">
        <is>
          <t>Reported</t>
        </is>
      </c>
      <c r="R10" s="4" t="inlineStr">
        <is>
          <t>First public price + early access (self-service followed Apr 2024)</t>
        </is>
      </c>
      <c r="S10" s="4" t="inlineStr">
        <is>
          <t>https://nebius.com/blog/posts/early-access-unlocked</t>
        </is>
      </c>
    </row>
    <row r="11">
      <c r="A11" t="inlineStr">
        <is>
          <t>H100</t>
        </is>
      </c>
      <c r="B11" t="inlineStr">
        <is>
          <t>Nscale</t>
        </is>
      </c>
      <c r="C11" s="3" t="n">
        <v>44824</v>
      </c>
      <c r="D11" s="3" t="n">
        <v>45413</v>
      </c>
      <c r="E11" t="n">
        <v>589</v>
      </c>
      <c r="F11" t="inlineStr">
        <is>
          <t>Derived</t>
        </is>
      </c>
      <c r="G11">
        <f> 2024-05-01 - 2022-09-20</f>
        <v/>
      </c>
      <c r="I11" t="n">
        <v>9</v>
      </c>
      <c r="J11" t="n">
        <v>10</v>
      </c>
      <c r="K11" t="n">
        <v>771</v>
      </c>
      <c r="L11" t="n">
        <v>346</v>
      </c>
      <c r="M11" t="n">
        <v>61</v>
      </c>
      <c r="N11" t="inlineStr">
        <is>
          <t>CoreWeave</t>
        </is>
      </c>
      <c r="O11" t="inlineStr"/>
      <c r="Q11" t="inlineStr">
        <is>
          <t>Estimated</t>
        </is>
      </c>
      <c r="R11" t="inlineStr">
        <is>
          <t>GPU cloud launch May 2024 incl. H100 (month start)</t>
        </is>
      </c>
      <c r="S11" t="inlineStr">
        <is>
          <t>https://www.datacenterdynamics.com/en/news/gpu-cloud-firm-nscale-launches-offering-access-to-amd-gpus/</t>
        </is>
      </c>
    </row>
    <row r="12">
      <c r="A12" t="inlineStr">
        <is>
          <t>H100</t>
        </is>
      </c>
      <c r="B12" t="inlineStr">
        <is>
          <t>Together AI</t>
        </is>
      </c>
      <c r="C12" s="3" t="n">
        <v>44824</v>
      </c>
      <c r="D12" s="3" t="n">
        <v>45909</v>
      </c>
      <c r="E12" t="n">
        <v>1085</v>
      </c>
      <c r="F12" t="inlineStr">
        <is>
          <t>Derived</t>
        </is>
      </c>
      <c r="G12">
        <f> 2025-09-09 - 2022-09-20</f>
        <v/>
      </c>
      <c r="I12" t="n">
        <v>10</v>
      </c>
      <c r="J12" t="n">
        <v>10</v>
      </c>
      <c r="K12" t="n">
        <v>1267</v>
      </c>
      <c r="L12" t="n">
        <v>346</v>
      </c>
      <c r="M12" t="n">
        <v>61</v>
      </c>
      <c r="N12" t="inlineStr">
        <is>
          <t>CoreWeave</t>
        </is>
      </c>
      <c r="O12" t="inlineStr"/>
      <c r="Q12" t="inlineStr">
        <is>
          <t>Reported</t>
        </is>
      </c>
      <c r="R12" t="inlineStr">
        <is>
          <t>Instant Clusters GA (self-serve H100/H200/B200)</t>
        </is>
      </c>
      <c r="S12" t="inlineStr">
        <is>
          <t>https://www.together.ai/blog/together-instant-clusters-ga</t>
        </is>
      </c>
    </row>
    <row r="13">
      <c r="A13" t="inlineStr">
        <is>
          <t>H200</t>
        </is>
      </c>
      <c r="B13" t="inlineStr">
        <is>
          <t>CoreWeave</t>
        </is>
      </c>
      <c r="C13" s="3" t="n">
        <v>45383</v>
      </c>
      <c r="D13" s="3" t="n">
        <v>45532</v>
      </c>
      <c r="E13" t="n">
        <v>149</v>
      </c>
      <c r="F13" t="inlineStr">
        <is>
          <t>Derived</t>
        </is>
      </c>
      <c r="G13">
        <f> 2024-08-28 - 2024-04-01</f>
        <v/>
      </c>
      <c r="I13" t="n">
        <v>1</v>
      </c>
      <c r="J13" t="n">
        <v>8</v>
      </c>
      <c r="K13" t="n">
        <v>289</v>
      </c>
      <c r="L13" t="n">
        <v>231</v>
      </c>
      <c r="M13" t="n">
        <v>-3</v>
      </c>
      <c r="N13" t="inlineStr">
        <is>
          <t>CoreWeave</t>
        </is>
      </c>
      <c r="O13" t="inlineStr">
        <is>
          <t>2024-07-01</t>
        </is>
      </c>
      <c r="P13" t="n">
        <v>58</v>
      </c>
      <c r="Q13" t="inlineStr">
        <is>
          <t>Reported</t>
        </is>
      </c>
      <c r="R13" t="inlineStr">
        <is>
          <t>"First to market" with H200 (GA)</t>
        </is>
      </c>
      <c r="S13" t="inlineStr">
        <is>
          <t>https://investors.coreweave.com/news/news-details/2024/CoreWeave-First-to-Market-with-NVIDIA-H200-Tensor-Core-GPUs-Ushering-in-a-New-Era-of-AI-Infrastructure-Performance/default.aspx</t>
        </is>
      </c>
    </row>
    <row r="14">
      <c r="A14" t="inlineStr">
        <is>
          <t>H200</t>
        </is>
      </c>
      <c r="B14" t="inlineStr">
        <is>
          <t>AWS</t>
        </is>
      </c>
      <c r="C14" s="3" t="n">
        <v>45383</v>
      </c>
      <c r="D14" s="3" t="n">
        <v>45544</v>
      </c>
      <c r="E14" t="n">
        <v>161</v>
      </c>
      <c r="F14" t="inlineStr">
        <is>
          <t>Derived</t>
        </is>
      </c>
      <c r="G14">
        <f> 2024-09-09 - 2024-04-01</f>
        <v/>
      </c>
      <c r="I14" t="n">
        <v>2</v>
      </c>
      <c r="J14" t="n">
        <v>8</v>
      </c>
      <c r="K14" t="n">
        <v>301</v>
      </c>
      <c r="L14" t="n">
        <v>231</v>
      </c>
      <c r="M14" t="n">
        <v>-3</v>
      </c>
      <c r="N14" t="inlineStr">
        <is>
          <t>CoreWeave</t>
        </is>
      </c>
      <c r="O14" t="inlineStr">
        <is>
          <t>2024-07-01</t>
        </is>
      </c>
      <c r="P14" t="n">
        <v>70</v>
      </c>
      <c r="Q14" t="inlineStr">
        <is>
          <t>Reported</t>
        </is>
      </c>
      <c r="R14" t="inlineStr">
        <is>
          <t>EC2 P5e GA (via Capacity Blocks)</t>
        </is>
      </c>
      <c r="S14" t="inlineStr">
        <is>
          <t>https://aws.amazon.com/about-aws/whats-new/2024/09/amazon-ec2-p5e-instances-ec2-capacity-blocks/</t>
        </is>
      </c>
    </row>
    <row r="15">
      <c r="A15" t="inlineStr">
        <is>
          <t>H200</t>
        </is>
      </c>
      <c r="B15" t="inlineStr">
        <is>
          <t>Azure</t>
        </is>
      </c>
      <c r="C15" s="3" t="n">
        <v>45383</v>
      </c>
      <c r="D15" s="3" t="n">
        <v>45567</v>
      </c>
      <c r="E15" t="n">
        <v>184</v>
      </c>
      <c r="F15" t="inlineStr">
        <is>
          <t>Derived</t>
        </is>
      </c>
      <c r="G15">
        <f> 2024-10-02 - 2024-04-01</f>
        <v/>
      </c>
      <c r="I15" t="n">
        <v>3</v>
      </c>
      <c r="J15" t="n">
        <v>8</v>
      </c>
      <c r="K15" t="n">
        <v>324</v>
      </c>
      <c r="L15" t="n">
        <v>231</v>
      </c>
      <c r="M15" t="n">
        <v>-3</v>
      </c>
      <c r="N15" t="inlineStr">
        <is>
          <t>CoreWeave</t>
        </is>
      </c>
      <c r="O15" t="inlineStr">
        <is>
          <t>2024-07-01</t>
        </is>
      </c>
      <c r="P15" t="n">
        <v>93</v>
      </c>
      <c r="Q15" t="inlineStr">
        <is>
          <t>Reported</t>
        </is>
      </c>
      <c r="R15" t="inlineStr">
        <is>
          <t>ND H200 v5 GA</t>
        </is>
      </c>
      <c r="S15" t="inlineStr">
        <is>
          <t>https://azure.microsoft.com/en-us/blog/microsoft-launches-latest-azure-virtual-machines-optimized-for-ai-supercomputing-the-nd-h200-v5-series/</t>
        </is>
      </c>
    </row>
    <row r="16">
      <c r="A16" s="4" t="inlineStr">
        <is>
          <t>H200</t>
        </is>
      </c>
      <c r="B16" s="4" t="inlineStr">
        <is>
          <t>Nebius</t>
        </is>
      </c>
      <c r="C16" s="5" t="n">
        <v>45383</v>
      </c>
      <c r="D16" s="5" t="n">
        <v>45611</v>
      </c>
      <c r="E16" s="4" t="n">
        <v>228</v>
      </c>
      <c r="F16" s="4" t="inlineStr">
        <is>
          <t>Derived</t>
        </is>
      </c>
      <c r="G16" s="4">
        <f> 2024-11-15 - 2024-04-01</f>
        <v/>
      </c>
      <c r="H16" s="4" t="n"/>
      <c r="I16" s="4" t="n">
        <v>4</v>
      </c>
      <c r="J16" s="4" t="n">
        <v>8</v>
      </c>
      <c r="K16" s="4" t="n">
        <v>368</v>
      </c>
      <c r="L16" s="4" t="n">
        <v>231</v>
      </c>
      <c r="M16" s="4" t="n">
        <v>-3</v>
      </c>
      <c r="N16" s="4" t="inlineStr">
        <is>
          <t>CoreWeave</t>
        </is>
      </c>
      <c r="O16" s="4" t="inlineStr">
        <is>
          <t>2024-07-01</t>
        </is>
      </c>
      <c r="P16" s="4" t="n">
        <v>137</v>
      </c>
      <c r="Q16" s="4" t="inlineStr">
        <is>
          <t>Reported</t>
        </is>
      </c>
      <c r="R16" s="4" t="inlineStr">
        <is>
          <t>First public price $3.50 on nebius.com/prices ("will be available in November 2024"); self-service quota Feb 4 2025</t>
        </is>
      </c>
      <c r="S16" s="4" t="inlineStr">
        <is>
          <t>https://web.archive.org/web/20241115043809/https://nebius.com/prices</t>
        </is>
      </c>
    </row>
    <row r="17">
      <c r="A17" t="inlineStr">
        <is>
          <t>H200</t>
        </is>
      </c>
      <c r="B17" t="inlineStr">
        <is>
          <t>Oracle OCI</t>
        </is>
      </c>
      <c r="C17" s="3" t="n">
        <v>45383</v>
      </c>
      <c r="D17" s="3" t="n">
        <v>45614</v>
      </c>
      <c r="E17" t="n">
        <v>231</v>
      </c>
      <c r="F17" t="inlineStr">
        <is>
          <t>Derived</t>
        </is>
      </c>
      <c r="G17">
        <f> 2024-11-18 - 2024-04-01</f>
        <v/>
      </c>
      <c r="I17" t="n">
        <v>5</v>
      </c>
      <c r="J17" t="n">
        <v>8</v>
      </c>
      <c r="K17" t="n">
        <v>371</v>
      </c>
      <c r="L17" t="n">
        <v>231</v>
      </c>
      <c r="M17" t="n">
        <v>-3</v>
      </c>
      <c r="N17" t="inlineStr">
        <is>
          <t>CoreWeave</t>
        </is>
      </c>
      <c r="O17" t="inlineStr">
        <is>
          <t>2024-07-01</t>
        </is>
      </c>
      <c r="P17" t="n">
        <v>140</v>
      </c>
      <c r="Q17" t="inlineStr">
        <is>
          <t>Reported</t>
        </is>
      </c>
      <c r="R17" t="inlineStr">
        <is>
          <t>GA OCI Supercluster BM.GPU.H200.8, list $10/GPU-hr</t>
        </is>
      </c>
      <c r="S17" t="inlineStr">
        <is>
          <t>https://blogs.oracle.com/cloud-infrastructure/now-ga-largest-ai-supercomputer-oci-nvidia-h200</t>
        </is>
      </c>
    </row>
    <row r="18">
      <c r="A18" t="inlineStr">
        <is>
          <t>H200</t>
        </is>
      </c>
      <c r="B18" t="inlineStr">
        <is>
          <t>GCP</t>
        </is>
      </c>
      <c r="C18" s="3" t="n">
        <v>45383</v>
      </c>
      <c r="D18" s="3" t="n">
        <v>45657</v>
      </c>
      <c r="E18" t="n">
        <v>274</v>
      </c>
      <c r="F18" t="inlineStr">
        <is>
          <t>Derived</t>
        </is>
      </c>
      <c r="G18">
        <f> 2024-12-31 - 2024-04-01</f>
        <v/>
      </c>
      <c r="I18" t="n">
        <v>6</v>
      </c>
      <c r="J18" t="n">
        <v>8</v>
      </c>
      <c r="K18" t="n">
        <v>414</v>
      </c>
      <c r="L18" t="n">
        <v>231</v>
      </c>
      <c r="M18" t="n">
        <v>-3</v>
      </c>
      <c r="N18" t="inlineStr">
        <is>
          <t>CoreWeave</t>
        </is>
      </c>
      <c r="O18" t="inlineStr">
        <is>
          <t>2024-07-01</t>
        </is>
      </c>
      <c r="P18" t="n">
        <v>183</v>
      </c>
      <c r="Q18" t="inlineStr">
        <is>
          <t>Reported</t>
        </is>
      </c>
      <c r="R18" t="inlineStr">
        <is>
          <t>A3 Ultra GA (AI Hypercomputer release notes; Jan 16 2025 blog: GA "to close out 2024")</t>
        </is>
      </c>
      <c r="S18" t="inlineStr">
        <is>
          <t>https://cloud.google.com/blog/products/compute/a3-ultra-with-nvidia-h200-gpus-are-ga-on-ai-hypercomputer</t>
        </is>
      </c>
    </row>
    <row r="19">
      <c r="A19" t="inlineStr">
        <is>
          <t>H200</t>
        </is>
      </c>
      <c r="B19" t="inlineStr">
        <is>
          <t>Crusoe</t>
        </is>
      </c>
      <c r="C19" s="3" t="n">
        <v>45383</v>
      </c>
      <c r="D19" s="3" t="n">
        <v>45750</v>
      </c>
      <c r="E19" t="n">
        <v>367</v>
      </c>
      <c r="F19" t="inlineStr">
        <is>
          <t>Derived</t>
        </is>
      </c>
      <c r="G19">
        <f> 2025-04-03 - 2024-04-01</f>
        <v/>
      </c>
      <c r="I19" t="n">
        <v>7</v>
      </c>
      <c r="J19" t="n">
        <v>8</v>
      </c>
      <c r="K19" t="n">
        <v>507</v>
      </c>
      <c r="L19" t="n">
        <v>231</v>
      </c>
      <c r="M19" t="n">
        <v>-3</v>
      </c>
      <c r="N19" t="inlineStr">
        <is>
          <t>CoreWeave</t>
        </is>
      </c>
      <c r="O19" t="inlineStr">
        <is>
          <t>2024-07-01</t>
        </is>
      </c>
      <c r="P19" t="n">
        <v>276</v>
      </c>
      <c r="Q19" t="inlineStr">
        <is>
          <t>Reported</t>
        </is>
      </c>
      <c r="R19" t="inlineStr">
        <is>
          <t>Wayback upper bound: first capture with public H200 price ($4.29); prior capture 2024-10-05 had none</t>
        </is>
      </c>
      <c r="S19" t="inlineStr">
        <is>
          <t>https://web.archive.org/web/20250403030503/https://crusoe.ai/cloud/pricing</t>
        </is>
      </c>
    </row>
    <row r="20">
      <c r="A20" t="inlineStr">
        <is>
          <t>H200</t>
        </is>
      </c>
      <c r="B20" t="inlineStr">
        <is>
          <t>Together AI</t>
        </is>
      </c>
      <c r="C20" s="3" t="n">
        <v>45383</v>
      </c>
      <c r="D20" s="3" t="n">
        <v>45909</v>
      </c>
      <c r="E20" t="n">
        <v>526</v>
      </c>
      <c r="F20" t="inlineStr">
        <is>
          <t>Derived</t>
        </is>
      </c>
      <c r="G20">
        <f> 2025-09-09 - 2024-04-01</f>
        <v/>
      </c>
      <c r="I20" t="n">
        <v>8</v>
      </c>
      <c r="J20" t="n">
        <v>8</v>
      </c>
      <c r="K20" t="n">
        <v>666</v>
      </c>
      <c r="L20" t="n">
        <v>231</v>
      </c>
      <c r="M20" t="n">
        <v>-3</v>
      </c>
      <c r="N20" t="inlineStr">
        <is>
          <t>CoreWeave</t>
        </is>
      </c>
      <c r="O20" t="inlineStr">
        <is>
          <t>2024-07-01</t>
        </is>
      </c>
      <c r="P20" t="n">
        <v>435</v>
      </c>
      <c r="Q20" t="inlineStr">
        <is>
          <t>Reported</t>
        </is>
      </c>
      <c r="R20" t="inlineStr">
        <is>
          <t>Instant Clusters GA</t>
        </is>
      </c>
      <c r="S20" t="inlineStr">
        <is>
          <t>https://www.together.ai/blog/together-instant-clusters-ga</t>
        </is>
      </c>
    </row>
    <row r="21">
      <c r="A21" t="inlineStr">
        <is>
          <t>H200</t>
        </is>
      </c>
      <c r="B21" t="inlineStr">
        <is>
          <t>Lambda</t>
        </is>
      </c>
      <c r="C21" s="3" t="n">
        <v>45383</v>
      </c>
      <c r="F21" t="inlineStr">
        <is>
          <t>Derived</t>
        </is>
      </c>
      <c r="G21" t="inlineStr">
        <is>
          <t>censored: not GA as of 2026-10-04; &gt;= 2026-10-04 - 2024-04-01 = 916d</t>
        </is>
      </c>
      <c r="H21" t="n">
        <v>916</v>
      </c>
      <c r="J21" t="n">
        <v>8</v>
      </c>
      <c r="L21" t="n">
        <v>231</v>
      </c>
      <c r="M21" t="n">
        <v>-3</v>
      </c>
      <c r="N21" t="inlineStr">
        <is>
          <t>CoreWeave</t>
        </is>
      </c>
      <c r="O21" t="inlineStr">
        <is>
          <t>2024-07-01</t>
        </is>
      </c>
      <c r="Q21" t="inlineStr"/>
      <c r="R21" t="inlineStr">
        <is>
          <t>No public on-demand HGX H200 listing found in 2023-2026 Wayback captures of Lambda pricing pages (only GH200)</t>
        </is>
      </c>
      <c r="S21" t="inlineStr"/>
    </row>
    <row r="22">
      <c r="A22" t="inlineStr">
        <is>
          <t>B200 (HGX)</t>
        </is>
      </c>
      <c r="B22" t="inlineStr">
        <is>
          <t>GCP</t>
        </is>
      </c>
      <c r="C22" s="3" t="n">
        <v>45593</v>
      </c>
      <c r="D22" s="3" t="n">
        <v>45734</v>
      </c>
      <c r="E22" t="n">
        <v>141</v>
      </c>
      <c r="F22" t="inlineStr">
        <is>
          <t>Derived</t>
        </is>
      </c>
      <c r="G22">
        <f> 2025-03-18 - 2024-10-28</f>
        <v/>
      </c>
      <c r="I22" t="n">
        <v>2</v>
      </c>
      <c r="J22" t="n">
        <v>7</v>
      </c>
      <c r="K22" t="n">
        <v>365</v>
      </c>
      <c r="L22" t="n">
        <v>190.5</v>
      </c>
      <c r="M22" t="n">
        <v>79.5</v>
      </c>
      <c r="N22" t="inlineStr">
        <is>
          <t>Lambda</t>
        </is>
      </c>
      <c r="O22" t="inlineStr"/>
      <c r="Q22" t="inlineStr">
        <is>
          <t>Reported</t>
        </is>
      </c>
      <c r="R22" t="inlineStr">
        <is>
          <t>A4 VMs GA</t>
        </is>
      </c>
      <c r="S22" t="inlineStr">
        <is>
          <t>https://cloud.google.com/blog/products/compute/google-cloud-goes-to-nvidia-gtc</t>
        </is>
      </c>
    </row>
    <row r="23">
      <c r="A23" t="inlineStr">
        <is>
          <t>B200 (HGX)</t>
        </is>
      </c>
      <c r="B23" t="inlineStr">
        <is>
          <t>Lambda</t>
        </is>
      </c>
      <c r="C23" s="3" t="n">
        <v>45593</v>
      </c>
      <c r="D23" s="3" t="n">
        <v>45734</v>
      </c>
      <c r="E23" t="n">
        <v>141</v>
      </c>
      <c r="F23" t="inlineStr">
        <is>
          <t>Derived</t>
        </is>
      </c>
      <c r="G23">
        <f> 2025-03-18 - 2024-10-28</f>
        <v/>
      </c>
      <c r="I23" t="n">
        <v>1</v>
      </c>
      <c r="J23" t="n">
        <v>7</v>
      </c>
      <c r="K23" t="n">
        <v>365</v>
      </c>
      <c r="L23" t="n">
        <v>190.5</v>
      </c>
      <c r="M23" t="n">
        <v>79.5</v>
      </c>
      <c r="N23" t="inlineStr">
        <is>
          <t>Lambda</t>
        </is>
      </c>
      <c r="O23" t="inlineStr"/>
      <c r="Q23" t="inlineStr">
        <is>
          <t>Reported</t>
        </is>
      </c>
      <c r="R23" t="inlineStr">
        <is>
          <t>GA of multi-node HGX B200 1-Click Clusters (2-week clusters); 8x on-demand instances followed Aug 12 2025 at $4.99</t>
        </is>
      </c>
      <c r="S23" t="inlineStr">
        <is>
          <t>https://lambda.ai/blog/be-first-scale-fast-blackwell-clusters-now-live-on-lambda</t>
        </is>
      </c>
    </row>
    <row r="24">
      <c r="A24" t="inlineStr">
        <is>
          <t>B200 (HGX)</t>
        </is>
      </c>
      <c r="B24" t="inlineStr">
        <is>
          <t>Crusoe</t>
        </is>
      </c>
      <c r="C24" s="3" t="n">
        <v>45593</v>
      </c>
      <c r="D24" s="3" t="n">
        <v>45775</v>
      </c>
      <c r="E24" t="n">
        <v>182</v>
      </c>
      <c r="F24" t="inlineStr">
        <is>
          <t>Derived</t>
        </is>
      </c>
      <c r="G24">
        <f> 2025-04-28 - 2024-10-28</f>
        <v/>
      </c>
      <c r="I24" t="n">
        <v>3</v>
      </c>
      <c r="J24" t="n">
        <v>7</v>
      </c>
      <c r="K24" t="n">
        <v>406</v>
      </c>
      <c r="L24" t="n">
        <v>190.5</v>
      </c>
      <c r="M24" t="n">
        <v>79.5</v>
      </c>
      <c r="N24" t="inlineStr">
        <is>
          <t>Lambda</t>
        </is>
      </c>
      <c r="O24" t="inlineStr"/>
      <c r="Q24" t="inlineStr">
        <is>
          <t>Reported</t>
        </is>
      </c>
      <c r="R24" t="inlineStr">
        <is>
          <t>"Reserve capacity for HGX B200 ... today" (LinkedIn; date decoded from post id); no public price</t>
        </is>
      </c>
      <c r="S24" t="inlineStr">
        <is>
          <t>https://www.linkedin.com/posts/crusoe_nvidia-hgx-b200-activity-7322723749722472449-r18s</t>
        </is>
      </c>
    </row>
    <row r="25">
      <c r="A25" t="inlineStr">
        <is>
          <t>B200 (HGX)</t>
        </is>
      </c>
      <c r="B25" t="inlineStr">
        <is>
          <t>AWS</t>
        </is>
      </c>
      <c r="C25" s="3" t="n">
        <v>45593</v>
      </c>
      <c r="D25" s="3" t="n">
        <v>45792</v>
      </c>
      <c r="E25" t="n">
        <v>199</v>
      </c>
      <c r="F25" t="inlineStr">
        <is>
          <t>Derived</t>
        </is>
      </c>
      <c r="G25">
        <f> 2025-05-15 - 2024-10-28</f>
        <v/>
      </c>
      <c r="I25" t="n">
        <v>4</v>
      </c>
      <c r="J25" t="n">
        <v>7</v>
      </c>
      <c r="K25" t="n">
        <v>423</v>
      </c>
      <c r="L25" t="n">
        <v>190.5</v>
      </c>
      <c r="M25" t="n">
        <v>79.5</v>
      </c>
      <c r="N25" t="inlineStr">
        <is>
          <t>Lambda</t>
        </is>
      </c>
      <c r="O25" t="inlineStr"/>
      <c r="Q25" t="inlineStr">
        <is>
          <t>Reported</t>
        </is>
      </c>
      <c r="R25" t="inlineStr">
        <is>
          <t>EC2 P6-B200 GA</t>
        </is>
      </c>
      <c r="S25" t="inlineStr">
        <is>
          <t>https://aws.amazon.com/about-aws/whats-new/2025/05/amazon-ec2-p6-b200-instances-nvidia-b200-gpus/</t>
        </is>
      </c>
    </row>
    <row r="26">
      <c r="A26" t="inlineStr">
        <is>
          <t>B200 (HGX)</t>
        </is>
      </c>
      <c r="B26" t="inlineStr">
        <is>
          <t>CoreWeave</t>
        </is>
      </c>
      <c r="C26" s="3" t="n">
        <v>45593</v>
      </c>
      <c r="D26" s="3" t="n">
        <v>45806</v>
      </c>
      <c r="E26" t="n">
        <v>213</v>
      </c>
      <c r="F26" t="inlineStr">
        <is>
          <t>Derived</t>
        </is>
      </c>
      <c r="G26">
        <f> 2025-05-29 - 2024-10-28</f>
        <v/>
      </c>
      <c r="I26" t="n">
        <v>5</v>
      </c>
      <c r="J26" t="n">
        <v>7</v>
      </c>
      <c r="K26" t="n">
        <v>437</v>
      </c>
      <c r="L26" t="n">
        <v>190.5</v>
      </c>
      <c r="M26" t="n">
        <v>79.5</v>
      </c>
      <c r="N26" t="inlineStr">
        <is>
          <t>Lambda</t>
        </is>
      </c>
      <c r="O26" t="inlineStr"/>
      <c r="Q26" t="inlineStr">
        <is>
          <t>Reported</t>
        </is>
      </c>
      <c r="R26" t="inlineStr">
        <is>
          <t>HGX B200 instances GA (docs changelog)</t>
        </is>
      </c>
      <c r="S26" t="inlineStr">
        <is>
          <t>https://docs.coreweave.com/changelog/release-notes/b200-instances</t>
        </is>
      </c>
    </row>
    <row r="27">
      <c r="A27" s="4" t="inlineStr">
        <is>
          <t>B200 (HGX)</t>
        </is>
      </c>
      <c r="B27" s="4" t="inlineStr">
        <is>
          <t>Nebius</t>
        </is>
      </c>
      <c r="C27" s="5" t="n">
        <v>45593</v>
      </c>
      <c r="D27" s="5" t="n">
        <v>45863</v>
      </c>
      <c r="E27" s="4" t="n">
        <v>270</v>
      </c>
      <c r="F27" s="4" t="inlineStr">
        <is>
          <t>Derived</t>
        </is>
      </c>
      <c r="G27" s="4">
        <f> 2025-07-25 - 2024-10-28</f>
        <v/>
      </c>
      <c r="H27" s="4" t="n"/>
      <c r="I27" s="4" t="n">
        <v>6</v>
      </c>
      <c r="J27" s="4" t="n">
        <v>7</v>
      </c>
      <c r="K27" s="4" t="n">
        <v>494</v>
      </c>
      <c r="L27" s="4" t="n">
        <v>190.5</v>
      </c>
      <c r="M27" s="4" t="n">
        <v>79.5</v>
      </c>
      <c r="N27" s="4" t="inlineStr">
        <is>
          <t>Lambda</t>
        </is>
      </c>
      <c r="O27" s="4" t="inlineStr"/>
      <c r="P27" s="4" t="n"/>
      <c r="Q27" s="4" t="inlineStr">
        <is>
          <t>Reported</t>
        </is>
      </c>
      <c r="R27" s="4" t="inlineStr">
        <is>
          <t>Wayback upper bound: first capture with public B200 price ($5.50); prior capture 2025-06-29 had none. Self-service GA blog Aug 12 2025</t>
        </is>
      </c>
      <c r="S27" s="4" t="inlineStr">
        <is>
          <t>https://web.archive.org/web/20250725080908/https://nebius.com/prices</t>
        </is>
      </c>
    </row>
    <row r="28">
      <c r="A28" t="inlineStr">
        <is>
          <t>B200 (HGX)</t>
        </is>
      </c>
      <c r="B28" t="inlineStr">
        <is>
          <t>Together AI</t>
        </is>
      </c>
      <c r="C28" s="3" t="n">
        <v>45593</v>
      </c>
      <c r="D28" s="3" t="n">
        <v>45909</v>
      </c>
      <c r="E28" t="n">
        <v>316</v>
      </c>
      <c r="F28" t="inlineStr">
        <is>
          <t>Derived</t>
        </is>
      </c>
      <c r="G28">
        <f> 2025-09-09 - 2024-10-28</f>
        <v/>
      </c>
      <c r="I28" t="n">
        <v>7</v>
      </c>
      <c r="J28" t="n">
        <v>7</v>
      </c>
      <c r="K28" t="n">
        <v>540</v>
      </c>
      <c r="L28" t="n">
        <v>190.5</v>
      </c>
      <c r="M28" t="n">
        <v>79.5</v>
      </c>
      <c r="N28" t="inlineStr">
        <is>
          <t>Lambda</t>
        </is>
      </c>
      <c r="O28" t="inlineStr"/>
      <c r="Q28" t="inlineStr">
        <is>
          <t>Reported</t>
        </is>
      </c>
      <c r="R28" t="inlineStr">
        <is>
          <t>Instant Clusters GA</t>
        </is>
      </c>
      <c r="S28" t="inlineStr">
        <is>
          <t>https://www.together.ai/blog/together-instant-clusters-ga</t>
        </is>
      </c>
    </row>
    <row r="29">
      <c r="A29" t="inlineStr">
        <is>
          <t>B200 (HGX)</t>
        </is>
      </c>
      <c r="B29" t="inlineStr">
        <is>
          <t>Oracle OCI</t>
        </is>
      </c>
      <c r="C29" s="3" t="n">
        <v>45593</v>
      </c>
      <c r="F29" t="inlineStr">
        <is>
          <t>Derived</t>
        </is>
      </c>
      <c r="G29" t="inlineStr">
        <is>
          <t>censored: not GA as of 2026-10-04; &gt;= 2026-10-04 - 2024-10-28 = 706d</t>
        </is>
      </c>
      <c r="H29" t="n">
        <v>706</v>
      </c>
      <c r="J29" t="n">
        <v>7</v>
      </c>
      <c r="L29" t="n">
        <v>190.5</v>
      </c>
      <c r="M29" t="n">
        <v>79.5</v>
      </c>
      <c r="N29" t="inlineStr">
        <is>
          <t>Lambda</t>
        </is>
      </c>
      <c r="O29" t="inlineStr"/>
      <c r="Q29" t="inlineStr"/>
      <c r="R29" t="inlineStr">
        <is>
          <t>No dated GA found (Oracle said H1 2025)</t>
        </is>
      </c>
      <c r="S29" t="inlineStr">
        <is>
          <t>https://blogs.oracle.com/cloud-infrastructure/worlds-largest-ai-supercomputer-in-the-cloud</t>
        </is>
      </c>
    </row>
    <row r="30">
      <c r="A30" t="inlineStr">
        <is>
          <t>GB200 NVL72</t>
        </is>
      </c>
      <c r="B30" t="inlineStr">
        <is>
          <t>CoreWeave</t>
        </is>
      </c>
      <c r="C30" s="3" t="n">
        <v>45593</v>
      </c>
      <c r="D30" s="3" t="n">
        <v>45692</v>
      </c>
      <c r="E30" t="n">
        <v>99</v>
      </c>
      <c r="F30" t="inlineStr">
        <is>
          <t>Derived</t>
        </is>
      </c>
      <c r="G30">
        <f> 2025-02-04 - 2024-10-28</f>
        <v/>
      </c>
      <c r="I30" t="n">
        <v>1</v>
      </c>
      <c r="J30" t="n">
        <v>7</v>
      </c>
      <c r="K30" t="n">
        <v>323</v>
      </c>
      <c r="L30" t="n">
        <v>198</v>
      </c>
      <c r="M30" t="n">
        <v>28</v>
      </c>
      <c r="N30" t="inlineStr">
        <is>
          <t>CoreWeave</t>
        </is>
      </c>
      <c r="O30" t="inlineStr">
        <is>
          <t>2025-05-28</t>
        </is>
      </c>
      <c r="P30" t="n">
        <v>-113</v>
      </c>
      <c r="Q30" t="inlineStr">
        <is>
          <t>Reported</t>
        </is>
      </c>
      <c r="R30" t="inlineStr">
        <is>
          <t>First cloud to announce GA of GB200 NVL72 instances</t>
        </is>
      </c>
      <c r="S30" t="inlineStr">
        <is>
          <t>https://www.prnewswire.com/news-releases/coreweave-first-cloud-provider-to-announce-general-availability-of-nvidia-gb200-nvl72-instances-302367298.html</t>
        </is>
      </c>
    </row>
    <row r="31">
      <c r="A31" t="inlineStr">
        <is>
          <t>GB200 NVL72</t>
        </is>
      </c>
      <c r="B31" t="inlineStr">
        <is>
          <t>Azure</t>
        </is>
      </c>
      <c r="C31" s="3" t="n">
        <v>45593</v>
      </c>
      <c r="D31" s="3" t="n">
        <v>45734</v>
      </c>
      <c r="E31" t="n">
        <v>141</v>
      </c>
      <c r="F31" t="inlineStr">
        <is>
          <t>Derived</t>
        </is>
      </c>
      <c r="G31">
        <f> 2025-03-18 - 2024-10-28</f>
        <v/>
      </c>
      <c r="I31" t="n">
        <v>2</v>
      </c>
      <c r="J31" t="n">
        <v>7</v>
      </c>
      <c r="K31" t="n">
        <v>365</v>
      </c>
      <c r="L31" t="n">
        <v>198</v>
      </c>
      <c r="M31" t="n">
        <v>28</v>
      </c>
      <c r="N31" t="inlineStr">
        <is>
          <t>CoreWeave</t>
        </is>
      </c>
      <c r="O31" t="inlineStr">
        <is>
          <t>2025-05-28</t>
        </is>
      </c>
      <c r="P31" t="n">
        <v>-71</v>
      </c>
      <c r="Q31" t="inlineStr">
        <is>
          <t>Reported</t>
        </is>
      </c>
      <c r="R31" t="inlineStr">
        <is>
          <t>ND GB200 v6 GA</t>
        </is>
      </c>
      <c r="S31" t="inlineStr">
        <is>
          <t>https://azurelook.com/azure-update/accelerating-the-intelligence-age-with-azure-ai-infrastructure-and-the-ga-of-nd-gb200-v6/</t>
        </is>
      </c>
    </row>
    <row r="32">
      <c r="A32" t="inlineStr">
        <is>
          <t>GB200 NVL72</t>
        </is>
      </c>
      <c r="B32" t="inlineStr">
        <is>
          <t>Oracle OCI</t>
        </is>
      </c>
      <c r="C32" s="3" t="n">
        <v>45593</v>
      </c>
      <c r="D32" s="3" t="n">
        <v>45776</v>
      </c>
      <c r="E32" t="n">
        <v>183</v>
      </c>
      <c r="F32" t="inlineStr">
        <is>
          <t>Derived</t>
        </is>
      </c>
      <c r="G32">
        <f> 2025-04-29 - 2024-10-28</f>
        <v/>
      </c>
      <c r="I32" t="n">
        <v>3</v>
      </c>
      <c r="J32" t="n">
        <v>7</v>
      </c>
      <c r="K32" t="n">
        <v>407</v>
      </c>
      <c r="L32" t="n">
        <v>198</v>
      </c>
      <c r="M32" t="n">
        <v>28</v>
      </c>
      <c r="N32" t="inlineStr">
        <is>
          <t>CoreWeave</t>
        </is>
      </c>
      <c r="O32" t="inlineStr">
        <is>
          <t>2025-05-28</t>
        </is>
      </c>
      <c r="P32" t="n">
        <v>-29</v>
      </c>
      <c r="Q32" t="inlineStr">
        <is>
          <t>Reported</t>
        </is>
      </c>
      <c r="R32" t="inlineStr">
        <is>
          <t>GB200 NVL72 "now available via Oracle Cloud" (DCD citing NVIDIA blog)</t>
        </is>
      </c>
      <c r="S32" t="inlineStr">
        <is>
          <t>https://www.datacenterdynamics.com/en/news/nvidia-gb200-nvl72-now-available-via-oracle-cloud/</t>
        </is>
      </c>
    </row>
    <row r="33">
      <c r="A33" t="inlineStr">
        <is>
          <t>GB200 NVL72</t>
        </is>
      </c>
      <c r="B33" t="inlineStr">
        <is>
          <t>GCP</t>
        </is>
      </c>
      <c r="C33" s="3" t="n">
        <v>45593</v>
      </c>
      <c r="D33" s="3" t="n">
        <v>45806</v>
      </c>
      <c r="E33" t="n">
        <v>213</v>
      </c>
      <c r="F33" t="inlineStr">
        <is>
          <t>Derived</t>
        </is>
      </c>
      <c r="G33">
        <f> 2025-05-29 - 2024-10-28</f>
        <v/>
      </c>
      <c r="I33" t="n">
        <v>4</v>
      </c>
      <c r="J33" t="n">
        <v>7</v>
      </c>
      <c r="K33" t="n">
        <v>437</v>
      </c>
      <c r="L33" t="n">
        <v>198</v>
      </c>
      <c r="M33" t="n">
        <v>28</v>
      </c>
      <c r="N33" t="inlineStr">
        <is>
          <t>CoreWeave</t>
        </is>
      </c>
      <c r="O33" t="inlineStr">
        <is>
          <t>2025-05-28</t>
        </is>
      </c>
      <c r="P33" t="n">
        <v>1</v>
      </c>
      <c r="Q33" t="inlineStr">
        <is>
          <t>Reported</t>
        </is>
      </c>
      <c r="R33" t="inlineStr">
        <is>
          <t>A4X GA (update note on Feb 19 blog)</t>
        </is>
      </c>
      <c r="S33" t="inlineStr">
        <is>
          <t>https://cloud.google.com/blog/products/compute/new-a4x-vms-powered-by-nvidia-gb200-gpus</t>
        </is>
      </c>
    </row>
    <row r="34">
      <c r="A34" s="4" t="inlineStr">
        <is>
          <t>GB200 NVL72</t>
        </is>
      </c>
      <c r="B34" s="4" t="inlineStr">
        <is>
          <t>Nebius</t>
        </is>
      </c>
      <c r="C34" s="5" t="n">
        <v>45593</v>
      </c>
      <c r="D34" s="5" t="n">
        <v>45819</v>
      </c>
      <c r="E34" s="4" t="n">
        <v>226</v>
      </c>
      <c r="F34" s="4" t="inlineStr">
        <is>
          <t>Derived</t>
        </is>
      </c>
      <c r="G34" s="4">
        <f> 2025-06-11 - 2024-10-28</f>
        <v/>
      </c>
      <c r="H34" s="4" t="n"/>
      <c r="I34" s="4" t="n">
        <v>5</v>
      </c>
      <c r="J34" s="4" t="n">
        <v>7</v>
      </c>
      <c r="K34" s="4" t="n">
        <v>450</v>
      </c>
      <c r="L34" s="4" t="n">
        <v>198</v>
      </c>
      <c r="M34" s="4" t="n">
        <v>28</v>
      </c>
      <c r="N34" s="4" t="inlineStr">
        <is>
          <t>CoreWeave</t>
        </is>
      </c>
      <c r="O34" s="4" t="inlineStr">
        <is>
          <t>2025-05-28</t>
        </is>
      </c>
      <c r="P34" s="4" t="n">
        <v>14</v>
      </c>
      <c r="Q34" s="4" t="inlineStr">
        <is>
          <t>Reported</t>
        </is>
      </c>
      <c r="R34" s="4" t="inlineStr">
        <is>
          <t>"First general availability of GB200 NVL72 capacity in Europe" (no public price; "Contact us")</t>
        </is>
      </c>
      <c r="S34" s="4" t="inlineStr">
        <is>
          <t>https://nebius.com/newsroom/nebius-delivers-first-nvidia-blackwell-general-availability-in-europe-brings-nvidia-ai-enterprise-to-nebius-ai-cloud</t>
        </is>
      </c>
    </row>
    <row r="35">
      <c r="A35" t="inlineStr">
        <is>
          <t>GB200 NVL72</t>
        </is>
      </c>
      <c r="B35" t="inlineStr">
        <is>
          <t>AWS</t>
        </is>
      </c>
      <c r="C35" s="3" t="n">
        <v>45593</v>
      </c>
      <c r="D35" s="3" t="n">
        <v>45847</v>
      </c>
      <c r="E35" t="n">
        <v>254</v>
      </c>
      <c r="F35" t="inlineStr">
        <is>
          <t>Derived</t>
        </is>
      </c>
      <c r="G35">
        <f> 2025-07-09 - 2024-10-28</f>
        <v/>
      </c>
      <c r="I35" t="n">
        <v>6</v>
      </c>
      <c r="J35" t="n">
        <v>7</v>
      </c>
      <c r="K35" t="n">
        <v>478</v>
      </c>
      <c r="L35" t="n">
        <v>198</v>
      </c>
      <c r="M35" t="n">
        <v>28</v>
      </c>
      <c r="N35" t="inlineStr">
        <is>
          <t>CoreWeave</t>
        </is>
      </c>
      <c r="O35" t="inlineStr">
        <is>
          <t>2025-05-28</t>
        </is>
      </c>
      <c r="P35" t="n">
        <v>42</v>
      </c>
      <c r="Q35" t="inlineStr">
        <is>
          <t>Reported</t>
        </is>
      </c>
      <c r="R35" t="inlineStr">
        <is>
          <t>P6e-GB200 UltraServers GA</t>
        </is>
      </c>
      <c r="S35" t="inlineStr">
        <is>
          <t>https://aws.amazon.com/about-aws/whats-new/2025/07/amazon-p6e-gb200-ultraservers-gpu-performance-ec2/</t>
        </is>
      </c>
    </row>
    <row r="36">
      <c r="A36" t="inlineStr">
        <is>
          <t>GB200 NVL72</t>
        </is>
      </c>
      <c r="B36" t="inlineStr">
        <is>
          <t>Crusoe</t>
        </is>
      </c>
      <c r="C36" s="3" t="n">
        <v>45593</v>
      </c>
      <c r="D36" s="3" t="n">
        <v>45896</v>
      </c>
      <c r="E36" t="n">
        <v>303</v>
      </c>
      <c r="F36" t="inlineStr">
        <is>
          <t>Derived</t>
        </is>
      </c>
      <c r="G36">
        <f> 2025-08-27 - 2024-10-28</f>
        <v/>
      </c>
      <c r="I36" t="n">
        <v>7</v>
      </c>
      <c r="J36" t="n">
        <v>7</v>
      </c>
      <c r="K36" t="n">
        <v>527</v>
      </c>
      <c r="L36" t="n">
        <v>198</v>
      </c>
      <c r="M36" t="n">
        <v>28</v>
      </c>
      <c r="N36" t="inlineStr">
        <is>
          <t>CoreWeave</t>
        </is>
      </c>
      <c r="O36" t="inlineStr">
        <is>
          <t>2025-05-28</t>
        </is>
      </c>
      <c r="P36" t="n">
        <v>91</v>
      </c>
      <c r="Q36" t="inlineStr">
        <is>
          <t>Reported</t>
        </is>
      </c>
      <c r="R36" t="inlineStr">
        <is>
          <t>"Availability of NVIDIA GB200 NVL72 on Crusoe Cloud" (LinkedIn; date decoded from post id)</t>
        </is>
      </c>
      <c r="S36" t="inlineStr">
        <is>
          <t>https://www.linkedin.com/feed/update/urn:li:activity:7366592985901301762</t>
        </is>
      </c>
    </row>
    <row r="37">
      <c r="A37" t="inlineStr">
        <is>
          <t>GB200 NVL72</t>
        </is>
      </c>
      <c r="B37" t="inlineStr">
        <is>
          <t>Lambda</t>
        </is>
      </c>
      <c r="C37" s="3" t="n">
        <v>45593</v>
      </c>
      <c r="F37" t="inlineStr">
        <is>
          <t>Derived</t>
        </is>
      </c>
      <c r="G37" t="inlineStr">
        <is>
          <t>censored: not GA as of 2026-10-04; &gt;= 2026-10-04 - 2024-10-28 = 706d</t>
        </is>
      </c>
      <c r="H37" t="n">
        <v>706</v>
      </c>
      <c r="J37" t="n">
        <v>7</v>
      </c>
      <c r="L37" t="n">
        <v>198</v>
      </c>
      <c r="M37" t="n">
        <v>28</v>
      </c>
      <c r="N37" t="inlineStr">
        <is>
          <t>CoreWeave</t>
        </is>
      </c>
      <c r="O37" t="inlineStr">
        <is>
          <t>2025-05-28</t>
        </is>
      </c>
      <c r="Q37" t="inlineStr"/>
      <c r="R37" t="inlineStr">
        <is>
          <t>No dated GA found</t>
        </is>
      </c>
      <c r="S37" t="inlineStr"/>
    </row>
    <row r="38">
      <c r="A38" t="inlineStr">
        <is>
          <t>GB200 NVL72</t>
        </is>
      </c>
      <c r="B38" t="inlineStr">
        <is>
          <t>Together AI</t>
        </is>
      </c>
      <c r="C38" s="3" t="n">
        <v>45593</v>
      </c>
      <c r="F38" t="inlineStr">
        <is>
          <t>Derived</t>
        </is>
      </c>
      <c r="G38" t="inlineStr">
        <is>
          <t>censored: not GA as of 2026-10-04; &gt;= 2026-10-04 - 2024-10-28 = 706d</t>
        </is>
      </c>
      <c r="H38" t="n">
        <v>706</v>
      </c>
      <c r="J38" t="n">
        <v>7</v>
      </c>
      <c r="L38" t="n">
        <v>198</v>
      </c>
      <c r="M38" t="n">
        <v>28</v>
      </c>
      <c r="N38" t="inlineStr">
        <is>
          <t>CoreWeave</t>
        </is>
      </c>
      <c r="O38" t="inlineStr">
        <is>
          <t>2025-05-28</t>
        </is>
      </c>
      <c r="Q38" t="inlineStr"/>
      <c r="R38" t="inlineStr">
        <is>
          <t>No dated GA found</t>
        </is>
      </c>
      <c r="S38" t="inlineStr"/>
    </row>
    <row r="39">
      <c r="A39" t="inlineStr">
        <is>
          <t>B300 / GB300 NVL72</t>
        </is>
      </c>
      <c r="B39" t="inlineStr">
        <is>
          <t>CoreWeave</t>
        </is>
      </c>
      <c r="C39" s="3" t="n">
        <v>45775</v>
      </c>
      <c r="D39" s="3" t="n">
        <v>45841</v>
      </c>
      <c r="E39" t="n">
        <v>66</v>
      </c>
      <c r="F39" t="inlineStr">
        <is>
          <t>Derived</t>
        </is>
      </c>
      <c r="G39">
        <f> 2025-07-03 - 2025-04-28</f>
        <v/>
      </c>
      <c r="I39" t="n">
        <v>1</v>
      </c>
      <c r="J39" t="n">
        <v>7</v>
      </c>
      <c r="K39" t="n">
        <v>107</v>
      </c>
      <c r="L39" t="n">
        <v>193.5</v>
      </c>
      <c r="M39" t="n">
        <v>39.5</v>
      </c>
      <c r="N39" t="inlineStr">
        <is>
          <t>CoreWeave</t>
        </is>
      </c>
      <c r="O39" t="inlineStr">
        <is>
          <t>2025-07-03</t>
        </is>
      </c>
      <c r="P39" t="n">
        <v>0</v>
      </c>
      <c r="Q39" t="inlineStr">
        <is>
          <t>Reported</t>
        </is>
      </c>
      <c r="R39" t="inlineStr">
        <is>
          <t>First cloud to deploy GB300 NVL72 "for customers"</t>
        </is>
      </c>
      <c r="S39" t="inlineStr">
        <is>
          <t>https://www.coreweave.com/news/coreweave-becomes-first-cloud-provider-to-deploy-nvidia-gb300-nvl72-platform</t>
        </is>
      </c>
    </row>
    <row r="40">
      <c r="A40" t="inlineStr">
        <is>
          <t>B300 / GB300 NVL72</t>
        </is>
      </c>
      <c r="B40" t="inlineStr">
        <is>
          <t>Azure</t>
        </is>
      </c>
      <c r="C40" s="3" t="n">
        <v>45775</v>
      </c>
      <c r="D40" s="3" t="n">
        <v>45939</v>
      </c>
      <c r="E40" t="n">
        <v>164</v>
      </c>
      <c r="F40" t="inlineStr">
        <is>
          <t>Derived</t>
        </is>
      </c>
      <c r="G40">
        <f> 2025-10-09 - 2025-04-28</f>
        <v/>
      </c>
      <c r="I40" t="n">
        <v>2</v>
      </c>
      <c r="J40" t="n">
        <v>7</v>
      </c>
      <c r="K40" t="n">
        <v>205</v>
      </c>
      <c r="L40" t="n">
        <v>193.5</v>
      </c>
      <c r="M40" t="n">
        <v>39.5</v>
      </c>
      <c r="N40" t="inlineStr">
        <is>
          <t>CoreWeave</t>
        </is>
      </c>
      <c r="O40" t="inlineStr">
        <is>
          <t>2025-07-03</t>
        </is>
      </c>
      <c r="P40" t="n">
        <v>98</v>
      </c>
      <c r="Q40" t="inlineStr">
        <is>
          <t>Reported</t>
        </is>
      </c>
      <c r="R40" t="inlineStr">
        <is>
          <t>First at-scale production GB300 NVL72 cluster (OpenAI); ND GB300 v6 GA blog Nov 18 2025</t>
        </is>
      </c>
      <c r="S40" t="inlineStr">
        <is>
          <t>https://azure.microsoft.com/en-us/blog/microsoft-azure-delivers-the-first-large-scale-cluster-with-nvidia-gb300-nvl72-for-openai-workloads/</t>
        </is>
      </c>
    </row>
    <row r="41">
      <c r="A41" t="inlineStr">
        <is>
          <t>B300 / GB300 NVL72</t>
        </is>
      </c>
      <c r="B41" t="inlineStr">
        <is>
          <t>GCP</t>
        </is>
      </c>
      <c r="C41" s="3" t="n">
        <v>45775</v>
      </c>
      <c r="D41" s="3" t="n">
        <v>45958</v>
      </c>
      <c r="E41" t="n">
        <v>183</v>
      </c>
      <c r="F41" t="inlineStr">
        <is>
          <t>Derived</t>
        </is>
      </c>
      <c r="G41">
        <f> 2025-10-28 - 2025-04-28</f>
        <v/>
      </c>
      <c r="I41" t="n">
        <v>3</v>
      </c>
      <c r="J41" t="n">
        <v>7</v>
      </c>
      <c r="K41" t="n">
        <v>224</v>
      </c>
      <c r="L41" t="n">
        <v>193.5</v>
      </c>
      <c r="M41" t="n">
        <v>39.5</v>
      </c>
      <c r="N41" t="inlineStr">
        <is>
          <t>CoreWeave</t>
        </is>
      </c>
      <c r="O41" t="inlineStr">
        <is>
          <t>2025-07-03</t>
        </is>
      </c>
      <c r="P41" t="n">
        <v>117</v>
      </c>
      <c r="Q41" t="inlineStr">
        <is>
          <t>Reported</t>
        </is>
      </c>
      <c r="R41" t="inlineStr">
        <is>
          <t>A4X Max (GB300) "now shipping" in production (contact sales)</t>
        </is>
      </c>
      <c r="S41" t="inlineStr">
        <is>
          <t>https://cloud.google.com/blog/products/compute/now-shipping-a4x-max-vertex-ai-training-and-more</t>
        </is>
      </c>
    </row>
    <row r="42">
      <c r="A42" t="inlineStr">
        <is>
          <t>B300 / GB300 NVL72</t>
        </is>
      </c>
      <c r="B42" t="inlineStr">
        <is>
          <t>AWS</t>
        </is>
      </c>
      <c r="C42" s="3" t="n">
        <v>45775</v>
      </c>
      <c r="D42" s="3" t="n">
        <v>45979</v>
      </c>
      <c r="E42" t="n">
        <v>204</v>
      </c>
      <c r="F42" t="inlineStr">
        <is>
          <t>Derived</t>
        </is>
      </c>
      <c r="G42">
        <f> 2025-11-18 - 2025-04-28</f>
        <v/>
      </c>
      <c r="I42" t="n">
        <v>4</v>
      </c>
      <c r="J42" t="n">
        <v>7</v>
      </c>
      <c r="K42" t="n">
        <v>245</v>
      </c>
      <c r="L42" t="n">
        <v>193.5</v>
      </c>
      <c r="M42" t="n">
        <v>39.5</v>
      </c>
      <c r="N42" t="inlineStr">
        <is>
          <t>CoreWeave</t>
        </is>
      </c>
      <c r="O42" t="inlineStr">
        <is>
          <t>2025-07-03</t>
        </is>
      </c>
      <c r="P42" t="n">
        <v>138</v>
      </c>
      <c r="Q42" t="inlineStr">
        <is>
          <t>Reported</t>
        </is>
      </c>
      <c r="R42" t="inlineStr">
        <is>
          <t>P6-B300 GA (P6e-GB300 UltraServers GA Dec 2 2025)</t>
        </is>
      </c>
      <c r="S42" t="inlineStr">
        <is>
          <t>https://aws.amazon.com/blogs/aws/accelerate-large-scale-ai-applications-with-the-new-amazon-ec2-p6-b300-instances/</t>
        </is>
      </c>
    </row>
    <row r="43">
      <c r="A43" s="4" t="inlineStr">
        <is>
          <t>B300 / GB300 NVL72</t>
        </is>
      </c>
      <c r="B43" s="4" t="inlineStr">
        <is>
          <t>Nebius</t>
        </is>
      </c>
      <c r="C43" s="5" t="n">
        <v>45775</v>
      </c>
      <c r="D43" s="5" t="n">
        <v>46008</v>
      </c>
      <c r="E43" s="4" t="n">
        <v>233</v>
      </c>
      <c r="F43" s="4" t="inlineStr">
        <is>
          <t>Derived</t>
        </is>
      </c>
      <c r="G43" s="4">
        <f> 2025-12-17 - 2025-04-28</f>
        <v/>
      </c>
      <c r="H43" s="4" t="n"/>
      <c r="I43" s="4" t="n">
        <v>5</v>
      </c>
      <c r="J43" s="4" t="n">
        <v>7</v>
      </c>
      <c r="K43" s="4" t="n">
        <v>274</v>
      </c>
      <c r="L43" s="4" t="n">
        <v>193.5</v>
      </c>
      <c r="M43" s="4" t="n">
        <v>39.5</v>
      </c>
      <c r="N43" s="4" t="inlineStr">
        <is>
          <t>CoreWeave</t>
        </is>
      </c>
      <c r="O43" s="4" t="inlineStr">
        <is>
          <t>2025-07-03</t>
        </is>
      </c>
      <c r="P43" s="4" t="n">
        <v>167</v>
      </c>
      <c r="Q43" s="4" t="inlineStr">
        <is>
          <t>Reported</t>
        </is>
      </c>
      <c r="R43" s="4" t="inlineStr">
        <is>
          <t>GB300 NVL72 and HGX B300 "already being used by customers" (AI Cloud 3.1). HGX B300 public price first seen 2026-04-02 ($6.10)</t>
        </is>
      </c>
      <c r="S43" s="4" t="inlineStr">
        <is>
          <t>https://nebius.com/newsroom/nebius-ai-cloud-3-1-delivers-next-generation-nvidia-blackwell-ultra-compute-with-transparent-capacity-management-for-ai-at-scale</t>
        </is>
      </c>
    </row>
    <row r="44">
      <c r="A44" t="inlineStr">
        <is>
          <t>B300 / GB300 NVL72</t>
        </is>
      </c>
      <c r="B44" t="inlineStr">
        <is>
          <t>Oracle OCI</t>
        </is>
      </c>
      <c r="C44" s="3" t="n">
        <v>45775</v>
      </c>
      <c r="D44" s="3" t="n">
        <v>46100</v>
      </c>
      <c r="E44" t="n">
        <v>325</v>
      </c>
      <c r="F44" t="inlineStr">
        <is>
          <t>Derived</t>
        </is>
      </c>
      <c r="G44">
        <f> 2026-03-19 - 2025-04-28</f>
        <v/>
      </c>
      <c r="I44" t="n">
        <v>6</v>
      </c>
      <c r="J44" t="n">
        <v>7</v>
      </c>
      <c r="K44" t="n">
        <v>366</v>
      </c>
      <c r="L44" t="n">
        <v>193.5</v>
      </c>
      <c r="M44" t="n">
        <v>39.5</v>
      </c>
      <c r="N44" t="inlineStr">
        <is>
          <t>CoreWeave</t>
        </is>
      </c>
      <c r="O44" t="inlineStr">
        <is>
          <t>2025-07-03</t>
        </is>
      </c>
      <c r="P44" t="n">
        <v>259</v>
      </c>
      <c r="Q44" t="inlineStr">
        <is>
          <t>Estimated</t>
        </is>
      </c>
      <c r="R44" t="inlineStr">
        <is>
          <t>Upper bound: Oracle blog describing GB300 as available for enterprise deployment by Mar 19 2026 (search summary)</t>
        </is>
      </c>
      <c r="S44" t="inlineStr">
        <is>
          <t>https://blogs.oracle.com/ai-and-datascience/scaling-the-frontier-of-multimodal-genai-for-enterprise</t>
        </is>
      </c>
    </row>
    <row r="45">
      <c r="A45" t="inlineStr">
        <is>
          <t>B300 / GB300 NVL72</t>
        </is>
      </c>
      <c r="B45" t="inlineStr">
        <is>
          <t>Together AI</t>
        </is>
      </c>
      <c r="C45" s="3" t="n">
        <v>45775</v>
      </c>
      <c r="D45" s="3" t="n">
        <v>46119</v>
      </c>
      <c r="E45" t="n">
        <v>344</v>
      </c>
      <c r="F45" t="inlineStr">
        <is>
          <t>Derived</t>
        </is>
      </c>
      <c r="G45">
        <f> 2026-04-07 - 2025-04-28</f>
        <v/>
      </c>
      <c r="I45" t="n">
        <v>7</v>
      </c>
      <c r="J45" t="n">
        <v>7</v>
      </c>
      <c r="K45" t="n">
        <v>385</v>
      </c>
      <c r="L45" t="n">
        <v>193.5</v>
      </c>
      <c r="M45" t="n">
        <v>39.5</v>
      </c>
      <c r="N45" t="inlineStr">
        <is>
          <t>CoreWeave</t>
        </is>
      </c>
      <c r="O45" t="inlineStr">
        <is>
          <t>2025-07-03</t>
        </is>
      </c>
      <c r="P45" t="n">
        <v>278</v>
      </c>
      <c r="Q45" t="inlineStr">
        <is>
          <t>Reported</t>
        </is>
      </c>
      <c r="R45" t="inlineStr">
        <is>
          <t>Wayback upper bound: GB300 NVL72 &amp; HGX B300 first listed on pricing page ("Contact us")</t>
        </is>
      </c>
      <c r="S45" t="inlineStr">
        <is>
          <t>https://web.archive.org/web/20260407215358/https://www.together.ai/pricing</t>
        </is>
      </c>
    </row>
    <row r="46">
      <c r="A46" t="inlineStr">
        <is>
          <t>B300 / GB300 NVL72</t>
        </is>
      </c>
      <c r="B46" t="inlineStr">
        <is>
          <t>Crusoe</t>
        </is>
      </c>
      <c r="C46" s="3" t="n">
        <v>45775</v>
      </c>
      <c r="F46" t="inlineStr">
        <is>
          <t>Derived</t>
        </is>
      </c>
      <c r="G46" t="inlineStr">
        <is>
          <t>censored: not GA as of 2026-10-04; &gt;= 2026-10-04 - 2025-04-28 = 524d</t>
        </is>
      </c>
      <c r="H46" t="n">
        <v>524</v>
      </c>
      <c r="J46" t="n">
        <v>7</v>
      </c>
      <c r="L46" t="n">
        <v>193.5</v>
      </c>
      <c r="M46" t="n">
        <v>39.5</v>
      </c>
      <c r="N46" t="inlineStr">
        <is>
          <t>CoreWeave</t>
        </is>
      </c>
      <c r="O46" t="inlineStr">
        <is>
          <t>2025-07-03</t>
        </is>
      </c>
      <c r="Q46" t="inlineStr"/>
      <c r="R46" t="inlineStr">
        <is>
          <t>No GA; GB300 dedicated clusters for Perplexity announced Sep 2026, not public</t>
        </is>
      </c>
      <c r="S46" t="inlineStr">
        <is>
          <t>https://www.crusoe.ai/resources/newsroom/crusoe-perplexity-partnership</t>
        </is>
      </c>
    </row>
    <row r="47">
      <c r="A47" t="inlineStr">
        <is>
          <t>B300 / GB300 NVL72</t>
        </is>
      </c>
      <c r="B47" t="inlineStr">
        <is>
          <t>Lambda</t>
        </is>
      </c>
      <c r="C47" s="3" t="n">
        <v>45775</v>
      </c>
      <c r="F47" t="inlineStr">
        <is>
          <t>Derived</t>
        </is>
      </c>
      <c r="G47" t="inlineStr">
        <is>
          <t>censored: not GA as of 2026-10-04; &gt;= 2026-10-04 - 2025-04-28 = 524d</t>
        </is>
      </c>
      <c r="H47" t="n">
        <v>524</v>
      </c>
      <c r="J47" t="n">
        <v>7</v>
      </c>
      <c r="L47" t="n">
        <v>193.5</v>
      </c>
      <c r="M47" t="n">
        <v>39.5</v>
      </c>
      <c r="N47" t="inlineStr">
        <is>
          <t>CoreWeave</t>
        </is>
      </c>
      <c r="O47" t="inlineStr">
        <is>
          <t>2025-07-03</t>
        </is>
      </c>
      <c r="Q47" t="inlineStr"/>
      <c r="R47" t="inlineStr">
        <is>
          <t>No dated GA / public price found</t>
        </is>
      </c>
      <c r="S47" t="inlineStr"/>
    </row>
    <row r="48">
      <c r="A48" t="inlineStr">
        <is>
          <t>B300 / GB300 NVL72</t>
        </is>
      </c>
      <c r="B48" t="inlineStr">
        <is>
          <t>Nscale</t>
        </is>
      </c>
      <c r="C48" s="3" t="n">
        <v>45775</v>
      </c>
      <c r="F48" t="inlineStr">
        <is>
          <t>Derived</t>
        </is>
      </c>
      <c r="G48" t="inlineStr">
        <is>
          <t>censored: not GA as of 2026-10-04; &gt;= 2026-10-04 - 2025-04-28 = 524d</t>
        </is>
      </c>
      <c r="H48" t="n">
        <v>524</v>
      </c>
      <c r="J48" t="n">
        <v>7</v>
      </c>
      <c r="L48" t="n">
        <v>193.5</v>
      </c>
      <c r="M48" t="n">
        <v>39.5</v>
      </c>
      <c r="N48" t="inlineStr">
        <is>
          <t>CoreWeave</t>
        </is>
      </c>
      <c r="O48" t="inlineStr">
        <is>
          <t>2025-07-03</t>
        </is>
      </c>
      <c r="Q48" t="inlineStr"/>
      <c r="R48" t="inlineStr">
        <is>
          <t>GB300 live at Sines reported Q1 2026; GB300 production validated Jul 2026 (no exact GA day)</t>
        </is>
      </c>
      <c r="S48" t="inlineStr">
        <is>
          <t>https://www.nscale.com/blog/nscale-achieves-nvidia-exemplar-cloud-status-on-nvidia-gb300-nvl72</t>
        </is>
      </c>
    </row>
    <row r="49">
      <c r="A49" t="inlineStr">
        <is>
          <t>Vera Rubin NVL72</t>
        </is>
      </c>
      <c r="B49" t="inlineStr">
        <is>
          <t>CoreWeave</t>
        </is>
      </c>
      <c r="C49" s="3" t="n">
        <v>46235</v>
      </c>
      <c r="D49" s="3" t="n">
        <v>46295</v>
      </c>
      <c r="E49" t="n">
        <v>60</v>
      </c>
      <c r="F49" t="inlineStr">
        <is>
          <t>Derived</t>
        </is>
      </c>
      <c r="G49">
        <f> 2026-09-30 - 2026-08-01</f>
        <v/>
      </c>
      <c r="I49" t="n">
        <v>1</v>
      </c>
      <c r="J49" t="n">
        <v>1</v>
      </c>
      <c r="K49" t="n">
        <v>268</v>
      </c>
      <c r="L49" t="n">
        <v>60</v>
      </c>
      <c r="N49" t="inlineStr">
        <is>
          <t>CoreWeave</t>
        </is>
      </c>
      <c r="O49" t="inlineStr"/>
      <c r="Q49" t="inlineStr">
        <is>
          <t>Reported</t>
        </is>
      </c>
      <c r="R49" t="inlineStr">
        <is>
          <t>"Availability of NVIDIA Vera Rubin NVL72 on CoreWeave", Cognition first production customer</t>
        </is>
      </c>
      <c r="S49" t="inlineStr">
        <is>
          <t>https://investors.coreweave.com/news/news-details/2026/CoreWeave-Delivers-NVIDIA-Vera-Rubin-NVL72-Performance-at-Production-Scale-Starting-With-Cognition/default.aspx</t>
        </is>
      </c>
    </row>
    <row r="50">
      <c r="A50" t="inlineStr">
        <is>
          <t>Vera Rubin NVL72</t>
        </is>
      </c>
      <c r="B50" t="inlineStr">
        <is>
          <t>AWS</t>
        </is>
      </c>
      <c r="C50" s="3" t="n">
        <v>46235</v>
      </c>
      <c r="F50" t="inlineStr">
        <is>
          <t>Derived</t>
        </is>
      </c>
      <c r="G50" t="inlineStr">
        <is>
          <t>censored: not GA as of 2026-10-04; &gt;= 2026-10-04 - 2026-08-01 = 64d</t>
        </is>
      </c>
      <c r="H50" t="n">
        <v>64</v>
      </c>
      <c r="J50" t="n">
        <v>1</v>
      </c>
      <c r="L50" t="n">
        <v>60</v>
      </c>
      <c r="N50" t="inlineStr">
        <is>
          <t>CoreWeave</t>
        </is>
      </c>
      <c r="O50" t="inlineStr"/>
      <c r="Q50" t="inlineStr"/>
      <c r="R50" t="inlineStr">
        <is>
          <t>No GA found</t>
        </is>
      </c>
      <c r="S50" t="inlineStr"/>
    </row>
    <row r="51">
      <c r="A51" t="inlineStr">
        <is>
          <t>Vera Rubin NVL72</t>
        </is>
      </c>
      <c r="B51" t="inlineStr">
        <is>
          <t>Azure</t>
        </is>
      </c>
      <c r="C51" s="3" t="n">
        <v>46235</v>
      </c>
      <c r="F51" t="inlineStr">
        <is>
          <t>Derived</t>
        </is>
      </c>
      <c r="G51" t="inlineStr">
        <is>
          <t>censored: not GA as of 2026-10-04; &gt;= 2026-10-04 - 2026-08-01 = 64d</t>
        </is>
      </c>
      <c r="H51" t="n">
        <v>64</v>
      </c>
      <c r="J51" t="n">
        <v>1</v>
      </c>
      <c r="L51" t="n">
        <v>60</v>
      </c>
      <c r="N51" t="inlineStr">
        <is>
          <t>CoreWeave</t>
        </is>
      </c>
      <c r="O51" t="inlineStr"/>
      <c r="Q51" t="inlineStr"/>
      <c r="R51" t="inlineStr">
        <is>
          <t>No GA found</t>
        </is>
      </c>
      <c r="S51" t="inlineStr"/>
    </row>
    <row r="52">
      <c r="A52" t="inlineStr">
        <is>
          <t>Vera Rubin NVL72</t>
        </is>
      </c>
      <c r="B52" t="inlineStr">
        <is>
          <t>GCP</t>
        </is>
      </c>
      <c r="C52" s="3" t="n">
        <v>46235</v>
      </c>
      <c r="F52" t="inlineStr">
        <is>
          <t>Derived</t>
        </is>
      </c>
      <c r="G52" t="inlineStr">
        <is>
          <t>censored: not GA as of 2026-10-04; &gt;= 2026-10-04 - 2026-08-01 = 64d</t>
        </is>
      </c>
      <c r="H52" t="n">
        <v>64</v>
      </c>
      <c r="J52" t="n">
        <v>1</v>
      </c>
      <c r="L52" t="n">
        <v>60</v>
      </c>
      <c r="N52" t="inlineStr">
        <is>
          <t>CoreWeave</t>
        </is>
      </c>
      <c r="O52" t="inlineStr"/>
      <c r="Q52" t="inlineStr"/>
      <c r="R52" t="inlineStr">
        <is>
          <t>No GA found</t>
        </is>
      </c>
      <c r="S52" t="inlineStr"/>
    </row>
    <row r="53">
      <c r="A53" t="inlineStr">
        <is>
          <t>Vera Rubin NVL72</t>
        </is>
      </c>
      <c r="B53" t="inlineStr">
        <is>
          <t>Lambda</t>
        </is>
      </c>
      <c r="C53" s="3" t="n">
        <v>46235</v>
      </c>
      <c r="F53" t="inlineStr">
        <is>
          <t>Derived</t>
        </is>
      </c>
      <c r="G53" t="inlineStr">
        <is>
          <t>censored: not GA as of 2026-10-04; &gt;= 2026-10-04 - 2026-08-01 = 64d</t>
        </is>
      </c>
      <c r="H53" t="n">
        <v>64</v>
      </c>
      <c r="J53" t="n">
        <v>1</v>
      </c>
      <c r="L53" t="n">
        <v>60</v>
      </c>
      <c r="N53" t="inlineStr">
        <is>
          <t>CoreWeave</t>
        </is>
      </c>
      <c r="O53" t="inlineStr"/>
      <c r="Q53" t="inlineStr"/>
      <c r="R53" t="inlineStr">
        <is>
          <t>Not available as of 2026-10-04 (H2 2026 plan)</t>
        </is>
      </c>
      <c r="S53" t="inlineStr">
        <is>
          <t>https://lambda.ai/blog/nvidias-vera-rubin-nvl72-coming-to-lambdas-superintelligence-cloud</t>
        </is>
      </c>
    </row>
    <row r="54">
      <c r="A54" s="4" t="inlineStr">
        <is>
          <t>Vera Rubin NVL72</t>
        </is>
      </c>
      <c r="B54" s="4" t="inlineStr">
        <is>
          <t>Nebius</t>
        </is>
      </c>
      <c r="C54" s="5" t="n">
        <v>46235</v>
      </c>
      <c r="D54" s="4" t="n"/>
      <c r="E54" s="4" t="n"/>
      <c r="F54" s="4" t="inlineStr">
        <is>
          <t>Derived</t>
        </is>
      </c>
      <c r="G54" s="4" t="inlineStr">
        <is>
          <t>censored: not GA as of 2026-10-04; &gt;= 2026-10-04 - 2026-08-01 = 64d</t>
        </is>
      </c>
      <c r="H54" s="4" t="n">
        <v>64</v>
      </c>
      <c r="I54" s="4" t="n"/>
      <c r="J54" s="4" t="n">
        <v>1</v>
      </c>
      <c r="K54" s="4" t="n"/>
      <c r="L54" s="4" t="n">
        <v>60</v>
      </c>
      <c r="M54" s="4" t="n"/>
      <c r="N54" s="4" t="inlineStr">
        <is>
          <t>CoreWeave</t>
        </is>
      </c>
      <c r="O54" s="4" t="inlineStr"/>
      <c r="P54" s="4" t="n"/>
      <c r="Q54" s="4" t="inlineStr"/>
      <c r="R54" s="4" t="inlineStr">
        <is>
          <t>Not yet available to customers as of 2026-10-04</t>
        </is>
      </c>
      <c r="S54" s="4" t="inlineStr"/>
    </row>
    <row r="55">
      <c r="A55" t="inlineStr">
        <is>
          <t>Vera Rubin NVL72</t>
        </is>
      </c>
      <c r="B55" t="inlineStr">
        <is>
          <t>Nscale</t>
        </is>
      </c>
      <c r="C55" s="3" t="n">
        <v>46235</v>
      </c>
      <c r="F55" t="inlineStr">
        <is>
          <t>Derived</t>
        </is>
      </c>
      <c r="G55" t="inlineStr">
        <is>
          <t>censored: not GA as of 2026-10-04; &gt;= 2026-10-04 - 2026-08-01 = 64d</t>
        </is>
      </c>
      <c r="H55" t="n">
        <v>64</v>
      </c>
      <c r="J55" t="n">
        <v>1</v>
      </c>
      <c r="L55" t="n">
        <v>60</v>
      </c>
      <c r="N55" t="inlineStr">
        <is>
          <t>CoreWeave</t>
        </is>
      </c>
      <c r="O55" t="inlineStr"/>
      <c r="Q55" t="inlineStr"/>
      <c r="R55" t="inlineStr">
        <is>
          <t>No GA found</t>
        </is>
      </c>
      <c r="S55" t="inlineStr"/>
    </row>
    <row r="56">
      <c r="A56" t="inlineStr">
        <is>
          <t>Vera Rubin NVL72</t>
        </is>
      </c>
      <c r="B56" t="inlineStr">
        <is>
          <t>Oracle OCI</t>
        </is>
      </c>
      <c r="C56" s="3" t="n">
        <v>46235</v>
      </c>
      <c r="F56" t="inlineStr">
        <is>
          <t>Derived</t>
        </is>
      </c>
      <c r="G56" t="inlineStr">
        <is>
          <t>censored: not GA as of 2026-10-04; &gt;= 2026-10-04 - 2026-08-01 = 64d</t>
        </is>
      </c>
      <c r="H56" t="n">
        <v>64</v>
      </c>
      <c r="J56" t="n">
        <v>1</v>
      </c>
      <c r="L56" t="n">
        <v>60</v>
      </c>
      <c r="N56" t="inlineStr">
        <is>
          <t>CoreWeave</t>
        </is>
      </c>
      <c r="O56" t="inlineStr"/>
      <c r="Q56" t="inlineStr"/>
      <c r="R56" t="inlineStr">
        <is>
          <t>No GA found</t>
        </is>
      </c>
      <c r="S56" t="inlineStr"/>
    </row>
    <row r="59">
      <c r="A59" s="6" t="inlineStr">
        <is>
          <t>SUMMARY: Nebius vs peers</t>
        </is>
      </c>
    </row>
    <row r="60">
      <c r="A60" s="7" t="inlineStr">
        <is>
          <t>Generation</t>
        </is>
      </c>
      <c r="B60" s="7" t="inlineStr">
        <is>
          <t>Nebius lag (d)</t>
        </is>
      </c>
      <c r="C60" s="7" t="inlineStr">
        <is>
          <t>Nebius rank</t>
        </is>
      </c>
      <c r="D60" s="7" t="inlineStr">
        <is>
          <t># ranked</t>
        </is>
      </c>
      <c r="E60" s="7" t="inlineStr">
        <is>
          <t>Peer median ex-Nebius (d)</t>
        </is>
      </c>
      <c r="F60" s="7" t="inlineStr">
        <is>
          <t>Nebius - median (d)</t>
        </is>
      </c>
      <c r="G60" s="7" t="inlineStr">
        <is>
          <t>Fastest</t>
        </is>
      </c>
      <c r="H60" s="7" t="inlineStr">
        <is>
          <t>Fastest lag (d)</t>
        </is>
      </c>
      <c r="I60" s="7" t="inlineStr">
        <is>
          <t>Nebius - fastest (d)</t>
        </is>
      </c>
      <c r="J60" s="7" t="inlineStr">
        <is>
          <t>Nebius - CoreWeave (d)</t>
        </is>
      </c>
    </row>
    <row r="61">
      <c r="A61" t="inlineStr">
        <is>
          <t>H100</t>
        </is>
      </c>
      <c r="B61" t="n">
        <v>407</v>
      </c>
      <c r="C61" t="n">
        <v>8</v>
      </c>
      <c r="D61" t="n">
        <v>10</v>
      </c>
      <c r="E61" t="n">
        <v>346</v>
      </c>
      <c r="F61" t="n">
        <v>61</v>
      </c>
      <c r="G61" t="inlineStr">
        <is>
          <t>CoreWeave</t>
        </is>
      </c>
      <c r="H61" t="n">
        <v>182</v>
      </c>
      <c r="I61" t="n">
        <v>225</v>
      </c>
      <c r="J61" t="n">
        <v>225</v>
      </c>
    </row>
    <row r="62">
      <c r="A62" t="inlineStr">
        <is>
          <t>H200</t>
        </is>
      </c>
      <c r="B62" t="n">
        <v>228</v>
      </c>
      <c r="C62" t="n">
        <v>4</v>
      </c>
      <c r="D62" t="n">
        <v>8</v>
      </c>
      <c r="E62" t="n">
        <v>231</v>
      </c>
      <c r="F62" t="n">
        <v>-3</v>
      </c>
      <c r="G62" t="inlineStr">
        <is>
          <t>CoreWeave</t>
        </is>
      </c>
      <c r="H62" t="n">
        <v>149</v>
      </c>
      <c r="I62" t="n">
        <v>79</v>
      </c>
      <c r="J62" t="n">
        <v>79</v>
      </c>
    </row>
    <row r="63">
      <c r="A63" t="inlineStr">
        <is>
          <t>B200 (HGX)</t>
        </is>
      </c>
      <c r="B63" t="n">
        <v>270</v>
      </c>
      <c r="C63" t="n">
        <v>6</v>
      </c>
      <c r="D63" t="n">
        <v>7</v>
      </c>
      <c r="E63" t="n">
        <v>190.5</v>
      </c>
      <c r="F63" t="n">
        <v>79.5</v>
      </c>
      <c r="G63" t="inlineStr">
        <is>
          <t>GCP</t>
        </is>
      </c>
      <c r="H63" t="n">
        <v>141</v>
      </c>
      <c r="I63" t="n">
        <v>129</v>
      </c>
      <c r="J63" t="n">
        <v>57</v>
      </c>
    </row>
    <row r="64">
      <c r="A64" t="inlineStr">
        <is>
          <t>GB200 NVL72</t>
        </is>
      </c>
      <c r="B64" t="n">
        <v>226</v>
      </c>
      <c r="C64" t="n">
        <v>5</v>
      </c>
      <c r="D64" t="n">
        <v>7</v>
      </c>
      <c r="E64" t="n">
        <v>198</v>
      </c>
      <c r="F64" t="n">
        <v>28</v>
      </c>
      <c r="G64" t="inlineStr">
        <is>
          <t>CoreWeave</t>
        </is>
      </c>
      <c r="H64" t="n">
        <v>99</v>
      </c>
      <c r="I64" t="n">
        <v>127</v>
      </c>
      <c r="J64" t="n">
        <v>127</v>
      </c>
    </row>
    <row r="65">
      <c r="A65" t="inlineStr">
        <is>
          <t>B300 / GB300 NVL72</t>
        </is>
      </c>
      <c r="B65" t="n">
        <v>233</v>
      </c>
      <c r="C65" t="n">
        <v>5</v>
      </c>
      <c r="D65" t="n">
        <v>7</v>
      </c>
      <c r="E65" t="n">
        <v>193.5</v>
      </c>
      <c r="F65" t="n">
        <v>39.5</v>
      </c>
      <c r="G65" t="inlineStr">
        <is>
          <t>CoreWeave</t>
        </is>
      </c>
      <c r="H65" t="n">
        <v>66</v>
      </c>
      <c r="I65" t="n">
        <v>167</v>
      </c>
      <c r="J65" t="n">
        <v>167</v>
      </c>
    </row>
    <row r="66">
      <c r="A66" t="inlineStr">
        <is>
          <t>Vera Rubin NVL72</t>
        </is>
      </c>
      <c r="B66" t="inlineStr">
        <is>
          <t>&gt;=64 (not GA)</t>
        </is>
      </c>
      <c r="C66" t="inlineStr">
        <is>
          <t>not GA</t>
        </is>
      </c>
      <c r="D66" t="n">
        <v>1</v>
      </c>
      <c r="E66" t="n">
        <v>60</v>
      </c>
      <c r="G66" t="inlineStr">
        <is>
          <t>CoreWeave</t>
        </is>
      </c>
      <c r="H66" t="n">
        <v>60</v>
      </c>
      <c r="I66" t="inlineStr">
        <is>
          <t>&gt;=4</t>
        </is>
      </c>
      <c r="J66" t="inlineStr">
        <is>
          <t>&gt;=4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37" customWidth="1" min="4" max="4"/>
    <col width="29" customWidth="1" min="5" max="5"/>
    <col width="24" customWidth="1" min="6" max="6"/>
    <col width="22" customWidth="1" min="7" max="7"/>
    <col width="17" customWidth="1" min="8" max="8"/>
    <col width="12" customWidth="1" min="9" max="9"/>
    <col width="50" customWidth="1" min="10" max="10"/>
    <col width="14" customWidth="1" min="11" max="11"/>
    <col width="12" customWidth="1" min="12" max="12"/>
    <col width="14" customWidth="1" min="13" max="13"/>
    <col width="12" customWidth="1" min="14" max="14"/>
    <col width="15" customWidth="1" min="15" max="15"/>
    <col width="12" customWidth="1" min="16" max="16"/>
    <col width="17" customWidth="1" min="17" max="17"/>
    <col width="34" customWidth="1" min="18" max="18"/>
    <col width="25" customWidth="1" min="19" max="19"/>
    <col width="26" customWidth="1" min="20" max="20"/>
    <col width="16" customWidth="1" min="21" max="21"/>
    <col width="35" customWidth="1" min="22" max="22"/>
    <col width="40" customWidth="1" min="23" max="23"/>
    <col width="26" customWidth="1" min="24" max="24"/>
    <col width="16" customWidth="1" min="25" max="25"/>
    <col width="22" customWidth="1" min="26" max="26"/>
    <col width="15" customWidth="1" min="27" max="27"/>
    <col width="25" customWidth="1" min="28" max="28"/>
    <col width="22" customWidth="1" min="29" max="29"/>
    <col width="14" customWidth="1" min="30" max="30"/>
    <col width="45" customWidth="1" min="31" max="31"/>
    <col width="12" customWidth="1" min="32" max="32"/>
    <col width="45" customWidth="1" min="33" max="33"/>
  </cols>
  <sheetData>
    <row r="1">
      <c r="A1" s="1" t="inlineStr">
        <is>
          <t>$/GPU-hr from Wayback captures of public pricing pages (see Sources). Negative decay = price falling. Blank = no capture after that horizon. CoreWeave 2025+ prices are 8-GPU instance price/8 (bundled CPU/RAM). Peer set (on-demand): Nebius, CoreWeave, Lambda, Crusoe, Together.</t>
        </is>
      </c>
    </row>
    <row r="2">
      <c r="A2" s="2" t="inlineStr">
        <is>
          <t>Provider</t>
        </is>
      </c>
      <c r="B2" s="2" t="inlineStr">
        <is>
          <t>Chip</t>
        </is>
      </c>
      <c r="C2" s="2" t="inlineStr">
        <is>
          <t>Price basis</t>
        </is>
      </c>
      <c r="D2" s="2" t="inlineStr">
        <is>
          <t>Provider GA (Provider_Availability)</t>
        </is>
      </c>
      <c r="E2" s="2" t="inlineStr">
        <is>
          <t>First observed $ price date</t>
        </is>
      </c>
      <c r="F2" s="2" t="inlineStr">
        <is>
          <t>Days GA -&gt; first price</t>
        </is>
      </c>
      <c r="G2" s="2" t="inlineStr">
        <is>
          <t>Is launch price?</t>
        </is>
      </c>
      <c r="H2" s="2" t="inlineStr">
        <is>
          <t>Launch $/GPU-hr</t>
        </is>
      </c>
      <c r="I2" s="2" t="inlineStr">
        <is>
          <t>Tag</t>
        </is>
      </c>
      <c r="J2" s="2" t="inlineStr">
        <is>
          <t>Launch archive URL</t>
        </is>
      </c>
      <c r="K2" s="2" t="inlineStr">
        <is>
          <t>+3m $/GPU-hr</t>
        </is>
      </c>
      <c r="L2" s="2" t="inlineStr">
        <is>
          <t>+3m chg %</t>
        </is>
      </c>
      <c r="M2" s="2" t="inlineStr">
        <is>
          <t>+6m $/GPU-hr</t>
        </is>
      </c>
      <c r="N2" s="2" t="inlineStr">
        <is>
          <t>+6m chg %</t>
        </is>
      </c>
      <c r="O2" s="2" t="inlineStr">
        <is>
          <t>+12m $/GPU-hr</t>
        </is>
      </c>
      <c r="P2" s="2" t="inlineStr">
        <is>
          <t>+12m chg %</t>
        </is>
      </c>
      <c r="Q2" s="2" t="inlineStr">
        <is>
          <t>Tag (+m prices)</t>
        </is>
      </c>
      <c r="R2" s="2" t="inlineStr">
        <is>
          <t>Predecessor chip (same provider)</t>
        </is>
      </c>
      <c r="S2" s="2" t="inlineStr">
        <is>
          <t>Predecessor $ same date</t>
        </is>
      </c>
      <c r="T2" s="2" t="inlineStr">
        <is>
          <t>Premium vs predecessor %</t>
        </is>
      </c>
      <c r="U2" s="2" t="inlineStr">
        <is>
          <t>Math (Derived)</t>
        </is>
      </c>
      <c r="V2" s="2" t="inlineStr">
        <is>
          <t>Peer median same chip same date $</t>
        </is>
      </c>
      <c r="W2" s="2" t="inlineStr">
        <is>
          <t>Peers used</t>
        </is>
      </c>
      <c r="X2" s="2" t="inlineStr">
        <is>
          <t>Premium vs peer median %</t>
        </is>
      </c>
      <c r="Y2" s="2" t="inlineStr">
        <is>
          <t>Math (Derived)</t>
        </is>
      </c>
      <c r="Z2" s="2" t="inlineStr">
        <is>
          <t>Decay %/mo first 12m</t>
        </is>
      </c>
      <c r="AA2" s="2" t="inlineStr">
        <is>
          <t># monthly pts</t>
        </is>
      </c>
      <c r="AB2" s="2" t="inlineStr">
        <is>
          <t>Decay %/mo full history</t>
        </is>
      </c>
      <c r="AC2" s="2" t="inlineStr">
        <is>
          <t># monthly pts (full)</t>
        </is>
      </c>
      <c r="AD2" s="2" t="inlineStr">
        <is>
          <t>Last capture</t>
        </is>
      </c>
      <c r="AE2" s="2" t="inlineStr">
        <is>
          <t>Decay method</t>
        </is>
      </c>
      <c r="AF2" s="2" t="inlineStr">
        <is>
          <t>Confidence</t>
        </is>
      </c>
      <c r="AG2" s="2" t="inlineStr">
        <is>
          <t>Notes</t>
        </is>
      </c>
    </row>
    <row r="3">
      <c r="A3" t="inlineStr">
        <is>
          <t>AWS</t>
        </is>
      </c>
      <c r="B3" t="inlineStr">
        <is>
          <t>B200</t>
        </is>
      </c>
      <c r="C3" t="inlineStr">
        <is>
          <t>EC2 Capacity Blocks (reserved, per accelerator)</t>
        </is>
      </c>
      <c r="D3" s="3" t="n">
        <v>45792</v>
      </c>
      <c r="E3" s="3" t="n">
        <v>46112</v>
      </c>
      <c r="F3" t="n">
        <v>320</v>
      </c>
      <c r="G3" t="inlineStr">
        <is>
          <t>No (first public price found later than GA+60d)</t>
        </is>
      </c>
      <c r="H3" t="n">
        <v>10.296</v>
      </c>
      <c r="I3" t="inlineStr">
        <is>
          <t>Reported</t>
        </is>
      </c>
      <c r="J3" t="inlineStr">
        <is>
          <t>https://web.archive.org/web/20260331164533/https://aws.amazon.com/ec2/capacityblocks/pricing/</t>
        </is>
      </c>
      <c r="K3" t="n">
        <v>10.296</v>
      </c>
      <c r="L3" t="n">
        <v>0</v>
      </c>
      <c r="M3" t="n">
        <v>12.355</v>
      </c>
      <c r="N3" t="n">
        <v>19.9981</v>
      </c>
      <c r="Q3" t="inlineStr">
        <is>
          <t>Reported (as-of step function of Wayback captures)</t>
        </is>
      </c>
      <c r="R3" t="inlineStr">
        <is>
          <t>H200</t>
        </is>
      </c>
      <c r="S3" t="n">
        <v>5.721</v>
      </c>
      <c r="T3" t="n">
        <v>79.96850000000001</v>
      </c>
      <c r="U3">
        <f> 10.296/5.721 - 1</f>
        <v/>
      </c>
      <c r="W3" t="inlineStr"/>
      <c r="Y3" t="inlineStr"/>
      <c r="Z3" t="n">
        <v>3.9839</v>
      </c>
      <c r="AA3" t="n">
        <v>7</v>
      </c>
      <c r="AB3" t="n">
        <v>3.9839</v>
      </c>
      <c r="AC3" t="n">
        <v>7</v>
      </c>
      <c r="AD3" s="3" t="n">
        <v>46296</v>
      </c>
      <c r="AE3" t="inlineStr">
        <is>
          <t>Estimated: OLS of ln(price) on month index, step function sampled monthly from launch; %/mo = exp(slope)-1</t>
        </is>
      </c>
      <c r="AF3" t="inlineStr">
        <is>
          <t>medium</t>
        </is>
      </c>
      <c r="AG3" t="inlineStr">
        <is>
          <t>Capacity Blocks are reservation prices, not on-demand; not comparable with peers</t>
        </is>
      </c>
    </row>
    <row r="4">
      <c r="A4" t="inlineStr">
        <is>
          <t>AWS</t>
        </is>
      </c>
      <c r="B4" t="inlineStr">
        <is>
          <t>B300</t>
        </is>
      </c>
      <c r="C4" t="inlineStr">
        <is>
          <t>EC2 Capacity Blocks (reserved, per accelerator)</t>
        </is>
      </c>
      <c r="D4" s="3" t="n">
        <v>45979</v>
      </c>
      <c r="E4" s="3" t="n">
        <v>46207</v>
      </c>
      <c r="F4" t="n">
        <v>228</v>
      </c>
      <c r="G4" t="inlineStr">
        <is>
          <t>No (first public price found later than GA+60d)</t>
        </is>
      </c>
      <c r="H4" t="n">
        <v>14.04</v>
      </c>
      <c r="I4" t="inlineStr">
        <is>
          <t>Reported</t>
        </is>
      </c>
      <c r="J4" t="inlineStr">
        <is>
          <t>https://web.archive.org/web/20260704092824/https://aws.amazon.com/ec2/capacityblocks/pricing/</t>
        </is>
      </c>
      <c r="Q4" t="inlineStr">
        <is>
          <t>Reported (as-of step function of Wayback captures)</t>
        </is>
      </c>
      <c r="R4" t="inlineStr">
        <is>
          <t>B200</t>
        </is>
      </c>
      <c r="S4" t="n">
        <v>12.355</v>
      </c>
      <c r="T4" t="n">
        <v>13.6382</v>
      </c>
      <c r="U4">
        <f> 14.04/12.355 - 1</f>
        <v/>
      </c>
      <c r="W4" t="inlineStr"/>
      <c r="Y4" t="inlineStr"/>
      <c r="Z4" t="n">
        <v>0</v>
      </c>
      <c r="AA4" t="n">
        <v>3</v>
      </c>
      <c r="AB4" t="n">
        <v>0</v>
      </c>
      <c r="AC4" t="n">
        <v>3</v>
      </c>
      <c r="AD4" s="3" t="n">
        <v>46296</v>
      </c>
      <c r="AE4" t="inlineStr">
        <is>
          <t>Estimated: OLS of ln(price) on month index, step function sampled monthly from launch; %/mo = exp(slope)-1</t>
        </is>
      </c>
      <c r="AF4" t="inlineStr">
        <is>
          <t>medium</t>
        </is>
      </c>
      <c r="AG4" t="inlineStr">
        <is>
          <t>Capacity Blocks are reservation prices, not on-demand; not comparable with peers</t>
        </is>
      </c>
    </row>
    <row r="5">
      <c r="A5" t="inlineStr">
        <is>
          <t>AWS</t>
        </is>
      </c>
      <c r="B5" t="inlineStr">
        <is>
          <t>H100</t>
        </is>
      </c>
      <c r="C5" t="inlineStr">
        <is>
          <t>EC2 Capacity Blocks (reserved, per accelerator)</t>
        </is>
      </c>
      <c r="D5" s="3" t="n">
        <v>45133</v>
      </c>
      <c r="E5" s="3" t="n">
        <v>46112</v>
      </c>
      <c r="F5" t="n">
        <v>979</v>
      </c>
      <c r="G5" t="inlineStr">
        <is>
          <t>No (first public price found later than GA+60d)</t>
        </is>
      </c>
      <c r="H5" t="n">
        <v>4.326</v>
      </c>
      <c r="I5" t="inlineStr">
        <is>
          <t>Reported</t>
        </is>
      </c>
      <c r="J5" t="inlineStr">
        <is>
          <t>https://web.archive.org/web/20260331164533/https://aws.amazon.com/ec2/capacityblocks/pricing/</t>
        </is>
      </c>
      <c r="K5" t="n">
        <v>4.326</v>
      </c>
      <c r="L5" t="n">
        <v>0</v>
      </c>
      <c r="M5" t="n">
        <v>5.191</v>
      </c>
      <c r="N5" t="n">
        <v>19.9954</v>
      </c>
      <c r="Q5" t="inlineStr">
        <is>
          <t>Reported (as-of step function of Wayback captures)</t>
        </is>
      </c>
      <c r="U5" t="inlineStr"/>
      <c r="W5" t="inlineStr"/>
      <c r="Y5" t="inlineStr"/>
      <c r="Z5" t="n">
        <v>3.9834</v>
      </c>
      <c r="AA5" t="n">
        <v>7</v>
      </c>
      <c r="AB5" t="n">
        <v>3.9834</v>
      </c>
      <c r="AC5" t="n">
        <v>7</v>
      </c>
      <c r="AD5" s="3" t="n">
        <v>46296</v>
      </c>
      <c r="AE5" t="inlineStr">
        <is>
          <t>Estimated: OLS of ln(price) on month index, step function sampled monthly from launch; %/mo = exp(slope)-1</t>
        </is>
      </c>
      <c r="AF5" t="inlineStr">
        <is>
          <t>medium</t>
        </is>
      </c>
      <c r="AG5" t="inlineStr">
        <is>
          <t>Capacity Blocks are reservation prices, not on-demand; not comparable with peers</t>
        </is>
      </c>
    </row>
    <row r="6">
      <c r="A6" t="inlineStr">
        <is>
          <t>AWS</t>
        </is>
      </c>
      <c r="B6" t="inlineStr">
        <is>
          <t>H200</t>
        </is>
      </c>
      <c r="C6" t="inlineStr">
        <is>
          <t>EC2 Capacity Blocks (reserved, per accelerator)</t>
        </is>
      </c>
      <c r="D6" s="3" t="n">
        <v>45544</v>
      </c>
      <c r="E6" s="3" t="n">
        <v>46112</v>
      </c>
      <c r="F6" t="n">
        <v>568</v>
      </c>
      <c r="G6" t="inlineStr">
        <is>
          <t>No (first public price found later than GA+60d)</t>
        </is>
      </c>
      <c r="H6" t="n">
        <v>5.721</v>
      </c>
      <c r="I6" t="inlineStr">
        <is>
          <t>Reported</t>
        </is>
      </c>
      <c r="J6" t="inlineStr">
        <is>
          <t>https://web.archive.org/web/20260331164533/https://aws.amazon.com/ec2/capacityblocks/pricing/</t>
        </is>
      </c>
      <c r="K6" t="n">
        <v>5.721</v>
      </c>
      <c r="L6" t="n">
        <v>0</v>
      </c>
      <c r="M6" t="n">
        <v>6.865</v>
      </c>
      <c r="N6" t="n">
        <v>19.9965</v>
      </c>
      <c r="Q6" t="inlineStr">
        <is>
          <t>Reported (as-of step function of Wayback captures)</t>
        </is>
      </c>
      <c r="R6" t="inlineStr">
        <is>
          <t>H100</t>
        </is>
      </c>
      <c r="S6" t="n">
        <v>4.326</v>
      </c>
      <c r="T6" t="n">
        <v>32.2469</v>
      </c>
      <c r="U6">
        <f> 5.721/4.326 - 1</f>
        <v/>
      </c>
      <c r="W6" t="inlineStr"/>
      <c r="Y6" t="inlineStr"/>
      <c r="Z6" t="n">
        <v>3.9836</v>
      </c>
      <c r="AA6" t="n">
        <v>7</v>
      </c>
      <c r="AB6" t="n">
        <v>3.9836</v>
      </c>
      <c r="AC6" t="n">
        <v>7</v>
      </c>
      <c r="AD6" s="3" t="n">
        <v>46296</v>
      </c>
      <c r="AE6" t="inlineStr">
        <is>
          <t>Estimated: OLS of ln(price) on month index, step function sampled monthly from launch; %/mo = exp(slope)-1</t>
        </is>
      </c>
      <c r="AF6" t="inlineStr">
        <is>
          <t>medium</t>
        </is>
      </c>
      <c r="AG6" t="inlineStr">
        <is>
          <t>Capacity Blocks are reservation prices, not on-demand; not comparable with peers</t>
        </is>
      </c>
    </row>
    <row r="7">
      <c r="A7" t="inlineStr">
        <is>
          <t>CoreWeave</t>
        </is>
      </c>
      <c r="B7" t="inlineStr">
        <is>
          <t>B200</t>
        </is>
      </c>
      <c r="C7" t="inlineStr">
        <is>
          <t>On-demand list</t>
        </is>
      </c>
      <c r="D7" s="3" t="n">
        <v>45806</v>
      </c>
      <c r="E7" s="3" t="n">
        <v>45817</v>
      </c>
      <c r="F7" t="n">
        <v>11</v>
      </c>
      <c r="G7" t="inlineStr">
        <is>
          <t>Yes</t>
        </is>
      </c>
      <c r="H7" t="n">
        <v>8.6</v>
      </c>
      <c r="I7" t="inlineStr">
        <is>
          <t>Reported</t>
        </is>
      </c>
      <c r="J7" t="inlineStr">
        <is>
          <t>https://web.archive.org/web/20250609162833/https://coreweave.com/pricing</t>
        </is>
      </c>
      <c r="K7" t="n">
        <v>8.6</v>
      </c>
      <c r="L7" t="n">
        <v>0</v>
      </c>
      <c r="M7" t="n">
        <v>8.6</v>
      </c>
      <c r="N7" t="n">
        <v>0</v>
      </c>
      <c r="O7" t="n">
        <v>8.6</v>
      </c>
      <c r="P7" t="n">
        <v>0</v>
      </c>
      <c r="Q7" t="inlineStr">
        <is>
          <t>Reported (as-of step function of Wayback captures)</t>
        </is>
      </c>
      <c r="R7" t="inlineStr">
        <is>
          <t>H200</t>
        </is>
      </c>
      <c r="S7" t="n">
        <v>6.305</v>
      </c>
      <c r="T7" t="n">
        <v>36.3997</v>
      </c>
      <c r="U7">
        <f> 8.6/6.305 - 1</f>
        <v/>
      </c>
      <c r="W7" t="inlineStr"/>
      <c r="Y7" t="inlineStr"/>
      <c r="Z7" t="n">
        <v>0</v>
      </c>
      <c r="AA7" t="n">
        <v>13</v>
      </c>
      <c r="AB7" t="n">
        <v>0</v>
      </c>
      <c r="AC7" t="n">
        <v>16</v>
      </c>
      <c r="AD7" s="3" t="n">
        <v>46296</v>
      </c>
      <c r="AE7" t="inlineStr">
        <is>
          <t>Estimated: OLS of ln(price) on month index, step function sampled monthly from launch; %/mo = exp(slope)-1</t>
        </is>
      </c>
      <c r="AF7" t="inlineStr">
        <is>
          <t>high</t>
        </is>
      </c>
      <c r="AG7" t="inlineStr"/>
    </row>
    <row r="8">
      <c r="A8" t="inlineStr">
        <is>
          <t>CoreWeave</t>
        </is>
      </c>
      <c r="B8" t="inlineStr">
        <is>
          <t>GB200 NVL72</t>
        </is>
      </c>
      <c r="C8" t="inlineStr">
        <is>
          <t>On-demand list</t>
        </is>
      </c>
      <c r="D8" s="3" t="n">
        <v>45692</v>
      </c>
      <c r="E8" s="3" t="n">
        <v>45697</v>
      </c>
      <c r="F8" t="n">
        <v>5</v>
      </c>
      <c r="G8" t="inlineStr">
        <is>
          <t>Yes</t>
        </is>
      </c>
      <c r="H8" t="n">
        <v>10.5</v>
      </c>
      <c r="I8" t="inlineStr">
        <is>
          <t>Reported</t>
        </is>
      </c>
      <c r="J8" t="inlineStr">
        <is>
          <t>https://web.archive.org/web/20250209162626/https://www.coreweave.com/pricing</t>
        </is>
      </c>
      <c r="K8" t="n">
        <v>10.5</v>
      </c>
      <c r="L8" t="n">
        <v>0</v>
      </c>
      <c r="M8" t="n">
        <v>10.5</v>
      </c>
      <c r="N8" t="n">
        <v>0</v>
      </c>
      <c r="O8" t="n">
        <v>10.5</v>
      </c>
      <c r="P8" t="n">
        <v>0</v>
      </c>
      <c r="Q8" t="inlineStr">
        <is>
          <t>Reported (as-of step function of Wayback captures)</t>
        </is>
      </c>
      <c r="R8" t="inlineStr">
        <is>
          <t>H200</t>
        </is>
      </c>
      <c r="S8" t="n">
        <v>6.305</v>
      </c>
      <c r="T8" t="n">
        <v>66.53449999999999</v>
      </c>
      <c r="U8">
        <f> 10.5/6.305 - 1</f>
        <v/>
      </c>
      <c r="W8" t="inlineStr"/>
      <c r="Y8" t="inlineStr"/>
      <c r="Z8" t="n">
        <v>0</v>
      </c>
      <c r="AA8" t="n">
        <v>13</v>
      </c>
      <c r="AB8" t="n">
        <v>0</v>
      </c>
      <c r="AC8" t="n">
        <v>20</v>
      </c>
      <c r="AD8" s="3" t="n">
        <v>46296</v>
      </c>
      <c r="AE8" t="inlineStr">
        <is>
          <t>Estimated: OLS of ln(price) on month index, step function sampled monthly from launch; %/mo = exp(slope)-1</t>
        </is>
      </c>
      <c r="AF8" t="inlineStr">
        <is>
          <t>high</t>
        </is>
      </c>
      <c r="AG8" t="inlineStr"/>
    </row>
    <row r="9">
      <c r="A9" t="inlineStr">
        <is>
          <t>CoreWeave</t>
        </is>
      </c>
      <c r="B9" t="inlineStr">
        <is>
          <t>H100</t>
        </is>
      </c>
      <c r="C9" t="inlineStr">
        <is>
          <t>On-demand list</t>
        </is>
      </c>
      <c r="D9" s="3" t="n">
        <v>45006</v>
      </c>
      <c r="E9" s="3" t="n">
        <v>45017</v>
      </c>
      <c r="F9" t="n">
        <v>11</v>
      </c>
      <c r="G9" t="inlineStr">
        <is>
          <t>Yes</t>
        </is>
      </c>
      <c r="H9" t="n">
        <v>4.76</v>
      </c>
      <c r="I9" t="inlineStr">
        <is>
          <t>Reported</t>
        </is>
      </c>
      <c r="J9" t="inlineStr">
        <is>
          <t>https://web.archive.org/web/20230401134901/https://www.coreweave.com/gpu-cloud-pricing</t>
        </is>
      </c>
      <c r="K9" t="n">
        <v>4.76</v>
      </c>
      <c r="L9" t="n">
        <v>0</v>
      </c>
      <c r="M9" t="n">
        <v>4.76</v>
      </c>
      <c r="N9" t="n">
        <v>0</v>
      </c>
      <c r="O9" t="n">
        <v>4.76</v>
      </c>
      <c r="P9" t="n">
        <v>0</v>
      </c>
      <c r="Q9" t="inlineStr">
        <is>
          <t>Reported (as-of step function of Wayback captures)</t>
        </is>
      </c>
      <c r="U9" t="inlineStr"/>
      <c r="W9" t="inlineStr"/>
      <c r="Y9" t="inlineStr"/>
      <c r="Z9" t="n">
        <v>0</v>
      </c>
      <c r="AA9" t="n">
        <v>13</v>
      </c>
      <c r="AB9" t="n">
        <v>0.9006</v>
      </c>
      <c r="AC9" t="n">
        <v>43</v>
      </c>
      <c r="AD9" s="3" t="n">
        <v>46296</v>
      </c>
      <c r="AE9" t="inlineStr">
        <is>
          <t>Estimated: OLS of ln(price) on month index, step function sampled monthly from launch; %/mo = exp(slope)-1</t>
        </is>
      </c>
      <c r="AF9" t="inlineStr">
        <is>
          <t>high</t>
        </is>
      </c>
      <c r="AG9" t="inlineStr"/>
    </row>
    <row r="10">
      <c r="A10" t="inlineStr">
        <is>
          <t>CoreWeave</t>
        </is>
      </c>
      <c r="B10" t="inlineStr">
        <is>
          <t>H200</t>
        </is>
      </c>
      <c r="C10" t="inlineStr">
        <is>
          <t>On-demand list</t>
        </is>
      </c>
      <c r="D10" s="3" t="n">
        <v>45532</v>
      </c>
      <c r="E10" s="3" t="n">
        <v>45658</v>
      </c>
      <c r="F10" t="n">
        <v>126</v>
      </c>
      <c r="G10" t="inlineStr">
        <is>
          <t>No (first public price found later than GA+60d)</t>
        </is>
      </c>
      <c r="H10" t="n">
        <v>6.305</v>
      </c>
      <c r="I10" t="inlineStr">
        <is>
          <t>Reported</t>
        </is>
      </c>
      <c r="J10" t="inlineStr">
        <is>
          <t>https://web.archive.org/web/20250101002525/https://www.coreweave.com/pricing</t>
        </is>
      </c>
      <c r="K10" t="n">
        <v>6.305</v>
      </c>
      <c r="L10" t="n">
        <v>0</v>
      </c>
      <c r="M10" t="n">
        <v>6.305</v>
      </c>
      <c r="N10" t="n">
        <v>0</v>
      </c>
      <c r="O10" t="n">
        <v>6.305</v>
      </c>
      <c r="P10" t="n">
        <v>0</v>
      </c>
      <c r="Q10" t="inlineStr">
        <is>
          <t>Reported (as-of step function of Wayback captures)</t>
        </is>
      </c>
      <c r="R10" t="inlineStr">
        <is>
          <t>H100</t>
        </is>
      </c>
      <c r="S10" t="n">
        <v>6.155</v>
      </c>
      <c r="T10" t="n">
        <v>2.437</v>
      </c>
      <c r="U10">
        <f> 6.305/6.155 - 1</f>
        <v/>
      </c>
      <c r="V10" t="n">
        <v>3.5</v>
      </c>
      <c r="W10" t="inlineStr">
        <is>
          <t>Nebius $3.50</t>
        </is>
      </c>
      <c r="X10" t="n">
        <v>80.1429</v>
      </c>
      <c r="Y10">
        <f> 6.305/3.5 - 1</f>
        <v/>
      </c>
      <c r="Z10" t="n">
        <v>0</v>
      </c>
      <c r="AA10" t="n">
        <v>13</v>
      </c>
      <c r="AB10" t="n">
        <v>0</v>
      </c>
      <c r="AC10" t="n">
        <v>22</v>
      </c>
      <c r="AD10" s="3" t="n">
        <v>46296</v>
      </c>
      <c r="AE10" t="inlineStr">
        <is>
          <t>Estimated: OLS of ln(price) on month index, step function sampled monthly from launch; %/mo = exp(slope)-1</t>
        </is>
      </c>
      <c r="AF10" t="inlineStr">
        <is>
          <t>medium</t>
        </is>
      </c>
      <c r="AG10" t="inlineStr"/>
    </row>
    <row r="11">
      <c r="A11" t="inlineStr">
        <is>
          <t>Crusoe</t>
        </is>
      </c>
      <c r="B11" t="inlineStr">
        <is>
          <t>H100</t>
        </is>
      </c>
      <c r="C11" t="inlineStr">
        <is>
          <t>On-demand list</t>
        </is>
      </c>
      <c r="D11" s="3" t="n">
        <v>45222</v>
      </c>
      <c r="E11" s="3" t="n">
        <v>45750</v>
      </c>
      <c r="F11" t="n">
        <v>528</v>
      </c>
      <c r="G11" t="inlineStr">
        <is>
          <t>No (first public price found later than GA+60d)</t>
        </is>
      </c>
      <c r="H11" t="n">
        <v>3.9</v>
      </c>
      <c r="I11" t="inlineStr">
        <is>
          <t>Reported</t>
        </is>
      </c>
      <c r="J11" t="inlineStr">
        <is>
          <t>https://web.archive.org/web/20250403030503/https://crusoe.ai/cloud/pricing</t>
        </is>
      </c>
      <c r="K11" t="n">
        <v>3.9</v>
      </c>
      <c r="L11" t="n">
        <v>0</v>
      </c>
      <c r="M11" t="n">
        <v>3.9</v>
      </c>
      <c r="N11" t="n">
        <v>0</v>
      </c>
      <c r="O11" t="n">
        <v>3.9</v>
      </c>
      <c r="P11" t="n">
        <v>0</v>
      </c>
      <c r="Q11" t="inlineStr">
        <is>
          <t>Reported (as-of step function of Wayback captures)</t>
        </is>
      </c>
      <c r="U11" t="inlineStr"/>
      <c r="V11" t="n">
        <v>2.99</v>
      </c>
      <c r="W11" t="inlineStr">
        <is>
          <t>Nebius $2.95; CoreWeave $6.16; Lambda $2.99</t>
        </is>
      </c>
      <c r="X11" t="n">
        <v>30.4348</v>
      </c>
      <c r="Y11">
        <f> 3.9/2.99 - 1</f>
        <v/>
      </c>
      <c r="Z11" t="n">
        <v>0</v>
      </c>
      <c r="AA11" t="n">
        <v>13</v>
      </c>
      <c r="AB11" t="n">
        <v>0</v>
      </c>
      <c r="AC11" t="n">
        <v>19</v>
      </c>
      <c r="AD11" s="3" t="n">
        <v>46298</v>
      </c>
      <c r="AE11" t="inlineStr">
        <is>
          <t>Estimated: OLS of ln(price) on month index, step function sampled monthly from launch; %/mo = exp(slope)-1</t>
        </is>
      </c>
      <c r="AF11" t="inlineStr">
        <is>
          <t>medium</t>
        </is>
      </c>
      <c r="AG11" t="inlineStr"/>
    </row>
    <row r="12">
      <c r="A12" t="inlineStr">
        <is>
          <t>Crusoe</t>
        </is>
      </c>
      <c r="B12" t="inlineStr">
        <is>
          <t>H200</t>
        </is>
      </c>
      <c r="C12" t="inlineStr">
        <is>
          <t>On-demand list</t>
        </is>
      </c>
      <c r="D12" s="3" t="n">
        <v>45750</v>
      </c>
      <c r="E12" s="3" t="n">
        <v>45750</v>
      </c>
      <c r="F12" t="n">
        <v>0</v>
      </c>
      <c r="G12" t="inlineStr">
        <is>
          <t>Yes</t>
        </is>
      </c>
      <c r="H12" t="n">
        <v>4.29</v>
      </c>
      <c r="I12" t="inlineStr">
        <is>
          <t>Reported</t>
        </is>
      </c>
      <c r="J12" t="inlineStr">
        <is>
          <t>https://web.archive.org/web/20250403030503/https://crusoe.ai/cloud/pricing</t>
        </is>
      </c>
      <c r="K12" t="n">
        <v>4.29</v>
      </c>
      <c r="L12" t="n">
        <v>0</v>
      </c>
      <c r="M12" t="n">
        <v>4.29</v>
      </c>
      <c r="N12" t="n">
        <v>0</v>
      </c>
      <c r="O12" t="n">
        <v>4.29</v>
      </c>
      <c r="P12" t="n">
        <v>0</v>
      </c>
      <c r="Q12" t="inlineStr">
        <is>
          <t>Reported (as-of step function of Wayback captures)</t>
        </is>
      </c>
      <c r="R12" t="inlineStr">
        <is>
          <t>H100</t>
        </is>
      </c>
      <c r="S12" t="n">
        <v>3.9</v>
      </c>
      <c r="T12" t="n">
        <v>10</v>
      </c>
      <c r="U12">
        <f> 4.29/3.9 - 1</f>
        <v/>
      </c>
      <c r="V12" t="n">
        <v>4.9025</v>
      </c>
      <c r="W12" t="inlineStr">
        <is>
          <t>Nebius $3.50; CoreWeave $6.30</t>
        </is>
      </c>
      <c r="X12" t="n">
        <v>-12.4936</v>
      </c>
      <c r="Y12">
        <f> 4.29/4.9025 - 1</f>
        <v/>
      </c>
      <c r="Z12" t="n">
        <v>0</v>
      </c>
      <c r="AA12" t="n">
        <v>13</v>
      </c>
      <c r="AB12" t="n">
        <v>0</v>
      </c>
      <c r="AC12" t="n">
        <v>19</v>
      </c>
      <c r="AD12" s="3" t="n">
        <v>46298</v>
      </c>
      <c r="AE12" t="inlineStr">
        <is>
          <t>Estimated: OLS of ln(price) on month index, step function sampled monthly from launch; %/mo = exp(slope)-1</t>
        </is>
      </c>
      <c r="AF12" t="inlineStr">
        <is>
          <t>high</t>
        </is>
      </c>
      <c r="AG12" t="inlineStr"/>
    </row>
    <row r="13">
      <c r="A13" t="inlineStr">
        <is>
          <t>Lambda</t>
        </is>
      </c>
      <c r="B13" t="inlineStr">
        <is>
          <t>B200</t>
        </is>
      </c>
      <c r="C13" t="inlineStr">
        <is>
          <t>On-demand list</t>
        </is>
      </c>
      <c r="D13" s="3" t="n">
        <v>45734</v>
      </c>
      <c r="E13" s="3" t="n">
        <v>45882</v>
      </c>
      <c r="F13" t="n">
        <v>148</v>
      </c>
      <c r="G13" t="inlineStr">
        <is>
          <t>No (first public price found later than GA+60d)</t>
        </is>
      </c>
      <c r="H13" t="n">
        <v>4.99</v>
      </c>
      <c r="I13" t="inlineStr">
        <is>
          <t>Reported</t>
        </is>
      </c>
      <c r="J13" t="inlineStr">
        <is>
          <t>https://web.archive.org/web/20250813005348/https://lambda.ai/pricing</t>
        </is>
      </c>
      <c r="K13" t="n">
        <v>4.99</v>
      </c>
      <c r="L13" t="n">
        <v>0</v>
      </c>
      <c r="M13" t="n">
        <v>4.99</v>
      </c>
      <c r="N13" t="n">
        <v>0</v>
      </c>
      <c r="O13" t="n">
        <v>6.69</v>
      </c>
      <c r="P13" t="n">
        <v>34.0681</v>
      </c>
      <c r="Q13" t="inlineStr">
        <is>
          <t>Reported (as-of step function of Wayback captures)</t>
        </is>
      </c>
      <c r="R13" t="inlineStr">
        <is>
          <t>H100</t>
        </is>
      </c>
      <c r="S13" t="n">
        <v>2.99</v>
      </c>
      <c r="T13" t="n">
        <v>66.8896</v>
      </c>
      <c r="U13">
        <f> 4.99/2.99 - 1</f>
        <v/>
      </c>
      <c r="V13" t="n">
        <v>7.05</v>
      </c>
      <c r="W13" t="inlineStr">
        <is>
          <t>Nebius $5.50; CoreWeave $8.60</t>
        </is>
      </c>
      <c r="X13" t="n">
        <v>-29.2199</v>
      </c>
      <c r="Y13">
        <f> 4.99/7.05 - 1</f>
        <v/>
      </c>
      <c r="Z13" t="n">
        <v>3.3537</v>
      </c>
      <c r="AA13" t="n">
        <v>13</v>
      </c>
      <c r="AB13" t="n">
        <v>3.1729</v>
      </c>
      <c r="AC13" t="n">
        <v>14</v>
      </c>
      <c r="AD13" s="3" t="n">
        <v>46296</v>
      </c>
      <c r="AE13" t="inlineStr">
        <is>
          <t>Estimated: OLS of ln(price) on month index, step function sampled monthly from launch; %/mo = exp(slope)-1</t>
        </is>
      </c>
      <c r="AF13" t="inlineStr">
        <is>
          <t>medium</t>
        </is>
      </c>
      <c r="AG13" t="inlineStr"/>
    </row>
    <row r="14">
      <c r="A14" t="inlineStr">
        <is>
          <t>Lambda</t>
        </is>
      </c>
      <c r="B14" t="inlineStr">
        <is>
          <t>H100</t>
        </is>
      </c>
      <c r="C14" t="inlineStr">
        <is>
          <t>On-demand list</t>
        </is>
      </c>
      <c r="D14" s="3" t="n">
        <v>45056</v>
      </c>
      <c r="E14" s="3" t="n">
        <v>45257</v>
      </c>
      <c r="F14" t="n">
        <v>201</v>
      </c>
      <c r="G14" t="inlineStr">
        <is>
          <t>No (first public price found later than GA+60d)</t>
        </is>
      </c>
      <c r="H14" t="n">
        <v>2.59</v>
      </c>
      <c r="I14" t="inlineStr">
        <is>
          <t>Reported</t>
        </is>
      </c>
      <c r="J14" t="inlineStr">
        <is>
          <t>https://web.archive.org/web/20231127144712/https://lambdalabs.com/service/gpu-cloud</t>
        </is>
      </c>
      <c r="K14" t="n">
        <v>3.49</v>
      </c>
      <c r="L14" t="n">
        <v>34.749</v>
      </c>
      <c r="M14" t="n">
        <v>3.49</v>
      </c>
      <c r="N14" t="n">
        <v>34.749</v>
      </c>
      <c r="O14" t="n">
        <v>2.99</v>
      </c>
      <c r="P14" t="n">
        <v>15.444</v>
      </c>
      <c r="Q14" t="inlineStr">
        <is>
          <t>Reported (as-of step function of Wayback captures)</t>
        </is>
      </c>
      <c r="U14" t="inlineStr"/>
      <c r="V14" t="n">
        <v>4.805</v>
      </c>
      <c r="W14" t="inlineStr">
        <is>
          <t>Nebius $4.85; CoreWeave $4.76</t>
        </is>
      </c>
      <c r="X14" t="n">
        <v>-46.0978</v>
      </c>
      <c r="Y14">
        <f> 2.59/4.805 - 1</f>
        <v/>
      </c>
      <c r="Z14" t="n">
        <v>0.2737</v>
      </c>
      <c r="AA14" t="n">
        <v>13</v>
      </c>
      <c r="AB14" t="n">
        <v>0.556</v>
      </c>
      <c r="AC14" t="n">
        <v>35</v>
      </c>
      <c r="AD14" s="3" t="n">
        <v>46296</v>
      </c>
      <c r="AE14" t="inlineStr">
        <is>
          <t>Estimated: OLS of ln(price) on month index, step function sampled monthly from launch; %/mo = exp(slope)-1</t>
        </is>
      </c>
      <c r="AF14" t="inlineStr">
        <is>
          <t>medium</t>
        </is>
      </c>
      <c r="AG14" t="inlineStr"/>
    </row>
    <row r="15">
      <c r="A15" t="inlineStr">
        <is>
          <t>Lambda</t>
        </is>
      </c>
      <c r="B15" t="inlineStr">
        <is>
          <t>H100 PCIe</t>
        </is>
      </c>
      <c r="C15" t="inlineStr">
        <is>
          <t>On-demand list</t>
        </is>
      </c>
      <c r="D15" s="3" t="n">
        <v>45056</v>
      </c>
      <c r="E15" s="3" t="n">
        <v>45058</v>
      </c>
      <c r="F15" t="n">
        <v>2</v>
      </c>
      <c r="G15" t="inlineStr">
        <is>
          <t>Yes</t>
        </is>
      </c>
      <c r="H15" t="n">
        <v>2.4</v>
      </c>
      <c r="I15" t="inlineStr">
        <is>
          <t>Reported</t>
        </is>
      </c>
      <c r="J15" t="inlineStr">
        <is>
          <t>https://web.archive.org/web/20230512094749/https://lambdalabs.com/service/gpu-cloud</t>
        </is>
      </c>
      <c r="K15" t="n">
        <v>1.99</v>
      </c>
      <c r="L15" t="n">
        <v>-17.0833</v>
      </c>
      <c r="M15" t="n">
        <v>1.99</v>
      </c>
      <c r="N15" t="n">
        <v>-17.0833</v>
      </c>
      <c r="O15" t="n">
        <v>2.49</v>
      </c>
      <c r="P15" t="n">
        <v>3.75</v>
      </c>
      <c r="Q15" t="inlineStr">
        <is>
          <t>Reported (as-of step function of Wayback captures)</t>
        </is>
      </c>
      <c r="U15" t="inlineStr"/>
      <c r="W15" t="inlineStr"/>
      <c r="Y15" t="inlineStr"/>
      <c r="Z15" t="n">
        <v>0.9234</v>
      </c>
      <c r="AA15" t="n">
        <v>13</v>
      </c>
      <c r="AB15" t="n">
        <v>0.5415</v>
      </c>
      <c r="AC15" t="n">
        <v>30</v>
      </c>
      <c r="AD15" s="3" t="n">
        <v>45966</v>
      </c>
      <c r="AE15" t="inlineStr">
        <is>
          <t>Estimated: OLS of ln(price) on month index, step function sampled monthly from launch; %/mo = exp(slope)-1</t>
        </is>
      </c>
      <c r="AF15" t="inlineStr">
        <is>
          <t>high</t>
        </is>
      </c>
      <c r="AG15" t="inlineStr"/>
    </row>
    <row r="16">
      <c r="A16" s="4" t="inlineStr">
        <is>
          <t>Nebius</t>
        </is>
      </c>
      <c r="B16" s="4" t="inlineStr">
        <is>
          <t>B200</t>
        </is>
      </c>
      <c r="C16" s="4" t="inlineStr">
        <is>
          <t>On-demand list</t>
        </is>
      </c>
      <c r="D16" s="5" t="n">
        <v>45863</v>
      </c>
      <c r="E16" s="5" t="n">
        <v>45863</v>
      </c>
      <c r="F16" s="4" t="n">
        <v>0</v>
      </c>
      <c r="G16" s="4" t="inlineStr">
        <is>
          <t>Yes</t>
        </is>
      </c>
      <c r="H16" s="4" t="n">
        <v>5.5</v>
      </c>
      <c r="I16" s="4" t="inlineStr">
        <is>
          <t>Reported</t>
        </is>
      </c>
      <c r="J16" s="4" t="inlineStr">
        <is>
          <t>https://web.archive.org/web/20250725080908/https://nebius.com/prices</t>
        </is>
      </c>
      <c r="K16" s="4" t="n">
        <v>5.5</v>
      </c>
      <c r="L16" s="4" t="n">
        <v>0</v>
      </c>
      <c r="M16" s="4" t="n">
        <v>5.5</v>
      </c>
      <c r="N16" s="4" t="n">
        <v>0</v>
      </c>
      <c r="O16" s="4" t="n">
        <v>7.15</v>
      </c>
      <c r="P16" s="4" t="n">
        <v>30</v>
      </c>
      <c r="Q16" s="4" t="inlineStr">
        <is>
          <t>Reported (as-of step function of Wayback captures)</t>
        </is>
      </c>
      <c r="R16" s="4" t="inlineStr">
        <is>
          <t>H200</t>
        </is>
      </c>
      <c r="S16" s="4" t="n">
        <v>3.5</v>
      </c>
      <c r="T16" s="4" t="n">
        <v>57.1429</v>
      </c>
      <c r="U16" s="4">
        <f> 5.5/3.5 - 1</f>
        <v/>
      </c>
      <c r="V16" s="4" t="n">
        <v>8.6</v>
      </c>
      <c r="W16" s="4" t="inlineStr">
        <is>
          <t>CoreWeave $8.60</t>
        </is>
      </c>
      <c r="X16" s="4" t="n">
        <v>-36.0465</v>
      </c>
      <c r="Y16" s="4">
        <f> 5.5/8.6 - 1</f>
        <v/>
      </c>
      <c r="Z16" s="4" t="n">
        <v>0.8687</v>
      </c>
      <c r="AA16" s="4" t="n">
        <v>13</v>
      </c>
      <c r="AB16" s="4" t="n">
        <v>1.7009</v>
      </c>
      <c r="AC16" s="4" t="n">
        <v>15</v>
      </c>
      <c r="AD16" s="5" t="n">
        <v>46298</v>
      </c>
      <c r="AE16" s="4" t="inlineStr">
        <is>
          <t>Estimated: OLS of ln(price) on month index, step function sampled monthly from launch; %/mo = exp(slope)-1</t>
        </is>
      </c>
      <c r="AF16" s="4" t="inlineStr">
        <is>
          <t>high</t>
        </is>
      </c>
      <c r="AG16" s="4" t="inlineStr"/>
    </row>
    <row r="17">
      <c r="A17" s="4" t="inlineStr">
        <is>
          <t>Nebius</t>
        </is>
      </c>
      <c r="B17" s="4" t="inlineStr">
        <is>
          <t>B300</t>
        </is>
      </c>
      <c r="C17" s="4" t="inlineStr">
        <is>
          <t>On-demand list</t>
        </is>
      </c>
      <c r="D17" s="5" t="n">
        <v>46008</v>
      </c>
      <c r="E17" s="5" t="n">
        <v>46114</v>
      </c>
      <c r="F17" s="4" t="n">
        <v>106</v>
      </c>
      <c r="G17" s="4" t="inlineStr">
        <is>
          <t>No (first public price found later than GA+60d)</t>
        </is>
      </c>
      <c r="H17" s="4" t="n">
        <v>6.1</v>
      </c>
      <c r="I17" s="4" t="inlineStr">
        <is>
          <t>Reported</t>
        </is>
      </c>
      <c r="J17" s="4" t="inlineStr">
        <is>
          <t>https://web.archive.org/web/20260402090033/https://nebius.com/prices</t>
        </is>
      </c>
      <c r="K17" s="4" t="n">
        <v>6.1</v>
      </c>
      <c r="L17" s="4" t="n">
        <v>0</v>
      </c>
      <c r="M17" s="4" t="n">
        <v>9.5</v>
      </c>
      <c r="N17" s="4" t="n">
        <v>55.7377</v>
      </c>
      <c r="O17" s="4" t="n"/>
      <c r="P17" s="4" t="n"/>
      <c r="Q17" s="4" t="inlineStr">
        <is>
          <t>Reported (as-of step function of Wayback captures)</t>
        </is>
      </c>
      <c r="R17" s="4" t="inlineStr">
        <is>
          <t>B200</t>
        </is>
      </c>
      <c r="S17" s="4" t="n">
        <v>5.5</v>
      </c>
      <c r="T17" s="4" t="n">
        <v>10.9091</v>
      </c>
      <c r="U17" s="4">
        <f> 6.1/5.5 - 1</f>
        <v/>
      </c>
      <c r="V17" s="4" t="n"/>
      <c r="W17" s="4" t="inlineStr"/>
      <c r="X17" s="4" t="n"/>
      <c r="Y17" s="4" t="inlineStr"/>
      <c r="Z17" s="4" t="n">
        <v>7.7333</v>
      </c>
      <c r="AA17" s="4" t="n">
        <v>7</v>
      </c>
      <c r="AB17" s="4" t="n">
        <v>7.7333</v>
      </c>
      <c r="AC17" s="4" t="n">
        <v>7</v>
      </c>
      <c r="AD17" s="5" t="n">
        <v>46298</v>
      </c>
      <c r="AE17" s="4" t="inlineStr">
        <is>
          <t>Estimated: OLS of ln(price) on month index, step function sampled monthly from launch; %/mo = exp(slope)-1</t>
        </is>
      </c>
      <c r="AF17" s="4" t="inlineStr">
        <is>
          <t>medium</t>
        </is>
      </c>
      <c r="AG17" s="4" t="inlineStr"/>
    </row>
    <row r="18">
      <c r="A18" s="4" t="inlineStr">
        <is>
          <t>Nebius</t>
        </is>
      </c>
      <c r="B18" s="4" t="inlineStr">
        <is>
          <t>H100</t>
        </is>
      </c>
      <c r="C18" s="4" t="inlineStr">
        <is>
          <t>On-demand list</t>
        </is>
      </c>
      <c r="D18" s="5" t="n">
        <v>45231</v>
      </c>
      <c r="E18" s="5" t="n">
        <v>45231</v>
      </c>
      <c r="F18" s="4" t="n">
        <v>0</v>
      </c>
      <c r="G18" s="4" t="inlineStr">
        <is>
          <t>Yes</t>
        </is>
      </c>
      <c r="H18" s="4" t="n">
        <v>4.85</v>
      </c>
      <c r="I18" s="4" t="inlineStr">
        <is>
          <t>Reported</t>
        </is>
      </c>
      <c r="J18" s="4" t="inlineStr">
        <is>
          <t>https://web.archive.org/web/20231101230422/https://nebius.ai/prices</t>
        </is>
      </c>
      <c r="K18" s="4" t="n">
        <v>4.85</v>
      </c>
      <c r="L18" s="4" t="n">
        <v>0</v>
      </c>
      <c r="M18" s="4" t="n">
        <v>4.85</v>
      </c>
      <c r="N18" s="4" t="n">
        <v>0</v>
      </c>
      <c r="O18" s="4" t="n">
        <v>3.5</v>
      </c>
      <c r="P18" s="4" t="n">
        <v>-27.8351</v>
      </c>
      <c r="Q18" s="4" t="inlineStr">
        <is>
          <t>Reported (as-of step function of Wayback captures)</t>
        </is>
      </c>
      <c r="R18" s="4" t="n"/>
      <c r="S18" s="4" t="n"/>
      <c r="T18" s="4" t="n"/>
      <c r="U18" s="4" t="inlineStr"/>
      <c r="V18" s="4" t="n">
        <v>4.76</v>
      </c>
      <c r="W18" s="4" t="inlineStr">
        <is>
          <t>CoreWeave $4.76</t>
        </is>
      </c>
      <c r="X18" s="4" t="n">
        <v>1.8908</v>
      </c>
      <c r="Y18" s="4">
        <f> 4.85/4.76 - 1</f>
        <v/>
      </c>
      <c r="Z18" s="4" t="n">
        <v>-1.9523</v>
      </c>
      <c r="AA18" s="4" t="n">
        <v>13</v>
      </c>
      <c r="AB18" s="4" t="n">
        <v>-1.3931</v>
      </c>
      <c r="AC18" s="4" t="n">
        <v>36</v>
      </c>
      <c r="AD18" s="5" t="n">
        <v>46298</v>
      </c>
      <c r="AE18" s="4" t="inlineStr">
        <is>
          <t>Estimated: OLS of ln(price) on month index, step function sampled monthly from launch; %/mo = exp(slope)-1</t>
        </is>
      </c>
      <c r="AF18" s="4" t="inlineStr">
        <is>
          <t>high</t>
        </is>
      </c>
      <c r="AG18" s="4" t="inlineStr"/>
    </row>
    <row r="19">
      <c r="A19" s="4" t="inlineStr">
        <is>
          <t>Nebius</t>
        </is>
      </c>
      <c r="B19" s="4" t="inlineStr">
        <is>
          <t>H200</t>
        </is>
      </c>
      <c r="C19" s="4" t="inlineStr">
        <is>
          <t>On-demand list</t>
        </is>
      </c>
      <c r="D19" s="5" t="n">
        <v>45611</v>
      </c>
      <c r="E19" s="5" t="n">
        <v>45611</v>
      </c>
      <c r="F19" s="4" t="n">
        <v>0</v>
      </c>
      <c r="G19" s="4" t="inlineStr">
        <is>
          <t>Yes</t>
        </is>
      </c>
      <c r="H19" s="4" t="n">
        <v>3.5</v>
      </c>
      <c r="I19" s="4" t="inlineStr">
        <is>
          <t>Reported</t>
        </is>
      </c>
      <c r="J19" s="4" t="inlineStr">
        <is>
          <t>https://web.archive.org/web/20241115043809/https://nebius.com/prices</t>
        </is>
      </c>
      <c r="K19" s="4" t="n">
        <v>3.5</v>
      </c>
      <c r="L19" s="4" t="n">
        <v>0</v>
      </c>
      <c r="M19" s="4" t="n">
        <v>3.5</v>
      </c>
      <c r="N19" s="4" t="n">
        <v>0</v>
      </c>
      <c r="O19" s="4" t="n">
        <v>3.5</v>
      </c>
      <c r="P19" s="4" t="n">
        <v>0</v>
      </c>
      <c r="Q19" s="4" t="inlineStr">
        <is>
          <t>Reported (as-of step function of Wayback captures)</t>
        </is>
      </c>
      <c r="R19" s="4" t="inlineStr">
        <is>
          <t>H100</t>
        </is>
      </c>
      <c r="S19" s="4" t="n">
        <v>2.95</v>
      </c>
      <c r="T19" s="4" t="n">
        <v>18.6441</v>
      </c>
      <c r="U19" s="4">
        <f> 3.5/2.95 - 1</f>
        <v/>
      </c>
      <c r="V19" s="4" t="n"/>
      <c r="W19" s="4" t="inlineStr"/>
      <c r="X19" s="4" t="n"/>
      <c r="Y19" s="4" t="inlineStr"/>
      <c r="Z19" s="4" t="n">
        <v>0</v>
      </c>
      <c r="AA19" s="4" t="n">
        <v>13</v>
      </c>
      <c r="AB19" s="4" t="n">
        <v>0.7478</v>
      </c>
      <c r="AC19" s="4" t="n">
        <v>23</v>
      </c>
      <c r="AD19" s="5" t="n">
        <v>46298</v>
      </c>
      <c r="AE19" s="4" t="inlineStr">
        <is>
          <t>Estimated: OLS of ln(price) on month index, step function sampled monthly from launch; %/mo = exp(slope)-1</t>
        </is>
      </c>
      <c r="AF19" s="4" t="inlineStr">
        <is>
          <t>high</t>
        </is>
      </c>
      <c r="AG19" s="4" t="inlineStr"/>
    </row>
    <row r="20">
      <c r="A20" t="inlineStr">
        <is>
          <t>Together AI</t>
        </is>
      </c>
      <c r="B20" t="inlineStr">
        <is>
          <t>B200</t>
        </is>
      </c>
      <c r="C20" t="inlineStr">
        <is>
          <t>On-demand list</t>
        </is>
      </c>
      <c r="D20" s="3" t="n">
        <v>45909</v>
      </c>
      <c r="E20" s="3" t="n">
        <v>45906</v>
      </c>
      <c r="F20" t="n">
        <v>-3</v>
      </c>
      <c r="G20" t="inlineStr">
        <is>
          <t>Yes</t>
        </is>
      </c>
      <c r="H20" t="n">
        <v>5.5</v>
      </c>
      <c r="I20" t="inlineStr">
        <is>
          <t>Reported</t>
        </is>
      </c>
      <c r="J20" t="inlineStr">
        <is>
          <t>https://web.archive.org/web/20250906000147/https://www.together.ai/pricing</t>
        </is>
      </c>
      <c r="K20" t="n">
        <v>4</v>
      </c>
      <c r="L20" t="n">
        <v>-27.2727</v>
      </c>
      <c r="M20" t="n">
        <v>4.5</v>
      </c>
      <c r="N20" t="n">
        <v>-18.1818</v>
      </c>
      <c r="O20" t="n">
        <v>8.99</v>
      </c>
      <c r="P20" t="n">
        <v>63.4545</v>
      </c>
      <c r="Q20" t="inlineStr">
        <is>
          <t>Reported (as-of step function of Wayback captures)</t>
        </is>
      </c>
      <c r="R20" t="inlineStr">
        <is>
          <t>H200</t>
        </is>
      </c>
      <c r="S20" t="n">
        <v>3.79</v>
      </c>
      <c r="T20" t="n">
        <v>45.1187</v>
      </c>
      <c r="U20">
        <f> 5.5/3.79 - 1</f>
        <v/>
      </c>
      <c r="V20" t="n">
        <v>5.5</v>
      </c>
      <c r="W20" t="inlineStr">
        <is>
          <t>Nebius $5.50; CoreWeave $8.60; Lambda $4.99</t>
        </is>
      </c>
      <c r="X20" t="n">
        <v>0</v>
      </c>
      <c r="Y20">
        <f> 5.5/5.5 - 1</f>
        <v/>
      </c>
      <c r="Z20" t="n">
        <v>7.7019</v>
      </c>
      <c r="AA20" t="n">
        <v>13</v>
      </c>
      <c r="AB20" t="n">
        <v>7.7019</v>
      </c>
      <c r="AC20" t="n">
        <v>13</v>
      </c>
      <c r="AD20" s="3" t="n">
        <v>46298</v>
      </c>
      <c r="AE20" t="inlineStr">
        <is>
          <t>Estimated: OLS of ln(price) on month index, step function sampled monthly from launch; %/mo = exp(slope)-1</t>
        </is>
      </c>
      <c r="AF20" t="inlineStr">
        <is>
          <t>low</t>
        </is>
      </c>
      <c r="AG20" t="inlineStr">
        <is>
          <t>Together: multiple tables on page, noisy parse; availability only</t>
        </is>
      </c>
    </row>
    <row r="21">
      <c r="A21" t="inlineStr">
        <is>
          <t>Together AI</t>
        </is>
      </c>
      <c r="B21" t="inlineStr">
        <is>
          <t>H100</t>
        </is>
      </c>
      <c r="C21" t="inlineStr">
        <is>
          <t>On-demand list</t>
        </is>
      </c>
      <c r="D21" s="3" t="n">
        <v>45909</v>
      </c>
      <c r="E21" s="3" t="n">
        <v>45906</v>
      </c>
      <c r="F21" t="n">
        <v>-3</v>
      </c>
      <c r="G21" t="inlineStr">
        <is>
          <t>Yes</t>
        </is>
      </c>
      <c r="H21" t="n">
        <v>2.99</v>
      </c>
      <c r="I21" t="inlineStr">
        <is>
          <t>Reported</t>
        </is>
      </c>
      <c r="J21" t="inlineStr">
        <is>
          <t>https://web.archive.org/web/20250906000147/https://www.together.ai/pricing</t>
        </is>
      </c>
      <c r="K21" t="n">
        <v>2.2</v>
      </c>
      <c r="L21" t="n">
        <v>-26.4214</v>
      </c>
      <c r="M21" t="n">
        <v>2.2</v>
      </c>
      <c r="N21" t="n">
        <v>-26.4214</v>
      </c>
      <c r="O21" t="n">
        <v>3.99</v>
      </c>
      <c r="P21" t="n">
        <v>33.4448</v>
      </c>
      <c r="Q21" t="inlineStr">
        <is>
          <t>Reported (as-of step function of Wayback captures)</t>
        </is>
      </c>
      <c r="U21" t="inlineStr"/>
      <c r="V21" t="n">
        <v>3.445</v>
      </c>
      <c r="W21" t="inlineStr">
        <is>
          <t>Nebius $2.95; CoreWeave $6.16; Lambda $2.99; Crusoe $3.90</t>
        </is>
      </c>
      <c r="X21" t="n">
        <v>-13.2075</v>
      </c>
      <c r="Y21">
        <f> 2.99/3.4450000000000003 - 1</f>
        <v/>
      </c>
      <c r="Z21" t="n">
        <v>6.0877</v>
      </c>
      <c r="AA21" t="n">
        <v>13</v>
      </c>
      <c r="AB21" t="n">
        <v>6.0877</v>
      </c>
      <c r="AC21" t="n">
        <v>13</v>
      </c>
      <c r="AD21" s="3" t="n">
        <v>46298</v>
      </c>
      <c r="AE21" t="inlineStr">
        <is>
          <t>Estimated: OLS of ln(price) on month index, step function sampled monthly from launch; %/mo = exp(slope)-1</t>
        </is>
      </c>
      <c r="AF21" t="inlineStr">
        <is>
          <t>low</t>
        </is>
      </c>
      <c r="AG21" t="inlineStr">
        <is>
          <t>Together: multiple tables on page, noisy parse; availability only</t>
        </is>
      </c>
    </row>
    <row r="22">
      <c r="A22" t="inlineStr">
        <is>
          <t>Together AI</t>
        </is>
      </c>
      <c r="B22" t="inlineStr">
        <is>
          <t>H200</t>
        </is>
      </c>
      <c r="C22" t="inlineStr">
        <is>
          <t>On-demand list</t>
        </is>
      </c>
      <c r="D22" s="3" t="n">
        <v>45909</v>
      </c>
      <c r="E22" s="3" t="n">
        <v>45906</v>
      </c>
      <c r="F22" t="n">
        <v>-3</v>
      </c>
      <c r="G22" t="inlineStr">
        <is>
          <t>Yes</t>
        </is>
      </c>
      <c r="H22" t="n">
        <v>3.79</v>
      </c>
      <c r="I22" t="inlineStr">
        <is>
          <t>Reported</t>
        </is>
      </c>
      <c r="J22" t="inlineStr">
        <is>
          <t>https://web.archive.org/web/20250906000147/https://www.together.ai/pricing</t>
        </is>
      </c>
      <c r="K22" t="n">
        <v>3.15</v>
      </c>
      <c r="L22" t="n">
        <v>-16.8865</v>
      </c>
      <c r="M22" t="n">
        <v>3.15</v>
      </c>
      <c r="N22" t="n">
        <v>-16.8865</v>
      </c>
      <c r="O22" t="n">
        <v>5.99</v>
      </c>
      <c r="P22" t="n">
        <v>58.0475</v>
      </c>
      <c r="Q22" t="inlineStr">
        <is>
          <t>Reported (as-of step function of Wayback captures)</t>
        </is>
      </c>
      <c r="R22" t="inlineStr">
        <is>
          <t>H100</t>
        </is>
      </c>
      <c r="S22" t="n">
        <v>2.99</v>
      </c>
      <c r="T22" t="n">
        <v>26.7559</v>
      </c>
      <c r="U22">
        <f> 3.79/2.99 - 1</f>
        <v/>
      </c>
      <c r="V22" t="n">
        <v>4.29</v>
      </c>
      <c r="W22" t="inlineStr">
        <is>
          <t>Nebius $3.50; CoreWeave $6.30; Crusoe $4.29</t>
        </is>
      </c>
      <c r="X22" t="n">
        <v>-11.655</v>
      </c>
      <c r="Y22">
        <f> 3.79/4.29 - 1</f>
        <v/>
      </c>
      <c r="Z22" t="n">
        <v>6.4672</v>
      </c>
      <c r="AA22" t="n">
        <v>13</v>
      </c>
      <c r="AB22" t="n">
        <v>6.4672</v>
      </c>
      <c r="AC22" t="n">
        <v>13</v>
      </c>
      <c r="AD22" s="3" t="n">
        <v>46298</v>
      </c>
      <c r="AE22" t="inlineStr">
        <is>
          <t>Estimated: OLS of ln(price) on month index, step function sampled monthly from launch; %/mo = exp(slope)-1</t>
        </is>
      </c>
      <c r="AF22" t="inlineStr">
        <is>
          <t>low</t>
        </is>
      </c>
      <c r="AG22" t="inlineStr">
        <is>
          <t>Together: multiple tables on page, noisy parse; availability only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4" customWidth="1" min="4" max="4"/>
    <col width="14" customWidth="1" min="5" max="5"/>
    <col width="12" customWidth="1" min="6" max="6"/>
    <col width="34" customWidth="1" min="7" max="7"/>
    <col width="38" customWidth="1" min="8" max="8"/>
    <col width="22" customWidth="1" min="9" max="9"/>
    <col width="50" customWidth="1" min="10" max="10"/>
    <col width="50" customWidth="1" min="11" max="11"/>
    <col width="12" customWidth="1" min="12" max="12"/>
    <col width="12" customWidth="1" min="13" max="13"/>
    <col width="60" customWidth="1" min="14" max="14"/>
  </cols>
  <sheetData>
    <row r="1">
      <c r="A1" s="1" t="inlineStr">
        <is>
          <t>Every detected chip add/remove and price change on Nebius, CoreWeave, Lambda pricing pages from digest-collapsed Wayback CDX captures. Change happened between bracket start and end. "Contact us" chips shown with blank price.</t>
        </is>
      </c>
    </row>
    <row r="2">
      <c r="A2" s="2" t="inlineStr">
        <is>
          <t>Provider</t>
        </is>
      </c>
      <c r="B2" s="2" t="inlineStr">
        <is>
          <t>Chip</t>
        </is>
      </c>
      <c r="C2" s="2" t="inlineStr">
        <is>
          <t>Change type</t>
        </is>
      </c>
      <c r="D2" s="2" t="inlineStr">
        <is>
          <t>Old $/GPU-hr</t>
        </is>
      </c>
      <c r="E2" s="2" t="inlineStr">
        <is>
          <t>New $/GPU-hr</t>
        </is>
      </c>
      <c r="F2" s="2" t="inlineStr">
        <is>
          <t>% change</t>
        </is>
      </c>
      <c r="G2" s="2" t="inlineStr">
        <is>
          <t>Previous capture (bracket start)</t>
        </is>
      </c>
      <c r="H2" s="2" t="inlineStr">
        <is>
          <t>Capture showing change (bracket end)</t>
        </is>
      </c>
      <c r="I2" s="2" t="inlineStr">
        <is>
          <t>Change window (days)</t>
        </is>
      </c>
      <c r="J2" s="2" t="inlineStr">
        <is>
          <t>Prev archive URL</t>
        </is>
      </c>
      <c r="K2" s="2" t="inlineStr">
        <is>
          <t>Archive URL</t>
        </is>
      </c>
      <c r="L2" s="2" t="inlineStr">
        <is>
          <t>Page dir</t>
        </is>
      </c>
      <c r="M2" s="2" t="inlineStr">
        <is>
          <t>Tag</t>
        </is>
      </c>
      <c r="N2" s="2" t="inlineStr">
        <is>
          <t>Note</t>
        </is>
      </c>
    </row>
    <row r="3">
      <c r="A3" t="inlineStr">
        <is>
          <t>CoreWeave</t>
        </is>
      </c>
      <c r="B3" t="inlineStr">
        <is>
          <t>H100</t>
        </is>
      </c>
      <c r="C3" t="inlineStr">
        <is>
          <t>chip added</t>
        </is>
      </c>
      <c r="E3" t="n">
        <v>4.76</v>
      </c>
      <c r="H3" s="3" t="n">
        <v>45017</v>
      </c>
      <c r="J3" t="inlineStr"/>
      <c r="K3" t="inlineStr">
        <is>
          <t>https://web.archive.org/web/20230401134901/https://www.coreweave.com/gpu-cloud-pricing</t>
        </is>
      </c>
      <c r="L3" t="inlineStr">
        <is>
          <t>(provider timeline)</t>
        </is>
      </c>
      <c r="M3" t="inlineStr">
        <is>
          <t>Reported (Wayback); % Derived</t>
        </is>
      </c>
      <c r="N3" t="inlineStr"/>
    </row>
    <row r="4">
      <c r="A4" t="inlineStr">
        <is>
          <t>CoreWeave</t>
        </is>
      </c>
      <c r="B4" t="inlineStr">
        <is>
          <t>H100</t>
        </is>
      </c>
      <c r="C4" t="inlineStr">
        <is>
          <t>price change</t>
        </is>
      </c>
      <c r="D4" t="n">
        <v>4.76</v>
      </c>
      <c r="E4" t="n">
        <v>6.155</v>
      </c>
      <c r="F4" t="n">
        <v>29.3067</v>
      </c>
      <c r="G4" s="3" t="n">
        <v>45632</v>
      </c>
      <c r="H4" s="3" t="n">
        <v>45658</v>
      </c>
      <c r="I4" t="n">
        <v>26</v>
      </c>
      <c r="J4" t="inlineStr">
        <is>
          <t>https://web.archive.org/web/20241206151408/https://coreweave.com/gpu-cloud-pricing</t>
        </is>
      </c>
      <c r="K4" t="inlineStr">
        <is>
          <t>https://web.archive.org/web/20250101002525/https://www.coreweave.com/pricing</t>
        </is>
      </c>
      <c r="L4" t="inlineStr">
        <is>
          <t>(provider timeline)</t>
        </is>
      </c>
      <c r="M4" t="inlineStr">
        <is>
          <t>Reported (Wayback); % Derived</t>
        </is>
      </c>
      <c r="N4" t="inlineStr">
        <is>
          <t>DEFINITIONAL: CoreWeave moved from component pricing (GPU-only $4.76) to bundled 8-GPU instance price ($49.24/8) on new /pricing page; not a like-for-like price change</t>
        </is>
      </c>
    </row>
    <row r="5">
      <c r="A5" t="inlineStr">
        <is>
          <t>CoreWeave</t>
        </is>
      </c>
      <c r="B5" t="inlineStr">
        <is>
          <t>H200</t>
        </is>
      </c>
      <c r="C5" t="inlineStr">
        <is>
          <t>chip added</t>
        </is>
      </c>
      <c r="E5" t="n">
        <v>6.305</v>
      </c>
      <c r="G5" s="3" t="n">
        <v>45632</v>
      </c>
      <c r="H5" s="3" t="n">
        <v>45658</v>
      </c>
      <c r="I5" t="n">
        <v>26</v>
      </c>
      <c r="J5" t="inlineStr"/>
      <c r="K5" t="inlineStr">
        <is>
          <t>https://web.archive.org/web/20250101002525/https://www.coreweave.com/pricing</t>
        </is>
      </c>
      <c r="L5" t="inlineStr">
        <is>
          <t>(provider timeline)</t>
        </is>
      </c>
      <c r="M5" t="inlineStr">
        <is>
          <t>Reported (Wayback); % Derived</t>
        </is>
      </c>
      <c r="N5" t="inlineStr"/>
    </row>
    <row r="6">
      <c r="A6" t="inlineStr">
        <is>
          <t>CoreWeave</t>
        </is>
      </c>
      <c r="B6" t="inlineStr">
        <is>
          <t>GB200 NVL72</t>
        </is>
      </c>
      <c r="C6" t="inlineStr">
        <is>
          <t>chip added</t>
        </is>
      </c>
      <c r="E6" t="n">
        <v>10.5</v>
      </c>
      <c r="G6" s="3" t="n">
        <v>45687</v>
      </c>
      <c r="H6" s="3" t="n">
        <v>45697</v>
      </c>
      <c r="I6" t="n">
        <v>10</v>
      </c>
      <c r="J6" t="inlineStr"/>
      <c r="K6" t="inlineStr">
        <is>
          <t>https://web.archive.org/web/20250209162626/https://www.coreweave.com/pricing</t>
        </is>
      </c>
      <c r="L6" t="inlineStr">
        <is>
          <t>(provider timeline)</t>
        </is>
      </c>
      <c r="M6" t="inlineStr">
        <is>
          <t>Reported (Wayback); % Derived</t>
        </is>
      </c>
      <c r="N6" t="inlineStr"/>
    </row>
    <row r="7">
      <c r="A7" t="inlineStr">
        <is>
          <t>CoreWeave</t>
        </is>
      </c>
      <c r="B7" t="inlineStr">
        <is>
          <t>B200</t>
        </is>
      </c>
      <c r="C7" t="inlineStr">
        <is>
          <t>chip added</t>
        </is>
      </c>
      <c r="E7" t="n">
        <v>8.6</v>
      </c>
      <c r="G7" s="3" t="n">
        <v>45804</v>
      </c>
      <c r="H7" s="3" t="n">
        <v>45817</v>
      </c>
      <c r="I7" t="n">
        <v>13</v>
      </c>
      <c r="J7" t="inlineStr"/>
      <c r="K7" t="inlineStr">
        <is>
          <t>https://web.archive.org/web/20250609162833/https://coreweave.com/pricing</t>
        </is>
      </c>
      <c r="L7" t="inlineStr">
        <is>
          <t>(provider timeline)</t>
        </is>
      </c>
      <c r="M7" t="inlineStr">
        <is>
          <t>Reported (Wayback); % Derived</t>
        </is>
      </c>
      <c r="N7" t="inlineStr"/>
    </row>
    <row r="8">
      <c r="A8" t="inlineStr">
        <is>
          <t>CoreWeave</t>
        </is>
      </c>
      <c r="B8" t="inlineStr">
        <is>
          <t>GB300 NVL72</t>
        </is>
      </c>
      <c r="C8" t="inlineStr">
        <is>
          <t>chip added</t>
        </is>
      </c>
      <c r="G8" s="3" t="n">
        <v>45890</v>
      </c>
      <c r="H8" s="3" t="n">
        <v>45892</v>
      </c>
      <c r="I8" t="n">
        <v>2</v>
      </c>
      <c r="J8" t="inlineStr"/>
      <c r="K8" t="inlineStr">
        <is>
          <t>https://web.archive.org/web/20250823182906/https://www.coreweave.com/pricing</t>
        </is>
      </c>
      <c r="L8" t="inlineStr">
        <is>
          <t>(provider timeline)</t>
        </is>
      </c>
      <c r="M8" t="inlineStr">
        <is>
          <t>Reported (Wayback); % Derived</t>
        </is>
      </c>
      <c r="N8" t="inlineStr"/>
    </row>
    <row r="9">
      <c r="A9" t="inlineStr">
        <is>
          <t>CoreWeave</t>
        </is>
      </c>
      <c r="B9" t="inlineStr">
        <is>
          <t>B300</t>
        </is>
      </c>
      <c r="C9" t="inlineStr">
        <is>
          <t>chip added</t>
        </is>
      </c>
      <c r="G9" s="3" t="n">
        <v>46094</v>
      </c>
      <c r="H9" s="3" t="n">
        <v>46127</v>
      </c>
      <c r="I9" t="n">
        <v>33</v>
      </c>
      <c r="J9" t="inlineStr"/>
      <c r="K9" t="inlineStr">
        <is>
          <t>https://web.archive.org/web/20260415105017/https://coreweave.com/pricing</t>
        </is>
      </c>
      <c r="L9" t="inlineStr">
        <is>
          <t>(provider timeline)</t>
        </is>
      </c>
      <c r="M9" t="inlineStr">
        <is>
          <t>Reported (Wayback); % Derived</t>
        </is>
      </c>
      <c r="N9" t="inlineStr"/>
    </row>
    <row r="10">
      <c r="A10" t="inlineStr">
        <is>
          <t>Lambda</t>
        </is>
      </c>
      <c r="B10" t="inlineStr">
        <is>
          <t>H100 PCIe</t>
        </is>
      </c>
      <c r="C10" t="inlineStr">
        <is>
          <t>chip added</t>
        </is>
      </c>
      <c r="E10" t="n">
        <v>2.4</v>
      </c>
      <c r="H10" s="3" t="n">
        <v>45058</v>
      </c>
      <c r="J10" t="inlineStr"/>
      <c r="K10" t="inlineStr">
        <is>
          <t>https://web.archive.org/web/20230512094749/https://lambdalabs.com/service/gpu-cloud</t>
        </is>
      </c>
      <c r="L10" t="inlineStr">
        <is>
          <t>(provider timeline)</t>
        </is>
      </c>
      <c r="M10" t="inlineStr">
        <is>
          <t>Reported (Wayback); % Derived</t>
        </is>
      </c>
      <c r="N10" t="inlineStr"/>
    </row>
    <row r="11">
      <c r="A11" t="inlineStr">
        <is>
          <t>Lambda</t>
        </is>
      </c>
      <c r="B11" t="inlineStr">
        <is>
          <t>H100 PCIe</t>
        </is>
      </c>
      <c r="C11" t="inlineStr">
        <is>
          <t>price change</t>
        </is>
      </c>
      <c r="D11" t="n">
        <v>2.4</v>
      </c>
      <c r="E11" t="n">
        <v>1.99</v>
      </c>
      <c r="F11" t="n">
        <v>-17.0833</v>
      </c>
      <c r="G11" s="3" t="n">
        <v>45091</v>
      </c>
      <c r="H11" s="3" t="n">
        <v>45128</v>
      </c>
      <c r="I11" t="n">
        <v>37</v>
      </c>
      <c r="J11" t="inlineStr">
        <is>
          <t>https://web.archive.org/web/20230614020352/https://lambdalabs.com/service/gpu-cloud</t>
        </is>
      </c>
      <c r="K11" t="inlineStr">
        <is>
          <t>https://web.archive.org/web/20230721045737/https://lambdalabs.com/service/gpu-cloud</t>
        </is>
      </c>
      <c r="L11" t="inlineStr">
        <is>
          <t>(provider timeline)</t>
        </is>
      </c>
      <c r="M11" t="inlineStr">
        <is>
          <t>Reported (Wayback); % Derived</t>
        </is>
      </c>
      <c r="N11" t="inlineStr"/>
    </row>
    <row r="12">
      <c r="A12" t="inlineStr">
        <is>
          <t>Lambda</t>
        </is>
      </c>
      <c r="B12" t="inlineStr">
        <is>
          <t>H100</t>
        </is>
      </c>
      <c r="C12" t="inlineStr">
        <is>
          <t>chip added</t>
        </is>
      </c>
      <c r="E12" t="n">
        <v>2.59</v>
      </c>
      <c r="G12" s="3" t="n">
        <v>45222</v>
      </c>
      <c r="H12" s="3" t="n">
        <v>45257</v>
      </c>
      <c r="I12" t="n">
        <v>35</v>
      </c>
      <c r="J12" t="inlineStr"/>
      <c r="K12" t="inlineStr">
        <is>
          <t>https://web.archive.org/web/20231127144712/https://lambdalabs.com/service/gpu-cloud</t>
        </is>
      </c>
      <c r="L12" t="inlineStr">
        <is>
          <t>(provider timeline)</t>
        </is>
      </c>
      <c r="M12" t="inlineStr">
        <is>
          <t>Reported (Wayback); % Derived</t>
        </is>
      </c>
      <c r="N12" t="inlineStr"/>
    </row>
    <row r="13">
      <c r="A13" t="inlineStr">
        <is>
          <t>Lambda</t>
        </is>
      </c>
      <c r="B13" t="inlineStr">
        <is>
          <t>H100</t>
        </is>
      </c>
      <c r="C13" t="inlineStr">
        <is>
          <t>price change</t>
        </is>
      </c>
      <c r="D13" t="n">
        <v>2.59</v>
      </c>
      <c r="E13" t="n">
        <v>3.49</v>
      </c>
      <c r="F13" t="n">
        <v>34.749</v>
      </c>
      <c r="G13" s="3" t="n">
        <v>45292</v>
      </c>
      <c r="H13" s="3" t="n">
        <v>45294</v>
      </c>
      <c r="I13" t="n">
        <v>2</v>
      </c>
      <c r="J13" t="inlineStr">
        <is>
          <t>https://web.archive.org/web/20240101073433/https://lambdalabs.com/service/gpu-cloud</t>
        </is>
      </c>
      <c r="K13" t="inlineStr">
        <is>
          <t>https://web.archive.org/web/20240103190130/https://lambdalabs.com/service/gpu-cloud</t>
        </is>
      </c>
      <c r="L13" t="inlineStr">
        <is>
          <t>(provider timeline)</t>
        </is>
      </c>
      <c r="M13" t="inlineStr">
        <is>
          <t>Reported (Wayback); % Derived</t>
        </is>
      </c>
      <c r="N13" t="inlineStr"/>
    </row>
    <row r="14">
      <c r="A14" t="inlineStr">
        <is>
          <t>Lambda</t>
        </is>
      </c>
      <c r="B14" t="inlineStr">
        <is>
          <t>H100 PCIe</t>
        </is>
      </c>
      <c r="C14" t="inlineStr">
        <is>
          <t>price change</t>
        </is>
      </c>
      <c r="D14" t="n">
        <v>1.99</v>
      </c>
      <c r="E14" t="n">
        <v>2.49</v>
      </c>
      <c r="F14" t="n">
        <v>25.1256</v>
      </c>
      <c r="G14" s="3" t="n">
        <v>45292</v>
      </c>
      <c r="H14" s="3" t="n">
        <v>45294</v>
      </c>
      <c r="I14" t="n">
        <v>2</v>
      </c>
      <c r="J14" t="inlineStr">
        <is>
          <t>https://web.archive.org/web/20240101073433/https://lambdalabs.com/service/gpu-cloud</t>
        </is>
      </c>
      <c r="K14" t="inlineStr">
        <is>
          <t>https://web.archive.org/web/20240103190130/https://lambdalabs.com/service/gpu-cloud</t>
        </is>
      </c>
      <c r="L14" t="inlineStr">
        <is>
          <t>(provider timeline)</t>
        </is>
      </c>
      <c r="M14" t="inlineStr">
        <is>
          <t>Reported (Wayback); % Derived</t>
        </is>
      </c>
      <c r="N14" t="inlineStr"/>
    </row>
    <row r="15">
      <c r="A15" t="inlineStr">
        <is>
          <t>Lambda</t>
        </is>
      </c>
      <c r="B15" t="inlineStr">
        <is>
          <t>H100</t>
        </is>
      </c>
      <c r="C15" t="inlineStr">
        <is>
          <t>price change</t>
        </is>
      </c>
      <c r="D15" t="n">
        <v>3.49</v>
      </c>
      <c r="E15" t="n">
        <v>2.99</v>
      </c>
      <c r="F15" t="n">
        <v>-14.3266</v>
      </c>
      <c r="G15" s="3" t="n">
        <v>45501</v>
      </c>
      <c r="H15" s="3" t="n">
        <v>45519</v>
      </c>
      <c r="I15" t="n">
        <v>18</v>
      </c>
      <c r="J15" t="inlineStr">
        <is>
          <t>https://web.archive.org/web/20240728044745/https://lambdalabs.com/service/gpu-cloud</t>
        </is>
      </c>
      <c r="K15" t="inlineStr">
        <is>
          <t>https://web.archive.org/web/20240815145430/https://lambdalabs.com/service/gpu-cloud</t>
        </is>
      </c>
      <c r="L15" t="inlineStr">
        <is>
          <t>(provider timeline)</t>
        </is>
      </c>
      <c r="M15" t="inlineStr">
        <is>
          <t>Reported (Wayback); % Derived</t>
        </is>
      </c>
      <c r="N15" t="inlineStr"/>
    </row>
    <row r="16">
      <c r="A16" t="inlineStr">
        <is>
          <t>Lambda</t>
        </is>
      </c>
      <c r="B16" t="inlineStr">
        <is>
          <t>B200</t>
        </is>
      </c>
      <c r="C16" t="inlineStr">
        <is>
          <t>chip added</t>
        </is>
      </c>
      <c r="E16" t="n">
        <v>4.99</v>
      </c>
      <c r="G16" s="3" t="n">
        <v>45881</v>
      </c>
      <c r="H16" s="3" t="n">
        <v>45882</v>
      </c>
      <c r="I16" t="n">
        <v>1</v>
      </c>
      <c r="J16" t="inlineStr"/>
      <c r="K16" t="inlineStr">
        <is>
          <t>https://web.archive.org/web/20250813005348/https://lambda.ai/pricing</t>
        </is>
      </c>
      <c r="L16" t="inlineStr">
        <is>
          <t>(provider timeline)</t>
        </is>
      </c>
      <c r="M16" t="inlineStr">
        <is>
          <t>Reported (Wayback); % Derived</t>
        </is>
      </c>
      <c r="N16" t="inlineStr"/>
    </row>
    <row r="17">
      <c r="A17" t="inlineStr">
        <is>
          <t>Lambda</t>
        </is>
      </c>
      <c r="B17" t="inlineStr">
        <is>
          <t>H100 PCIe</t>
        </is>
      </c>
      <c r="C17" t="inlineStr">
        <is>
          <t>chip removed (or not parsed)</t>
        </is>
      </c>
      <c r="D17" t="n">
        <v>2.49</v>
      </c>
      <c r="G17" s="3" t="n">
        <v>45966</v>
      </c>
      <c r="H17" s="3" t="n">
        <v>45996</v>
      </c>
      <c r="I17" t="n">
        <v>30</v>
      </c>
      <c r="J17" t="inlineStr">
        <is>
          <t>https://web.archive.org/web/20251105190524/https://lambda.ai/pricing</t>
        </is>
      </c>
      <c r="K17" t="inlineStr">
        <is>
          <t>https://web.archive.org/web/20251205232122/https://lambda.ai/pricing</t>
        </is>
      </c>
      <c r="L17" t="inlineStr">
        <is>
          <t>https_lambda_ai_pricing</t>
        </is>
      </c>
      <c r="M17" t="inlineStr">
        <is>
          <t>Reported (Wayback); % Derived</t>
        </is>
      </c>
      <c r="N17" t="inlineStr"/>
    </row>
    <row r="18">
      <c r="A18" t="inlineStr">
        <is>
          <t>Lambda</t>
        </is>
      </c>
      <c r="B18" t="inlineStr">
        <is>
          <t>B200</t>
        </is>
      </c>
      <c r="C18" t="inlineStr">
        <is>
          <t>price change</t>
        </is>
      </c>
      <c r="D18" t="n">
        <v>4.99</v>
      </c>
      <c r="E18" t="n">
        <v>5.74</v>
      </c>
      <c r="F18" t="n">
        <v>15.0301</v>
      </c>
      <c r="G18" s="3" t="n">
        <v>46058</v>
      </c>
      <c r="H18" s="3" t="n">
        <v>46070</v>
      </c>
      <c r="I18" t="n">
        <v>12</v>
      </c>
      <c r="J18" t="inlineStr">
        <is>
          <t>https://web.archive.org/web/20260205131826/https://lambda.ai/pricing</t>
        </is>
      </c>
      <c r="K18" t="inlineStr">
        <is>
          <t>https://web.archive.org/web/20260217193017/https://lambda.ai/pricing</t>
        </is>
      </c>
      <c r="L18" t="inlineStr">
        <is>
          <t>(provider timeline)</t>
        </is>
      </c>
      <c r="M18" t="inlineStr">
        <is>
          <t>Reported (Wayback); % Derived</t>
        </is>
      </c>
      <c r="N18" t="inlineStr"/>
    </row>
    <row r="19">
      <c r="A19" t="inlineStr">
        <is>
          <t>Lambda</t>
        </is>
      </c>
      <c r="B19" t="inlineStr">
        <is>
          <t>H100</t>
        </is>
      </c>
      <c r="C19" t="inlineStr">
        <is>
          <t>price change</t>
        </is>
      </c>
      <c r="D19" t="n">
        <v>2.99</v>
      </c>
      <c r="E19" t="n">
        <v>3.44</v>
      </c>
      <c r="F19" t="n">
        <v>15.0502</v>
      </c>
      <c r="G19" s="3" t="n">
        <v>46058</v>
      </c>
      <c r="H19" s="3" t="n">
        <v>46070</v>
      </c>
      <c r="I19" t="n">
        <v>12</v>
      </c>
      <c r="J19" t="inlineStr">
        <is>
          <t>https://web.archive.org/web/20260205131826/https://lambda.ai/pricing</t>
        </is>
      </c>
      <c r="K19" t="inlineStr">
        <is>
          <t>https://web.archive.org/web/20260217193017/https://lambda.ai/pricing</t>
        </is>
      </c>
      <c r="L19" t="inlineStr">
        <is>
          <t>(provider timeline)</t>
        </is>
      </c>
      <c r="M19" t="inlineStr">
        <is>
          <t>Reported (Wayback); % Derived</t>
        </is>
      </c>
      <c r="N19" t="inlineStr"/>
    </row>
    <row r="20">
      <c r="A20" t="inlineStr">
        <is>
          <t>Lambda</t>
        </is>
      </c>
      <c r="B20" t="inlineStr">
        <is>
          <t>B200</t>
        </is>
      </c>
      <c r="C20" t="inlineStr">
        <is>
          <t>price change</t>
        </is>
      </c>
      <c r="D20" t="n">
        <v>5.74</v>
      </c>
      <c r="E20" t="n">
        <v>6.69</v>
      </c>
      <c r="F20" t="n">
        <v>16.5505</v>
      </c>
      <c r="G20" s="3" t="n">
        <v>46097</v>
      </c>
      <c r="H20" s="3" t="n">
        <v>46113</v>
      </c>
      <c r="I20" t="n">
        <v>16</v>
      </c>
      <c r="J20" t="inlineStr">
        <is>
          <t>https://web.archive.org/web/20260316141830/https://lambda.ai/pricing</t>
        </is>
      </c>
      <c r="K20" t="inlineStr">
        <is>
          <t>https://web.archive.org/web/20260401163040/https://lambda.ai/pricing</t>
        </is>
      </c>
      <c r="L20" t="inlineStr">
        <is>
          <t>(provider timeline)</t>
        </is>
      </c>
      <c r="M20" t="inlineStr">
        <is>
          <t>Reported (Wayback); % Derived</t>
        </is>
      </c>
      <c r="N20" t="inlineStr"/>
    </row>
    <row r="21">
      <c r="A21" t="inlineStr">
        <is>
          <t>Lambda</t>
        </is>
      </c>
      <c r="B21" t="inlineStr">
        <is>
          <t>H100</t>
        </is>
      </c>
      <c r="C21" t="inlineStr">
        <is>
          <t>price change</t>
        </is>
      </c>
      <c r="D21" t="n">
        <v>3.44</v>
      </c>
      <c r="E21" t="n">
        <v>3.99</v>
      </c>
      <c r="F21" t="n">
        <v>15.9884</v>
      </c>
      <c r="G21" s="3" t="n">
        <v>46097</v>
      </c>
      <c r="H21" s="3" t="n">
        <v>46113</v>
      </c>
      <c r="I21" t="n">
        <v>16</v>
      </c>
      <c r="J21" t="inlineStr">
        <is>
          <t>https://web.archive.org/web/20260316141830/https://lambda.ai/pricing</t>
        </is>
      </c>
      <c r="K21" t="inlineStr">
        <is>
          <t>https://web.archive.org/web/20260401163040/https://lambda.ai/pricing</t>
        </is>
      </c>
      <c r="L21" t="inlineStr">
        <is>
          <t>(provider timeline)</t>
        </is>
      </c>
      <c r="M21" t="inlineStr">
        <is>
          <t>Reported (Wayback); % Derived</t>
        </is>
      </c>
      <c r="N21" t="inlineStr"/>
    </row>
    <row r="22">
      <c r="A22" s="4" t="inlineStr">
        <is>
          <t>Nebius</t>
        </is>
      </c>
      <c r="B22" s="4" t="inlineStr">
        <is>
          <t>H100</t>
        </is>
      </c>
      <c r="C22" s="4" t="inlineStr">
        <is>
          <t>chip added</t>
        </is>
      </c>
      <c r="D22" s="4" t="n"/>
      <c r="E22" s="4" t="n">
        <v>4.85</v>
      </c>
      <c r="F22" s="4" t="n"/>
      <c r="G22" s="4" t="n"/>
      <c r="H22" s="5" t="n">
        <v>45231</v>
      </c>
      <c r="I22" s="4" t="n"/>
      <c r="J22" s="4" t="inlineStr"/>
      <c r="K22" s="4" t="inlineStr">
        <is>
          <t>https://web.archive.org/web/20231101230422/https://nebius.ai/prices</t>
        </is>
      </c>
      <c r="L22" s="4" t="inlineStr">
        <is>
          <t>(provider timeline)</t>
        </is>
      </c>
      <c r="M22" s="4" t="inlineStr">
        <is>
          <t>Reported (Wayback); % Derived</t>
        </is>
      </c>
      <c r="N22" s="4" t="inlineStr"/>
    </row>
    <row r="23">
      <c r="A23" s="4" t="inlineStr">
        <is>
          <t>Nebius</t>
        </is>
      </c>
      <c r="B23" s="4" t="inlineStr">
        <is>
          <t>H100</t>
        </is>
      </c>
      <c r="C23" s="4" t="inlineStr">
        <is>
          <t>price change</t>
        </is>
      </c>
      <c r="D23" s="4" t="n">
        <v>4.85</v>
      </c>
      <c r="E23" s="4" t="n">
        <v>3.5</v>
      </c>
      <c r="F23" s="4" t="n">
        <v>-27.8351</v>
      </c>
      <c r="G23" s="5" t="n">
        <v>45509</v>
      </c>
      <c r="H23" s="5" t="n">
        <v>45542</v>
      </c>
      <c r="I23" s="4" t="n">
        <v>33</v>
      </c>
      <c r="J23" s="4" t="inlineStr">
        <is>
          <t>https://web.archive.org/web/20240805155823/https://nebius.ai/prices</t>
        </is>
      </c>
      <c r="K23" s="4" t="inlineStr">
        <is>
          <t>https://web.archive.org/web/20240907074221/https://nebius.ai/prices</t>
        </is>
      </c>
      <c r="L23" s="4" t="inlineStr">
        <is>
          <t>(provider timeline)</t>
        </is>
      </c>
      <c r="M23" s="4" t="inlineStr">
        <is>
          <t>Reported (Wayback); % Derived</t>
        </is>
      </c>
      <c r="N23" s="4" t="inlineStr"/>
    </row>
    <row r="24">
      <c r="A24" s="4" t="inlineStr">
        <is>
          <t>Nebius</t>
        </is>
      </c>
      <c r="B24" s="4" t="inlineStr">
        <is>
          <t>H100</t>
        </is>
      </c>
      <c r="C24" s="4" t="inlineStr">
        <is>
          <t>price change</t>
        </is>
      </c>
      <c r="D24" s="4" t="n">
        <v>3.5</v>
      </c>
      <c r="E24" s="4" t="n">
        <v>2.95</v>
      </c>
      <c r="F24" s="4" t="n">
        <v>-15.7143</v>
      </c>
      <c r="G24" s="5" t="n">
        <v>45550</v>
      </c>
      <c r="H24" s="5" t="n">
        <v>45611</v>
      </c>
      <c r="I24" s="4" t="n">
        <v>61</v>
      </c>
      <c r="J24" s="4" t="inlineStr">
        <is>
          <t>https://web.archive.org/web/20240915034120/https://nebius.ai/prices</t>
        </is>
      </c>
      <c r="K24" s="4" t="inlineStr">
        <is>
          <t>https://web.archive.org/web/20241115043809/https://nebius.com/prices</t>
        </is>
      </c>
      <c r="L24" s="4" t="inlineStr">
        <is>
          <t>(provider timeline)</t>
        </is>
      </c>
      <c r="M24" s="4" t="inlineStr">
        <is>
          <t>Reported (Wayback); % Derived</t>
        </is>
      </c>
      <c r="N24" s="4" t="inlineStr"/>
    </row>
    <row r="25">
      <c r="A25" s="4" t="inlineStr">
        <is>
          <t>Nebius</t>
        </is>
      </c>
      <c r="B25" s="4" t="inlineStr">
        <is>
          <t>H200</t>
        </is>
      </c>
      <c r="C25" s="4" t="inlineStr">
        <is>
          <t>chip added</t>
        </is>
      </c>
      <c r="D25" s="4" t="n"/>
      <c r="E25" s="4" t="n">
        <v>3.5</v>
      </c>
      <c r="F25" s="4" t="n"/>
      <c r="G25" s="5" t="n">
        <v>45550</v>
      </c>
      <c r="H25" s="5" t="n">
        <v>45611</v>
      </c>
      <c r="I25" s="4" t="n">
        <v>61</v>
      </c>
      <c r="J25" s="4" t="inlineStr"/>
      <c r="K25" s="4" t="inlineStr">
        <is>
          <t>https://web.archive.org/web/20241115043809/https://nebius.com/prices</t>
        </is>
      </c>
      <c r="L25" s="4" t="inlineStr">
        <is>
          <t>(provider timeline)</t>
        </is>
      </c>
      <c r="M25" s="4" t="inlineStr">
        <is>
          <t>Reported (Wayback); % Derived</t>
        </is>
      </c>
      <c r="N25" s="4" t="inlineStr"/>
    </row>
    <row r="26">
      <c r="A26" s="4" t="inlineStr">
        <is>
          <t>Nebius</t>
        </is>
      </c>
      <c r="B26" s="4" t="inlineStr">
        <is>
          <t>B200</t>
        </is>
      </c>
      <c r="C26" s="4" t="inlineStr">
        <is>
          <t>chip added</t>
        </is>
      </c>
      <c r="D26" s="4" t="n"/>
      <c r="E26" s="4" t="n">
        <v>5.5</v>
      </c>
      <c r="F26" s="4" t="n"/>
      <c r="G26" s="5" t="n">
        <v>45837</v>
      </c>
      <c r="H26" s="5" t="n">
        <v>45863</v>
      </c>
      <c r="I26" s="4" t="n">
        <v>26</v>
      </c>
      <c r="J26" s="4" t="inlineStr"/>
      <c r="K26" s="4" t="inlineStr">
        <is>
          <t>https://web.archive.org/web/20250725080908/https://nebius.com/prices</t>
        </is>
      </c>
      <c r="L26" s="4" t="inlineStr">
        <is>
          <t>(provider timeline)</t>
        </is>
      </c>
      <c r="M26" s="4" t="inlineStr">
        <is>
          <t>Reported (Wayback); % Derived</t>
        </is>
      </c>
      <c r="N26" s="4" t="inlineStr"/>
    </row>
    <row r="27">
      <c r="A27" s="4" t="inlineStr">
        <is>
          <t>Nebius</t>
        </is>
      </c>
      <c r="B27" s="4" t="inlineStr">
        <is>
          <t>GB200 NVL72</t>
        </is>
      </c>
      <c r="C27" s="4" t="inlineStr">
        <is>
          <t>chip added</t>
        </is>
      </c>
      <c r="D27" s="4" t="n"/>
      <c r="E27" s="4" t="n"/>
      <c r="F27" s="4" t="n"/>
      <c r="G27" s="5" t="n">
        <v>45837</v>
      </c>
      <c r="H27" s="5" t="n">
        <v>45863</v>
      </c>
      <c r="I27" s="4" t="n">
        <v>26</v>
      </c>
      <c r="J27" s="4" t="inlineStr"/>
      <c r="K27" s="4" t="inlineStr">
        <is>
          <t>https://web.archive.org/web/20250725080908/https://nebius.com/prices</t>
        </is>
      </c>
      <c r="L27" s="4" t="inlineStr">
        <is>
          <t>(provider timeline)</t>
        </is>
      </c>
      <c r="M27" s="4" t="inlineStr">
        <is>
          <t>Reported (Wayback); % Derived</t>
        </is>
      </c>
      <c r="N27" s="4" t="inlineStr"/>
    </row>
    <row r="28">
      <c r="A28" s="4" t="inlineStr">
        <is>
          <t>Nebius</t>
        </is>
      </c>
      <c r="B28" s="4" t="inlineStr">
        <is>
          <t>B300</t>
        </is>
      </c>
      <c r="C28" s="4" t="inlineStr">
        <is>
          <t>chip added</t>
        </is>
      </c>
      <c r="D28" s="4" t="n"/>
      <c r="E28" s="4" t="n">
        <v>6.1</v>
      </c>
      <c r="F28" s="4" t="n"/>
      <c r="G28" s="5" t="n">
        <v>46085</v>
      </c>
      <c r="H28" s="5" t="n">
        <v>46114</v>
      </c>
      <c r="I28" s="4" t="n">
        <v>29</v>
      </c>
      <c r="J28" s="4" t="inlineStr"/>
      <c r="K28" s="4" t="inlineStr">
        <is>
          <t>https://web.archive.org/web/20260402090033/https://nebius.com/prices</t>
        </is>
      </c>
      <c r="L28" s="4" t="inlineStr">
        <is>
          <t>(provider timeline)</t>
        </is>
      </c>
      <c r="M28" s="4" t="inlineStr">
        <is>
          <t>Reported (Wayback); % Derived</t>
        </is>
      </c>
      <c r="N28" s="4" t="inlineStr"/>
    </row>
    <row r="29">
      <c r="A29" s="4" t="inlineStr">
        <is>
          <t>Nebius</t>
        </is>
      </c>
      <c r="B29" s="4" t="inlineStr">
        <is>
          <t>GB300 NVL72</t>
        </is>
      </c>
      <c r="C29" s="4" t="inlineStr">
        <is>
          <t>chip added</t>
        </is>
      </c>
      <c r="D29" s="4" t="n"/>
      <c r="E29" s="4" t="n"/>
      <c r="F29" s="4" t="n"/>
      <c r="G29" s="5" t="n">
        <v>46085</v>
      </c>
      <c r="H29" s="5" t="n">
        <v>46114</v>
      </c>
      <c r="I29" s="4" t="n">
        <v>29</v>
      </c>
      <c r="J29" s="4" t="inlineStr"/>
      <c r="K29" s="4" t="inlineStr">
        <is>
          <t>https://web.archive.org/web/20260402090033/https://nebius.com/prices</t>
        </is>
      </c>
      <c r="L29" s="4" t="inlineStr">
        <is>
          <t>(provider timeline)</t>
        </is>
      </c>
      <c r="M29" s="4" t="inlineStr">
        <is>
          <t>Reported (Wayback); % Derived</t>
        </is>
      </c>
      <c r="N29" s="4" t="inlineStr"/>
    </row>
    <row r="30">
      <c r="A30" s="4" t="inlineStr">
        <is>
          <t>Nebius</t>
        </is>
      </c>
      <c r="B30" s="4" t="inlineStr">
        <is>
          <t>B200</t>
        </is>
      </c>
      <c r="C30" s="4" t="inlineStr">
        <is>
          <t>price change</t>
        </is>
      </c>
      <c r="D30" s="4" t="n">
        <v>5.5</v>
      </c>
      <c r="E30" s="4" t="n">
        <v>7.15</v>
      </c>
      <c r="F30" s="4" t="n">
        <v>30</v>
      </c>
      <c r="G30" s="5" t="n">
        <v>46149</v>
      </c>
      <c r="H30" s="5" t="n">
        <v>46215</v>
      </c>
      <c r="I30" s="4" t="n">
        <v>66</v>
      </c>
      <c r="J30" s="4" t="inlineStr">
        <is>
          <t>https://web.archive.org/web/20260507111158/https://nebius.com/prices</t>
        </is>
      </c>
      <c r="K30" s="4" t="inlineStr">
        <is>
          <t>https://web.archive.org/web/20260712235400/https://nebius.com/prices</t>
        </is>
      </c>
      <c r="L30" s="4" t="inlineStr">
        <is>
          <t>(provider timeline)</t>
        </is>
      </c>
      <c r="M30" s="4" t="inlineStr">
        <is>
          <t>Reported (Wayback); % Derived</t>
        </is>
      </c>
      <c r="N30" s="4" t="inlineStr">
        <is>
          <t>No captures with differing digest between 2026-05-07 and 2026-07-12; change occurred inside this window</t>
        </is>
      </c>
    </row>
    <row r="31">
      <c r="A31" s="4" t="inlineStr">
        <is>
          <t>Nebius</t>
        </is>
      </c>
      <c r="B31" s="4" t="inlineStr">
        <is>
          <t>B300</t>
        </is>
      </c>
      <c r="C31" s="4" t="inlineStr">
        <is>
          <t>price change</t>
        </is>
      </c>
      <c r="D31" s="4" t="n">
        <v>6.1</v>
      </c>
      <c r="E31" s="4" t="n">
        <v>7.85</v>
      </c>
      <c r="F31" s="4" t="n">
        <v>28.6885</v>
      </c>
      <c r="G31" s="5" t="n">
        <v>46149</v>
      </c>
      <c r="H31" s="5" t="n">
        <v>46215</v>
      </c>
      <c r="I31" s="4" t="n">
        <v>66</v>
      </c>
      <c r="J31" s="4" t="inlineStr">
        <is>
          <t>https://web.archive.org/web/20260507111158/https://nebius.com/prices</t>
        </is>
      </c>
      <c r="K31" s="4" t="inlineStr">
        <is>
          <t>https://web.archive.org/web/20260712235400/https://nebius.com/prices</t>
        </is>
      </c>
      <c r="L31" s="4" t="inlineStr">
        <is>
          <t>(provider timeline)</t>
        </is>
      </c>
      <c r="M31" s="4" t="inlineStr">
        <is>
          <t>Reported (Wayback); % Derived</t>
        </is>
      </c>
      <c r="N31" s="4" t="inlineStr">
        <is>
          <t>No captures with differing digest between 2026-05-07 and 2026-07-12; change occurred inside this window</t>
        </is>
      </c>
    </row>
    <row r="32">
      <c r="A32" s="4" t="inlineStr">
        <is>
          <t>Nebius</t>
        </is>
      </c>
      <c r="B32" s="4" t="inlineStr">
        <is>
          <t>H100</t>
        </is>
      </c>
      <c r="C32" s="4" t="inlineStr">
        <is>
          <t>price change</t>
        </is>
      </c>
      <c r="D32" s="4" t="n">
        <v>2.95</v>
      </c>
      <c r="E32" s="4" t="n">
        <v>3.85</v>
      </c>
      <c r="F32" s="4" t="n">
        <v>30.5085</v>
      </c>
      <c r="G32" s="5" t="n">
        <v>46149</v>
      </c>
      <c r="H32" s="5" t="n">
        <v>46215</v>
      </c>
      <c r="I32" s="4" t="n">
        <v>66</v>
      </c>
      <c r="J32" s="4" t="inlineStr">
        <is>
          <t>https://web.archive.org/web/20260507111158/https://nebius.com/prices</t>
        </is>
      </c>
      <c r="K32" s="4" t="inlineStr">
        <is>
          <t>https://web.archive.org/web/20260712235400/https://nebius.com/prices</t>
        </is>
      </c>
      <c r="L32" s="4" t="inlineStr">
        <is>
          <t>(provider timeline)</t>
        </is>
      </c>
      <c r="M32" s="4" t="inlineStr">
        <is>
          <t>Reported (Wayback); % Derived</t>
        </is>
      </c>
      <c r="N32" s="4" t="inlineStr">
        <is>
          <t>No captures with differing digest between 2026-05-07 and 2026-07-12; change occurred inside this window</t>
        </is>
      </c>
    </row>
    <row r="33">
      <c r="A33" s="4" t="inlineStr">
        <is>
          <t>Nebius</t>
        </is>
      </c>
      <c r="B33" s="4" t="inlineStr">
        <is>
          <t>H200</t>
        </is>
      </c>
      <c r="C33" s="4" t="inlineStr">
        <is>
          <t>price change</t>
        </is>
      </c>
      <c r="D33" s="4" t="n">
        <v>3.5</v>
      </c>
      <c r="E33" s="4" t="n">
        <v>4.5</v>
      </c>
      <c r="F33" s="4" t="n">
        <v>28.5714</v>
      </c>
      <c r="G33" s="5" t="n">
        <v>46149</v>
      </c>
      <c r="H33" s="5" t="n">
        <v>46215</v>
      </c>
      <c r="I33" s="4" t="n">
        <v>66</v>
      </c>
      <c r="J33" s="4" t="inlineStr">
        <is>
          <t>https://web.archive.org/web/20260507111158/https://nebius.com/prices</t>
        </is>
      </c>
      <c r="K33" s="4" t="inlineStr">
        <is>
          <t>https://web.archive.org/web/20260712235400/https://nebius.com/prices</t>
        </is>
      </c>
      <c r="L33" s="4" t="inlineStr">
        <is>
          <t>(provider timeline)</t>
        </is>
      </c>
      <c r="M33" s="4" t="inlineStr">
        <is>
          <t>Reported (Wayback); % Derived</t>
        </is>
      </c>
      <c r="N33" s="4" t="inlineStr">
        <is>
          <t>No captures with differing digest between 2026-05-07 and 2026-07-12; change occurred inside this window</t>
        </is>
      </c>
    </row>
    <row r="34">
      <c r="A34" s="4" t="inlineStr">
        <is>
          <t>Nebius</t>
        </is>
      </c>
      <c r="B34" s="4" t="inlineStr">
        <is>
          <t>B200 [announced future price]</t>
        </is>
      </c>
      <c r="C34" s="4" t="inlineStr">
        <is>
          <t>future price announced</t>
        </is>
      </c>
      <c r="D34" s="4" t="n"/>
      <c r="E34" s="4" t="n">
        <v>8.5</v>
      </c>
      <c r="F34" s="4" t="n"/>
      <c r="G34" s="5" t="n">
        <v>46286</v>
      </c>
      <c r="H34" s="5" t="n">
        <v>46288</v>
      </c>
      <c r="I34" s="4" t="n">
        <v>2</v>
      </c>
      <c r="J34" s="4" t="inlineStr">
        <is>
          <t>https://web.archive.org/web/20260921070322/https://nebius.com/prices</t>
        </is>
      </c>
      <c r="K34" s="4" t="inlineStr">
        <is>
          <t>https://web.archive.org/web/20260923185137/https://nebius.com/prices</t>
        </is>
      </c>
      <c r="L34" s="4" t="inlineStr">
        <is>
          <t>https_nebius_com_prices</t>
        </is>
      </c>
      <c r="M34" s="4" t="inlineStr">
        <is>
          <t>Reported (Wayback); % Derived</t>
        </is>
      </c>
      <c r="N34" s="4" t="inlineStr">
        <is>
          <t>Page showed new prices "from Oct 1, 2026" alongside current prices</t>
        </is>
      </c>
    </row>
    <row r="35">
      <c r="A35" s="4" t="inlineStr">
        <is>
          <t>Nebius</t>
        </is>
      </c>
      <c r="B35" s="4" t="inlineStr">
        <is>
          <t>B300 [announced future price]</t>
        </is>
      </c>
      <c r="C35" s="4" t="inlineStr">
        <is>
          <t>future price announced</t>
        </is>
      </c>
      <c r="D35" s="4" t="n"/>
      <c r="E35" s="4" t="n">
        <v>9.5</v>
      </c>
      <c r="F35" s="4" t="n"/>
      <c r="G35" s="5" t="n">
        <v>46286</v>
      </c>
      <c r="H35" s="5" t="n">
        <v>46288</v>
      </c>
      <c r="I35" s="4" t="n">
        <v>2</v>
      </c>
      <c r="J35" s="4" t="inlineStr">
        <is>
          <t>https://web.archive.org/web/20260921070322/https://nebius.com/prices</t>
        </is>
      </c>
      <c r="K35" s="4" t="inlineStr">
        <is>
          <t>https://web.archive.org/web/20260923185137/https://nebius.com/prices</t>
        </is>
      </c>
      <c r="L35" s="4" t="inlineStr">
        <is>
          <t>https_nebius_com_prices</t>
        </is>
      </c>
      <c r="M35" s="4" t="inlineStr">
        <is>
          <t>Reported (Wayback); % Derived</t>
        </is>
      </c>
      <c r="N35" s="4" t="inlineStr">
        <is>
          <t>Page showed new prices "from Oct 1, 2026" alongside current prices</t>
        </is>
      </c>
    </row>
    <row r="36">
      <c r="A36" s="4" t="inlineStr">
        <is>
          <t>Nebius</t>
        </is>
      </c>
      <c r="B36" s="4" t="inlineStr">
        <is>
          <t>GB200 NVL72 [announced future price]</t>
        </is>
      </c>
      <c r="C36" s="4" t="inlineStr">
        <is>
          <t>future price announced</t>
        </is>
      </c>
      <c r="D36" s="4" t="n"/>
      <c r="E36" s="4" t="n"/>
      <c r="F36" s="4" t="n"/>
      <c r="G36" s="5" t="n">
        <v>46286</v>
      </c>
      <c r="H36" s="5" t="n">
        <v>46288</v>
      </c>
      <c r="I36" s="4" t="n">
        <v>2</v>
      </c>
      <c r="J36" s="4" t="inlineStr">
        <is>
          <t>https://web.archive.org/web/20260921070322/https://nebius.com/prices</t>
        </is>
      </c>
      <c r="K36" s="4" t="inlineStr">
        <is>
          <t>https://web.archive.org/web/20260923185137/https://nebius.com/prices</t>
        </is>
      </c>
      <c r="L36" s="4" t="inlineStr">
        <is>
          <t>https_nebius_com_prices</t>
        </is>
      </c>
      <c r="M36" s="4" t="inlineStr">
        <is>
          <t>Reported (Wayback); % Derived</t>
        </is>
      </c>
      <c r="N36" s="4" t="inlineStr">
        <is>
          <t>Page showed new prices "from Oct 1, 2026" alongside current prices</t>
        </is>
      </c>
    </row>
    <row r="37">
      <c r="A37" s="4" t="inlineStr">
        <is>
          <t>Nebius</t>
        </is>
      </c>
      <c r="B37" s="4" t="inlineStr">
        <is>
          <t>GB300 NVL72 [announced future price]</t>
        </is>
      </c>
      <c r="C37" s="4" t="inlineStr">
        <is>
          <t>future price announced</t>
        </is>
      </c>
      <c r="D37" s="4" t="n"/>
      <c r="E37" s="4" t="n"/>
      <c r="F37" s="4" t="n"/>
      <c r="G37" s="5" t="n">
        <v>46286</v>
      </c>
      <c r="H37" s="5" t="n">
        <v>46288</v>
      </c>
      <c r="I37" s="4" t="n">
        <v>2</v>
      </c>
      <c r="J37" s="4" t="inlineStr">
        <is>
          <t>https://web.archive.org/web/20260921070322/https://nebius.com/prices</t>
        </is>
      </c>
      <c r="K37" s="4" t="inlineStr">
        <is>
          <t>https://web.archive.org/web/20260923185137/https://nebius.com/prices</t>
        </is>
      </c>
      <c r="L37" s="4" t="inlineStr">
        <is>
          <t>https_nebius_com_prices</t>
        </is>
      </c>
      <c r="M37" s="4" t="inlineStr">
        <is>
          <t>Reported (Wayback); % Derived</t>
        </is>
      </c>
      <c r="N37" s="4" t="inlineStr">
        <is>
          <t>Page showed new prices "from Oct 1, 2026" alongside current prices</t>
        </is>
      </c>
    </row>
    <row r="38">
      <c r="A38" s="4" t="inlineStr">
        <is>
          <t>Nebius</t>
        </is>
      </c>
      <c r="B38" s="4" t="inlineStr">
        <is>
          <t>H100 [announced future price]</t>
        </is>
      </c>
      <c r="C38" s="4" t="inlineStr">
        <is>
          <t>future price announced</t>
        </is>
      </c>
      <c r="D38" s="4" t="n"/>
      <c r="E38" s="4" t="n">
        <v>4.5</v>
      </c>
      <c r="F38" s="4" t="n"/>
      <c r="G38" s="5" t="n">
        <v>46286</v>
      </c>
      <c r="H38" s="5" t="n">
        <v>46288</v>
      </c>
      <c r="I38" s="4" t="n">
        <v>2</v>
      </c>
      <c r="J38" s="4" t="inlineStr">
        <is>
          <t>https://web.archive.org/web/20260921070322/https://nebius.com/prices</t>
        </is>
      </c>
      <c r="K38" s="4" t="inlineStr">
        <is>
          <t>https://web.archive.org/web/20260923185137/https://nebius.com/prices</t>
        </is>
      </c>
      <c r="L38" s="4" t="inlineStr">
        <is>
          <t>https_nebius_com_prices</t>
        </is>
      </c>
      <c r="M38" s="4" t="inlineStr">
        <is>
          <t>Reported (Wayback); % Derived</t>
        </is>
      </c>
      <c r="N38" s="4" t="inlineStr">
        <is>
          <t>Page showed new prices "from Oct 1, 2026" alongside current prices</t>
        </is>
      </c>
    </row>
    <row r="39">
      <c r="A39" s="4" t="inlineStr">
        <is>
          <t>Nebius</t>
        </is>
      </c>
      <c r="B39" s="4" t="inlineStr">
        <is>
          <t>H200 [announced future price]</t>
        </is>
      </c>
      <c r="C39" s="4" t="inlineStr">
        <is>
          <t>future price announced</t>
        </is>
      </c>
      <c r="D39" s="4" t="n"/>
      <c r="E39" s="4" t="n">
        <v>5.4</v>
      </c>
      <c r="F39" s="4" t="n"/>
      <c r="G39" s="5" t="n">
        <v>46286</v>
      </c>
      <c r="H39" s="5" t="n">
        <v>46288</v>
      </c>
      <c r="I39" s="4" t="n">
        <v>2</v>
      </c>
      <c r="J39" s="4" t="inlineStr">
        <is>
          <t>https://web.archive.org/web/20260921070322/https://nebius.com/prices</t>
        </is>
      </c>
      <c r="K39" s="4" t="inlineStr">
        <is>
          <t>https://web.archive.org/web/20260923185137/https://nebius.com/prices</t>
        </is>
      </c>
      <c r="L39" s="4" t="inlineStr">
        <is>
          <t>https_nebius_com_prices</t>
        </is>
      </c>
      <c r="M39" s="4" t="inlineStr">
        <is>
          <t>Reported (Wayback); % Derived</t>
        </is>
      </c>
      <c r="N39" s="4" t="inlineStr">
        <is>
          <t>Page showed new prices "from Oct 1, 2026" alongside current prices</t>
        </is>
      </c>
    </row>
    <row r="40">
      <c r="A40" s="4" t="inlineStr">
        <is>
          <t>Nebius</t>
        </is>
      </c>
      <c r="B40" s="4" t="inlineStr">
        <is>
          <t>B200</t>
        </is>
      </c>
      <c r="C40" s="4" t="inlineStr">
        <is>
          <t>price change</t>
        </is>
      </c>
      <c r="D40" s="4" t="n">
        <v>7.15</v>
      </c>
      <c r="E40" s="4" t="n">
        <v>8.5</v>
      </c>
      <c r="F40" s="4" t="n">
        <v>18.8811</v>
      </c>
      <c r="G40" s="5" t="n">
        <v>46291</v>
      </c>
      <c r="H40" s="5" t="n">
        <v>46296</v>
      </c>
      <c r="I40" s="4" t="n">
        <v>5</v>
      </c>
      <c r="J40" s="4" t="inlineStr">
        <is>
          <t>https://web.archive.org/web/20260926001828/https://nebius.com/prices</t>
        </is>
      </c>
      <c r="K40" s="4" t="inlineStr">
        <is>
          <t>https://web.archive.org/web/20261001030509/https://nebius.com/prices</t>
        </is>
      </c>
      <c r="L40" s="4" t="inlineStr">
        <is>
          <t>(provider timeline)</t>
        </is>
      </c>
      <c r="M40" s="4" t="inlineStr">
        <is>
          <t>Reported (Wayback); % Derived</t>
        </is>
      </c>
      <c r="N40" s="4" t="inlineStr"/>
    </row>
    <row r="41">
      <c r="A41" s="4" t="inlineStr">
        <is>
          <t>Nebius</t>
        </is>
      </c>
      <c r="B41" s="4" t="inlineStr">
        <is>
          <t>B300</t>
        </is>
      </c>
      <c r="C41" s="4" t="inlineStr">
        <is>
          <t>price change</t>
        </is>
      </c>
      <c r="D41" s="4" t="n">
        <v>7.85</v>
      </c>
      <c r="E41" s="4" t="n">
        <v>9.5</v>
      </c>
      <c r="F41" s="4" t="n">
        <v>21.0191</v>
      </c>
      <c r="G41" s="5" t="n">
        <v>46291</v>
      </c>
      <c r="H41" s="5" t="n">
        <v>46296</v>
      </c>
      <c r="I41" s="4" t="n">
        <v>5</v>
      </c>
      <c r="J41" s="4" t="inlineStr">
        <is>
          <t>https://web.archive.org/web/20260926001828/https://nebius.com/prices</t>
        </is>
      </c>
      <c r="K41" s="4" t="inlineStr">
        <is>
          <t>https://web.archive.org/web/20261001030509/https://nebius.com/prices</t>
        </is>
      </c>
      <c r="L41" s="4" t="inlineStr">
        <is>
          <t>(provider timeline)</t>
        </is>
      </c>
      <c r="M41" s="4" t="inlineStr">
        <is>
          <t>Reported (Wayback); % Derived</t>
        </is>
      </c>
      <c r="N41" s="4" t="inlineStr"/>
    </row>
    <row r="42">
      <c r="A42" s="4" t="inlineStr">
        <is>
          <t>Nebius</t>
        </is>
      </c>
      <c r="B42" s="4" t="inlineStr">
        <is>
          <t>H100</t>
        </is>
      </c>
      <c r="C42" s="4" t="inlineStr">
        <is>
          <t>price change</t>
        </is>
      </c>
      <c r="D42" s="4" t="n">
        <v>3.85</v>
      </c>
      <c r="E42" s="4" t="n">
        <v>4.5</v>
      </c>
      <c r="F42" s="4" t="n">
        <v>16.8831</v>
      </c>
      <c r="G42" s="5" t="n">
        <v>46291</v>
      </c>
      <c r="H42" s="5" t="n">
        <v>46296</v>
      </c>
      <c r="I42" s="4" t="n">
        <v>5</v>
      </c>
      <c r="J42" s="4" t="inlineStr">
        <is>
          <t>https://web.archive.org/web/20260926001828/https://nebius.com/prices</t>
        </is>
      </c>
      <c r="K42" s="4" t="inlineStr">
        <is>
          <t>https://web.archive.org/web/20261001030509/https://nebius.com/prices</t>
        </is>
      </c>
      <c r="L42" s="4" t="inlineStr">
        <is>
          <t>(provider timeline)</t>
        </is>
      </c>
      <c r="M42" s="4" t="inlineStr">
        <is>
          <t>Reported (Wayback); % Derived</t>
        </is>
      </c>
      <c r="N42" s="4" t="inlineStr"/>
    </row>
    <row r="43">
      <c r="A43" s="4" t="inlineStr">
        <is>
          <t>Nebius</t>
        </is>
      </c>
      <c r="B43" s="4" t="inlineStr">
        <is>
          <t>H200</t>
        </is>
      </c>
      <c r="C43" s="4" t="inlineStr">
        <is>
          <t>price change</t>
        </is>
      </c>
      <c r="D43" s="4" t="n">
        <v>4.5</v>
      </c>
      <c r="E43" s="4" t="n">
        <v>5.4</v>
      </c>
      <c r="F43" s="4" t="n">
        <v>20</v>
      </c>
      <c r="G43" s="5" t="n">
        <v>46291</v>
      </c>
      <c r="H43" s="5" t="n">
        <v>46296</v>
      </c>
      <c r="I43" s="4" t="n">
        <v>5</v>
      </c>
      <c r="J43" s="4" t="inlineStr">
        <is>
          <t>https://web.archive.org/web/20260926001828/https://nebius.com/prices</t>
        </is>
      </c>
      <c r="K43" s="4" t="inlineStr">
        <is>
          <t>https://web.archive.org/web/20261001030509/https://nebius.com/prices</t>
        </is>
      </c>
      <c r="L43" s="4" t="inlineStr">
        <is>
          <t>(provider timeline)</t>
        </is>
      </c>
      <c r="M43" s="4" t="inlineStr">
        <is>
          <t>Reported (Wayback); % Derived</t>
        </is>
      </c>
      <c r="N43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  <col width="50" customWidth="1" min="2" max="2"/>
  </cols>
  <sheetData>
    <row r="1">
      <c r="A1" s="2" t="inlineStr">
        <is>
          <t>URL</t>
        </is>
      </c>
      <c r="B1" s="2" t="inlineStr">
        <is>
          <t>Used for</t>
        </is>
      </c>
    </row>
    <row r="2">
      <c r="A2" t="inlineStr">
        <is>
          <t>https://nvidianews.nvidia.com/news/nvidia-announces-hopper-architecture-the-next-generation-of-accelerated-computing</t>
        </is>
      </c>
      <c r="B2" t="inlineStr">
        <is>
          <t>NVIDIA milestone: H100 Announced</t>
        </is>
      </c>
    </row>
    <row r="3">
      <c r="A3" t="inlineStr">
        <is>
          <t>https://nvidianews.nvidia.com/news/nvidia-hopper-in-full-production</t>
        </is>
      </c>
      <c r="B3" t="inlineStr">
        <is>
          <t>NVIDIA milestone: H100 Full production</t>
        </is>
      </c>
    </row>
    <row r="4">
      <c r="A4" t="inlineStr">
        <is>
          <t>https://www.hpcwire.com/2022/09/20/nvidias-hopper-gpus-enter-full-production-dgxs-delayed-until-q1/</t>
        </is>
      </c>
      <c r="B4" t="inlineStr">
        <is>
          <t>NVIDIA milestone: H100 DGX H100 delivery (alt definition)</t>
        </is>
      </c>
    </row>
    <row r="5">
      <c r="A5" t="inlineStr">
        <is>
          <t>https://nvidianews.nvidia.com/news/nvidia-supercharges-hopper-the-worlds-leading-ai-computing-platform</t>
        </is>
      </c>
      <c r="B5" t="inlineStr">
        <is>
          <t>NVIDIA milestone: H200 Announced</t>
        </is>
      </c>
    </row>
    <row r="6">
      <c r="A6" t="inlineStr">
        <is>
          <t>https://www.trendforce.com/news/2024/07/02/news-nvidias-h200-order-delivered-from-q3-boosting-server-supply-chain-with-strong-demand/</t>
        </is>
      </c>
      <c r="B6" t="inlineStr">
        <is>
          <t>NVIDIA milestone: H200 Volume deliveries (alt definition)</t>
        </is>
      </c>
    </row>
    <row r="7">
      <c r="A7" t="inlineStr">
        <is>
          <t>https://nvidianews.nvidia.com/news/nvidia-blackwell-platform-arrives-to-power-a-new-era-of-computing</t>
        </is>
      </c>
      <c r="B7" t="inlineStr">
        <is>
          <t>NVIDIA milestone: B200 (HGX) Announced</t>
        </is>
      </c>
    </row>
    <row r="8">
      <c r="A8" t="inlineStr">
        <is>
          <t>https://www.fool.com/earnings/call-transcripts/2025/02/26/nvidia-nvda-q4-2025-earnings-call-transcript/</t>
        </is>
      </c>
      <c r="B8" t="inlineStr">
        <is>
          <t>NVIDIA milestone: B200 (HGX) Volume shipments (first revenue quarter)</t>
        </is>
      </c>
    </row>
    <row r="9">
      <c r="A9" t="inlineStr">
        <is>
          <t>https://www.digitimes.com/news/a20250529VL205/performance-blackwell-revenue-growth-2026.html</t>
        </is>
      </c>
      <c r="B9" t="inlineStr">
        <is>
          <t>NVIDIA milestone: GB200 NVL72 Racks "generally available" (alt definition)</t>
        </is>
      </c>
    </row>
    <row r="10">
      <c r="A10" t="inlineStr">
        <is>
          <t>https://nvidianews.nvidia.com/news/nvidia-blackwell-ultra-ai-factory-platform-paves-way-for-age-of-ai-reasoning</t>
        </is>
      </c>
      <c r="B10" t="inlineStr">
        <is>
          <t>NVIDIA milestone: B300 / GB300 NVL72 Announced</t>
        </is>
      </c>
    </row>
    <row r="11">
      <c r="A11" t="inlineStr">
        <is>
          <t>https://www.roic.ai/quote/NVD.F/transcripts/2026-year/2-quarter</t>
        </is>
      </c>
      <c r="B11" t="inlineStr">
        <is>
          <t>NVIDIA milestone: B300 / GB300 NVL72 Production shipments began (quarter start)</t>
        </is>
      </c>
    </row>
    <row r="12">
      <c r="A12" t="inlineStr">
        <is>
          <t>https://www.coreweave.com/news/coreweave-becomes-first-cloud-provider-to-deploy-nvidia-gb300-nvl72-platform</t>
        </is>
      </c>
      <c r="B12" t="inlineStr">
        <is>
          <t>NVIDIA milestone: B300 / GB300 NVL72 First cloud deployment (alt definition)</t>
        </is>
      </c>
    </row>
    <row r="13">
      <c r="A13" t="inlineStr">
        <is>
          <t>https://nvidianews.nvidia.com/news/rubin-platform-ai-supercomputer</t>
        </is>
      </c>
      <c r="B13" t="inlineStr">
        <is>
          <t>NVIDIA milestone: Vera Rubin NVL72 Announced / "in full production" (CES)</t>
        </is>
      </c>
    </row>
    <row r="14">
      <c r="A14" t="inlineStr">
        <is>
          <t>https://nvidianews.nvidia.com/news/vera-rubin-full-production-agentic-ai-factory</t>
        </is>
      </c>
      <c r="B14" t="inlineStr">
        <is>
          <t>NVIDIA milestone: Vera Rubin NVL72 Ramping full production (GTC Taipei)</t>
        </is>
      </c>
    </row>
    <row r="15">
      <c r="A15" t="inlineStr">
        <is>
          <t>https://s201.q4cdn.com/141608511/files/content_files/TRANSCRIPT_-NVIDIA-Corp-NVDA-US-Q2-2027-Earnings-Call-26-August-2026-5_00-PM-ET.pdf</t>
        </is>
      </c>
      <c r="B15" t="inlineStr">
        <is>
          <t>NVIDIA milestone: Vera Rubin NVL72 Production shipments commenced</t>
        </is>
      </c>
    </row>
    <row r="16">
      <c r="A16" t="inlineStr">
        <is>
          <t>https://nebius.com/blog/posts/early-access-unlocked</t>
        </is>
      </c>
      <c r="B16" t="inlineStr">
        <is>
          <t>Nebius H100 availability</t>
        </is>
      </c>
    </row>
    <row r="17">
      <c r="A17" t="inlineStr">
        <is>
          <t>https://www.businesswire.com/news/home/20221107005057/en/CoreWeave-Among-First-Cloud-Providers-to-Offer-NVIDIA-HGX-H100-Supercomputers-Set-to-Transform-AI-Landscape</t>
        </is>
      </c>
      <c r="B17" t="inlineStr">
        <is>
          <t>CoreWeave H100 availability</t>
        </is>
      </c>
    </row>
    <row r="18">
      <c r="A18" t="inlineStr">
        <is>
          <t>https://www.businesswire.com/news/home/20230321005245/en</t>
        </is>
      </c>
      <c r="B18" t="inlineStr">
        <is>
          <t>CoreWeave H100 availability</t>
        </is>
      </c>
    </row>
    <row r="19">
      <c r="A19" t="inlineStr">
        <is>
          <t>https://lambda.ai/blog/lambda-cloud-deploys-nvidia-h100-tensor-core-gpus</t>
        </is>
      </c>
      <c r="B19" t="inlineStr">
        <is>
          <t>Lambda H100 availability</t>
        </is>
      </c>
    </row>
    <row r="20">
      <c r="A20" t="inlineStr">
        <is>
          <t>https://www.crusoe.ai/resources/newsroom/crusoe-announces-significant-expansion-of-cloud-business-with-new-capacity</t>
        </is>
      </c>
      <c r="B20" t="inlineStr">
        <is>
          <t>Crusoe H100 availability</t>
        </is>
      </c>
    </row>
    <row r="21">
      <c r="A21" t="inlineStr">
        <is>
          <t>https://www.datacenterdynamics.com/en/news/gpu-cloud-firm-nscale-launches-offering-access-to-amd-gpus/</t>
        </is>
      </c>
      <c r="B21" t="inlineStr">
        <is>
          <t>Nscale H100 availability</t>
        </is>
      </c>
    </row>
    <row r="22">
      <c r="A22" t="inlineStr">
        <is>
          <t>https://blogs.oracle.com/cloud-infrastructure/general-availability-oci-compute-nvidia-h100</t>
        </is>
      </c>
      <c r="B22" t="inlineStr">
        <is>
          <t>Oracle OCI H100 availability</t>
        </is>
      </c>
    </row>
    <row r="23">
      <c r="A23" t="inlineStr">
        <is>
          <t>https://aws.amazon.com/about-aws/whats-new/2023/07/amazon-ec2-p5-instances-generative-ai-hpc-generally-available/</t>
        </is>
      </c>
      <c r="B23" t="inlineStr">
        <is>
          <t>AWS H100 availability</t>
        </is>
      </c>
    </row>
    <row r="24">
      <c r="A24" t="inlineStr">
        <is>
          <t>https://blogs.nvidia.com/blog/microsoft-azure-nd-h100-v5-instance/</t>
        </is>
      </c>
      <c r="B24" t="inlineStr">
        <is>
          <t>Azure H100 availability</t>
        </is>
      </c>
    </row>
    <row r="25">
      <c r="A25" t="inlineStr">
        <is>
          <t>https://cloud.google.com/blog/products/compute/announcing-cloud-tpu-v5e-and-a3-gpus-in-ga</t>
        </is>
      </c>
      <c r="B25" t="inlineStr">
        <is>
          <t>GCP H100 availability</t>
        </is>
      </c>
    </row>
    <row r="26">
      <c r="A26" t="inlineStr">
        <is>
          <t>https://www.together.ai/blog/instant-gpu-clusters</t>
        </is>
      </c>
      <c r="B26" t="inlineStr">
        <is>
          <t>Together AI H100 availability</t>
        </is>
      </c>
    </row>
    <row r="27">
      <c r="A27" t="inlineStr">
        <is>
          <t>https://www.together.ai/blog/together-instant-clusters-ga</t>
        </is>
      </c>
      <c r="B27" t="inlineStr">
        <is>
          <t>Together AI H100 availability</t>
        </is>
      </c>
    </row>
    <row r="28">
      <c r="A28" t="inlineStr">
        <is>
          <t>https://www.datacenterdynamics.com/en/news/nebius-launches-ai-cloud-offering-with-nvidia-h100s-and-h200s/</t>
        </is>
      </c>
      <c r="B28" t="inlineStr">
        <is>
          <t>Nebius H200 availability</t>
        </is>
      </c>
    </row>
    <row r="29">
      <c r="A29" t="inlineStr">
        <is>
          <t>https://web.archive.org/web/20241115043809/https://nebius.com/prices</t>
        </is>
      </c>
      <c r="B29" t="inlineStr">
        <is>
          <t>Nebius H200 availability</t>
        </is>
      </c>
    </row>
    <row r="30">
      <c r="A30" t="inlineStr">
        <is>
          <t>https://investors.coreweave.com/news/news-details/2024/CoreWeave-First-to-Market-with-NVIDIA-H200-Tensor-Core-GPUs-Ushering-in-a-New-Era-of-AI-Infrastructure-Performance/default.aspx</t>
        </is>
      </c>
      <c r="B30" t="inlineStr">
        <is>
          <t>CoreWeave H200 availability</t>
        </is>
      </c>
    </row>
    <row r="31">
      <c r="A31" t="inlineStr">
        <is>
          <t>https://lambda.ai/blog/lambda-cloud-clusters-to-support-nvidia-h200-tensor-core-gpus</t>
        </is>
      </c>
      <c r="B31" t="inlineStr">
        <is>
          <t>Lambda H200 availability</t>
        </is>
      </c>
    </row>
    <row r="32">
      <c r="A32" t="inlineStr">
        <is>
          <t>https://www.crusoe.ai/resources/blog/crusoe-empowering-the-ai-revolution</t>
        </is>
      </c>
      <c r="B32" t="inlineStr">
        <is>
          <t>Crusoe H200 availability</t>
        </is>
      </c>
    </row>
    <row r="33">
      <c r="A33" t="inlineStr">
        <is>
          <t>https://web.archive.org/web/20250403030503/https://crusoe.ai/cloud/pricing</t>
        </is>
      </c>
      <c r="B33" t="inlineStr">
        <is>
          <t>Crusoe H200 availability</t>
        </is>
      </c>
    </row>
    <row r="34">
      <c r="A34" t="inlineStr">
        <is>
          <t>https://blogs.oracle.com/cloud-infrastructure/now-ga-largest-ai-supercomputer-oci-nvidia-h200</t>
        </is>
      </c>
      <c r="B34" t="inlineStr">
        <is>
          <t>Oracle OCI H200 availability</t>
        </is>
      </c>
    </row>
    <row r="35">
      <c r="A35" t="inlineStr">
        <is>
          <t>https://aws.amazon.com/about-aws/whats-new/2024/09/amazon-ec2-p5e-instances-ec2-capacity-blocks/</t>
        </is>
      </c>
      <c r="B35" t="inlineStr">
        <is>
          <t>AWS H200 availability</t>
        </is>
      </c>
    </row>
    <row r="36">
      <c r="A36" t="inlineStr">
        <is>
          <t>https://azure.microsoft.com/en-us/blog/microsoft-launches-latest-azure-virtual-machines-optimized-for-ai-supercomputing-the-nd-h200-v5-series/</t>
        </is>
      </c>
      <c r="B36" t="inlineStr">
        <is>
          <t>Azure H200 availability</t>
        </is>
      </c>
    </row>
    <row r="37">
      <c r="A37" t="inlineStr">
        <is>
          <t>https://cloud.google.com/blog/products/compute/a3-ultra-with-nvidia-h200-gpus-are-ga-on-ai-hypercomputer</t>
        </is>
      </c>
      <c r="B37" t="inlineStr">
        <is>
          <t>GCP H200 availability</t>
        </is>
      </c>
    </row>
    <row r="38">
      <c r="A38" t="inlineStr">
        <is>
          <t>https://web.archive.org/web/20250305221703/https://nebius.com/prices</t>
        </is>
      </c>
      <c r="B38" t="inlineStr">
        <is>
          <t>Nebius B200 (HGX) availability</t>
        </is>
      </c>
    </row>
    <row r="39">
      <c r="A39" t="inlineStr">
        <is>
          <t>https://nebius.com/newsroom/nebius-delivers-first-nvidia-blackwell-general-availability-in-europe-brings-nvidia-ai-enterprise-to-nebius-ai-cloud</t>
        </is>
      </c>
      <c r="B39" t="inlineStr">
        <is>
          <t>Nebius B200 (HGX) availability</t>
        </is>
      </c>
    </row>
    <row r="40">
      <c r="A40" t="inlineStr">
        <is>
          <t>https://web.archive.org/web/20250725080908/https://nebius.com/prices</t>
        </is>
      </c>
      <c r="B40" t="inlineStr">
        <is>
          <t>Nebius B200 (HGX) availability</t>
        </is>
      </c>
    </row>
    <row r="41">
      <c r="A41" t="inlineStr">
        <is>
          <t>https://www.coreweave.com/blog/coreweave-expands-its-nvidia-blackwell-fleet-with-generally-available-nvidia-hgx-b200-instances</t>
        </is>
      </c>
      <c r="B41" t="inlineStr">
        <is>
          <t>CoreWeave B200 (HGX) availability</t>
        </is>
      </c>
    </row>
    <row r="42">
      <c r="A42" t="inlineStr">
        <is>
          <t>https://docs.coreweave.com/changelog/release-notes/b200-instances</t>
        </is>
      </c>
      <c r="B42" t="inlineStr">
        <is>
          <t>CoreWeave B200 (HGX) availability</t>
        </is>
      </c>
    </row>
    <row r="43">
      <c r="A43" t="inlineStr">
        <is>
          <t>https://lambda.ai/blog/be-first-scale-fast-blackwell-clusters-now-live-on-lambda</t>
        </is>
      </c>
      <c r="B43" t="inlineStr">
        <is>
          <t>Lambda B200 (HGX) availability</t>
        </is>
      </c>
    </row>
    <row r="44">
      <c r="A44" t="inlineStr">
        <is>
          <t>https://www.linkedin.com/posts/crusoe_nvidia-hgx-b200-activity-7322723749722472449-r18s</t>
        </is>
      </c>
      <c r="B44" t="inlineStr">
        <is>
          <t>Crusoe B200 (HGX) availability</t>
        </is>
      </c>
    </row>
    <row r="45">
      <c r="A45" t="inlineStr">
        <is>
          <t>https://blogs.oracle.com/cloud-infrastructure/worlds-largest-ai-supercomputer-in-the-cloud</t>
        </is>
      </c>
      <c r="B45" t="inlineStr">
        <is>
          <t>Oracle OCI B200 (HGX) availability</t>
        </is>
      </c>
    </row>
    <row r="46">
      <c r="A46" t="inlineStr">
        <is>
          <t>https://aws.amazon.com/about-aws/whats-new/2025/05/amazon-ec2-p6-b200-instances-nvidia-b200-gpus/</t>
        </is>
      </c>
      <c r="B46" t="inlineStr">
        <is>
          <t>AWS B200 (HGX) availability</t>
        </is>
      </c>
    </row>
    <row r="47">
      <c r="A47" t="inlineStr">
        <is>
          <t>https://cloud.google.com/blog/products/compute/introducing-a4-vms-powered-by-nvidia-b200-gpu-aka-blackwell</t>
        </is>
      </c>
      <c r="B47" t="inlineStr">
        <is>
          <t>GCP B200 (HGX) availability</t>
        </is>
      </c>
    </row>
    <row r="48">
      <c r="A48" t="inlineStr">
        <is>
          <t>https://cloud.google.com/blog/products/compute/google-cloud-goes-to-nvidia-gtc</t>
        </is>
      </c>
      <c r="B48" t="inlineStr">
        <is>
          <t>GCP B200 (HGX) availability</t>
        </is>
      </c>
    </row>
    <row r="49">
      <c r="A49" t="inlineStr">
        <is>
          <t>https://www.prnewswire.com/news-releases/coreweave-first-cloud-provider-to-announce-general-availability-of-nvidia-gb200-nvl72-instances-302367298.html</t>
        </is>
      </c>
      <c r="B49" t="inlineStr">
        <is>
          <t>CoreWeave GB200 NVL72 availability</t>
        </is>
      </c>
    </row>
    <row r="50">
      <c r="A50" t="inlineStr">
        <is>
          <t>https://www.datacenterdynamics.com/en/news/nvidia-gb200-nvl72-now-available-via-oracle-cloud/</t>
        </is>
      </c>
      <c r="B50" t="inlineStr">
        <is>
          <t>Lambda GB200 NVL72 availability</t>
        </is>
      </c>
    </row>
    <row r="51">
      <c r="A51" t="inlineStr">
        <is>
          <t>https://www.linkedin.com/feed/update/urn:li:activity:7366592985901301762</t>
        </is>
      </c>
      <c r="B51" t="inlineStr">
        <is>
          <t>Crusoe GB200 NVL72 availability</t>
        </is>
      </c>
    </row>
    <row r="52">
      <c r="A52" t="inlineStr">
        <is>
          <t>https://aws.amazon.com/about-aws/whats-new/2025/07/amazon-p6e-gb200-ultraservers-gpu-performance-ec2/</t>
        </is>
      </c>
      <c r="B52" t="inlineStr">
        <is>
          <t>AWS GB200 NVL72 availability</t>
        </is>
      </c>
    </row>
    <row r="53">
      <c r="A53" t="inlineStr">
        <is>
          <t>https://azurelook.com/azure-update/accelerating-the-intelligence-age-with-azure-ai-infrastructure-and-the-ga-of-nd-gb200-v6/</t>
        </is>
      </c>
      <c r="B53" t="inlineStr">
        <is>
          <t>Azure GB200 NVL72 availability</t>
        </is>
      </c>
    </row>
    <row r="54">
      <c r="A54" t="inlineStr">
        <is>
          <t>https://cloud.google.com/blog/products/compute/new-a4x-vms-powered-by-nvidia-gb200-gpus</t>
        </is>
      </c>
      <c r="B54" t="inlineStr">
        <is>
          <t>GCP GB200 NVL72 availability</t>
        </is>
      </c>
    </row>
    <row r="55">
      <c r="A55" t="inlineStr">
        <is>
          <t>https://www.together.ai/blog/nvidia-gb200-together-gpu-cluster-36k</t>
        </is>
      </c>
      <c r="B55" t="inlineStr">
        <is>
          <t>Together AI GB200 NVL72 availability</t>
        </is>
      </c>
    </row>
    <row r="56">
      <c r="A56" t="inlineStr">
        <is>
          <t>https://nebius.com/newsroom/nebius-ai-cloud-3-1-delivers-next-generation-nvidia-blackwell-ultra-compute-with-transparent-capacity-management-for-ai-at-scale</t>
        </is>
      </c>
      <c r="B56" t="inlineStr">
        <is>
          <t>Nebius B300 / GB300 NVL72 availability</t>
        </is>
      </c>
    </row>
    <row r="57">
      <c r="A57" t="inlineStr">
        <is>
          <t>https://lambda.ai/blog/gigawatt-scale-ai-factories-nvidia-gb300-nvl72-system-on-lambda-cloud</t>
        </is>
      </c>
      <c r="B57" t="inlineStr">
        <is>
          <t>Lambda B300 / GB300 NVL72 availability</t>
        </is>
      </c>
    </row>
    <row r="58">
      <c r="A58" t="inlineStr">
        <is>
          <t>https://docs.crusoecloud.com/resources/changelog</t>
        </is>
      </c>
      <c r="B58" t="inlineStr">
        <is>
          <t>Crusoe B300 / GB300 NVL72 availability</t>
        </is>
      </c>
    </row>
    <row r="59">
      <c r="A59" t="inlineStr">
        <is>
          <t>https://www.crusoe.ai/resources/newsroom/crusoe-perplexity-partnership</t>
        </is>
      </c>
      <c r="B59" t="inlineStr">
        <is>
          <t>Crusoe B300 / GB300 NVL72 availability</t>
        </is>
      </c>
    </row>
    <row r="60">
      <c r="A60" t="inlineStr">
        <is>
          <t>https://www.nscale.com/blog/nscale-achieves-nvidia-exemplar-cloud-status-on-nvidia-gb300-nvl72</t>
        </is>
      </c>
      <c r="B60" t="inlineStr">
        <is>
          <t>Nscale B300 / GB300 NVL72 availability</t>
        </is>
      </c>
    </row>
    <row r="61">
      <c r="A61" t="inlineStr">
        <is>
          <t>https://www.oracle.com/news/announcement/oracle-and-nvidia-help-enterprises-and-developers-accelerate-ai-innovation-2025-06-12/</t>
        </is>
      </c>
      <c r="B61" t="inlineStr">
        <is>
          <t>Oracle OCI B300 / GB300 NVL72 availability</t>
        </is>
      </c>
    </row>
    <row r="62">
      <c r="A62" t="inlineStr">
        <is>
          <t>https://blogs.oracle.com/ai-and-datascience/scaling-the-frontier-of-multimodal-genai-for-enterprise</t>
        </is>
      </c>
      <c r="B62" t="inlineStr">
        <is>
          <t>Oracle OCI B300 / GB300 NVL72 availability</t>
        </is>
      </c>
    </row>
    <row r="63">
      <c r="A63" t="inlineStr">
        <is>
          <t>https://aws.amazon.com/blogs/aws/accelerate-large-scale-ai-applications-with-the-new-amazon-ec2-p6-b300-instances/</t>
        </is>
      </c>
      <c r="B63" t="inlineStr">
        <is>
          <t>AWS B300 / GB300 NVL72 availability</t>
        </is>
      </c>
    </row>
    <row r="64">
      <c r="A64" t="inlineStr">
        <is>
          <t>https://azure.microsoft.com/en-us/blog/microsoft-azure-delivers-the-first-large-scale-cluster-with-nvidia-gb300-nvl72-for-openai-workloads/</t>
        </is>
      </c>
      <c r="B64" t="inlineStr">
        <is>
          <t>Azure B300 / GB300 NVL72 availability</t>
        </is>
      </c>
    </row>
    <row r="65">
      <c r="A65" t="inlineStr">
        <is>
          <t>https://cloud.google.com/blog/products/compute/now-shipping-a4x-max-vertex-ai-training-and-more</t>
        </is>
      </c>
      <c r="B65" t="inlineStr">
        <is>
          <t>GCP B300 / GB300 NVL72 availability</t>
        </is>
      </c>
    </row>
    <row r="66">
      <c r="A66" t="inlineStr">
        <is>
          <t>https://web.archive.org/web/20260407215358/https://www.together.ai/pricing</t>
        </is>
      </c>
      <c r="B66" t="inlineStr">
        <is>
          <t>Together AI B300 / GB300 NVL72 availability</t>
        </is>
      </c>
    </row>
    <row r="67">
      <c r="A67" t="inlineStr">
        <is>
          <t>https://nebius.com/newsroom/nebius-to-offer-nvidia-vera-rubin-nvl-72-in-us-and-europe-from-h2-2026</t>
        </is>
      </c>
      <c r="B67" t="inlineStr">
        <is>
          <t>Nebius Vera Rubin NVL72 availability</t>
        </is>
      </c>
    </row>
    <row r="68">
      <c r="A68" t="inlineStr">
        <is>
          <t>https://www.linkedin.com/posts/nebius_this-is-our-first-full-nvidia-vera-rubin-activity-7485922889645469698-np1D</t>
        </is>
      </c>
      <c r="B68" t="inlineStr">
        <is>
          <t>Nebius Vera Rubin NVL72 availability</t>
        </is>
      </c>
    </row>
    <row r="69">
      <c r="A69" t="inlineStr">
        <is>
          <t>https://www.coreweave.com/news/coreweave-completes-industry-first-bring-up-of-nvidia-vera-rubin-nvl72</t>
        </is>
      </c>
      <c r="B69" t="inlineStr">
        <is>
          <t>CoreWeave Vera Rubin NVL72 availability</t>
        </is>
      </c>
    </row>
    <row r="70">
      <c r="A70" t="inlineStr">
        <is>
          <t>https://investors.coreweave.com/news/news-details/2026/CoreWeave-Delivers-NVIDIA-Vera-Rubin-NVL72-Performance-at-Production-Scale-Starting-With-Cognition/default.aspx</t>
        </is>
      </c>
      <c r="B70" t="inlineStr">
        <is>
          <t>CoreWeave Vera Rubin NVL72 availability</t>
        </is>
      </c>
    </row>
    <row r="71">
      <c r="A71" t="inlineStr">
        <is>
          <t>https://www.linkedin.com/posts/lambda-cloud_ces2026-nvidiarubin-activity-7414655682433548288-a7TD</t>
        </is>
      </c>
      <c r="B71" t="inlineStr">
        <is>
          <t>Lambda Vera Rubin NVL72 availability</t>
        </is>
      </c>
    </row>
    <row r="72">
      <c r="A72" t="inlineStr">
        <is>
          <t>https://lambda.ai/blog/nvidias-vera-rubin-nvl72-coming-to-lambdas-superintelligence-cloud</t>
        </is>
      </c>
      <c r="B72" t="inlineStr">
        <is>
          <t>Lambda Vera Rubin NVL72 availability</t>
        </is>
      </c>
    </row>
    <row r="73">
      <c r="A73" t="inlineStr">
        <is>
          <t>https://winbuzzer.com/2026/03/18/microsoft-foundry-agent-service-vera-rubin-nvl72-gtc-2026-xcxwbn/</t>
        </is>
      </c>
      <c r="B73" t="inlineStr">
        <is>
          <t>Azure Vera Rubin NVL72 availability</t>
        </is>
      </c>
    </row>
    <row r="74">
      <c r="A74" t="inlineStr">
        <is>
          <t>https://web.archive.org/web/20230401134901/https://www.coreweave.com/gpu-cloud-pricing</t>
        </is>
      </c>
      <c r="B74" t="inlineStr">
        <is>
          <t>Wayback capture (id_ raw)</t>
        </is>
      </c>
    </row>
    <row r="75">
      <c r="A75" t="inlineStr">
        <is>
          <t>https://web.archive.org/web/20230512094749/https://lambdalabs.com/service/gpu-cloud</t>
        </is>
      </c>
      <c r="B75" t="inlineStr">
        <is>
          <t>Wayback capture (id_ raw)</t>
        </is>
      </c>
    </row>
    <row r="76">
      <c r="A76" t="inlineStr">
        <is>
          <t>https://web.archive.org/web/20230614020352/https://lambdalabs.com/service/gpu-cloud</t>
        </is>
      </c>
      <c r="B76" t="inlineStr">
        <is>
          <t>Wayback capture (id_ raw)</t>
        </is>
      </c>
    </row>
    <row r="77">
      <c r="A77" t="inlineStr">
        <is>
          <t>https://web.archive.org/web/20230721045737/https://lambdalabs.com/service/gpu-cloud</t>
        </is>
      </c>
      <c r="B77" t="inlineStr">
        <is>
          <t>Wayback capture (id_ raw)</t>
        </is>
      </c>
    </row>
    <row r="78">
      <c r="A78" t="inlineStr">
        <is>
          <t>https://web.archive.org/web/20231101230422/https://nebius.ai/prices</t>
        </is>
      </c>
      <c r="B78" t="inlineStr">
        <is>
          <t>Wayback capture (id_ raw)</t>
        </is>
      </c>
    </row>
    <row r="79">
      <c r="A79" t="inlineStr">
        <is>
          <t>https://web.archive.org/web/20231127144712/https://lambdalabs.com/service/gpu-cloud</t>
        </is>
      </c>
      <c r="B79" t="inlineStr">
        <is>
          <t>Wayback capture (id_ raw)</t>
        </is>
      </c>
    </row>
    <row r="80">
      <c r="A80" t="inlineStr">
        <is>
          <t>https://web.archive.org/web/20240101073433/https://lambdalabs.com/service/gpu-cloud</t>
        </is>
      </c>
      <c r="B80" t="inlineStr">
        <is>
          <t>Wayback capture (id_ raw)</t>
        </is>
      </c>
    </row>
    <row r="81">
      <c r="A81" t="inlineStr">
        <is>
          <t>https://web.archive.org/web/20240103190130/https://lambdalabs.com/service/gpu-cloud</t>
        </is>
      </c>
      <c r="B81" t="inlineStr">
        <is>
          <t>Wayback capture (id_ raw)</t>
        </is>
      </c>
    </row>
    <row r="82">
      <c r="A82" t="inlineStr">
        <is>
          <t>https://web.archive.org/web/20240728044745/https://lambdalabs.com/service/gpu-cloud</t>
        </is>
      </c>
      <c r="B82" t="inlineStr">
        <is>
          <t>Wayback capture (id_ raw)</t>
        </is>
      </c>
    </row>
    <row r="83">
      <c r="A83" t="inlineStr">
        <is>
          <t>https://web.archive.org/web/20240805155823/https://nebius.ai/prices</t>
        </is>
      </c>
      <c r="B83" t="inlineStr">
        <is>
          <t>Wayback capture (id_ raw)</t>
        </is>
      </c>
    </row>
    <row r="84">
      <c r="A84" t="inlineStr">
        <is>
          <t>https://web.archive.org/web/20240815145430/https://lambdalabs.com/service/gpu-cloud</t>
        </is>
      </c>
      <c r="B84" t="inlineStr">
        <is>
          <t>Wayback capture (id_ raw)</t>
        </is>
      </c>
    </row>
    <row r="85">
      <c r="A85" t="inlineStr">
        <is>
          <t>https://web.archive.org/web/20240907074221/https://nebius.ai/prices</t>
        </is>
      </c>
      <c r="B85" t="inlineStr">
        <is>
          <t>Wayback capture (id_ raw)</t>
        </is>
      </c>
    </row>
    <row r="86">
      <c r="A86" t="inlineStr">
        <is>
          <t>https://web.archive.org/web/20240915034120/https://nebius.ai/prices</t>
        </is>
      </c>
      <c r="B86" t="inlineStr">
        <is>
          <t>Wayback capture (id_ raw)</t>
        </is>
      </c>
    </row>
    <row r="87">
      <c r="A87" t="inlineStr">
        <is>
          <t>https://web.archive.org/web/20241206151408/https://coreweave.com/gpu-cloud-pricing</t>
        </is>
      </c>
      <c r="B87" t="inlineStr">
        <is>
          <t>Wayback capture (id_ raw)</t>
        </is>
      </c>
    </row>
    <row r="88">
      <c r="A88" t="inlineStr">
        <is>
          <t>https://web.archive.org/web/20250101002525/https://www.coreweave.com/pricing</t>
        </is>
      </c>
      <c r="B88" t="inlineStr">
        <is>
          <t>Wayback capture (id_ raw)</t>
        </is>
      </c>
    </row>
    <row r="89">
      <c r="A89" t="inlineStr">
        <is>
          <t>https://web.archive.org/web/20250209162626/https://www.coreweave.com/pricing</t>
        </is>
      </c>
      <c r="B89" t="inlineStr">
        <is>
          <t>Wayback capture (id_ raw)</t>
        </is>
      </c>
    </row>
    <row r="90">
      <c r="A90" t="inlineStr">
        <is>
          <t>https://web.archive.org/web/20250609162833/https://coreweave.com/pricing</t>
        </is>
      </c>
      <c r="B90" t="inlineStr">
        <is>
          <t>Wayback capture (id_ raw)</t>
        </is>
      </c>
    </row>
    <row r="91">
      <c r="A91" t="inlineStr">
        <is>
          <t>https://web.archive.org/web/20250813005348/https://lambda.ai/pricing</t>
        </is>
      </c>
      <c r="B91" t="inlineStr">
        <is>
          <t>Wayback capture (id_ raw)</t>
        </is>
      </c>
    </row>
    <row r="92">
      <c r="A92" t="inlineStr">
        <is>
          <t>https://web.archive.org/web/20250823182906/https://www.coreweave.com/pricing</t>
        </is>
      </c>
      <c r="B92" t="inlineStr">
        <is>
          <t>Wayback capture (id_ raw)</t>
        </is>
      </c>
    </row>
    <row r="93">
      <c r="A93" t="inlineStr">
        <is>
          <t>https://web.archive.org/web/20250906000147/https://www.together.ai/pricing</t>
        </is>
      </c>
      <c r="B93" t="inlineStr">
        <is>
          <t>Wayback capture (id_ raw)</t>
        </is>
      </c>
    </row>
    <row r="94">
      <c r="A94" t="inlineStr">
        <is>
          <t>https://web.archive.org/web/20250929194310/https://www.crusoe.ai/cloud/pricing</t>
        </is>
      </c>
      <c r="B94" t="inlineStr">
        <is>
          <t>Wayback capture (id_ raw)</t>
        </is>
      </c>
    </row>
    <row r="95">
      <c r="A95" t="inlineStr">
        <is>
          <t>https://web.archive.org/web/20251105190524/https://lambda.ai/pricing</t>
        </is>
      </c>
      <c r="B95" t="inlineStr">
        <is>
          <t>Wayback capture (id_ raw)</t>
        </is>
      </c>
    </row>
    <row r="96">
      <c r="A96" t="inlineStr">
        <is>
          <t>https://web.archive.org/web/20251205232122/https://lambda.ai/pricing</t>
        </is>
      </c>
      <c r="B96" t="inlineStr">
        <is>
          <t>Wayback capture (id_ raw)</t>
        </is>
      </c>
    </row>
    <row r="97">
      <c r="A97" t="inlineStr">
        <is>
          <t>https://web.archive.org/web/20251215002446/https://www.crusoe.ai/cloud/pricing</t>
        </is>
      </c>
      <c r="B97" t="inlineStr">
        <is>
          <t>Wayback capture (id_ raw)</t>
        </is>
      </c>
    </row>
    <row r="98">
      <c r="A98" t="inlineStr">
        <is>
          <t>https://web.archive.org/web/20260205131826/https://lambda.ai/pricing</t>
        </is>
      </c>
      <c r="B98" t="inlineStr">
        <is>
          <t>Wayback capture (id_ raw)</t>
        </is>
      </c>
    </row>
    <row r="99">
      <c r="A99" t="inlineStr">
        <is>
          <t>https://web.archive.org/web/20260217193017/https://lambda.ai/pricing</t>
        </is>
      </c>
      <c r="B99" t="inlineStr">
        <is>
          <t>Wayback capture (id_ raw)</t>
        </is>
      </c>
    </row>
    <row r="100">
      <c r="A100" t="inlineStr">
        <is>
          <t>https://web.archive.org/web/20260316141830/https://lambda.ai/pricing</t>
        </is>
      </c>
      <c r="B100" t="inlineStr">
        <is>
          <t>Wayback capture (id_ raw)</t>
        </is>
      </c>
    </row>
    <row r="101">
      <c r="A101" t="inlineStr">
        <is>
          <t>https://web.archive.org/web/20260331164533/https://aws.amazon.com/ec2/capacityblocks/pricing/</t>
        </is>
      </c>
      <c r="B101" t="inlineStr">
        <is>
          <t>Wayback capture (id_ raw)</t>
        </is>
      </c>
    </row>
    <row r="102">
      <c r="A102" t="inlineStr">
        <is>
          <t>https://web.archive.org/web/20260401163040/https://lambda.ai/pricing</t>
        </is>
      </c>
      <c r="B102" t="inlineStr">
        <is>
          <t>Wayback capture (id_ raw)</t>
        </is>
      </c>
    </row>
    <row r="103">
      <c r="A103" t="inlineStr">
        <is>
          <t>https://web.archive.org/web/20260402090033/https://nebius.com/prices</t>
        </is>
      </c>
      <c r="B103" t="inlineStr">
        <is>
          <t>Wayback capture (id_ raw)</t>
        </is>
      </c>
    </row>
    <row r="104">
      <c r="A104" t="inlineStr">
        <is>
          <t>https://web.archive.org/web/20260415105017/https://coreweave.com/pricing</t>
        </is>
      </c>
      <c r="B104" t="inlineStr">
        <is>
          <t>Wayback capture (id_ raw)</t>
        </is>
      </c>
    </row>
    <row r="105">
      <c r="A105" t="inlineStr">
        <is>
          <t>https://web.archive.org/web/20260507111158/https://nebius.com/prices</t>
        </is>
      </c>
      <c r="B105" t="inlineStr">
        <is>
          <t>Wayback capture (id_ raw)</t>
        </is>
      </c>
    </row>
    <row r="106">
      <c r="A106" t="inlineStr">
        <is>
          <t>https://web.archive.org/web/20260704092824/https://aws.amazon.com/ec2/capacityblocks/pricing/</t>
        </is>
      </c>
      <c r="B106" t="inlineStr">
        <is>
          <t>Wayback capture (id_ raw)</t>
        </is>
      </c>
    </row>
    <row r="107">
      <c r="A107" t="inlineStr">
        <is>
          <t>https://web.archive.org/web/20260712235400/https://nebius.com/prices</t>
        </is>
      </c>
      <c r="B107" t="inlineStr">
        <is>
          <t>Wayback capture (id_ raw)</t>
        </is>
      </c>
    </row>
    <row r="108">
      <c r="A108" t="inlineStr">
        <is>
          <t>https://web.archive.org/web/20260921070322/https://nebius.com/prices</t>
        </is>
      </c>
      <c r="B108" t="inlineStr">
        <is>
          <t>Wayback capture (id_ raw)</t>
        </is>
      </c>
    </row>
    <row r="109">
      <c r="A109" t="inlineStr">
        <is>
          <t>https://web.archive.org/web/20260923185137/https://nebius.com/prices</t>
        </is>
      </c>
      <c r="B109" t="inlineStr">
        <is>
          <t>Wayback capture (id_ raw)</t>
        </is>
      </c>
    </row>
    <row r="110">
      <c r="A110" t="inlineStr">
        <is>
          <t>https://web.archive.org/web/20260926001828/https://nebius.com/prices</t>
        </is>
      </c>
      <c r="B110" t="inlineStr">
        <is>
          <t>Wayback capture (id_ raw)</t>
        </is>
      </c>
    </row>
    <row r="111">
      <c r="A111" t="inlineStr">
        <is>
          <t>https://web.archive.org/web/20261001030509/https://nebius.com/prices</t>
        </is>
      </c>
      <c r="B111" t="inlineStr">
        <is>
          <t>Wayback capture (id_ raw)</t>
        </is>
      </c>
    </row>
    <row r="112">
      <c r="A112" t="inlineStr">
        <is>
          <t>https_lambda_ai_pricing</t>
        </is>
      </c>
      <c r="B112" t="inlineStr">
        <is>
          <t>cited</t>
        </is>
      </c>
    </row>
    <row r="113">
      <c r="A113" t="inlineStr">
        <is>
          <t>https_nebius_com_prices</t>
        </is>
      </c>
      <c r="B113" t="inlineStr">
        <is>
          <t>cited</t>
        </is>
      </c>
    </row>
    <row r="114">
      <c r="A114" t="inlineStr">
        <is>
          <t>http://web.archive.org/cdx/search/cdx</t>
        </is>
      </c>
      <c r="B114" t="inlineStr">
        <is>
          <t>Wayback CDX API (digest-collapsed listings)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2026-10-04T22:16:22Z</dcterms:created>
  <dcterms:modified xmlns:dcterms="http://purl.org/dc/terms/" xmlns:xsi="http://www.w3.org/2001/XMLSchema-instance" xsi:type="dcterms:W3CDTF">2026-10-04T22:16:22Z</dcterms:modified>
</cp:coreProperties>
</file>